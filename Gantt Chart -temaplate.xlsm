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tables/table4.xml" ContentType="application/vnd.openxmlformats-officedocument.spreadsheetml.table+xml"/>
  <Override PartName="/xl/comments7.xml" ContentType="application/vnd.openxmlformats-officedocument.spreadsheetml.comments+xml"/>
  <Override PartName="/xl/drawings/drawing8.xml" ContentType="application/vnd.openxmlformats-officedocument.drawing+xml"/>
  <Override PartName="/xl/tables/table5.xml" ContentType="application/vnd.openxmlformats-officedocument.spreadsheetml.table+xml"/>
  <Override PartName="/xl/comments8.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0.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omments11.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1.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omments12.xml" ContentType="application/vnd.openxmlformats-officedocument.spreadsheetml.comments+xml"/>
  <Override PartName="/xl/tables/table11.xml" ContentType="application/vnd.openxmlformats-officedocument.spreadsheetml.table+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1"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CPhanna\CPhanna\M&amp;E for SP\M&amp;E 2024\Program 2024\Gantt Chart Training\"/>
    </mc:Choice>
  </mc:AlternateContent>
  <xr:revisionPtr revIDLastSave="0" documentId="13_ncr:1_{F5508185-2EAD-4DE7-B00D-1AB1641B91D6}" xr6:coauthVersionLast="36" xr6:coauthVersionMax="36" xr10:uidLastSave="{00000000-0000-0000-0000-000000000000}"/>
  <bookViews>
    <workbookView xWindow="0" yWindow="0" windowWidth="23040" windowHeight="9780" tabRatio="891" activeTab="4" xr2:uid="{00000000-000D-0000-FFFF-FFFF00000000}"/>
  </bookViews>
  <sheets>
    <sheet name="Guidance " sheetId="8" r:id="rId1"/>
    <sheet name="Revision Tracker" sheetId="25" r:id="rId2"/>
    <sheet name="Logframe" sheetId="17" r:id="rId3"/>
    <sheet name="BenCountTemplate" sheetId="23" r:id="rId4"/>
    <sheet name="Gantt Chart" sheetId="28" r:id="rId5"/>
    <sheet name="Benefit Indicators" sheetId="3" r:id="rId6"/>
    <sheet name="People Indicators" sheetId="2" r:id="rId7"/>
    <sheet name="Result Indicators" sheetId="7" r:id="rId8"/>
    <sheet name="Example Logframe" sheetId="10" r:id="rId9"/>
    <sheet name="BenCountingEx1" sheetId="24" r:id="rId10"/>
    <sheet name="BenCountingEx2" sheetId="22" r:id="rId11"/>
    <sheet name="Gantt Chart Example" sheetId="26" r:id="rId12"/>
    <sheet name="Example Benefit" sheetId="19" r:id="rId13"/>
    <sheet name="Example People" sheetId="18" r:id="rId14"/>
    <sheet name="Benefit-People-Indicator Ex" sheetId="20" state="hidden" r:id="rId15"/>
    <sheet name="Pivot Table" sheetId="21" state="hidden" r:id="rId16"/>
    <sheet name="indicator lists" sheetId="15" state="hidden" r:id="rId17"/>
    <sheet name="Example Results Indicator" sheetId="11" r:id="rId18"/>
  </sheets>
  <externalReferences>
    <externalReference r:id="rId19"/>
  </externalReferences>
  <definedNames>
    <definedName name="_xlnm._FilterDatabase" localSheetId="16" hidden="1">'indicator lists'!$X$1:$X$18</definedName>
    <definedName name="BTable">#REF!</definedName>
    <definedName name="BTable2">#REF!</definedName>
  </definedNames>
  <calcPr calcId="191028"/>
  <pivotCaches>
    <pivotCache cacheId="12" r:id="rId20"/>
    <pivotCache cacheId="13" r:id="rId21"/>
    <pivotCache cacheId="14" r:id="rId22"/>
    <pivotCache cacheId="15" r:id="rId23"/>
    <pivotCache cacheId="16" r:id="rId24"/>
    <pivotCache cacheId="17" r:id="rId25"/>
  </pivotCaches>
</workbook>
</file>

<file path=xl/calcChain.xml><?xml version="1.0" encoding="utf-8"?>
<calcChain xmlns="http://schemas.openxmlformats.org/spreadsheetml/2006/main">
  <c r="DH4" i="28" l="1"/>
  <c r="DI4" i="28" s="1"/>
  <c r="DJ4" i="28" s="1"/>
  <c r="DK4" i="28" s="1"/>
  <c r="DL4" i="28" s="1"/>
  <c r="DM4" i="28" s="1"/>
  <c r="DN4" i="28" s="1"/>
  <c r="BG4" i="28"/>
  <c r="BH4" i="28" s="1"/>
  <c r="F4" i="28"/>
  <c r="F2" i="28" s="1"/>
  <c r="DH2" i="28" l="1"/>
  <c r="DO4" i="28"/>
  <c r="DP4" i="28" s="1"/>
  <c r="DQ4" i="28" s="1"/>
  <c r="DR4" i="28" s="1"/>
  <c r="DM2" i="28"/>
  <c r="DM3" i="28"/>
  <c r="DH3" i="28"/>
  <c r="G4" i="28"/>
  <c r="F3" i="28" s="1"/>
  <c r="BG2" i="28"/>
  <c r="BI4" i="28"/>
  <c r="BJ4" i="28" s="1"/>
  <c r="BK4" i="28" s="1"/>
  <c r="BL4" i="28" s="1"/>
  <c r="BM4" i="28" s="1"/>
  <c r="BG3" i="28"/>
  <c r="DQ2" i="28" l="1"/>
  <c r="DQ3" i="28"/>
  <c r="DS4" i="28"/>
  <c r="DT4" i="28" s="1"/>
  <c r="DU4" i="28" s="1"/>
  <c r="H4" i="28"/>
  <c r="I4" i="28" s="1"/>
  <c r="J4" i="28" s="1"/>
  <c r="K4" i="28" s="1"/>
  <c r="L4" i="28" s="1"/>
  <c r="BL2" i="28"/>
  <c r="BN4" i="28"/>
  <c r="BO4" i="28" s="1"/>
  <c r="BP4" i="28" s="1"/>
  <c r="BQ4" i="28" s="1"/>
  <c r="BL3" i="28"/>
  <c r="DV4" i="28" l="1"/>
  <c r="DU2" i="28"/>
  <c r="K2" i="28"/>
  <c r="K3" i="28"/>
  <c r="M4" i="28"/>
  <c r="N4" i="28" s="1"/>
  <c r="O4" i="28" s="1"/>
  <c r="P4" i="28" s="1"/>
  <c r="O3" i="28" s="1"/>
  <c r="BP2" i="28"/>
  <c r="BR4" i="28"/>
  <c r="BS4" i="28" s="1"/>
  <c r="BT4" i="28" s="1"/>
  <c r="BP3" i="28"/>
  <c r="DW4" i="28" l="1"/>
  <c r="DX4" i="28" s="1"/>
  <c r="DY4" i="28" s="1"/>
  <c r="DZ4" i="28" s="1"/>
  <c r="EA4" i="28" s="1"/>
  <c r="DU3" i="28"/>
  <c r="Q4" i="28"/>
  <c r="R4" i="28" s="1"/>
  <c r="S4" i="28" s="1"/>
  <c r="S2" i="28" s="1"/>
  <c r="O2" i="28"/>
  <c r="BT2" i="28"/>
  <c r="BU4" i="28"/>
  <c r="DZ3" i="28" l="1"/>
  <c r="EB4" i="28"/>
  <c r="EC4" i="28" s="1"/>
  <c r="ED4" i="28" s="1"/>
  <c r="EE4" i="28" s="1"/>
  <c r="DZ2" i="28"/>
  <c r="T4" i="28"/>
  <c r="BV4" i="28"/>
  <c r="BW4" i="28" s="1"/>
  <c r="BX4" i="28" s="1"/>
  <c r="BY4" i="28" s="1"/>
  <c r="BZ4" i="28" s="1"/>
  <c r="BT3" i="28"/>
  <c r="S3" i="28"/>
  <c r="U4" i="28"/>
  <c r="V4" i="28" s="1"/>
  <c r="W4" i="28" s="1"/>
  <c r="X4" i="28" s="1"/>
  <c r="Y4" i="28" s="1"/>
  <c r="EF4" i="28" l="1"/>
  <c r="EG4" i="28" s="1"/>
  <c r="EH4" i="28" s="1"/>
  <c r="ED3" i="28"/>
  <c r="ED2" i="28"/>
  <c r="CA4" i="28"/>
  <c r="CB4" i="28" s="1"/>
  <c r="CC4" i="28" s="1"/>
  <c r="CD4" i="28" s="1"/>
  <c r="BY3" i="28"/>
  <c r="BY2" i="28"/>
  <c r="Z4" i="28"/>
  <c r="AA4" i="28" s="1"/>
  <c r="AB4" i="28" s="1"/>
  <c r="AC4" i="28" s="1"/>
  <c r="X2" i="28"/>
  <c r="X3" i="28"/>
  <c r="EI4" i="28" l="1"/>
  <c r="EH2" i="28"/>
  <c r="CC3" i="28"/>
  <c r="CE4" i="28"/>
  <c r="CF4" i="28" s="1"/>
  <c r="CG4" i="28" s="1"/>
  <c r="CC2" i="28"/>
  <c r="AB2" i="28"/>
  <c r="AB3" i="28"/>
  <c r="AD4" i="28"/>
  <c r="AE4" i="28" s="1"/>
  <c r="AF4" i="28" s="1"/>
  <c r="EH3" i="28" l="1"/>
  <c r="EJ4" i="28"/>
  <c r="EK4" i="28" s="1"/>
  <c r="EL4" i="28" s="1"/>
  <c r="EM4" i="28" s="1"/>
  <c r="EN4" i="28" s="1"/>
  <c r="CG2" i="28"/>
  <c r="CH4" i="28"/>
  <c r="AG4" i="28"/>
  <c r="AF2" i="28"/>
  <c r="EO4" i="28" l="1"/>
  <c r="EP4" i="28" s="1"/>
  <c r="EQ4" i="28" s="1"/>
  <c r="ER4" i="28" s="1"/>
  <c r="EM2" i="28"/>
  <c r="EM3" i="28"/>
  <c r="CG3" i="28"/>
  <c r="CI4" i="28"/>
  <c r="CJ4" i="28" s="1"/>
  <c r="CK4" i="28" s="1"/>
  <c r="CL4" i="28" s="1"/>
  <c r="CM4" i="28" s="1"/>
  <c r="AH4" i="28"/>
  <c r="AI4" i="28" s="1"/>
  <c r="AJ4" i="28" s="1"/>
  <c r="AK4" i="28" s="1"/>
  <c r="AL4" i="28" s="1"/>
  <c r="AF3" i="28"/>
  <c r="EQ2" i="28" l="1"/>
  <c r="ES4" i="28"/>
  <c r="ET4" i="28" s="1"/>
  <c r="EU4" i="28" s="1"/>
  <c r="EQ3" i="28"/>
  <c r="CL2" i="28"/>
  <c r="CL3" i="28"/>
  <c r="CN4" i="28"/>
  <c r="CO4" i="28" s="1"/>
  <c r="CP4" i="28" s="1"/>
  <c r="CQ4" i="28" s="1"/>
  <c r="AK3" i="28"/>
  <c r="AM4" i="28"/>
  <c r="AN4" i="28" s="1"/>
  <c r="AO4" i="28" s="1"/>
  <c r="AP4" i="28" s="1"/>
  <c r="AK2" i="28"/>
  <c r="EU2" i="28" l="1"/>
  <c r="EV4" i="28"/>
  <c r="CP3" i="28"/>
  <c r="CP2" i="28"/>
  <c r="CR4" i="28"/>
  <c r="CS4" i="28" s="1"/>
  <c r="CT4" i="28" s="1"/>
  <c r="AQ4" i="28"/>
  <c r="AR4" i="28" s="1"/>
  <c r="AS4" i="28" s="1"/>
  <c r="AO3" i="28"/>
  <c r="AO2" i="28"/>
  <c r="EW4" i="28" l="1"/>
  <c r="EX4" i="28" s="1"/>
  <c r="EY4" i="28" s="1"/>
  <c r="EZ4" i="28" s="1"/>
  <c r="FA4" i="28" s="1"/>
  <c r="EU3" i="28"/>
  <c r="CT2" i="28"/>
  <c r="CU4" i="28"/>
  <c r="AS2" i="28"/>
  <c r="AT4" i="28"/>
  <c r="EZ2" i="28" l="1"/>
  <c r="FB4" i="28"/>
  <c r="FC4" i="28" s="1"/>
  <c r="FD4" i="28" s="1"/>
  <c r="EZ3" i="28"/>
  <c r="CV4" i="28"/>
  <c r="CW4" i="28" s="1"/>
  <c r="CX4" i="28" s="1"/>
  <c r="CY4" i="28" s="1"/>
  <c r="CZ4" i="28" s="1"/>
  <c r="CT3" i="28"/>
  <c r="AS3" i="28"/>
  <c r="AU4" i="28"/>
  <c r="AV4" i="28" s="1"/>
  <c r="AW4" i="28" s="1"/>
  <c r="AX4" i="28" s="1"/>
  <c r="AY4" i="28" s="1"/>
  <c r="FE4" i="28" l="1"/>
  <c r="FD2" i="28"/>
  <c r="CY2" i="28"/>
  <c r="DA4" i="28"/>
  <c r="DB4" i="28" s="1"/>
  <c r="DC4" i="28" s="1"/>
  <c r="CY3" i="28"/>
  <c r="AX2" i="28"/>
  <c r="AX3" i="28"/>
  <c r="AZ4" i="28"/>
  <c r="BA4" i="28" s="1"/>
  <c r="BB4" i="28" s="1"/>
  <c r="BB2" i="28" s="1"/>
  <c r="FF4" i="28" l="1"/>
  <c r="FG4" i="28" s="1"/>
  <c r="FH4" i="28" s="1"/>
  <c r="FD3" i="28"/>
  <c r="DD4" i="28"/>
  <c r="DC2" i="28"/>
  <c r="BC4" i="28"/>
  <c r="DE4" i="28" l="1"/>
  <c r="DF4" i="28" s="1"/>
  <c r="DG4" i="28" s="1"/>
  <c r="DC3" i="28"/>
  <c r="BD4" i="28"/>
  <c r="BE4" i="28" s="1"/>
  <c r="BF4" i="28" s="1"/>
  <c r="BB3" i="28"/>
  <c r="AO290" i="2" l="1"/>
  <c r="AN290" i="2"/>
  <c r="AM290" i="2"/>
  <c r="AL290" i="2"/>
  <c r="AK290" i="2"/>
  <c r="AJ290" i="2"/>
  <c r="AI290" i="2"/>
  <c r="AH290" i="2"/>
  <c r="AG290" i="2"/>
  <c r="AF290" i="2"/>
  <c r="AE290" i="2"/>
  <c r="AD290" i="2"/>
  <c r="AC290" i="2"/>
  <c r="AB290" i="2"/>
  <c r="AB284" i="2" s="1"/>
  <c r="AO285" i="2"/>
  <c r="AO284" i="2" s="1"/>
  <c r="AN285" i="2"/>
  <c r="AN284" i="2" s="1"/>
  <c r="AM285" i="2"/>
  <c r="AL285" i="2"/>
  <c r="AK285" i="2"/>
  <c r="AK284" i="2" s="1"/>
  <c r="AJ285" i="2"/>
  <c r="AJ284" i="2" s="1"/>
  <c r="AI285" i="2"/>
  <c r="AI284" i="2" s="1"/>
  <c r="AH285" i="2"/>
  <c r="AH284" i="2" s="1"/>
  <c r="AG285" i="2"/>
  <c r="AG284" i="2" s="1"/>
  <c r="AF285" i="2"/>
  <c r="AF284" i="2" s="1"/>
  <c r="AE285" i="2"/>
  <c r="AD285" i="2"/>
  <c r="AC285" i="2"/>
  <c r="AC284" i="2" s="1"/>
  <c r="AB285" i="2"/>
  <c r="AM284" i="2"/>
  <c r="AL284" i="2"/>
  <c r="AE284" i="2"/>
  <c r="AD284" i="2"/>
  <c r="AO278" i="2"/>
  <c r="AN278" i="2"/>
  <c r="AM278" i="2"/>
  <c r="AL278" i="2"/>
  <c r="AK278" i="2"/>
  <c r="AJ278" i="2"/>
  <c r="AI278" i="2"/>
  <c r="AH278" i="2"/>
  <c r="AG278" i="2"/>
  <c r="AF278" i="2"/>
  <c r="AE278" i="2"/>
  <c r="AD278" i="2"/>
  <c r="AC278" i="2"/>
  <c r="AB278" i="2"/>
  <c r="AA278" i="2"/>
  <c r="Z278" i="2"/>
  <c r="Y278" i="2"/>
  <c r="X278" i="2"/>
  <c r="W278" i="2"/>
  <c r="V278" i="2"/>
  <c r="U278" i="2"/>
  <c r="T278" i="2"/>
  <c r="S278" i="2"/>
  <c r="R278" i="2"/>
  <c r="Q278" i="2"/>
  <c r="P278" i="2"/>
  <c r="O278" i="2"/>
  <c r="N278" i="2"/>
  <c r="M278" i="2"/>
  <c r="L278" i="2"/>
  <c r="K278" i="2"/>
  <c r="J278" i="2"/>
  <c r="I278" i="2"/>
  <c r="H278" i="2"/>
  <c r="G278" i="2"/>
  <c r="F278" i="2"/>
  <c r="AO273" i="2"/>
  <c r="AN273" i="2"/>
  <c r="AM273" i="2"/>
  <c r="AL273" i="2"/>
  <c r="AK273" i="2"/>
  <c r="AJ273" i="2"/>
  <c r="AI273" i="2"/>
  <c r="AH273" i="2"/>
  <c r="AG273" i="2"/>
  <c r="AF273" i="2"/>
  <c r="AE273" i="2"/>
  <c r="AD273" i="2"/>
  <c r="AC273" i="2"/>
  <c r="AB273" i="2"/>
  <c r="AA273" i="2"/>
  <c r="Z273" i="2"/>
  <c r="Y273" i="2"/>
  <c r="X273" i="2"/>
  <c r="W273" i="2"/>
  <c r="V273" i="2"/>
  <c r="U273" i="2"/>
  <c r="T273" i="2"/>
  <c r="S273" i="2"/>
  <c r="R273" i="2"/>
  <c r="Q273" i="2"/>
  <c r="P273" i="2"/>
  <c r="O273" i="2"/>
  <c r="N273" i="2"/>
  <c r="M273" i="2"/>
  <c r="L273" i="2"/>
  <c r="K273" i="2"/>
  <c r="J273" i="2"/>
  <c r="I273" i="2"/>
  <c r="H273" i="2"/>
  <c r="G273" i="2"/>
  <c r="F273" i="2"/>
  <c r="AO267" i="2"/>
  <c r="AN267" i="2"/>
  <c r="AM267" i="2"/>
  <c r="AL267" i="2"/>
  <c r="AK267" i="2"/>
  <c r="AJ267" i="2"/>
  <c r="AI267" i="2"/>
  <c r="AH267" i="2"/>
  <c r="AG267" i="2"/>
  <c r="AF267" i="2"/>
  <c r="AE267" i="2"/>
  <c r="AD267" i="2"/>
  <c r="AC267" i="2"/>
  <c r="AB267" i="2"/>
  <c r="AA267" i="2"/>
  <c r="Z267" i="2"/>
  <c r="Y267" i="2"/>
  <c r="X267" i="2"/>
  <c r="W267" i="2"/>
  <c r="V267" i="2"/>
  <c r="U267" i="2"/>
  <c r="T267" i="2"/>
  <c r="S267" i="2"/>
  <c r="R267" i="2"/>
  <c r="Q267" i="2"/>
  <c r="P267" i="2"/>
  <c r="O267" i="2"/>
  <c r="N267" i="2"/>
  <c r="M267" i="2"/>
  <c r="L267" i="2"/>
  <c r="K267" i="2"/>
  <c r="J267" i="2"/>
  <c r="I267" i="2"/>
  <c r="H267" i="2"/>
  <c r="G267" i="2"/>
  <c r="F267" i="2"/>
  <c r="AO262" i="2"/>
  <c r="AN262" i="2"/>
  <c r="AM262" i="2"/>
  <c r="AL262" i="2"/>
  <c r="AK262" i="2"/>
  <c r="AJ262" i="2"/>
  <c r="AI262" i="2"/>
  <c r="AH262" i="2"/>
  <c r="AG262" i="2"/>
  <c r="AF262" i="2"/>
  <c r="AE262" i="2"/>
  <c r="AD262" i="2"/>
  <c r="AC262" i="2"/>
  <c r="AB262" i="2"/>
  <c r="AA262" i="2"/>
  <c r="Z262" i="2"/>
  <c r="Y262" i="2"/>
  <c r="X262" i="2"/>
  <c r="W262" i="2"/>
  <c r="V262" i="2"/>
  <c r="U262" i="2"/>
  <c r="T262" i="2"/>
  <c r="S262" i="2"/>
  <c r="R262" i="2"/>
  <c r="Q262" i="2"/>
  <c r="P262" i="2"/>
  <c r="O262" i="2"/>
  <c r="N262" i="2"/>
  <c r="M262" i="2"/>
  <c r="L262" i="2"/>
  <c r="K262" i="2"/>
  <c r="J262" i="2"/>
  <c r="I262" i="2"/>
  <c r="H262" i="2"/>
  <c r="G262" i="2"/>
  <c r="F262" i="2"/>
  <c r="AO256" i="2"/>
  <c r="AN256" i="2"/>
  <c r="AM256" i="2"/>
  <c r="AL256" i="2"/>
  <c r="AK256" i="2"/>
  <c r="AJ256" i="2"/>
  <c r="AI256" i="2"/>
  <c r="AH256" i="2"/>
  <c r="AG256" i="2"/>
  <c r="AF256" i="2"/>
  <c r="AE256" i="2"/>
  <c r="AD256" i="2"/>
  <c r="AC256" i="2"/>
  <c r="AB256" i="2"/>
  <c r="AA256" i="2"/>
  <c r="Z256" i="2"/>
  <c r="Y256" i="2"/>
  <c r="X256" i="2"/>
  <c r="W256" i="2"/>
  <c r="V256" i="2"/>
  <c r="U256" i="2"/>
  <c r="T256" i="2"/>
  <c r="S256" i="2"/>
  <c r="R256" i="2"/>
  <c r="Q256" i="2"/>
  <c r="P256" i="2"/>
  <c r="O256" i="2"/>
  <c r="N256" i="2"/>
  <c r="M256" i="2"/>
  <c r="L256" i="2"/>
  <c r="K256" i="2"/>
  <c r="J256" i="2"/>
  <c r="I256" i="2"/>
  <c r="H256" i="2"/>
  <c r="G256" i="2"/>
  <c r="F256" i="2"/>
  <c r="AO251" i="2"/>
  <c r="AN251" i="2"/>
  <c r="AM251" i="2"/>
  <c r="AL251" i="2"/>
  <c r="AK251" i="2"/>
  <c r="AJ251" i="2"/>
  <c r="AI251" i="2"/>
  <c r="AH251" i="2"/>
  <c r="AG251" i="2"/>
  <c r="AF251" i="2"/>
  <c r="AE251" i="2"/>
  <c r="AD251" i="2"/>
  <c r="AC251" i="2"/>
  <c r="AB251" i="2"/>
  <c r="AA251" i="2"/>
  <c r="Z251" i="2"/>
  <c r="Y251" i="2"/>
  <c r="X251" i="2"/>
  <c r="W251" i="2"/>
  <c r="V251" i="2"/>
  <c r="U251" i="2"/>
  <c r="T251" i="2"/>
  <c r="S251" i="2"/>
  <c r="R251" i="2"/>
  <c r="Q251" i="2"/>
  <c r="P251" i="2"/>
  <c r="O251" i="2"/>
  <c r="N251" i="2"/>
  <c r="M251" i="2"/>
  <c r="L251" i="2"/>
  <c r="K251" i="2"/>
  <c r="J251" i="2"/>
  <c r="I251" i="2"/>
  <c r="H251" i="2"/>
  <c r="G251" i="2"/>
  <c r="F251" i="2"/>
  <c r="AO245" i="2"/>
  <c r="AN245" i="2"/>
  <c r="AM245" i="2"/>
  <c r="AL245" i="2"/>
  <c r="AK245" i="2"/>
  <c r="AJ245" i="2"/>
  <c r="AI245" i="2"/>
  <c r="AH245" i="2"/>
  <c r="AG245" i="2"/>
  <c r="AF245" i="2"/>
  <c r="AE245" i="2"/>
  <c r="AD245" i="2"/>
  <c r="AC245" i="2"/>
  <c r="AB245" i="2"/>
  <c r="AA245" i="2"/>
  <c r="Z245" i="2"/>
  <c r="Y245" i="2"/>
  <c r="X245" i="2"/>
  <c r="W245" i="2"/>
  <c r="V245" i="2"/>
  <c r="U245" i="2"/>
  <c r="T245" i="2"/>
  <c r="S245" i="2"/>
  <c r="R245" i="2"/>
  <c r="Q245" i="2"/>
  <c r="P245" i="2"/>
  <c r="O245" i="2"/>
  <c r="N245" i="2"/>
  <c r="M245" i="2"/>
  <c r="L245" i="2"/>
  <c r="K245" i="2"/>
  <c r="J245" i="2"/>
  <c r="I245" i="2"/>
  <c r="H245" i="2"/>
  <c r="G245" i="2"/>
  <c r="F245" i="2"/>
  <c r="AO240" i="2"/>
  <c r="AN240" i="2"/>
  <c r="AM240" i="2"/>
  <c r="AL240" i="2"/>
  <c r="AK240" i="2"/>
  <c r="AJ240" i="2"/>
  <c r="AI240" i="2"/>
  <c r="AH240" i="2"/>
  <c r="AG240" i="2"/>
  <c r="AF240" i="2"/>
  <c r="AE240" i="2"/>
  <c r="AD240" i="2"/>
  <c r="AC240" i="2"/>
  <c r="AB240" i="2"/>
  <c r="AA240" i="2"/>
  <c r="Z240" i="2"/>
  <c r="Y240" i="2"/>
  <c r="X240" i="2"/>
  <c r="W240" i="2"/>
  <c r="V240" i="2"/>
  <c r="U240" i="2"/>
  <c r="T240" i="2"/>
  <c r="S240" i="2"/>
  <c r="R240" i="2"/>
  <c r="Q240" i="2"/>
  <c r="P240" i="2"/>
  <c r="O240" i="2"/>
  <c r="N240" i="2"/>
  <c r="M240" i="2"/>
  <c r="L240" i="2"/>
  <c r="K240" i="2"/>
  <c r="J240" i="2"/>
  <c r="I240" i="2"/>
  <c r="H240" i="2"/>
  <c r="G240" i="2"/>
  <c r="F240" i="2"/>
  <c r="AO234" i="2"/>
  <c r="AN234" i="2"/>
  <c r="AM234" i="2"/>
  <c r="AL234" i="2"/>
  <c r="AK234" i="2"/>
  <c r="AJ234" i="2"/>
  <c r="AI234" i="2"/>
  <c r="AH234" i="2"/>
  <c r="AG234" i="2"/>
  <c r="AF234" i="2"/>
  <c r="AE234" i="2"/>
  <c r="AD234" i="2"/>
  <c r="AC234" i="2"/>
  <c r="AB234" i="2"/>
  <c r="AA234" i="2"/>
  <c r="Z234" i="2"/>
  <c r="Y234" i="2"/>
  <c r="X234" i="2"/>
  <c r="W234" i="2"/>
  <c r="V234" i="2"/>
  <c r="U234" i="2"/>
  <c r="T234" i="2"/>
  <c r="S234" i="2"/>
  <c r="R234" i="2"/>
  <c r="Q234" i="2"/>
  <c r="P234" i="2"/>
  <c r="O234" i="2"/>
  <c r="N234" i="2"/>
  <c r="M234" i="2"/>
  <c r="L234" i="2"/>
  <c r="K234" i="2"/>
  <c r="J234" i="2"/>
  <c r="I234" i="2"/>
  <c r="H234" i="2"/>
  <c r="G234" i="2"/>
  <c r="F234" i="2"/>
  <c r="AO229" i="2"/>
  <c r="AN229" i="2"/>
  <c r="AM229" i="2"/>
  <c r="AL229" i="2"/>
  <c r="AK229" i="2"/>
  <c r="AJ229" i="2"/>
  <c r="AI229" i="2"/>
  <c r="AH229" i="2"/>
  <c r="AG229" i="2"/>
  <c r="AF229" i="2"/>
  <c r="AE229" i="2"/>
  <c r="AD229" i="2"/>
  <c r="AC229" i="2"/>
  <c r="AB229" i="2"/>
  <c r="AA229" i="2"/>
  <c r="Z229" i="2"/>
  <c r="Y229" i="2"/>
  <c r="X229" i="2"/>
  <c r="W229" i="2"/>
  <c r="V229" i="2"/>
  <c r="U229" i="2"/>
  <c r="T229" i="2"/>
  <c r="S229" i="2"/>
  <c r="R229" i="2"/>
  <c r="Q229" i="2"/>
  <c r="P229" i="2"/>
  <c r="O229" i="2"/>
  <c r="N229" i="2"/>
  <c r="M229" i="2"/>
  <c r="L229" i="2"/>
  <c r="K229" i="2"/>
  <c r="J229" i="2"/>
  <c r="I229" i="2"/>
  <c r="H229" i="2"/>
  <c r="G229" i="2"/>
  <c r="F229" i="2"/>
  <c r="AO223" i="2"/>
  <c r="AN223" i="2"/>
  <c r="AM223" i="2"/>
  <c r="AL223" i="2"/>
  <c r="AK223" i="2"/>
  <c r="AJ223" i="2"/>
  <c r="AI223" i="2"/>
  <c r="AH223" i="2"/>
  <c r="AG223" i="2"/>
  <c r="AF223" i="2"/>
  <c r="AE223" i="2"/>
  <c r="AD223" i="2"/>
  <c r="AC223" i="2"/>
  <c r="AB223" i="2"/>
  <c r="AA223" i="2"/>
  <c r="Z223" i="2"/>
  <c r="Y223" i="2"/>
  <c r="X223" i="2"/>
  <c r="W223" i="2"/>
  <c r="V223" i="2"/>
  <c r="U223" i="2"/>
  <c r="T223" i="2"/>
  <c r="S223" i="2"/>
  <c r="R223" i="2"/>
  <c r="Q223" i="2"/>
  <c r="P223" i="2"/>
  <c r="O223" i="2"/>
  <c r="N223" i="2"/>
  <c r="M223" i="2"/>
  <c r="L223" i="2"/>
  <c r="K223" i="2"/>
  <c r="J223" i="2"/>
  <c r="I223" i="2"/>
  <c r="H223" i="2"/>
  <c r="G223" i="2"/>
  <c r="F223" i="2"/>
  <c r="AO218" i="2"/>
  <c r="AN218" i="2"/>
  <c r="AM218" i="2"/>
  <c r="AL218" i="2"/>
  <c r="AK218" i="2"/>
  <c r="AJ218" i="2"/>
  <c r="AI218" i="2"/>
  <c r="AH218" i="2"/>
  <c r="AG218" i="2"/>
  <c r="AF218" i="2"/>
  <c r="AE218" i="2"/>
  <c r="AD218" i="2"/>
  <c r="AC218" i="2"/>
  <c r="AB218" i="2"/>
  <c r="AA218" i="2"/>
  <c r="Z218" i="2"/>
  <c r="Y218" i="2"/>
  <c r="X218" i="2"/>
  <c r="W218" i="2"/>
  <c r="V218" i="2"/>
  <c r="U218" i="2"/>
  <c r="T218" i="2"/>
  <c r="S218" i="2"/>
  <c r="R218" i="2"/>
  <c r="Q218" i="2"/>
  <c r="P218" i="2"/>
  <c r="O218" i="2"/>
  <c r="N218" i="2"/>
  <c r="M218" i="2"/>
  <c r="L218" i="2"/>
  <c r="K218" i="2"/>
  <c r="J218" i="2"/>
  <c r="I218" i="2"/>
  <c r="H218" i="2"/>
  <c r="G218" i="2"/>
  <c r="F218" i="2"/>
  <c r="AO212" i="2"/>
  <c r="AN212" i="2"/>
  <c r="AM212" i="2"/>
  <c r="AL212" i="2"/>
  <c r="AK212" i="2"/>
  <c r="AJ212" i="2"/>
  <c r="AI212" i="2"/>
  <c r="AH212" i="2"/>
  <c r="AG212" i="2"/>
  <c r="AF212" i="2"/>
  <c r="AE212" i="2"/>
  <c r="AD212" i="2"/>
  <c r="AC212" i="2"/>
  <c r="AB212" i="2"/>
  <c r="AA212" i="2"/>
  <c r="Z212" i="2"/>
  <c r="Y212" i="2"/>
  <c r="X212" i="2"/>
  <c r="W212" i="2"/>
  <c r="V212" i="2"/>
  <c r="U212" i="2"/>
  <c r="T212" i="2"/>
  <c r="S212" i="2"/>
  <c r="R212" i="2"/>
  <c r="Q212" i="2"/>
  <c r="P212" i="2"/>
  <c r="O212" i="2"/>
  <c r="N212" i="2"/>
  <c r="M212" i="2"/>
  <c r="L212" i="2"/>
  <c r="K212" i="2"/>
  <c r="J212" i="2"/>
  <c r="I212" i="2"/>
  <c r="H212" i="2"/>
  <c r="G212" i="2"/>
  <c r="F212" i="2"/>
  <c r="AO207" i="2"/>
  <c r="AN207" i="2"/>
  <c r="AM207" i="2"/>
  <c r="AL207" i="2"/>
  <c r="AK207" i="2"/>
  <c r="AJ207" i="2"/>
  <c r="AI207" i="2"/>
  <c r="AH207" i="2"/>
  <c r="AG207" i="2"/>
  <c r="AF207" i="2"/>
  <c r="AE207" i="2"/>
  <c r="AD207" i="2"/>
  <c r="AC207" i="2"/>
  <c r="AB207" i="2"/>
  <c r="AA207" i="2"/>
  <c r="Z207" i="2"/>
  <c r="Y207" i="2"/>
  <c r="X207" i="2"/>
  <c r="W207" i="2"/>
  <c r="V207" i="2"/>
  <c r="U207" i="2"/>
  <c r="T207" i="2"/>
  <c r="S207" i="2"/>
  <c r="R207" i="2"/>
  <c r="Q207" i="2"/>
  <c r="P207" i="2"/>
  <c r="O207" i="2"/>
  <c r="N207" i="2"/>
  <c r="M207" i="2"/>
  <c r="L207" i="2"/>
  <c r="K207" i="2"/>
  <c r="J207" i="2"/>
  <c r="I207" i="2"/>
  <c r="H207" i="2"/>
  <c r="G207" i="2"/>
  <c r="F207" i="2"/>
  <c r="AO201" i="2"/>
  <c r="AN201" i="2"/>
  <c r="AM201" i="2"/>
  <c r="AL201" i="2"/>
  <c r="AK201" i="2"/>
  <c r="AJ201" i="2"/>
  <c r="AI201" i="2"/>
  <c r="AH201" i="2"/>
  <c r="AG201" i="2"/>
  <c r="AF201" i="2"/>
  <c r="AE201" i="2"/>
  <c r="AD201" i="2"/>
  <c r="AC201" i="2"/>
  <c r="AB201" i="2"/>
  <c r="AA201" i="2"/>
  <c r="Z201" i="2"/>
  <c r="Y201" i="2"/>
  <c r="X201" i="2"/>
  <c r="W201" i="2"/>
  <c r="V201" i="2"/>
  <c r="U201" i="2"/>
  <c r="T201" i="2"/>
  <c r="S201" i="2"/>
  <c r="R201" i="2"/>
  <c r="Q201" i="2"/>
  <c r="P201" i="2"/>
  <c r="O201" i="2"/>
  <c r="N201" i="2"/>
  <c r="M201" i="2"/>
  <c r="L201" i="2"/>
  <c r="K201" i="2"/>
  <c r="J201" i="2"/>
  <c r="I201" i="2"/>
  <c r="H201" i="2"/>
  <c r="G201" i="2"/>
  <c r="F201" i="2"/>
  <c r="AO196" i="2"/>
  <c r="AN196" i="2"/>
  <c r="AM196" i="2"/>
  <c r="AL196" i="2"/>
  <c r="AK196" i="2"/>
  <c r="AJ196" i="2"/>
  <c r="AI196" i="2"/>
  <c r="AH196" i="2"/>
  <c r="AG196" i="2"/>
  <c r="AF196" i="2"/>
  <c r="AE196" i="2"/>
  <c r="AD196" i="2"/>
  <c r="AC196" i="2"/>
  <c r="AB196" i="2"/>
  <c r="AA196" i="2"/>
  <c r="Z196" i="2"/>
  <c r="Y196" i="2"/>
  <c r="X196" i="2"/>
  <c r="W196" i="2"/>
  <c r="V196" i="2"/>
  <c r="U196" i="2"/>
  <c r="T196" i="2"/>
  <c r="S196" i="2"/>
  <c r="R196" i="2"/>
  <c r="Q196" i="2"/>
  <c r="P196" i="2"/>
  <c r="O196" i="2"/>
  <c r="N196" i="2"/>
  <c r="M196" i="2"/>
  <c r="L196" i="2"/>
  <c r="K196" i="2"/>
  <c r="J196" i="2"/>
  <c r="I196" i="2"/>
  <c r="H196" i="2"/>
  <c r="G196" i="2"/>
  <c r="F196" i="2"/>
  <c r="AO190" i="2"/>
  <c r="AN190" i="2"/>
  <c r="AM190" i="2"/>
  <c r="AL190" i="2"/>
  <c r="AK190" i="2"/>
  <c r="AJ190" i="2"/>
  <c r="AI190" i="2"/>
  <c r="AH190" i="2"/>
  <c r="AG190" i="2"/>
  <c r="AF190" i="2"/>
  <c r="AE190" i="2"/>
  <c r="AD190" i="2"/>
  <c r="AC190" i="2"/>
  <c r="AB190" i="2"/>
  <c r="AA190" i="2"/>
  <c r="Z190" i="2"/>
  <c r="Y190" i="2"/>
  <c r="X190" i="2"/>
  <c r="W190" i="2"/>
  <c r="V190" i="2"/>
  <c r="U190" i="2"/>
  <c r="T190" i="2"/>
  <c r="S190" i="2"/>
  <c r="R190" i="2"/>
  <c r="Q190" i="2"/>
  <c r="P190" i="2"/>
  <c r="O190" i="2"/>
  <c r="N190" i="2"/>
  <c r="M190" i="2"/>
  <c r="L190" i="2"/>
  <c r="K190" i="2"/>
  <c r="J190" i="2"/>
  <c r="I190" i="2"/>
  <c r="H190" i="2"/>
  <c r="G190" i="2"/>
  <c r="F190" i="2"/>
  <c r="AO185" i="2"/>
  <c r="AN185" i="2"/>
  <c r="AM185" i="2"/>
  <c r="AL185" i="2"/>
  <c r="AK185" i="2"/>
  <c r="AJ185" i="2"/>
  <c r="AI185" i="2"/>
  <c r="AH185" i="2"/>
  <c r="AG185" i="2"/>
  <c r="AF185" i="2"/>
  <c r="AE185" i="2"/>
  <c r="AD185" i="2"/>
  <c r="AC185" i="2"/>
  <c r="AB185" i="2"/>
  <c r="AA185" i="2"/>
  <c r="Z185" i="2"/>
  <c r="Y185" i="2"/>
  <c r="X185" i="2"/>
  <c r="W185" i="2"/>
  <c r="V185" i="2"/>
  <c r="U185" i="2"/>
  <c r="T185" i="2"/>
  <c r="S185" i="2"/>
  <c r="R185" i="2"/>
  <c r="Q185" i="2"/>
  <c r="P185" i="2"/>
  <c r="O185" i="2"/>
  <c r="N185" i="2"/>
  <c r="M185" i="2"/>
  <c r="L185" i="2"/>
  <c r="K185" i="2"/>
  <c r="J185" i="2"/>
  <c r="I185" i="2"/>
  <c r="H185" i="2"/>
  <c r="G185" i="2"/>
  <c r="F185" i="2"/>
  <c r="AO179" i="2"/>
  <c r="AN179" i="2"/>
  <c r="AM179" i="2"/>
  <c r="AL179" i="2"/>
  <c r="AK179" i="2"/>
  <c r="AJ179" i="2"/>
  <c r="AI179" i="2"/>
  <c r="AH179" i="2"/>
  <c r="AG179" i="2"/>
  <c r="AF179" i="2"/>
  <c r="AE179" i="2"/>
  <c r="AD179" i="2"/>
  <c r="AC179" i="2"/>
  <c r="AB179" i="2"/>
  <c r="AA179" i="2"/>
  <c r="Z179" i="2"/>
  <c r="Y179" i="2"/>
  <c r="X179" i="2"/>
  <c r="W179" i="2"/>
  <c r="V179" i="2"/>
  <c r="U179" i="2"/>
  <c r="T179" i="2"/>
  <c r="S179" i="2"/>
  <c r="R179" i="2"/>
  <c r="Q179" i="2"/>
  <c r="P179" i="2"/>
  <c r="O179" i="2"/>
  <c r="N179" i="2"/>
  <c r="M179" i="2"/>
  <c r="L179" i="2"/>
  <c r="K179" i="2"/>
  <c r="J179" i="2"/>
  <c r="I179" i="2"/>
  <c r="H179" i="2"/>
  <c r="G179" i="2"/>
  <c r="F179" i="2"/>
  <c r="AO174" i="2"/>
  <c r="AN174" i="2"/>
  <c r="AM174" i="2"/>
  <c r="AL174" i="2"/>
  <c r="AK174" i="2"/>
  <c r="AJ174" i="2"/>
  <c r="AI174" i="2"/>
  <c r="AH174" i="2"/>
  <c r="AG174" i="2"/>
  <c r="AF174" i="2"/>
  <c r="AE174" i="2"/>
  <c r="AD174" i="2"/>
  <c r="AC174" i="2"/>
  <c r="AB174" i="2"/>
  <c r="AA174" i="2"/>
  <c r="Z174" i="2"/>
  <c r="Y174" i="2"/>
  <c r="X174" i="2"/>
  <c r="W174" i="2"/>
  <c r="V174" i="2"/>
  <c r="U174" i="2"/>
  <c r="T174" i="2"/>
  <c r="S174" i="2"/>
  <c r="R174" i="2"/>
  <c r="Q174" i="2"/>
  <c r="P174" i="2"/>
  <c r="O174" i="2"/>
  <c r="N174" i="2"/>
  <c r="M174" i="2"/>
  <c r="L174" i="2"/>
  <c r="K174" i="2"/>
  <c r="J174" i="2"/>
  <c r="I174" i="2"/>
  <c r="H174" i="2"/>
  <c r="G174" i="2"/>
  <c r="F174" i="2"/>
  <c r="AO168" i="2"/>
  <c r="AN168" i="2"/>
  <c r="AM168" i="2"/>
  <c r="AL168" i="2"/>
  <c r="AK168" i="2"/>
  <c r="AJ168" i="2"/>
  <c r="AI168" i="2"/>
  <c r="AH168" i="2"/>
  <c r="AG168" i="2"/>
  <c r="AF168" i="2"/>
  <c r="AE168" i="2"/>
  <c r="AD168" i="2"/>
  <c r="AC168" i="2"/>
  <c r="AB168" i="2"/>
  <c r="AA168" i="2"/>
  <c r="Z168" i="2"/>
  <c r="Y168" i="2"/>
  <c r="X168" i="2"/>
  <c r="W168" i="2"/>
  <c r="V168" i="2"/>
  <c r="U168" i="2"/>
  <c r="T168" i="2"/>
  <c r="S168" i="2"/>
  <c r="R168" i="2"/>
  <c r="Q168" i="2"/>
  <c r="P168" i="2"/>
  <c r="O168" i="2"/>
  <c r="N168" i="2"/>
  <c r="M168" i="2"/>
  <c r="L168" i="2"/>
  <c r="K168" i="2"/>
  <c r="J168" i="2"/>
  <c r="I168" i="2"/>
  <c r="H168" i="2"/>
  <c r="G168" i="2"/>
  <c r="F168" i="2"/>
  <c r="AO163" i="2"/>
  <c r="AN163" i="2"/>
  <c r="AM163" i="2"/>
  <c r="AL163" i="2"/>
  <c r="AK163" i="2"/>
  <c r="AJ163" i="2"/>
  <c r="AI163" i="2"/>
  <c r="AH163" i="2"/>
  <c r="AG163" i="2"/>
  <c r="AF163" i="2"/>
  <c r="AE163" i="2"/>
  <c r="AD163" i="2"/>
  <c r="AC163" i="2"/>
  <c r="AB163" i="2"/>
  <c r="AA163" i="2"/>
  <c r="Z163" i="2"/>
  <c r="Y163" i="2"/>
  <c r="X163" i="2"/>
  <c r="W163" i="2"/>
  <c r="V163" i="2"/>
  <c r="U163" i="2"/>
  <c r="T163" i="2"/>
  <c r="S163" i="2"/>
  <c r="R163" i="2"/>
  <c r="Q163" i="2"/>
  <c r="P163" i="2"/>
  <c r="O163" i="2"/>
  <c r="N163" i="2"/>
  <c r="M163" i="2"/>
  <c r="L163" i="2"/>
  <c r="K163" i="2"/>
  <c r="J163" i="2"/>
  <c r="I163" i="2"/>
  <c r="H163" i="2"/>
  <c r="G163" i="2"/>
  <c r="F163" i="2"/>
  <c r="AO157" i="2"/>
  <c r="AN157" i="2"/>
  <c r="AM157" i="2"/>
  <c r="AL157" i="2"/>
  <c r="AK157" i="2"/>
  <c r="AJ157" i="2"/>
  <c r="AI157" i="2"/>
  <c r="AH157" i="2"/>
  <c r="AG157" i="2"/>
  <c r="AF157" i="2"/>
  <c r="AE157" i="2"/>
  <c r="AD157" i="2"/>
  <c r="AC157" i="2"/>
  <c r="AB157" i="2"/>
  <c r="AA157" i="2"/>
  <c r="Z157" i="2"/>
  <c r="Y157" i="2"/>
  <c r="X157" i="2"/>
  <c r="W157" i="2"/>
  <c r="V157" i="2"/>
  <c r="U157" i="2"/>
  <c r="T157" i="2"/>
  <c r="S157" i="2"/>
  <c r="R157" i="2"/>
  <c r="Q157" i="2"/>
  <c r="P157" i="2"/>
  <c r="O157" i="2"/>
  <c r="N157" i="2"/>
  <c r="M157" i="2"/>
  <c r="L157" i="2"/>
  <c r="K157" i="2"/>
  <c r="J157" i="2"/>
  <c r="I157" i="2"/>
  <c r="H157" i="2"/>
  <c r="G157" i="2"/>
  <c r="F157" i="2"/>
  <c r="AO152" i="2"/>
  <c r="AN152" i="2"/>
  <c r="AM152" i="2"/>
  <c r="AL152" i="2"/>
  <c r="AK152" i="2"/>
  <c r="AJ152" i="2"/>
  <c r="AI152" i="2"/>
  <c r="AH152" i="2"/>
  <c r="AG152" i="2"/>
  <c r="AF152" i="2"/>
  <c r="AE152" i="2"/>
  <c r="AD152" i="2"/>
  <c r="AC152" i="2"/>
  <c r="AB152" i="2"/>
  <c r="AA152" i="2"/>
  <c r="Z152" i="2"/>
  <c r="Y152" i="2"/>
  <c r="X152" i="2"/>
  <c r="W152" i="2"/>
  <c r="V152" i="2"/>
  <c r="U152" i="2"/>
  <c r="T152" i="2"/>
  <c r="S152" i="2"/>
  <c r="R152" i="2"/>
  <c r="Q152" i="2"/>
  <c r="P152" i="2"/>
  <c r="O152" i="2"/>
  <c r="N152" i="2"/>
  <c r="M152" i="2"/>
  <c r="L152" i="2"/>
  <c r="K152" i="2"/>
  <c r="J152" i="2"/>
  <c r="I152" i="2"/>
  <c r="H152" i="2"/>
  <c r="G152" i="2"/>
  <c r="F152" i="2"/>
  <c r="AO146" i="2"/>
  <c r="AN146" i="2"/>
  <c r="AM146" i="2"/>
  <c r="AL146" i="2"/>
  <c r="AK146" i="2"/>
  <c r="AJ146" i="2"/>
  <c r="AI146" i="2"/>
  <c r="AH146" i="2"/>
  <c r="AG146" i="2"/>
  <c r="AF146" i="2"/>
  <c r="AE146" i="2"/>
  <c r="AD146" i="2"/>
  <c r="AC146" i="2"/>
  <c r="AB146" i="2"/>
  <c r="AA146" i="2"/>
  <c r="Z146" i="2"/>
  <c r="Y146" i="2"/>
  <c r="X146" i="2"/>
  <c r="W146" i="2"/>
  <c r="V146" i="2"/>
  <c r="U146" i="2"/>
  <c r="T146" i="2"/>
  <c r="S146" i="2"/>
  <c r="R146" i="2"/>
  <c r="Q146" i="2"/>
  <c r="P146" i="2"/>
  <c r="O146" i="2"/>
  <c r="N146" i="2"/>
  <c r="M146" i="2"/>
  <c r="L146" i="2"/>
  <c r="K146" i="2"/>
  <c r="J146" i="2"/>
  <c r="I146" i="2"/>
  <c r="H146" i="2"/>
  <c r="G146" i="2"/>
  <c r="F146" i="2"/>
  <c r="AO141" i="2"/>
  <c r="AN141" i="2"/>
  <c r="AM141" i="2"/>
  <c r="AL141" i="2"/>
  <c r="AK141" i="2"/>
  <c r="AJ141" i="2"/>
  <c r="AI141" i="2"/>
  <c r="AH141" i="2"/>
  <c r="AG141" i="2"/>
  <c r="AF141" i="2"/>
  <c r="AE141" i="2"/>
  <c r="AD141" i="2"/>
  <c r="AC141" i="2"/>
  <c r="AB141" i="2"/>
  <c r="AA141" i="2"/>
  <c r="Z141" i="2"/>
  <c r="Y141" i="2"/>
  <c r="X141" i="2"/>
  <c r="W141" i="2"/>
  <c r="V141" i="2"/>
  <c r="U141" i="2"/>
  <c r="T141" i="2"/>
  <c r="S141" i="2"/>
  <c r="R141" i="2"/>
  <c r="Q141" i="2"/>
  <c r="P141" i="2"/>
  <c r="O141" i="2"/>
  <c r="N141" i="2"/>
  <c r="M141" i="2"/>
  <c r="L141" i="2"/>
  <c r="K141" i="2"/>
  <c r="J141" i="2"/>
  <c r="I141" i="2"/>
  <c r="H141" i="2"/>
  <c r="G141" i="2"/>
  <c r="F141" i="2"/>
  <c r="AO135" i="2"/>
  <c r="AN135" i="2"/>
  <c r="AM135" i="2"/>
  <c r="AL135" i="2"/>
  <c r="AK135" i="2"/>
  <c r="AJ135" i="2"/>
  <c r="AI135" i="2"/>
  <c r="AH135" i="2"/>
  <c r="AG135" i="2"/>
  <c r="AF135" i="2"/>
  <c r="AE135" i="2"/>
  <c r="AD135" i="2"/>
  <c r="AC135" i="2"/>
  <c r="AB135" i="2"/>
  <c r="AA135" i="2"/>
  <c r="Z135" i="2"/>
  <c r="Y135" i="2"/>
  <c r="X135" i="2"/>
  <c r="W135" i="2"/>
  <c r="V135" i="2"/>
  <c r="U135" i="2"/>
  <c r="T135" i="2"/>
  <c r="S135" i="2"/>
  <c r="R135" i="2"/>
  <c r="Q135" i="2"/>
  <c r="P135" i="2"/>
  <c r="O135" i="2"/>
  <c r="N135" i="2"/>
  <c r="M135" i="2"/>
  <c r="L135" i="2"/>
  <c r="K135" i="2"/>
  <c r="J135" i="2"/>
  <c r="I135" i="2"/>
  <c r="H135" i="2"/>
  <c r="G135" i="2"/>
  <c r="F135" i="2"/>
  <c r="AO130" i="2"/>
  <c r="AN130" i="2"/>
  <c r="AM130" i="2"/>
  <c r="AL130" i="2"/>
  <c r="AK130" i="2"/>
  <c r="AJ130" i="2"/>
  <c r="AI130" i="2"/>
  <c r="AH130" i="2"/>
  <c r="AG130" i="2"/>
  <c r="AF130" i="2"/>
  <c r="AE130" i="2"/>
  <c r="AD130" i="2"/>
  <c r="AC130" i="2"/>
  <c r="AB130" i="2"/>
  <c r="AA130" i="2"/>
  <c r="Z130" i="2"/>
  <c r="Y130" i="2"/>
  <c r="X130" i="2"/>
  <c r="W130" i="2"/>
  <c r="V130" i="2"/>
  <c r="U130" i="2"/>
  <c r="T130" i="2"/>
  <c r="S130" i="2"/>
  <c r="R130" i="2"/>
  <c r="Q130" i="2"/>
  <c r="P130" i="2"/>
  <c r="O130" i="2"/>
  <c r="N130" i="2"/>
  <c r="M130" i="2"/>
  <c r="L130" i="2"/>
  <c r="K130" i="2"/>
  <c r="J130" i="2"/>
  <c r="I130" i="2"/>
  <c r="H130" i="2"/>
  <c r="G130" i="2"/>
  <c r="F130" i="2"/>
  <c r="AO124" i="2"/>
  <c r="AN124" i="2"/>
  <c r="AM124" i="2"/>
  <c r="AL124" i="2"/>
  <c r="AK124" i="2"/>
  <c r="AJ124" i="2"/>
  <c r="AI124" i="2"/>
  <c r="AH124" i="2"/>
  <c r="AG124" i="2"/>
  <c r="AF124" i="2"/>
  <c r="AE124" i="2"/>
  <c r="AD124" i="2"/>
  <c r="AC124" i="2"/>
  <c r="AB124" i="2"/>
  <c r="AA124" i="2"/>
  <c r="Z124" i="2"/>
  <c r="Y124" i="2"/>
  <c r="X124" i="2"/>
  <c r="W124" i="2"/>
  <c r="V124" i="2"/>
  <c r="U124" i="2"/>
  <c r="T124" i="2"/>
  <c r="S124" i="2"/>
  <c r="R124" i="2"/>
  <c r="Q124" i="2"/>
  <c r="P124" i="2"/>
  <c r="O124" i="2"/>
  <c r="N124" i="2"/>
  <c r="M124" i="2"/>
  <c r="L124" i="2"/>
  <c r="K124" i="2"/>
  <c r="J124" i="2"/>
  <c r="I124" i="2"/>
  <c r="H124" i="2"/>
  <c r="G124" i="2"/>
  <c r="F124" i="2"/>
  <c r="AO119" i="2"/>
  <c r="AN119" i="2"/>
  <c r="AM119" i="2"/>
  <c r="AL119" i="2"/>
  <c r="AK119" i="2"/>
  <c r="AJ119" i="2"/>
  <c r="AI119" i="2"/>
  <c r="AH119" i="2"/>
  <c r="AG119" i="2"/>
  <c r="AF119" i="2"/>
  <c r="AE119" i="2"/>
  <c r="AD119" i="2"/>
  <c r="AC119" i="2"/>
  <c r="AB119" i="2"/>
  <c r="AA119" i="2"/>
  <c r="Z119" i="2"/>
  <c r="Y119" i="2"/>
  <c r="X119" i="2"/>
  <c r="W119" i="2"/>
  <c r="V119" i="2"/>
  <c r="U119" i="2"/>
  <c r="T119" i="2"/>
  <c r="S119" i="2"/>
  <c r="R119" i="2"/>
  <c r="Q119" i="2"/>
  <c r="P119" i="2"/>
  <c r="O119" i="2"/>
  <c r="N119" i="2"/>
  <c r="M119" i="2"/>
  <c r="L119" i="2"/>
  <c r="K119" i="2"/>
  <c r="J119" i="2"/>
  <c r="I119" i="2"/>
  <c r="H119" i="2"/>
  <c r="G119" i="2"/>
  <c r="F119" i="2"/>
  <c r="AO113" i="2"/>
  <c r="AN113" i="2"/>
  <c r="AM113" i="2"/>
  <c r="AL113" i="2"/>
  <c r="AK113" i="2"/>
  <c r="AJ113" i="2"/>
  <c r="AI113" i="2"/>
  <c r="AH113" i="2"/>
  <c r="AG113" i="2"/>
  <c r="AF113" i="2"/>
  <c r="AE113" i="2"/>
  <c r="AD113" i="2"/>
  <c r="AC113" i="2"/>
  <c r="AB113" i="2"/>
  <c r="AA113" i="2"/>
  <c r="Z113" i="2"/>
  <c r="Y113" i="2"/>
  <c r="X113" i="2"/>
  <c r="W113" i="2"/>
  <c r="V113" i="2"/>
  <c r="U113" i="2"/>
  <c r="T113" i="2"/>
  <c r="S113" i="2"/>
  <c r="R113" i="2"/>
  <c r="Q113" i="2"/>
  <c r="P113" i="2"/>
  <c r="O113" i="2"/>
  <c r="N113" i="2"/>
  <c r="M113" i="2"/>
  <c r="L113" i="2"/>
  <c r="K113" i="2"/>
  <c r="J113" i="2"/>
  <c r="I113" i="2"/>
  <c r="H113" i="2"/>
  <c r="G113" i="2"/>
  <c r="F113" i="2"/>
  <c r="AO108" i="2"/>
  <c r="AN108" i="2"/>
  <c r="AM108" i="2"/>
  <c r="AL108" i="2"/>
  <c r="AK108" i="2"/>
  <c r="AJ108" i="2"/>
  <c r="AI108" i="2"/>
  <c r="AH108" i="2"/>
  <c r="AG108" i="2"/>
  <c r="AF108" i="2"/>
  <c r="AE108" i="2"/>
  <c r="AD108" i="2"/>
  <c r="AC108" i="2"/>
  <c r="AB108" i="2"/>
  <c r="AA108" i="2"/>
  <c r="Z108" i="2"/>
  <c r="Y108" i="2"/>
  <c r="X108" i="2"/>
  <c r="W108" i="2"/>
  <c r="V108" i="2"/>
  <c r="U108" i="2"/>
  <c r="T108" i="2"/>
  <c r="S108" i="2"/>
  <c r="R108" i="2"/>
  <c r="Q108" i="2"/>
  <c r="P108" i="2"/>
  <c r="O108" i="2"/>
  <c r="N108" i="2"/>
  <c r="M108" i="2"/>
  <c r="L108" i="2"/>
  <c r="K108" i="2"/>
  <c r="J108" i="2"/>
  <c r="I108" i="2"/>
  <c r="H108" i="2"/>
  <c r="G108" i="2"/>
  <c r="F108" i="2"/>
  <c r="AO102" i="2"/>
  <c r="AN102" i="2"/>
  <c r="AM102" i="2"/>
  <c r="AL102" i="2"/>
  <c r="AK102" i="2"/>
  <c r="AJ102" i="2"/>
  <c r="AI102" i="2"/>
  <c r="AH102" i="2"/>
  <c r="AG102" i="2"/>
  <c r="AF102" i="2"/>
  <c r="AE102" i="2"/>
  <c r="AD102" i="2"/>
  <c r="AC102" i="2"/>
  <c r="AB102" i="2"/>
  <c r="AA102" i="2"/>
  <c r="Z102" i="2"/>
  <c r="Y102" i="2"/>
  <c r="X102" i="2"/>
  <c r="W102" i="2"/>
  <c r="V102" i="2"/>
  <c r="U102" i="2"/>
  <c r="T102" i="2"/>
  <c r="S102" i="2"/>
  <c r="R102" i="2"/>
  <c r="Q102" i="2"/>
  <c r="P102" i="2"/>
  <c r="O102" i="2"/>
  <c r="N102" i="2"/>
  <c r="M102" i="2"/>
  <c r="L102" i="2"/>
  <c r="K102" i="2"/>
  <c r="J102" i="2"/>
  <c r="I102" i="2"/>
  <c r="H102" i="2"/>
  <c r="G102" i="2"/>
  <c r="F102" i="2"/>
  <c r="AO97" i="2"/>
  <c r="AN97" i="2"/>
  <c r="AM97" i="2"/>
  <c r="AL97" i="2"/>
  <c r="AK97" i="2"/>
  <c r="AJ97" i="2"/>
  <c r="AI97" i="2"/>
  <c r="AH97" i="2"/>
  <c r="AG97" i="2"/>
  <c r="AF97" i="2"/>
  <c r="AE97" i="2"/>
  <c r="AD97" i="2"/>
  <c r="AC97" i="2"/>
  <c r="AB97" i="2"/>
  <c r="AA97" i="2"/>
  <c r="Z97" i="2"/>
  <c r="Y97" i="2"/>
  <c r="X97" i="2"/>
  <c r="W97" i="2"/>
  <c r="V97" i="2"/>
  <c r="U97" i="2"/>
  <c r="T97" i="2"/>
  <c r="S97" i="2"/>
  <c r="R97" i="2"/>
  <c r="Q97" i="2"/>
  <c r="P97" i="2"/>
  <c r="O97" i="2"/>
  <c r="N97" i="2"/>
  <c r="M97" i="2"/>
  <c r="L97" i="2"/>
  <c r="K97" i="2"/>
  <c r="J97" i="2"/>
  <c r="I97" i="2"/>
  <c r="H97" i="2"/>
  <c r="G97" i="2"/>
  <c r="F97" i="2"/>
  <c r="AO91" i="2"/>
  <c r="AN91" i="2"/>
  <c r="AM91" i="2"/>
  <c r="AL91" i="2"/>
  <c r="AK91" i="2"/>
  <c r="AJ91" i="2"/>
  <c r="AI91" i="2"/>
  <c r="AH91" i="2"/>
  <c r="AG91" i="2"/>
  <c r="AF91" i="2"/>
  <c r="AE91" i="2"/>
  <c r="AD91" i="2"/>
  <c r="AC91" i="2"/>
  <c r="AB91" i="2"/>
  <c r="AA91" i="2"/>
  <c r="Z91" i="2"/>
  <c r="Y91" i="2"/>
  <c r="X91" i="2"/>
  <c r="W91" i="2"/>
  <c r="V91" i="2"/>
  <c r="U91" i="2"/>
  <c r="T91" i="2"/>
  <c r="S91" i="2"/>
  <c r="R91" i="2"/>
  <c r="Q91" i="2"/>
  <c r="P91" i="2"/>
  <c r="O91" i="2"/>
  <c r="N91" i="2"/>
  <c r="M91" i="2"/>
  <c r="L91" i="2"/>
  <c r="K91" i="2"/>
  <c r="J91" i="2"/>
  <c r="I91" i="2"/>
  <c r="H91" i="2"/>
  <c r="G91" i="2"/>
  <c r="F91" i="2"/>
  <c r="AO86" i="2"/>
  <c r="AN86" i="2"/>
  <c r="AM86" i="2"/>
  <c r="AL86" i="2"/>
  <c r="AK86" i="2"/>
  <c r="AJ86" i="2"/>
  <c r="AI86" i="2"/>
  <c r="AH86" i="2"/>
  <c r="AG86" i="2"/>
  <c r="AF86" i="2"/>
  <c r="AE86" i="2"/>
  <c r="AD86" i="2"/>
  <c r="AC86" i="2"/>
  <c r="AB86" i="2"/>
  <c r="AA86" i="2"/>
  <c r="Z86" i="2"/>
  <c r="Y86" i="2"/>
  <c r="X86" i="2"/>
  <c r="W86" i="2"/>
  <c r="V86" i="2"/>
  <c r="U86" i="2"/>
  <c r="T86" i="2"/>
  <c r="S86" i="2"/>
  <c r="R86" i="2"/>
  <c r="Q86" i="2"/>
  <c r="P86" i="2"/>
  <c r="O86" i="2"/>
  <c r="N86" i="2"/>
  <c r="M86" i="2"/>
  <c r="L86" i="2"/>
  <c r="K86" i="2"/>
  <c r="J86" i="2"/>
  <c r="I86" i="2"/>
  <c r="H86" i="2"/>
  <c r="G86" i="2"/>
  <c r="F86" i="2"/>
  <c r="AO80" i="2"/>
  <c r="AN80" i="2"/>
  <c r="AM80" i="2"/>
  <c r="AL80" i="2"/>
  <c r="AK80" i="2"/>
  <c r="AJ80" i="2"/>
  <c r="AI80" i="2"/>
  <c r="AH80" i="2"/>
  <c r="AG80" i="2"/>
  <c r="AF80" i="2"/>
  <c r="AE80" i="2"/>
  <c r="AD80" i="2"/>
  <c r="AC80" i="2"/>
  <c r="AB80" i="2"/>
  <c r="AA80" i="2"/>
  <c r="Z80" i="2"/>
  <c r="Y80" i="2"/>
  <c r="X80" i="2"/>
  <c r="W80" i="2"/>
  <c r="V80" i="2"/>
  <c r="U80" i="2"/>
  <c r="T80" i="2"/>
  <c r="S80" i="2"/>
  <c r="R80" i="2"/>
  <c r="Q80" i="2"/>
  <c r="P80" i="2"/>
  <c r="O80" i="2"/>
  <c r="N80" i="2"/>
  <c r="M80" i="2"/>
  <c r="L80" i="2"/>
  <c r="K80" i="2"/>
  <c r="J80" i="2"/>
  <c r="I80" i="2"/>
  <c r="H80" i="2"/>
  <c r="G80" i="2"/>
  <c r="F80" i="2"/>
  <c r="AO75" i="2"/>
  <c r="AN75" i="2"/>
  <c r="AM75" i="2"/>
  <c r="AL75" i="2"/>
  <c r="AK75" i="2"/>
  <c r="AJ75" i="2"/>
  <c r="AI75" i="2"/>
  <c r="AH75" i="2"/>
  <c r="AG75" i="2"/>
  <c r="AF75" i="2"/>
  <c r="AE75" i="2"/>
  <c r="AD75" i="2"/>
  <c r="AC75" i="2"/>
  <c r="AB75" i="2"/>
  <c r="AA75" i="2"/>
  <c r="Z75" i="2"/>
  <c r="Y75" i="2"/>
  <c r="X75" i="2"/>
  <c r="W75" i="2"/>
  <c r="V75" i="2"/>
  <c r="U75" i="2"/>
  <c r="T75" i="2"/>
  <c r="S75" i="2"/>
  <c r="R75" i="2"/>
  <c r="Q75" i="2"/>
  <c r="P75" i="2"/>
  <c r="O75" i="2"/>
  <c r="N75" i="2"/>
  <c r="M75" i="2"/>
  <c r="L75" i="2"/>
  <c r="K75" i="2"/>
  <c r="J75" i="2"/>
  <c r="I75" i="2"/>
  <c r="H75" i="2"/>
  <c r="G75" i="2"/>
  <c r="F75" i="2"/>
  <c r="AO69" i="2"/>
  <c r="AN69" i="2"/>
  <c r="AM69" i="2"/>
  <c r="AL69" i="2"/>
  <c r="AK69" i="2"/>
  <c r="AJ69" i="2"/>
  <c r="AI69" i="2"/>
  <c r="AH69" i="2"/>
  <c r="AG69" i="2"/>
  <c r="AF69" i="2"/>
  <c r="AE69" i="2"/>
  <c r="AD69" i="2"/>
  <c r="AC69" i="2"/>
  <c r="AB69" i="2"/>
  <c r="AA69" i="2"/>
  <c r="Z69" i="2"/>
  <c r="Y69" i="2"/>
  <c r="X69" i="2"/>
  <c r="W69" i="2"/>
  <c r="V69" i="2"/>
  <c r="U69" i="2"/>
  <c r="T69" i="2"/>
  <c r="S69" i="2"/>
  <c r="R69" i="2"/>
  <c r="Q69" i="2"/>
  <c r="P69" i="2"/>
  <c r="O69" i="2"/>
  <c r="N69" i="2"/>
  <c r="M69" i="2"/>
  <c r="L69" i="2"/>
  <c r="K69" i="2"/>
  <c r="J69" i="2"/>
  <c r="I69" i="2"/>
  <c r="H69" i="2"/>
  <c r="G69" i="2"/>
  <c r="F69" i="2"/>
  <c r="AO64" i="2"/>
  <c r="AN64" i="2"/>
  <c r="AM64" i="2"/>
  <c r="AL64" i="2"/>
  <c r="AK64" i="2"/>
  <c r="AJ64" i="2"/>
  <c r="AI64" i="2"/>
  <c r="AH64" i="2"/>
  <c r="AG64" i="2"/>
  <c r="AF64" i="2"/>
  <c r="AE64" i="2"/>
  <c r="AD64" i="2"/>
  <c r="AC64" i="2"/>
  <c r="AB64" i="2"/>
  <c r="AA64" i="2"/>
  <c r="Z64" i="2"/>
  <c r="Y64" i="2"/>
  <c r="X64" i="2"/>
  <c r="W64" i="2"/>
  <c r="V64" i="2"/>
  <c r="U64" i="2"/>
  <c r="T64" i="2"/>
  <c r="S64" i="2"/>
  <c r="R64" i="2"/>
  <c r="Q64" i="2"/>
  <c r="P64" i="2"/>
  <c r="O64" i="2"/>
  <c r="N64" i="2"/>
  <c r="M64" i="2"/>
  <c r="L64" i="2"/>
  <c r="K64" i="2"/>
  <c r="J64" i="2"/>
  <c r="I64" i="2"/>
  <c r="H64" i="2"/>
  <c r="G64" i="2"/>
  <c r="F64" i="2"/>
  <c r="AO58" i="2"/>
  <c r="AN58" i="2"/>
  <c r="AM58" i="2"/>
  <c r="AL58" i="2"/>
  <c r="AK58" i="2"/>
  <c r="AJ58" i="2"/>
  <c r="AI58" i="2"/>
  <c r="AH58" i="2"/>
  <c r="AG58" i="2"/>
  <c r="AF58" i="2"/>
  <c r="AE58" i="2"/>
  <c r="AD58" i="2"/>
  <c r="AC58" i="2"/>
  <c r="AB58" i="2"/>
  <c r="AA58" i="2"/>
  <c r="Z58" i="2"/>
  <c r="Y58" i="2"/>
  <c r="X58" i="2"/>
  <c r="W58" i="2"/>
  <c r="V58" i="2"/>
  <c r="U58" i="2"/>
  <c r="T58" i="2"/>
  <c r="S58" i="2"/>
  <c r="R58" i="2"/>
  <c r="Q58" i="2"/>
  <c r="P58" i="2"/>
  <c r="O58" i="2"/>
  <c r="N58" i="2"/>
  <c r="M58" i="2"/>
  <c r="L58" i="2"/>
  <c r="K58" i="2"/>
  <c r="J58" i="2"/>
  <c r="I58" i="2"/>
  <c r="H58" i="2"/>
  <c r="G58" i="2"/>
  <c r="F58" i="2"/>
  <c r="AO53" i="2"/>
  <c r="AN53" i="2"/>
  <c r="AM53" i="2"/>
  <c r="AL53" i="2"/>
  <c r="AK53" i="2"/>
  <c r="AJ53" i="2"/>
  <c r="AI53" i="2"/>
  <c r="AH53" i="2"/>
  <c r="AG53" i="2"/>
  <c r="AF53" i="2"/>
  <c r="AE53" i="2"/>
  <c r="AD53" i="2"/>
  <c r="AC53" i="2"/>
  <c r="AB53" i="2"/>
  <c r="AA53" i="2"/>
  <c r="Z53" i="2"/>
  <c r="Y53" i="2"/>
  <c r="X53" i="2"/>
  <c r="W53" i="2"/>
  <c r="V53" i="2"/>
  <c r="U53" i="2"/>
  <c r="T53" i="2"/>
  <c r="S53" i="2"/>
  <c r="R53" i="2"/>
  <c r="Q53" i="2"/>
  <c r="P53" i="2"/>
  <c r="O53" i="2"/>
  <c r="N53" i="2"/>
  <c r="M53" i="2"/>
  <c r="L53" i="2"/>
  <c r="K53" i="2"/>
  <c r="J53" i="2"/>
  <c r="I53" i="2"/>
  <c r="H53" i="2"/>
  <c r="G53" i="2"/>
  <c r="F53" i="2"/>
  <c r="AO47" i="2"/>
  <c r="AN47" i="2"/>
  <c r="AM47" i="2"/>
  <c r="AL47" i="2"/>
  <c r="AK47" i="2"/>
  <c r="AJ47" i="2"/>
  <c r="AI47" i="2"/>
  <c r="AH47" i="2"/>
  <c r="AG47" i="2"/>
  <c r="AF47" i="2"/>
  <c r="AE47" i="2"/>
  <c r="AD47" i="2"/>
  <c r="AC47" i="2"/>
  <c r="AB47" i="2"/>
  <c r="AA47" i="2"/>
  <c r="Z47" i="2"/>
  <c r="Y47" i="2"/>
  <c r="X47" i="2"/>
  <c r="W47" i="2"/>
  <c r="V47" i="2"/>
  <c r="U47" i="2"/>
  <c r="T47" i="2"/>
  <c r="S47" i="2"/>
  <c r="R47" i="2"/>
  <c r="Q47" i="2"/>
  <c r="P47" i="2"/>
  <c r="O47" i="2"/>
  <c r="N47" i="2"/>
  <c r="M47" i="2"/>
  <c r="L47" i="2"/>
  <c r="K47" i="2"/>
  <c r="J47" i="2"/>
  <c r="I47" i="2"/>
  <c r="H47" i="2"/>
  <c r="G47" i="2"/>
  <c r="F47"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AO36" i="2"/>
  <c r="AN36" i="2"/>
  <c r="AM36" i="2"/>
  <c r="AL36" i="2"/>
  <c r="AK36" i="2"/>
  <c r="AJ36" i="2"/>
  <c r="AI36" i="2"/>
  <c r="AH36" i="2"/>
  <c r="AG36" i="2"/>
  <c r="AF36" i="2"/>
  <c r="AE36" i="2"/>
  <c r="AD36" i="2"/>
  <c r="AC36" i="2"/>
  <c r="AB36" i="2"/>
  <c r="AA36" i="2"/>
  <c r="Z36" i="2"/>
  <c r="Y36" i="2"/>
  <c r="X36" i="2"/>
  <c r="W36" i="2"/>
  <c r="V36" i="2"/>
  <c r="U36" i="2"/>
  <c r="T36" i="2"/>
  <c r="S36" i="2"/>
  <c r="R36" i="2"/>
  <c r="Q36" i="2"/>
  <c r="P36" i="2"/>
  <c r="O36" i="2"/>
  <c r="N36" i="2"/>
  <c r="M36" i="2"/>
  <c r="L36" i="2"/>
  <c r="K36" i="2"/>
  <c r="J36" i="2"/>
  <c r="I36" i="2"/>
  <c r="H36" i="2"/>
  <c r="G36" i="2"/>
  <c r="F36"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AO25" i="2"/>
  <c r="AN25" i="2"/>
  <c r="AM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AO20" i="2"/>
  <c r="AN20" i="2"/>
  <c r="AM20" i="2"/>
  <c r="AL20" i="2"/>
  <c r="AK20" i="2"/>
  <c r="AJ20" i="2"/>
  <c r="AI20" i="2"/>
  <c r="AH20" i="2"/>
  <c r="AG20" i="2"/>
  <c r="AF20" i="2"/>
  <c r="AE20" i="2"/>
  <c r="AD20" i="2"/>
  <c r="AC20" i="2"/>
  <c r="AB20" i="2"/>
  <c r="AA20" i="2"/>
  <c r="Z20" i="2"/>
  <c r="Y20" i="2"/>
  <c r="X20" i="2"/>
  <c r="W20" i="2"/>
  <c r="V20" i="2"/>
  <c r="U20" i="2"/>
  <c r="T20" i="2"/>
  <c r="S20" i="2"/>
  <c r="R20" i="2"/>
  <c r="Q20" i="2"/>
  <c r="P20" i="2"/>
  <c r="O20" i="2"/>
  <c r="N20" i="2"/>
  <c r="M20" i="2"/>
  <c r="L20" i="2"/>
  <c r="K20" i="2"/>
  <c r="J20" i="2"/>
  <c r="I20" i="2"/>
  <c r="H20" i="2"/>
  <c r="G20" i="2"/>
  <c r="F20" i="2"/>
  <c r="AO14" i="2"/>
  <c r="AN14" i="2"/>
  <c r="AM14" i="2"/>
  <c r="AL14" i="2"/>
  <c r="AK14" i="2"/>
  <c r="AJ14" i="2"/>
  <c r="AI14" i="2"/>
  <c r="AH14" i="2"/>
  <c r="AG14" i="2"/>
  <c r="AF14" i="2"/>
  <c r="AE14" i="2"/>
  <c r="AD14" i="2"/>
  <c r="AC14" i="2"/>
  <c r="AB14" i="2"/>
  <c r="AA14" i="2"/>
  <c r="Z14" i="2"/>
  <c r="Y14" i="2"/>
  <c r="X14" i="2"/>
  <c r="W14" i="2"/>
  <c r="V14" i="2"/>
  <c r="U14" i="2"/>
  <c r="T14" i="2"/>
  <c r="S14" i="2"/>
  <c r="R14" i="2"/>
  <c r="Q14" i="2"/>
  <c r="P14" i="2"/>
  <c r="O14" i="2"/>
  <c r="N14" i="2"/>
  <c r="M14" i="2"/>
  <c r="L14" i="2"/>
  <c r="K14" i="2"/>
  <c r="J14" i="2"/>
  <c r="I14" i="2"/>
  <c r="H14" i="2"/>
  <c r="G14" i="2"/>
  <c r="F14" i="2"/>
  <c r="AC9" i="2"/>
  <c r="AC3" i="2"/>
  <c r="AO9" i="2"/>
  <c r="AN9" i="2"/>
  <c r="AM9" i="2"/>
  <c r="AL9" i="2"/>
  <c r="AK9" i="2"/>
  <c r="AJ9" i="2"/>
  <c r="AI9" i="2"/>
  <c r="AH9" i="2"/>
  <c r="AG9" i="2"/>
  <c r="AF9" i="2"/>
  <c r="AE9" i="2"/>
  <c r="AD9" i="2"/>
  <c r="AB9" i="2"/>
  <c r="AO3" i="2"/>
  <c r="AN3" i="2"/>
  <c r="AM3" i="2"/>
  <c r="AL3" i="2"/>
  <c r="AK3" i="2"/>
  <c r="AJ3" i="2"/>
  <c r="AI3" i="2"/>
  <c r="AH3" i="2"/>
  <c r="AG3" i="2"/>
  <c r="AF3" i="2"/>
  <c r="AE3" i="2"/>
  <c r="AD3" i="2"/>
  <c r="AB3" i="2"/>
  <c r="AN175" i="3"/>
  <c r="AM175" i="3"/>
  <c r="AL175" i="3"/>
  <c r="AK175" i="3"/>
  <c r="AJ175" i="3"/>
  <c r="AI175" i="3"/>
  <c r="AH175" i="3"/>
  <c r="AG175" i="3"/>
  <c r="AF175" i="3"/>
  <c r="AE175" i="3"/>
  <c r="AD175" i="3"/>
  <c r="AC175" i="3"/>
  <c r="AB175" i="3"/>
  <c r="AA175" i="3"/>
  <c r="Z175" i="3"/>
  <c r="Y175" i="3"/>
  <c r="X175" i="3"/>
  <c r="W175" i="3"/>
  <c r="V175" i="3"/>
  <c r="U175" i="3"/>
  <c r="T175" i="3"/>
  <c r="S175" i="3"/>
  <c r="R175" i="3"/>
  <c r="Q175" i="3"/>
  <c r="P175" i="3"/>
  <c r="O175" i="3"/>
  <c r="N175" i="3"/>
  <c r="M175" i="3"/>
  <c r="L175" i="3"/>
  <c r="K175" i="3"/>
  <c r="J175" i="3"/>
  <c r="I175" i="3"/>
  <c r="H175" i="3"/>
  <c r="G175" i="3"/>
  <c r="F175" i="3"/>
  <c r="E175" i="3"/>
  <c r="AN171" i="3"/>
  <c r="AM171" i="3"/>
  <c r="AL171" i="3"/>
  <c r="AK171" i="3"/>
  <c r="AJ171" i="3"/>
  <c r="AI171" i="3"/>
  <c r="AH171" i="3"/>
  <c r="AG171" i="3"/>
  <c r="AF171" i="3"/>
  <c r="AE171" i="3"/>
  <c r="AD171" i="3"/>
  <c r="AC171" i="3"/>
  <c r="AB171" i="3"/>
  <c r="AA171" i="3"/>
  <c r="Z171" i="3"/>
  <c r="Y171" i="3"/>
  <c r="X171" i="3"/>
  <c r="W171" i="3"/>
  <c r="V171" i="3"/>
  <c r="U171" i="3"/>
  <c r="T171" i="3"/>
  <c r="S171" i="3"/>
  <c r="R171" i="3"/>
  <c r="Q171" i="3"/>
  <c r="P171" i="3"/>
  <c r="O171" i="3"/>
  <c r="N171" i="3"/>
  <c r="M171" i="3"/>
  <c r="L171" i="3"/>
  <c r="K171" i="3"/>
  <c r="J171" i="3"/>
  <c r="I171" i="3"/>
  <c r="H171" i="3"/>
  <c r="G171" i="3"/>
  <c r="F171" i="3"/>
  <c r="E171" i="3"/>
  <c r="AN168" i="3"/>
  <c r="AM168" i="3"/>
  <c r="AL168" i="3"/>
  <c r="AK168" i="3"/>
  <c r="AJ168" i="3"/>
  <c r="AI168" i="3"/>
  <c r="AH168" i="3"/>
  <c r="AG168" i="3"/>
  <c r="AF168" i="3"/>
  <c r="AE168" i="3"/>
  <c r="AD168" i="3"/>
  <c r="AC168" i="3"/>
  <c r="AB168" i="3"/>
  <c r="AA168" i="3"/>
  <c r="Z168" i="3"/>
  <c r="Y168" i="3"/>
  <c r="X168" i="3"/>
  <c r="W168" i="3"/>
  <c r="V168" i="3"/>
  <c r="U168" i="3"/>
  <c r="T168" i="3"/>
  <c r="S168" i="3"/>
  <c r="R168" i="3"/>
  <c r="Q168" i="3"/>
  <c r="P168" i="3"/>
  <c r="O168" i="3"/>
  <c r="N168" i="3"/>
  <c r="M168" i="3"/>
  <c r="L168" i="3"/>
  <c r="K168" i="3"/>
  <c r="J168" i="3"/>
  <c r="I168" i="3"/>
  <c r="H168" i="3"/>
  <c r="G168" i="3"/>
  <c r="F168" i="3"/>
  <c r="E168" i="3"/>
  <c r="AN164" i="3"/>
  <c r="AM164" i="3"/>
  <c r="AL164" i="3"/>
  <c r="AK164" i="3"/>
  <c r="AJ164" i="3"/>
  <c r="AI164" i="3"/>
  <c r="AH164" i="3"/>
  <c r="AG164" i="3"/>
  <c r="AF164" i="3"/>
  <c r="AE164" i="3"/>
  <c r="AD164" i="3"/>
  <c r="AC164" i="3"/>
  <c r="AB164" i="3"/>
  <c r="AA164" i="3"/>
  <c r="Z164" i="3"/>
  <c r="Y164" i="3"/>
  <c r="X164" i="3"/>
  <c r="W164" i="3"/>
  <c r="V164" i="3"/>
  <c r="U164" i="3"/>
  <c r="T164" i="3"/>
  <c r="S164" i="3"/>
  <c r="R164" i="3"/>
  <c r="Q164" i="3"/>
  <c r="P164" i="3"/>
  <c r="O164" i="3"/>
  <c r="N164" i="3"/>
  <c r="M164" i="3"/>
  <c r="L164" i="3"/>
  <c r="K164" i="3"/>
  <c r="J164" i="3"/>
  <c r="I164" i="3"/>
  <c r="H164" i="3"/>
  <c r="G164" i="3"/>
  <c r="F164" i="3"/>
  <c r="E164" i="3"/>
  <c r="AN161" i="3"/>
  <c r="AM161" i="3"/>
  <c r="AL161" i="3"/>
  <c r="AK161" i="3"/>
  <c r="AJ161" i="3"/>
  <c r="AI161" i="3"/>
  <c r="AH161" i="3"/>
  <c r="AG161" i="3"/>
  <c r="AF161" i="3"/>
  <c r="AE161" i="3"/>
  <c r="AD161" i="3"/>
  <c r="AC161" i="3"/>
  <c r="AB161" i="3"/>
  <c r="AA161" i="3"/>
  <c r="Z161" i="3"/>
  <c r="Y161" i="3"/>
  <c r="X161" i="3"/>
  <c r="W161" i="3"/>
  <c r="V161" i="3"/>
  <c r="U161" i="3"/>
  <c r="T161" i="3"/>
  <c r="S161" i="3"/>
  <c r="R161" i="3"/>
  <c r="Q161" i="3"/>
  <c r="P161" i="3"/>
  <c r="O161" i="3"/>
  <c r="N161" i="3"/>
  <c r="M161" i="3"/>
  <c r="L161" i="3"/>
  <c r="K161" i="3"/>
  <c r="J161" i="3"/>
  <c r="I161" i="3"/>
  <c r="H161" i="3"/>
  <c r="G161" i="3"/>
  <c r="F161" i="3"/>
  <c r="E161" i="3"/>
  <c r="AN157" i="3"/>
  <c r="AM157" i="3"/>
  <c r="AL157" i="3"/>
  <c r="AK157" i="3"/>
  <c r="AJ157" i="3"/>
  <c r="AI157" i="3"/>
  <c r="AH157" i="3"/>
  <c r="AG157" i="3"/>
  <c r="AF157" i="3"/>
  <c r="AE157" i="3"/>
  <c r="AD157" i="3"/>
  <c r="AC157" i="3"/>
  <c r="AB157" i="3"/>
  <c r="AA157" i="3"/>
  <c r="Z157" i="3"/>
  <c r="Y157" i="3"/>
  <c r="X157" i="3"/>
  <c r="W157" i="3"/>
  <c r="V157" i="3"/>
  <c r="U157" i="3"/>
  <c r="T157" i="3"/>
  <c r="S157" i="3"/>
  <c r="R157" i="3"/>
  <c r="Q157" i="3"/>
  <c r="P157" i="3"/>
  <c r="O157" i="3"/>
  <c r="N157" i="3"/>
  <c r="M157" i="3"/>
  <c r="L157" i="3"/>
  <c r="K157" i="3"/>
  <c r="J157" i="3"/>
  <c r="I157" i="3"/>
  <c r="H157" i="3"/>
  <c r="G157" i="3"/>
  <c r="F157" i="3"/>
  <c r="E157" i="3"/>
  <c r="AN154" i="3"/>
  <c r="AM154" i="3"/>
  <c r="AL154" i="3"/>
  <c r="AK154" i="3"/>
  <c r="AJ154" i="3"/>
  <c r="AI154" i="3"/>
  <c r="AH154" i="3"/>
  <c r="AG154" i="3"/>
  <c r="AF154" i="3"/>
  <c r="AE154" i="3"/>
  <c r="AD154" i="3"/>
  <c r="AC154" i="3"/>
  <c r="AB154" i="3"/>
  <c r="AA154" i="3"/>
  <c r="Z154" i="3"/>
  <c r="Y154" i="3"/>
  <c r="X154" i="3"/>
  <c r="W154" i="3"/>
  <c r="V154" i="3"/>
  <c r="U154" i="3"/>
  <c r="T154" i="3"/>
  <c r="S154" i="3"/>
  <c r="R154" i="3"/>
  <c r="Q154" i="3"/>
  <c r="P154" i="3"/>
  <c r="O154" i="3"/>
  <c r="N154" i="3"/>
  <c r="M154" i="3"/>
  <c r="L154" i="3"/>
  <c r="K154" i="3"/>
  <c r="J154" i="3"/>
  <c r="I154" i="3"/>
  <c r="H154" i="3"/>
  <c r="G154" i="3"/>
  <c r="F154" i="3"/>
  <c r="E154" i="3"/>
  <c r="AN150" i="3"/>
  <c r="AM150" i="3"/>
  <c r="AL150" i="3"/>
  <c r="AK150" i="3"/>
  <c r="AJ150" i="3"/>
  <c r="AI150" i="3"/>
  <c r="AH150" i="3"/>
  <c r="AG150" i="3"/>
  <c r="AF150" i="3"/>
  <c r="AE150" i="3"/>
  <c r="AD150" i="3"/>
  <c r="AC150" i="3"/>
  <c r="AB150" i="3"/>
  <c r="AA150" i="3"/>
  <c r="Z150" i="3"/>
  <c r="Y150" i="3"/>
  <c r="X150" i="3"/>
  <c r="W150" i="3"/>
  <c r="V150" i="3"/>
  <c r="U150" i="3"/>
  <c r="T150" i="3"/>
  <c r="S150" i="3"/>
  <c r="R150" i="3"/>
  <c r="Q150" i="3"/>
  <c r="P150" i="3"/>
  <c r="O150" i="3"/>
  <c r="N150" i="3"/>
  <c r="M150" i="3"/>
  <c r="L150" i="3"/>
  <c r="K150" i="3"/>
  <c r="J150" i="3"/>
  <c r="I150" i="3"/>
  <c r="H150" i="3"/>
  <c r="G150" i="3"/>
  <c r="F150" i="3"/>
  <c r="E150" i="3"/>
  <c r="AN147" i="3"/>
  <c r="AM147" i="3"/>
  <c r="AL147" i="3"/>
  <c r="AK147" i="3"/>
  <c r="AJ147" i="3"/>
  <c r="AI147" i="3"/>
  <c r="AH147" i="3"/>
  <c r="AG147" i="3"/>
  <c r="AF147" i="3"/>
  <c r="AE147" i="3"/>
  <c r="AD147" i="3"/>
  <c r="AC147" i="3"/>
  <c r="AB147" i="3"/>
  <c r="AA147" i="3"/>
  <c r="Z147" i="3"/>
  <c r="Y147" i="3"/>
  <c r="X147" i="3"/>
  <c r="W147" i="3"/>
  <c r="V147" i="3"/>
  <c r="U147" i="3"/>
  <c r="T147" i="3"/>
  <c r="S147" i="3"/>
  <c r="R147" i="3"/>
  <c r="Q147" i="3"/>
  <c r="P147" i="3"/>
  <c r="O147" i="3"/>
  <c r="N147" i="3"/>
  <c r="M147" i="3"/>
  <c r="L147" i="3"/>
  <c r="K147" i="3"/>
  <c r="J147" i="3"/>
  <c r="I147" i="3"/>
  <c r="H147" i="3"/>
  <c r="G147" i="3"/>
  <c r="F147" i="3"/>
  <c r="E147" i="3"/>
  <c r="AN143" i="3"/>
  <c r="AM143" i="3"/>
  <c r="AL143" i="3"/>
  <c r="AK143" i="3"/>
  <c r="AJ143" i="3"/>
  <c r="AI143" i="3"/>
  <c r="AH143" i="3"/>
  <c r="AG143" i="3"/>
  <c r="AF143" i="3"/>
  <c r="AE143" i="3"/>
  <c r="AD143" i="3"/>
  <c r="AC143" i="3"/>
  <c r="AB143" i="3"/>
  <c r="AA143" i="3"/>
  <c r="Z143" i="3"/>
  <c r="Y143" i="3"/>
  <c r="X143" i="3"/>
  <c r="W143" i="3"/>
  <c r="V143" i="3"/>
  <c r="U143" i="3"/>
  <c r="T143" i="3"/>
  <c r="S143" i="3"/>
  <c r="R143" i="3"/>
  <c r="Q143" i="3"/>
  <c r="P143" i="3"/>
  <c r="O143" i="3"/>
  <c r="N143" i="3"/>
  <c r="M143" i="3"/>
  <c r="L143" i="3"/>
  <c r="K143" i="3"/>
  <c r="J143" i="3"/>
  <c r="I143" i="3"/>
  <c r="H143" i="3"/>
  <c r="G143" i="3"/>
  <c r="F143" i="3"/>
  <c r="E143" i="3"/>
  <c r="AN140" i="3"/>
  <c r="AM140" i="3"/>
  <c r="AL140" i="3"/>
  <c r="AK140" i="3"/>
  <c r="AJ140" i="3"/>
  <c r="AI140" i="3"/>
  <c r="AH140" i="3"/>
  <c r="AG140" i="3"/>
  <c r="AF140" i="3"/>
  <c r="AE140" i="3"/>
  <c r="AD140" i="3"/>
  <c r="AC140" i="3"/>
  <c r="AB140" i="3"/>
  <c r="AA140" i="3"/>
  <c r="Z140" i="3"/>
  <c r="Y140" i="3"/>
  <c r="X140" i="3"/>
  <c r="W140" i="3"/>
  <c r="V140" i="3"/>
  <c r="U140" i="3"/>
  <c r="T140" i="3"/>
  <c r="S140" i="3"/>
  <c r="R140" i="3"/>
  <c r="Q140" i="3"/>
  <c r="P140" i="3"/>
  <c r="O140" i="3"/>
  <c r="N140" i="3"/>
  <c r="M140" i="3"/>
  <c r="L140" i="3"/>
  <c r="K140" i="3"/>
  <c r="J140" i="3"/>
  <c r="I140" i="3"/>
  <c r="H140" i="3"/>
  <c r="G140" i="3"/>
  <c r="F140" i="3"/>
  <c r="E140" i="3"/>
  <c r="AN136" i="3"/>
  <c r="AM136" i="3"/>
  <c r="AL136" i="3"/>
  <c r="AK136" i="3"/>
  <c r="AJ136" i="3"/>
  <c r="AI136" i="3"/>
  <c r="AH136" i="3"/>
  <c r="AG136" i="3"/>
  <c r="AF136" i="3"/>
  <c r="AE136" i="3"/>
  <c r="AD136" i="3"/>
  <c r="AC136" i="3"/>
  <c r="AB136" i="3"/>
  <c r="AA136" i="3"/>
  <c r="Z136" i="3"/>
  <c r="Y136" i="3"/>
  <c r="X136" i="3"/>
  <c r="W136" i="3"/>
  <c r="V136" i="3"/>
  <c r="U136" i="3"/>
  <c r="T136" i="3"/>
  <c r="S136" i="3"/>
  <c r="R136" i="3"/>
  <c r="Q136" i="3"/>
  <c r="P136" i="3"/>
  <c r="O136" i="3"/>
  <c r="N136" i="3"/>
  <c r="M136" i="3"/>
  <c r="L136" i="3"/>
  <c r="K136" i="3"/>
  <c r="J136" i="3"/>
  <c r="I136" i="3"/>
  <c r="H136" i="3"/>
  <c r="G136" i="3"/>
  <c r="F136" i="3"/>
  <c r="E136" i="3"/>
  <c r="AN133" i="3"/>
  <c r="AM133" i="3"/>
  <c r="AL133" i="3"/>
  <c r="AK133" i="3"/>
  <c r="AJ133" i="3"/>
  <c r="AI133" i="3"/>
  <c r="AH133" i="3"/>
  <c r="AG133" i="3"/>
  <c r="AF133" i="3"/>
  <c r="AE133" i="3"/>
  <c r="AD133" i="3"/>
  <c r="AC133" i="3"/>
  <c r="AB133" i="3"/>
  <c r="AA133" i="3"/>
  <c r="Z133" i="3"/>
  <c r="Y133" i="3"/>
  <c r="X133" i="3"/>
  <c r="W133" i="3"/>
  <c r="V133" i="3"/>
  <c r="U133" i="3"/>
  <c r="T133" i="3"/>
  <c r="S133" i="3"/>
  <c r="R133" i="3"/>
  <c r="Q133" i="3"/>
  <c r="P133" i="3"/>
  <c r="O133" i="3"/>
  <c r="N133" i="3"/>
  <c r="M133" i="3"/>
  <c r="L133" i="3"/>
  <c r="K133" i="3"/>
  <c r="J133" i="3"/>
  <c r="I133" i="3"/>
  <c r="H133" i="3"/>
  <c r="G133" i="3"/>
  <c r="F133" i="3"/>
  <c r="E133" i="3"/>
  <c r="AN129" i="3"/>
  <c r="AM129" i="3"/>
  <c r="AL129" i="3"/>
  <c r="AK129" i="3"/>
  <c r="AJ129" i="3"/>
  <c r="AI129" i="3"/>
  <c r="AH129" i="3"/>
  <c r="AG129" i="3"/>
  <c r="AF129" i="3"/>
  <c r="AE129" i="3"/>
  <c r="AD129" i="3"/>
  <c r="AC129" i="3"/>
  <c r="AB129" i="3"/>
  <c r="AA129" i="3"/>
  <c r="Z129" i="3"/>
  <c r="Y129" i="3"/>
  <c r="X129" i="3"/>
  <c r="W129" i="3"/>
  <c r="V129" i="3"/>
  <c r="U129" i="3"/>
  <c r="T129" i="3"/>
  <c r="S129" i="3"/>
  <c r="R129" i="3"/>
  <c r="Q129" i="3"/>
  <c r="P129" i="3"/>
  <c r="O129" i="3"/>
  <c r="N129" i="3"/>
  <c r="M129" i="3"/>
  <c r="L129" i="3"/>
  <c r="K129" i="3"/>
  <c r="J129" i="3"/>
  <c r="I129" i="3"/>
  <c r="H129" i="3"/>
  <c r="G129" i="3"/>
  <c r="F129" i="3"/>
  <c r="E129" i="3"/>
  <c r="AN126" i="3"/>
  <c r="AM126" i="3"/>
  <c r="AL126" i="3"/>
  <c r="AK126" i="3"/>
  <c r="AJ126" i="3"/>
  <c r="AI126" i="3"/>
  <c r="AH126" i="3"/>
  <c r="AG126" i="3"/>
  <c r="AF126" i="3"/>
  <c r="AE126" i="3"/>
  <c r="AD126" i="3"/>
  <c r="AC126" i="3"/>
  <c r="AB126" i="3"/>
  <c r="AA126" i="3"/>
  <c r="Z126" i="3"/>
  <c r="Y126" i="3"/>
  <c r="X126" i="3"/>
  <c r="W126" i="3"/>
  <c r="V126" i="3"/>
  <c r="U126" i="3"/>
  <c r="T126" i="3"/>
  <c r="S126" i="3"/>
  <c r="R126" i="3"/>
  <c r="Q126" i="3"/>
  <c r="P126" i="3"/>
  <c r="O126" i="3"/>
  <c r="N126" i="3"/>
  <c r="M126" i="3"/>
  <c r="L126" i="3"/>
  <c r="K126" i="3"/>
  <c r="J126" i="3"/>
  <c r="I126" i="3"/>
  <c r="H126" i="3"/>
  <c r="G126" i="3"/>
  <c r="F126" i="3"/>
  <c r="E126" i="3"/>
  <c r="AN122" i="3"/>
  <c r="AM122" i="3"/>
  <c r="AL122" i="3"/>
  <c r="AK122" i="3"/>
  <c r="AJ122" i="3"/>
  <c r="AI122" i="3"/>
  <c r="AH122" i="3"/>
  <c r="AG122" i="3"/>
  <c r="AF122" i="3"/>
  <c r="AE122" i="3"/>
  <c r="AD122" i="3"/>
  <c r="AC122" i="3"/>
  <c r="AB122" i="3"/>
  <c r="AA122" i="3"/>
  <c r="Z122" i="3"/>
  <c r="Y122" i="3"/>
  <c r="X122" i="3"/>
  <c r="W122" i="3"/>
  <c r="V122" i="3"/>
  <c r="U122" i="3"/>
  <c r="T122" i="3"/>
  <c r="S122" i="3"/>
  <c r="R122" i="3"/>
  <c r="Q122" i="3"/>
  <c r="P122" i="3"/>
  <c r="O122" i="3"/>
  <c r="N122" i="3"/>
  <c r="M122" i="3"/>
  <c r="L122" i="3"/>
  <c r="K122" i="3"/>
  <c r="J122" i="3"/>
  <c r="I122" i="3"/>
  <c r="H122" i="3"/>
  <c r="G122" i="3"/>
  <c r="F122" i="3"/>
  <c r="E122" i="3"/>
  <c r="AN119" i="3"/>
  <c r="AM119" i="3"/>
  <c r="AL119" i="3"/>
  <c r="AK119" i="3"/>
  <c r="AJ119" i="3"/>
  <c r="AI119" i="3"/>
  <c r="AH119" i="3"/>
  <c r="AG119" i="3"/>
  <c r="AF119" i="3"/>
  <c r="AE119" i="3"/>
  <c r="AD119" i="3"/>
  <c r="AC119" i="3"/>
  <c r="AB119" i="3"/>
  <c r="AA119" i="3"/>
  <c r="Z119" i="3"/>
  <c r="Y119" i="3"/>
  <c r="X119" i="3"/>
  <c r="W119" i="3"/>
  <c r="V119" i="3"/>
  <c r="U119" i="3"/>
  <c r="T119" i="3"/>
  <c r="S119" i="3"/>
  <c r="R119" i="3"/>
  <c r="Q119" i="3"/>
  <c r="P119" i="3"/>
  <c r="O119" i="3"/>
  <c r="N119" i="3"/>
  <c r="M119" i="3"/>
  <c r="L119" i="3"/>
  <c r="K119" i="3"/>
  <c r="J119" i="3"/>
  <c r="I119" i="3"/>
  <c r="H119" i="3"/>
  <c r="G119" i="3"/>
  <c r="F119" i="3"/>
  <c r="E119" i="3"/>
  <c r="AN115" i="3"/>
  <c r="AM115" i="3"/>
  <c r="AL115" i="3"/>
  <c r="AK115" i="3"/>
  <c r="AJ115" i="3"/>
  <c r="AI115" i="3"/>
  <c r="AH115" i="3"/>
  <c r="AG115" i="3"/>
  <c r="AF115" i="3"/>
  <c r="AE115" i="3"/>
  <c r="AD115" i="3"/>
  <c r="AC115" i="3"/>
  <c r="AB115" i="3"/>
  <c r="AA115" i="3"/>
  <c r="Z115" i="3"/>
  <c r="Y115" i="3"/>
  <c r="X115" i="3"/>
  <c r="W115" i="3"/>
  <c r="V115" i="3"/>
  <c r="U115" i="3"/>
  <c r="T115" i="3"/>
  <c r="S115" i="3"/>
  <c r="R115" i="3"/>
  <c r="Q115" i="3"/>
  <c r="P115" i="3"/>
  <c r="O115" i="3"/>
  <c r="N115" i="3"/>
  <c r="M115" i="3"/>
  <c r="L115" i="3"/>
  <c r="K115" i="3"/>
  <c r="J115" i="3"/>
  <c r="I115" i="3"/>
  <c r="H115" i="3"/>
  <c r="G115" i="3"/>
  <c r="F115" i="3"/>
  <c r="E115" i="3"/>
  <c r="AN112" i="3"/>
  <c r="AM112" i="3"/>
  <c r="AL112" i="3"/>
  <c r="AK112" i="3"/>
  <c r="AJ112" i="3"/>
  <c r="AI112" i="3"/>
  <c r="AH112" i="3"/>
  <c r="AG112" i="3"/>
  <c r="AF112" i="3"/>
  <c r="AE112" i="3"/>
  <c r="AD112" i="3"/>
  <c r="AC112" i="3"/>
  <c r="AB112" i="3"/>
  <c r="AA112" i="3"/>
  <c r="Z112" i="3"/>
  <c r="Y112" i="3"/>
  <c r="X112" i="3"/>
  <c r="W112" i="3"/>
  <c r="V112" i="3"/>
  <c r="U112" i="3"/>
  <c r="T112" i="3"/>
  <c r="S112" i="3"/>
  <c r="R112" i="3"/>
  <c r="Q112" i="3"/>
  <c r="P112" i="3"/>
  <c r="O112" i="3"/>
  <c r="N112" i="3"/>
  <c r="M112" i="3"/>
  <c r="L112" i="3"/>
  <c r="K112" i="3"/>
  <c r="J112" i="3"/>
  <c r="I112" i="3"/>
  <c r="H112" i="3"/>
  <c r="G112" i="3"/>
  <c r="F112" i="3"/>
  <c r="E112" i="3"/>
  <c r="AN108" i="3"/>
  <c r="AM108" i="3"/>
  <c r="AL108" i="3"/>
  <c r="AK108" i="3"/>
  <c r="AJ108" i="3"/>
  <c r="AI108" i="3"/>
  <c r="AH108" i="3"/>
  <c r="AG108" i="3"/>
  <c r="AF108" i="3"/>
  <c r="AE108" i="3"/>
  <c r="AD108" i="3"/>
  <c r="AC108" i="3"/>
  <c r="AB108" i="3"/>
  <c r="AA108" i="3"/>
  <c r="Z108" i="3"/>
  <c r="Y108" i="3"/>
  <c r="X108" i="3"/>
  <c r="W108" i="3"/>
  <c r="V108" i="3"/>
  <c r="U108" i="3"/>
  <c r="T108" i="3"/>
  <c r="S108" i="3"/>
  <c r="R108" i="3"/>
  <c r="Q108" i="3"/>
  <c r="P108" i="3"/>
  <c r="O108" i="3"/>
  <c r="N108" i="3"/>
  <c r="M108" i="3"/>
  <c r="L108" i="3"/>
  <c r="K108" i="3"/>
  <c r="J108" i="3"/>
  <c r="I108" i="3"/>
  <c r="H108" i="3"/>
  <c r="G108" i="3"/>
  <c r="F108" i="3"/>
  <c r="E108" i="3"/>
  <c r="AN105" i="3"/>
  <c r="AM105" i="3"/>
  <c r="AL105" i="3"/>
  <c r="AK105" i="3"/>
  <c r="AJ105" i="3"/>
  <c r="AI105" i="3"/>
  <c r="AH105" i="3"/>
  <c r="AG105" i="3"/>
  <c r="AF105" i="3"/>
  <c r="AE105" i="3"/>
  <c r="AD105" i="3"/>
  <c r="AC105" i="3"/>
  <c r="AB105" i="3"/>
  <c r="AA105" i="3"/>
  <c r="Z105" i="3"/>
  <c r="Y105" i="3"/>
  <c r="X105" i="3"/>
  <c r="W105" i="3"/>
  <c r="V105" i="3"/>
  <c r="U105" i="3"/>
  <c r="T105" i="3"/>
  <c r="S105" i="3"/>
  <c r="R105" i="3"/>
  <c r="Q105" i="3"/>
  <c r="P105" i="3"/>
  <c r="O105" i="3"/>
  <c r="N105" i="3"/>
  <c r="M105" i="3"/>
  <c r="L105" i="3"/>
  <c r="K105" i="3"/>
  <c r="J105" i="3"/>
  <c r="I105" i="3"/>
  <c r="H105" i="3"/>
  <c r="G105" i="3"/>
  <c r="F105" i="3"/>
  <c r="E105" i="3"/>
  <c r="AN101" i="3"/>
  <c r="AM101" i="3"/>
  <c r="AL101" i="3"/>
  <c r="AK101" i="3"/>
  <c r="AJ101" i="3"/>
  <c r="AI101" i="3"/>
  <c r="AH101" i="3"/>
  <c r="AG101" i="3"/>
  <c r="AF101" i="3"/>
  <c r="AE101" i="3"/>
  <c r="AD101" i="3"/>
  <c r="AC101" i="3"/>
  <c r="AB101" i="3"/>
  <c r="AA101" i="3"/>
  <c r="Z101" i="3"/>
  <c r="Y101" i="3"/>
  <c r="X101" i="3"/>
  <c r="W101" i="3"/>
  <c r="V101" i="3"/>
  <c r="U101" i="3"/>
  <c r="T101" i="3"/>
  <c r="S101" i="3"/>
  <c r="R101" i="3"/>
  <c r="Q101" i="3"/>
  <c r="P101" i="3"/>
  <c r="O101" i="3"/>
  <c r="N101" i="3"/>
  <c r="M101" i="3"/>
  <c r="L101" i="3"/>
  <c r="K101" i="3"/>
  <c r="J101" i="3"/>
  <c r="I101" i="3"/>
  <c r="H101" i="3"/>
  <c r="G101" i="3"/>
  <c r="F101" i="3"/>
  <c r="E101" i="3"/>
  <c r="AN98" i="3"/>
  <c r="AM98" i="3"/>
  <c r="AL98" i="3"/>
  <c r="AK98" i="3"/>
  <c r="AJ98" i="3"/>
  <c r="AI98" i="3"/>
  <c r="AH98" i="3"/>
  <c r="AG98" i="3"/>
  <c r="AF98" i="3"/>
  <c r="AE98" i="3"/>
  <c r="AD98" i="3"/>
  <c r="AC98" i="3"/>
  <c r="AB98" i="3"/>
  <c r="AA98" i="3"/>
  <c r="Z98" i="3"/>
  <c r="Y98" i="3"/>
  <c r="X98" i="3"/>
  <c r="W98" i="3"/>
  <c r="V98" i="3"/>
  <c r="U98" i="3"/>
  <c r="T98" i="3"/>
  <c r="S98" i="3"/>
  <c r="R98" i="3"/>
  <c r="Q98" i="3"/>
  <c r="P98" i="3"/>
  <c r="O98" i="3"/>
  <c r="N98" i="3"/>
  <c r="M98" i="3"/>
  <c r="L98" i="3"/>
  <c r="K98" i="3"/>
  <c r="J98" i="3"/>
  <c r="I98" i="3"/>
  <c r="H98" i="3"/>
  <c r="G98" i="3"/>
  <c r="F98" i="3"/>
  <c r="E98" i="3"/>
  <c r="AN94" i="3"/>
  <c r="AM94" i="3"/>
  <c r="AL94" i="3"/>
  <c r="AK94" i="3"/>
  <c r="AJ94" i="3"/>
  <c r="AI94" i="3"/>
  <c r="AH94" i="3"/>
  <c r="AG94" i="3"/>
  <c r="AF94" i="3"/>
  <c r="AE94" i="3"/>
  <c r="AD94" i="3"/>
  <c r="AC94" i="3"/>
  <c r="AB94" i="3"/>
  <c r="AA94" i="3"/>
  <c r="Z94" i="3"/>
  <c r="Y94" i="3"/>
  <c r="X94" i="3"/>
  <c r="W94" i="3"/>
  <c r="V94" i="3"/>
  <c r="U94" i="3"/>
  <c r="T94" i="3"/>
  <c r="S94" i="3"/>
  <c r="R94" i="3"/>
  <c r="Q94" i="3"/>
  <c r="P94" i="3"/>
  <c r="O94" i="3"/>
  <c r="N94" i="3"/>
  <c r="M94" i="3"/>
  <c r="L94" i="3"/>
  <c r="K94" i="3"/>
  <c r="J94" i="3"/>
  <c r="I94" i="3"/>
  <c r="H94" i="3"/>
  <c r="G94" i="3"/>
  <c r="F94" i="3"/>
  <c r="E94" i="3"/>
  <c r="AN91" i="3"/>
  <c r="AM91" i="3"/>
  <c r="AL91" i="3"/>
  <c r="AK91" i="3"/>
  <c r="AJ91" i="3"/>
  <c r="AI91" i="3"/>
  <c r="AH91" i="3"/>
  <c r="AG91" i="3"/>
  <c r="AF91" i="3"/>
  <c r="AE91" i="3"/>
  <c r="AD91" i="3"/>
  <c r="AC91" i="3"/>
  <c r="AB91" i="3"/>
  <c r="AA91" i="3"/>
  <c r="Z91" i="3"/>
  <c r="Y91" i="3"/>
  <c r="X91" i="3"/>
  <c r="W91" i="3"/>
  <c r="V91" i="3"/>
  <c r="U91" i="3"/>
  <c r="T91" i="3"/>
  <c r="S91" i="3"/>
  <c r="R91" i="3"/>
  <c r="Q91" i="3"/>
  <c r="P91" i="3"/>
  <c r="O91" i="3"/>
  <c r="N91" i="3"/>
  <c r="M91" i="3"/>
  <c r="L91" i="3"/>
  <c r="K91" i="3"/>
  <c r="J91" i="3"/>
  <c r="I91" i="3"/>
  <c r="H91" i="3"/>
  <c r="G91" i="3"/>
  <c r="F91" i="3"/>
  <c r="E91" i="3"/>
  <c r="AN87" i="3"/>
  <c r="AM87" i="3"/>
  <c r="AL87" i="3"/>
  <c r="AK87" i="3"/>
  <c r="AJ87" i="3"/>
  <c r="AI87" i="3"/>
  <c r="AH87" i="3"/>
  <c r="AG87" i="3"/>
  <c r="AF87" i="3"/>
  <c r="AE87" i="3"/>
  <c r="AD87" i="3"/>
  <c r="AC87" i="3"/>
  <c r="AB87" i="3"/>
  <c r="AA87" i="3"/>
  <c r="Z87" i="3"/>
  <c r="Y87" i="3"/>
  <c r="X87" i="3"/>
  <c r="W87" i="3"/>
  <c r="V87" i="3"/>
  <c r="U87" i="3"/>
  <c r="T87" i="3"/>
  <c r="S87" i="3"/>
  <c r="R87" i="3"/>
  <c r="Q87" i="3"/>
  <c r="P87" i="3"/>
  <c r="O87" i="3"/>
  <c r="N87" i="3"/>
  <c r="M87" i="3"/>
  <c r="L87" i="3"/>
  <c r="K87" i="3"/>
  <c r="J87" i="3"/>
  <c r="I87" i="3"/>
  <c r="H87" i="3"/>
  <c r="G87" i="3"/>
  <c r="F87" i="3"/>
  <c r="E87" i="3"/>
  <c r="AN84" i="3"/>
  <c r="AM84" i="3"/>
  <c r="AL84" i="3"/>
  <c r="AK84" i="3"/>
  <c r="AJ84" i="3"/>
  <c r="AI84" i="3"/>
  <c r="AH84" i="3"/>
  <c r="AG84" i="3"/>
  <c r="AF84" i="3"/>
  <c r="AE84" i="3"/>
  <c r="AD84" i="3"/>
  <c r="AC84" i="3"/>
  <c r="AB84" i="3"/>
  <c r="AA84" i="3"/>
  <c r="Z84" i="3"/>
  <c r="Y84" i="3"/>
  <c r="X84" i="3"/>
  <c r="W84" i="3"/>
  <c r="V84" i="3"/>
  <c r="U84" i="3"/>
  <c r="T84" i="3"/>
  <c r="S84" i="3"/>
  <c r="R84" i="3"/>
  <c r="Q84" i="3"/>
  <c r="P84" i="3"/>
  <c r="O84" i="3"/>
  <c r="N84" i="3"/>
  <c r="M84" i="3"/>
  <c r="L84" i="3"/>
  <c r="K84" i="3"/>
  <c r="J84" i="3"/>
  <c r="I84" i="3"/>
  <c r="H84" i="3"/>
  <c r="G84" i="3"/>
  <c r="F84" i="3"/>
  <c r="E84" i="3"/>
  <c r="AN80" i="3"/>
  <c r="AM80" i="3"/>
  <c r="AL80" i="3"/>
  <c r="AK80" i="3"/>
  <c r="AJ80" i="3"/>
  <c r="AI80" i="3"/>
  <c r="AH80" i="3"/>
  <c r="AG80" i="3"/>
  <c r="AF80" i="3"/>
  <c r="AE80" i="3"/>
  <c r="AD80" i="3"/>
  <c r="AC80" i="3"/>
  <c r="AB80" i="3"/>
  <c r="AA80" i="3"/>
  <c r="Z80" i="3"/>
  <c r="Y80" i="3"/>
  <c r="X80" i="3"/>
  <c r="W80" i="3"/>
  <c r="V80" i="3"/>
  <c r="U80" i="3"/>
  <c r="T80" i="3"/>
  <c r="S80" i="3"/>
  <c r="R80" i="3"/>
  <c r="Q80" i="3"/>
  <c r="P80" i="3"/>
  <c r="O80" i="3"/>
  <c r="N80" i="3"/>
  <c r="M80" i="3"/>
  <c r="L80" i="3"/>
  <c r="K80" i="3"/>
  <c r="J80" i="3"/>
  <c r="I80" i="3"/>
  <c r="H80" i="3"/>
  <c r="G80" i="3"/>
  <c r="F80" i="3"/>
  <c r="E80" i="3"/>
  <c r="AN77" i="3"/>
  <c r="AM77" i="3"/>
  <c r="AL77" i="3"/>
  <c r="AK77" i="3"/>
  <c r="AJ77" i="3"/>
  <c r="AI77" i="3"/>
  <c r="AH77" i="3"/>
  <c r="AG77" i="3"/>
  <c r="AF77" i="3"/>
  <c r="AE77" i="3"/>
  <c r="AD77" i="3"/>
  <c r="AC77" i="3"/>
  <c r="AB77" i="3"/>
  <c r="AA77" i="3"/>
  <c r="Z77" i="3"/>
  <c r="Y77" i="3"/>
  <c r="X77" i="3"/>
  <c r="W77" i="3"/>
  <c r="V77" i="3"/>
  <c r="U77" i="3"/>
  <c r="T77" i="3"/>
  <c r="S77" i="3"/>
  <c r="R77" i="3"/>
  <c r="Q77" i="3"/>
  <c r="P77" i="3"/>
  <c r="O77" i="3"/>
  <c r="N77" i="3"/>
  <c r="M77" i="3"/>
  <c r="L77" i="3"/>
  <c r="K77" i="3"/>
  <c r="J77" i="3"/>
  <c r="I77" i="3"/>
  <c r="H77" i="3"/>
  <c r="G77" i="3"/>
  <c r="F77" i="3"/>
  <c r="E77" i="3"/>
  <c r="AN73" i="3"/>
  <c r="AM73" i="3"/>
  <c r="AL73" i="3"/>
  <c r="AK73" i="3"/>
  <c r="AJ73" i="3"/>
  <c r="AI73" i="3"/>
  <c r="AH73" i="3"/>
  <c r="AG73" i="3"/>
  <c r="AF73" i="3"/>
  <c r="AE73" i="3"/>
  <c r="AD73" i="3"/>
  <c r="AC73" i="3"/>
  <c r="AB73" i="3"/>
  <c r="AA73" i="3"/>
  <c r="Z73" i="3"/>
  <c r="Y73" i="3"/>
  <c r="X73" i="3"/>
  <c r="W73" i="3"/>
  <c r="V73" i="3"/>
  <c r="U73" i="3"/>
  <c r="T73" i="3"/>
  <c r="S73" i="3"/>
  <c r="R73" i="3"/>
  <c r="Q73" i="3"/>
  <c r="P73" i="3"/>
  <c r="O73" i="3"/>
  <c r="N73" i="3"/>
  <c r="M73" i="3"/>
  <c r="L73" i="3"/>
  <c r="K73" i="3"/>
  <c r="J73" i="3"/>
  <c r="I73" i="3"/>
  <c r="H73" i="3"/>
  <c r="G73" i="3"/>
  <c r="F73" i="3"/>
  <c r="E73" i="3"/>
  <c r="AN70" i="3"/>
  <c r="AM70" i="3"/>
  <c r="AL70" i="3"/>
  <c r="AK70" i="3"/>
  <c r="AJ70" i="3"/>
  <c r="AI70" i="3"/>
  <c r="AH70" i="3"/>
  <c r="AG70" i="3"/>
  <c r="AF70" i="3"/>
  <c r="AE70" i="3"/>
  <c r="AD70" i="3"/>
  <c r="AC70" i="3"/>
  <c r="AB70" i="3"/>
  <c r="AA70" i="3"/>
  <c r="Z70" i="3"/>
  <c r="Y70" i="3"/>
  <c r="X70" i="3"/>
  <c r="W70" i="3"/>
  <c r="V70" i="3"/>
  <c r="U70" i="3"/>
  <c r="T70" i="3"/>
  <c r="S70" i="3"/>
  <c r="R70" i="3"/>
  <c r="Q70" i="3"/>
  <c r="P70" i="3"/>
  <c r="O70" i="3"/>
  <c r="N70" i="3"/>
  <c r="M70" i="3"/>
  <c r="L70" i="3"/>
  <c r="K70" i="3"/>
  <c r="J70" i="3"/>
  <c r="I70" i="3"/>
  <c r="H70" i="3"/>
  <c r="G70" i="3"/>
  <c r="F70" i="3"/>
  <c r="E70" i="3"/>
  <c r="AN66" i="3"/>
  <c r="AM66" i="3"/>
  <c r="AL66" i="3"/>
  <c r="AK66" i="3"/>
  <c r="AJ66" i="3"/>
  <c r="AI66" i="3"/>
  <c r="AH66" i="3"/>
  <c r="AG66" i="3"/>
  <c r="AF66" i="3"/>
  <c r="AE66" i="3"/>
  <c r="AD66" i="3"/>
  <c r="AC66" i="3"/>
  <c r="AB66" i="3"/>
  <c r="AA66" i="3"/>
  <c r="Z66" i="3"/>
  <c r="Y66" i="3"/>
  <c r="X66" i="3"/>
  <c r="W66" i="3"/>
  <c r="V66" i="3"/>
  <c r="U66" i="3"/>
  <c r="T66" i="3"/>
  <c r="S66" i="3"/>
  <c r="R66" i="3"/>
  <c r="Q66" i="3"/>
  <c r="P66" i="3"/>
  <c r="O66" i="3"/>
  <c r="N66" i="3"/>
  <c r="M66" i="3"/>
  <c r="L66" i="3"/>
  <c r="K66" i="3"/>
  <c r="J66" i="3"/>
  <c r="I66" i="3"/>
  <c r="H66" i="3"/>
  <c r="G66" i="3"/>
  <c r="F66" i="3"/>
  <c r="E66" i="3"/>
  <c r="AN63" i="3"/>
  <c r="AM63" i="3"/>
  <c r="AL63" i="3"/>
  <c r="AK63" i="3"/>
  <c r="AJ63" i="3"/>
  <c r="AI63" i="3"/>
  <c r="AH63" i="3"/>
  <c r="AG63" i="3"/>
  <c r="AF63" i="3"/>
  <c r="AE63" i="3"/>
  <c r="AD63" i="3"/>
  <c r="AC63" i="3"/>
  <c r="AB63" i="3"/>
  <c r="AA63" i="3"/>
  <c r="Z63" i="3"/>
  <c r="Y63" i="3"/>
  <c r="X63" i="3"/>
  <c r="W63" i="3"/>
  <c r="V63" i="3"/>
  <c r="U63" i="3"/>
  <c r="T63" i="3"/>
  <c r="S63" i="3"/>
  <c r="R63" i="3"/>
  <c r="Q63" i="3"/>
  <c r="P63" i="3"/>
  <c r="O63" i="3"/>
  <c r="N63" i="3"/>
  <c r="M63" i="3"/>
  <c r="L63" i="3"/>
  <c r="K63" i="3"/>
  <c r="J63" i="3"/>
  <c r="I63" i="3"/>
  <c r="H63" i="3"/>
  <c r="G63" i="3"/>
  <c r="F63" i="3"/>
  <c r="E63" i="3"/>
  <c r="AN59" i="3"/>
  <c r="AM59" i="3"/>
  <c r="AL59" i="3"/>
  <c r="AK59" i="3"/>
  <c r="AJ59" i="3"/>
  <c r="AI59" i="3"/>
  <c r="AH59" i="3"/>
  <c r="AG59" i="3"/>
  <c r="AF59" i="3"/>
  <c r="AE59" i="3"/>
  <c r="AD59" i="3"/>
  <c r="AC59" i="3"/>
  <c r="AB59" i="3"/>
  <c r="AA59" i="3"/>
  <c r="Z59" i="3"/>
  <c r="Y59" i="3"/>
  <c r="X59" i="3"/>
  <c r="W59" i="3"/>
  <c r="V59" i="3"/>
  <c r="U59" i="3"/>
  <c r="T59" i="3"/>
  <c r="S59" i="3"/>
  <c r="R59" i="3"/>
  <c r="Q59" i="3"/>
  <c r="P59" i="3"/>
  <c r="O59" i="3"/>
  <c r="N59" i="3"/>
  <c r="M59" i="3"/>
  <c r="L59" i="3"/>
  <c r="K59" i="3"/>
  <c r="J59" i="3"/>
  <c r="I59" i="3"/>
  <c r="H59" i="3"/>
  <c r="G59" i="3"/>
  <c r="F59" i="3"/>
  <c r="E59" i="3"/>
  <c r="AN56" i="3"/>
  <c r="AM56" i="3"/>
  <c r="AL56" i="3"/>
  <c r="AK56" i="3"/>
  <c r="AJ56" i="3"/>
  <c r="AI56" i="3"/>
  <c r="AH56" i="3"/>
  <c r="AG56" i="3"/>
  <c r="AF56" i="3"/>
  <c r="AE56" i="3"/>
  <c r="AD56" i="3"/>
  <c r="AC56" i="3"/>
  <c r="AB56" i="3"/>
  <c r="AA56" i="3"/>
  <c r="Z56" i="3"/>
  <c r="Y56" i="3"/>
  <c r="X56" i="3"/>
  <c r="W56" i="3"/>
  <c r="V56" i="3"/>
  <c r="U56" i="3"/>
  <c r="T56" i="3"/>
  <c r="S56" i="3"/>
  <c r="R56" i="3"/>
  <c r="Q56" i="3"/>
  <c r="P56" i="3"/>
  <c r="O56" i="3"/>
  <c r="N56" i="3"/>
  <c r="M56" i="3"/>
  <c r="L56" i="3"/>
  <c r="K56" i="3"/>
  <c r="J56" i="3"/>
  <c r="I56" i="3"/>
  <c r="H56" i="3"/>
  <c r="G56" i="3"/>
  <c r="F56" i="3"/>
  <c r="E56" i="3"/>
  <c r="AN52" i="3"/>
  <c r="AM52" i="3"/>
  <c r="AL52" i="3"/>
  <c r="AK52" i="3"/>
  <c r="AJ52" i="3"/>
  <c r="AI52" i="3"/>
  <c r="AH52" i="3"/>
  <c r="AG52" i="3"/>
  <c r="AF52" i="3"/>
  <c r="AE52" i="3"/>
  <c r="AD52" i="3"/>
  <c r="AC52" i="3"/>
  <c r="AB52" i="3"/>
  <c r="AA52" i="3"/>
  <c r="Z52" i="3"/>
  <c r="Y52" i="3"/>
  <c r="X52" i="3"/>
  <c r="W52" i="3"/>
  <c r="V52" i="3"/>
  <c r="U52" i="3"/>
  <c r="T52" i="3"/>
  <c r="S52" i="3"/>
  <c r="R52" i="3"/>
  <c r="Q52" i="3"/>
  <c r="P52" i="3"/>
  <c r="O52" i="3"/>
  <c r="N52" i="3"/>
  <c r="M52" i="3"/>
  <c r="L52" i="3"/>
  <c r="K52" i="3"/>
  <c r="J52" i="3"/>
  <c r="I52" i="3"/>
  <c r="H52" i="3"/>
  <c r="G52" i="3"/>
  <c r="F52" i="3"/>
  <c r="E52" i="3"/>
  <c r="AN49" i="3"/>
  <c r="AM49" i="3"/>
  <c r="AL49" i="3"/>
  <c r="AK49" i="3"/>
  <c r="AJ49" i="3"/>
  <c r="AI49" i="3"/>
  <c r="AH49" i="3"/>
  <c r="AG49" i="3"/>
  <c r="AF49" i="3"/>
  <c r="AE49" i="3"/>
  <c r="AD49" i="3"/>
  <c r="AC49" i="3"/>
  <c r="AB49" i="3"/>
  <c r="AA49" i="3"/>
  <c r="Z49" i="3"/>
  <c r="Y49" i="3"/>
  <c r="X49" i="3"/>
  <c r="W49" i="3"/>
  <c r="V49" i="3"/>
  <c r="U49" i="3"/>
  <c r="T49" i="3"/>
  <c r="S49" i="3"/>
  <c r="R49" i="3"/>
  <c r="Q49" i="3"/>
  <c r="P49" i="3"/>
  <c r="O49" i="3"/>
  <c r="N49" i="3"/>
  <c r="M49" i="3"/>
  <c r="L49" i="3"/>
  <c r="K49" i="3"/>
  <c r="J49" i="3"/>
  <c r="I49" i="3"/>
  <c r="H49" i="3"/>
  <c r="G49" i="3"/>
  <c r="F49" i="3"/>
  <c r="E49" i="3"/>
  <c r="AN45" i="3"/>
  <c r="AM45" i="3"/>
  <c r="AL45" i="3"/>
  <c r="AK45" i="3"/>
  <c r="AJ45" i="3"/>
  <c r="AI45" i="3"/>
  <c r="AH45" i="3"/>
  <c r="AG45" i="3"/>
  <c r="AF45" i="3"/>
  <c r="AE45" i="3"/>
  <c r="AD45" i="3"/>
  <c r="AC45" i="3"/>
  <c r="AB45" i="3"/>
  <c r="AA45" i="3"/>
  <c r="Z45" i="3"/>
  <c r="Y45" i="3"/>
  <c r="X45" i="3"/>
  <c r="W45" i="3"/>
  <c r="V45" i="3"/>
  <c r="U45" i="3"/>
  <c r="T45" i="3"/>
  <c r="S45" i="3"/>
  <c r="R45" i="3"/>
  <c r="Q45" i="3"/>
  <c r="P45" i="3"/>
  <c r="O45" i="3"/>
  <c r="N45" i="3"/>
  <c r="M45" i="3"/>
  <c r="L45" i="3"/>
  <c r="K45" i="3"/>
  <c r="J45" i="3"/>
  <c r="I45" i="3"/>
  <c r="H45" i="3"/>
  <c r="G45" i="3"/>
  <c r="F45" i="3"/>
  <c r="E45" i="3"/>
  <c r="AN42" i="3"/>
  <c r="AM42" i="3"/>
  <c r="AL42" i="3"/>
  <c r="AK42" i="3"/>
  <c r="AJ42" i="3"/>
  <c r="AI42" i="3"/>
  <c r="AH42" i="3"/>
  <c r="AG42" i="3"/>
  <c r="AF42" i="3"/>
  <c r="AE42" i="3"/>
  <c r="AD42" i="3"/>
  <c r="AC42" i="3"/>
  <c r="AB42" i="3"/>
  <c r="AA42" i="3"/>
  <c r="Z42" i="3"/>
  <c r="Y42" i="3"/>
  <c r="X42" i="3"/>
  <c r="W42" i="3"/>
  <c r="V42" i="3"/>
  <c r="U42" i="3"/>
  <c r="T42" i="3"/>
  <c r="S42" i="3"/>
  <c r="R42" i="3"/>
  <c r="Q42" i="3"/>
  <c r="P42" i="3"/>
  <c r="O42" i="3"/>
  <c r="N42" i="3"/>
  <c r="M42" i="3"/>
  <c r="L42" i="3"/>
  <c r="K42" i="3"/>
  <c r="J42" i="3"/>
  <c r="I42" i="3"/>
  <c r="H42" i="3"/>
  <c r="G42" i="3"/>
  <c r="F42" i="3"/>
  <c r="E42" i="3"/>
  <c r="AN38" i="3"/>
  <c r="AM38" i="3"/>
  <c r="AL38" i="3"/>
  <c r="AK38" i="3"/>
  <c r="AJ38" i="3"/>
  <c r="AI38" i="3"/>
  <c r="AH38" i="3"/>
  <c r="AG38" i="3"/>
  <c r="AF38" i="3"/>
  <c r="AE38" i="3"/>
  <c r="AD38" i="3"/>
  <c r="AC38" i="3"/>
  <c r="AB38" i="3"/>
  <c r="AA38" i="3"/>
  <c r="Z38" i="3"/>
  <c r="Y38" i="3"/>
  <c r="X38" i="3"/>
  <c r="W38" i="3"/>
  <c r="V38" i="3"/>
  <c r="U38" i="3"/>
  <c r="T38" i="3"/>
  <c r="S38" i="3"/>
  <c r="R38" i="3"/>
  <c r="Q38" i="3"/>
  <c r="P38" i="3"/>
  <c r="O38" i="3"/>
  <c r="N38" i="3"/>
  <c r="M38" i="3"/>
  <c r="L38" i="3"/>
  <c r="K38" i="3"/>
  <c r="J38" i="3"/>
  <c r="I38" i="3"/>
  <c r="H38" i="3"/>
  <c r="G38" i="3"/>
  <c r="F38" i="3"/>
  <c r="E38" i="3"/>
  <c r="AN35" i="3"/>
  <c r="AM35" i="3"/>
  <c r="AL35" i="3"/>
  <c r="AK35" i="3"/>
  <c r="AJ35" i="3"/>
  <c r="AI35" i="3"/>
  <c r="AH35" i="3"/>
  <c r="AG35" i="3"/>
  <c r="AF35" i="3"/>
  <c r="AE35" i="3"/>
  <c r="AD35" i="3"/>
  <c r="AC35" i="3"/>
  <c r="AB35" i="3"/>
  <c r="AA35" i="3"/>
  <c r="Z35" i="3"/>
  <c r="Y35" i="3"/>
  <c r="X35" i="3"/>
  <c r="W35" i="3"/>
  <c r="V35" i="3"/>
  <c r="U35" i="3"/>
  <c r="T35" i="3"/>
  <c r="S35" i="3"/>
  <c r="R35" i="3"/>
  <c r="Q35" i="3"/>
  <c r="P35" i="3"/>
  <c r="O35" i="3"/>
  <c r="N35" i="3"/>
  <c r="M35" i="3"/>
  <c r="L35" i="3"/>
  <c r="K35" i="3"/>
  <c r="J35" i="3"/>
  <c r="I35" i="3"/>
  <c r="H35" i="3"/>
  <c r="G35" i="3"/>
  <c r="F35" i="3"/>
  <c r="E35" i="3"/>
  <c r="AN31" i="3"/>
  <c r="AM31" i="3"/>
  <c r="AL31" i="3"/>
  <c r="AK31" i="3"/>
  <c r="AJ31" i="3"/>
  <c r="AI31" i="3"/>
  <c r="AH31" i="3"/>
  <c r="AG31" i="3"/>
  <c r="AF31" i="3"/>
  <c r="AE31" i="3"/>
  <c r="AD31" i="3"/>
  <c r="AC31" i="3"/>
  <c r="AB31" i="3"/>
  <c r="AA31" i="3"/>
  <c r="Z31" i="3"/>
  <c r="Y31" i="3"/>
  <c r="X31" i="3"/>
  <c r="W31" i="3"/>
  <c r="V31" i="3"/>
  <c r="U31" i="3"/>
  <c r="T31" i="3"/>
  <c r="S31" i="3"/>
  <c r="R31" i="3"/>
  <c r="Q31" i="3"/>
  <c r="P31" i="3"/>
  <c r="O31" i="3"/>
  <c r="N31" i="3"/>
  <c r="M31" i="3"/>
  <c r="L31" i="3"/>
  <c r="K31" i="3"/>
  <c r="J31" i="3"/>
  <c r="I31" i="3"/>
  <c r="H31" i="3"/>
  <c r="G31" i="3"/>
  <c r="F31" i="3"/>
  <c r="E31" i="3"/>
  <c r="AN28" i="3"/>
  <c r="AM28" i="3"/>
  <c r="AL28" i="3"/>
  <c r="AK28" i="3"/>
  <c r="AJ28" i="3"/>
  <c r="AI28" i="3"/>
  <c r="AH28" i="3"/>
  <c r="AG28" i="3"/>
  <c r="AF28" i="3"/>
  <c r="AE28" i="3"/>
  <c r="AD28" i="3"/>
  <c r="AC28" i="3"/>
  <c r="AB28" i="3"/>
  <c r="AA28" i="3"/>
  <c r="Z28" i="3"/>
  <c r="Y28" i="3"/>
  <c r="X28" i="3"/>
  <c r="W28" i="3"/>
  <c r="V28" i="3"/>
  <c r="U28" i="3"/>
  <c r="T28" i="3"/>
  <c r="S28" i="3"/>
  <c r="R28" i="3"/>
  <c r="Q28" i="3"/>
  <c r="P28" i="3"/>
  <c r="O28" i="3"/>
  <c r="N28" i="3"/>
  <c r="M28" i="3"/>
  <c r="L28" i="3"/>
  <c r="K28" i="3"/>
  <c r="J28" i="3"/>
  <c r="I28" i="3"/>
  <c r="H28" i="3"/>
  <c r="G28" i="3"/>
  <c r="F28" i="3"/>
  <c r="E28" i="3"/>
  <c r="AN24" i="3"/>
  <c r="AM24" i="3"/>
  <c r="AL24" i="3"/>
  <c r="AK24" i="3"/>
  <c r="AJ24" i="3"/>
  <c r="AI24" i="3"/>
  <c r="AH24" i="3"/>
  <c r="AG24" i="3"/>
  <c r="AF24" i="3"/>
  <c r="AE24" i="3"/>
  <c r="AD24" i="3"/>
  <c r="AC24" i="3"/>
  <c r="AB24" i="3"/>
  <c r="AA24" i="3"/>
  <c r="Z24" i="3"/>
  <c r="Y24" i="3"/>
  <c r="X24" i="3"/>
  <c r="W24" i="3"/>
  <c r="V24" i="3"/>
  <c r="U24" i="3"/>
  <c r="T24" i="3"/>
  <c r="S24" i="3"/>
  <c r="R24" i="3"/>
  <c r="Q24" i="3"/>
  <c r="P24" i="3"/>
  <c r="O24" i="3"/>
  <c r="N24" i="3"/>
  <c r="M24" i="3"/>
  <c r="L24" i="3"/>
  <c r="K24" i="3"/>
  <c r="J24" i="3"/>
  <c r="I24" i="3"/>
  <c r="H24" i="3"/>
  <c r="G24" i="3"/>
  <c r="F24" i="3"/>
  <c r="E24"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AN17" i="3"/>
  <c r="AM17" i="3"/>
  <c r="AL17" i="3"/>
  <c r="AK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E17"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AN10" i="3"/>
  <c r="AM10" i="3"/>
  <c r="AL10" i="3"/>
  <c r="AK10" i="3"/>
  <c r="AJ10" i="3"/>
  <c r="AI10" i="3"/>
  <c r="AH10" i="3"/>
  <c r="AG10" i="3"/>
  <c r="AF10" i="3"/>
  <c r="AE10" i="3"/>
  <c r="AD10" i="3"/>
  <c r="AC10" i="3"/>
  <c r="AB10" i="3"/>
  <c r="AA10" i="3"/>
  <c r="Z10" i="3"/>
  <c r="Y10" i="3"/>
  <c r="X10" i="3"/>
  <c r="W10" i="3"/>
  <c r="V10" i="3"/>
  <c r="U10" i="3"/>
  <c r="T10" i="3"/>
  <c r="S10" i="3"/>
  <c r="R10" i="3"/>
  <c r="Q10" i="3"/>
  <c r="P10" i="3"/>
  <c r="O10" i="3"/>
  <c r="N10" i="3"/>
  <c r="M10" i="3"/>
  <c r="L10" i="3"/>
  <c r="K10" i="3"/>
  <c r="J10" i="3"/>
  <c r="I10" i="3"/>
  <c r="H10" i="3"/>
  <c r="G10" i="3"/>
  <c r="F10" i="3"/>
  <c r="E10" i="3"/>
  <c r="AO8" i="3"/>
  <c r="AN7" i="3"/>
  <c r="AM7" i="3"/>
  <c r="AL7" i="3"/>
  <c r="AK7" i="3"/>
  <c r="AJ7" i="3"/>
  <c r="AI7" i="3"/>
  <c r="AH7" i="3"/>
  <c r="AG7" i="3"/>
  <c r="AF7" i="3"/>
  <c r="AE7" i="3"/>
  <c r="AD7" i="3"/>
  <c r="AC7" i="3"/>
  <c r="AB7" i="3"/>
  <c r="AN3" i="3"/>
  <c r="AM3" i="3"/>
  <c r="AL3" i="3"/>
  <c r="AK3" i="3"/>
  <c r="AJ3" i="3"/>
  <c r="AI3" i="3"/>
  <c r="AH3" i="3"/>
  <c r="AG3" i="3"/>
  <c r="AF3" i="3"/>
  <c r="AE3" i="3"/>
  <c r="AD3" i="3"/>
  <c r="AC3" i="3"/>
  <c r="AB3" i="3"/>
  <c r="AA290" i="2" l="1"/>
  <c r="Z290" i="2"/>
  <c r="Y290" i="2"/>
  <c r="X290" i="2"/>
  <c r="W290" i="2"/>
  <c r="V290" i="2"/>
  <c r="U290" i="2"/>
  <c r="T290" i="2"/>
  <c r="S290" i="2"/>
  <c r="S284" i="2" s="1"/>
  <c r="R290" i="2"/>
  <c r="Q290" i="2"/>
  <c r="P290" i="2"/>
  <c r="O290" i="2"/>
  <c r="N290" i="2"/>
  <c r="AA285" i="2"/>
  <c r="AA284" i="2" s="1"/>
  <c r="Z285" i="2"/>
  <c r="Z284" i="2" s="1"/>
  <c r="Y285" i="2"/>
  <c r="Y284" i="2" s="1"/>
  <c r="X285" i="2"/>
  <c r="W285" i="2"/>
  <c r="V285" i="2"/>
  <c r="U285" i="2"/>
  <c r="T285" i="2"/>
  <c r="S285" i="2"/>
  <c r="R285" i="2"/>
  <c r="R284" i="2" s="1"/>
  <c r="Q285" i="2"/>
  <c r="Q284" i="2" s="1"/>
  <c r="P285" i="2"/>
  <c r="P284" i="2" s="1"/>
  <c r="O285" i="2"/>
  <c r="O284" i="2" s="1"/>
  <c r="N285" i="2"/>
  <c r="X284" i="2"/>
  <c r="W284" i="2"/>
  <c r="V284" i="2"/>
  <c r="N284" i="2"/>
  <c r="AP11" i="2"/>
  <c r="AP10" i="2"/>
  <c r="AA9" i="2"/>
  <c r="Z9" i="2"/>
  <c r="Y9" i="2"/>
  <c r="X9" i="2"/>
  <c r="W9" i="2"/>
  <c r="V9" i="2"/>
  <c r="U9" i="2"/>
  <c r="T9" i="2"/>
  <c r="S9" i="2"/>
  <c r="R9" i="2"/>
  <c r="Q9" i="2"/>
  <c r="P9" i="2"/>
  <c r="O9" i="2"/>
  <c r="N9" i="2"/>
  <c r="AP4" i="2"/>
  <c r="AA3" i="2"/>
  <c r="Z3" i="2"/>
  <c r="Y3" i="2"/>
  <c r="X3" i="2"/>
  <c r="W3" i="2"/>
  <c r="V3" i="2"/>
  <c r="U3" i="2"/>
  <c r="T3" i="2"/>
  <c r="S3" i="2"/>
  <c r="R3" i="2"/>
  <c r="Q3" i="2"/>
  <c r="P3" i="2"/>
  <c r="O3" i="2"/>
  <c r="N3" i="2"/>
  <c r="AA7" i="3"/>
  <c r="Z7" i="3"/>
  <c r="Y7" i="3"/>
  <c r="X7" i="3"/>
  <c r="W7" i="3"/>
  <c r="V7" i="3"/>
  <c r="U7" i="3"/>
  <c r="T7" i="3"/>
  <c r="S7" i="3"/>
  <c r="R7" i="3"/>
  <c r="Q7" i="3"/>
  <c r="P7" i="3"/>
  <c r="O7" i="3"/>
  <c r="AA3" i="3"/>
  <c r="Z3" i="3"/>
  <c r="Y3" i="3"/>
  <c r="X3" i="3"/>
  <c r="W3" i="3"/>
  <c r="V3" i="3"/>
  <c r="U3" i="3"/>
  <c r="T3" i="3"/>
  <c r="S3" i="3"/>
  <c r="R3" i="3"/>
  <c r="Q3" i="3"/>
  <c r="P3" i="3"/>
  <c r="O3" i="3"/>
  <c r="N3" i="3"/>
  <c r="AO4" i="3"/>
  <c r="U284" i="2" l="1"/>
  <c r="T284" i="2"/>
  <c r="N18" i="23"/>
  <c r="M17" i="23"/>
  <c r="L17" i="23"/>
  <c r="N6" i="23"/>
  <c r="K4" i="23"/>
  <c r="H18" i="22" l="1"/>
  <c r="H16" i="22"/>
  <c r="E16" i="22"/>
  <c r="C14" i="22"/>
  <c r="G9" i="22"/>
  <c r="F9" i="22"/>
  <c r="C5" i="22"/>
  <c r="G4" i="22"/>
  <c r="F4" i="22"/>
  <c r="G2" i="22"/>
  <c r="F2" i="22"/>
  <c r="F16" i="24"/>
  <c r="N4" i="23" l="1"/>
  <c r="K8" i="23"/>
  <c r="C17" i="24" l="1"/>
  <c r="G16" i="24"/>
  <c r="G12" i="24"/>
  <c r="G11" i="24"/>
  <c r="G10" i="24"/>
  <c r="G5" i="24"/>
  <c r="F5" i="24"/>
  <c r="H4" i="24"/>
  <c r="G4" i="24"/>
  <c r="F4" i="24"/>
  <c r="G15" i="24" l="1"/>
  <c r="F15" i="24"/>
  <c r="F7" i="24"/>
  <c r="F6" i="24"/>
  <c r="H7" i="24" l="1"/>
  <c r="G7" i="24"/>
  <c r="E7" i="24"/>
  <c r="G6" i="24"/>
  <c r="N7" i="23"/>
  <c r="E11" i="24"/>
  <c r="F11" i="24" s="1"/>
  <c r="E12" i="24"/>
  <c r="F12" i="24" s="1"/>
  <c r="E6" i="24"/>
  <c r="E5" i="24"/>
  <c r="E4" i="24"/>
  <c r="H13" i="22" l="1"/>
  <c r="H12" i="22"/>
  <c r="E13" i="22"/>
  <c r="E12" i="22"/>
  <c r="E8" i="22"/>
  <c r="E9" i="22"/>
  <c r="H8" i="22"/>
  <c r="H9" i="22"/>
  <c r="H7" i="22"/>
  <c r="E7" i="22"/>
  <c r="E18" i="24"/>
  <c r="E16" i="24"/>
  <c r="E15" i="24"/>
  <c r="H4" i="22"/>
  <c r="H2" i="22"/>
  <c r="E4" i="22"/>
  <c r="E3" i="22"/>
  <c r="E2" i="22"/>
  <c r="H18" i="24"/>
  <c r="H16" i="24"/>
  <c r="H11" i="24"/>
  <c r="H12" i="24"/>
  <c r="E10" i="24"/>
  <c r="F10" i="24" s="1"/>
  <c r="H5" i="24"/>
  <c r="H6" i="24"/>
  <c r="A17" i="23"/>
  <c r="C17" i="23" s="1"/>
  <c r="G3" i="22"/>
  <c r="G17" i="22" s="1"/>
  <c r="F3" i="22"/>
  <c r="F17" i="22" s="1"/>
  <c r="G19" i="24"/>
  <c r="C13" i="24" l="1"/>
  <c r="H10" i="24"/>
  <c r="H20" i="24" s="1"/>
  <c r="C8" i="24"/>
  <c r="H15" i="24"/>
  <c r="H3" i="22"/>
  <c r="F17" i="23"/>
  <c r="E17" i="23"/>
  <c r="B17" i="23"/>
  <c r="D17" i="23"/>
  <c r="N5" i="23" l="1"/>
  <c r="N8" i="23"/>
  <c r="N9" i="23"/>
  <c r="N10" i="23"/>
  <c r="N11" i="23"/>
  <c r="N12" i="23"/>
  <c r="N13" i="23"/>
  <c r="N14" i="23"/>
  <c r="N15" i="23"/>
  <c r="N16" i="23"/>
  <c r="K5" i="23"/>
  <c r="K6" i="23"/>
  <c r="K7" i="23"/>
  <c r="K9" i="23"/>
  <c r="K10" i="23"/>
  <c r="K11" i="23"/>
  <c r="K12" i="23"/>
  <c r="K13" i="23"/>
  <c r="K14" i="23"/>
  <c r="K15" i="23"/>
  <c r="K16" i="23"/>
  <c r="G6" i="17" l="1"/>
  <c r="G7" i="17"/>
  <c r="G28" i="17"/>
  <c r="G10" i="17"/>
  <c r="H5" i="23"/>
  <c r="H6" i="23"/>
  <c r="H7" i="23"/>
  <c r="H8" i="23"/>
  <c r="H9" i="23"/>
  <c r="H10" i="23"/>
  <c r="H11" i="23"/>
  <c r="H12" i="23"/>
  <c r="H13" i="23"/>
  <c r="H14" i="23"/>
  <c r="H15" i="23"/>
  <c r="H16" i="23"/>
  <c r="H4" i="23"/>
  <c r="A4" i="23" l="1"/>
  <c r="A5" i="23"/>
  <c r="A6" i="23"/>
  <c r="A7" i="23"/>
  <c r="A8" i="23"/>
  <c r="A9" i="23"/>
  <c r="A10" i="23"/>
  <c r="A11" i="23"/>
  <c r="A12" i="23"/>
  <c r="A13" i="23"/>
  <c r="A14" i="23"/>
  <c r="A15" i="23"/>
  <c r="A16" i="23"/>
  <c r="A18" i="23"/>
  <c r="F11" i="23" l="1"/>
  <c r="B11" i="23"/>
  <c r="C11" i="23"/>
  <c r="D11" i="23"/>
  <c r="E11" i="23"/>
  <c r="C10" i="23"/>
  <c r="D10" i="23"/>
  <c r="E10" i="23"/>
  <c r="F10" i="23"/>
  <c r="B10" i="23"/>
  <c r="B18" i="23"/>
  <c r="C18" i="23"/>
  <c r="D18" i="23"/>
  <c r="E18" i="23"/>
  <c r="F18" i="23"/>
  <c r="E16" i="23"/>
  <c r="F16" i="23"/>
  <c r="B16" i="23"/>
  <c r="C16" i="23"/>
  <c r="D16" i="23"/>
  <c r="E8" i="23"/>
  <c r="F8" i="23"/>
  <c r="B8" i="23"/>
  <c r="C8" i="23"/>
  <c r="D8" i="23"/>
  <c r="B15" i="23"/>
  <c r="C15" i="23"/>
  <c r="D15" i="23"/>
  <c r="E15" i="23"/>
  <c r="F15" i="23"/>
  <c r="D7" i="23"/>
  <c r="B7" i="23"/>
  <c r="C7" i="23"/>
  <c r="E7" i="23"/>
  <c r="F7" i="23"/>
  <c r="B9" i="23"/>
  <c r="C9" i="23"/>
  <c r="D9" i="23"/>
  <c r="E9" i="23"/>
  <c r="F9" i="23"/>
  <c r="B14" i="23"/>
  <c r="C14" i="23"/>
  <c r="D14" i="23"/>
  <c r="E14" i="23"/>
  <c r="F14" i="23"/>
  <c r="B6" i="23"/>
  <c r="C6" i="23"/>
  <c r="D6" i="23"/>
  <c r="E6" i="23"/>
  <c r="F6" i="23"/>
  <c r="D13" i="23"/>
  <c r="E13" i="23"/>
  <c r="F13" i="23"/>
  <c r="B13" i="23"/>
  <c r="C13" i="23"/>
  <c r="C5" i="23"/>
  <c r="D5" i="23"/>
  <c r="E5" i="23"/>
  <c r="F5" i="23"/>
  <c r="B5" i="23"/>
  <c r="B12" i="23"/>
  <c r="C12" i="23"/>
  <c r="D12" i="23"/>
  <c r="E12" i="23"/>
  <c r="F12" i="23"/>
  <c r="F4" i="23"/>
  <c r="D4" i="23"/>
  <c r="B4" i="23"/>
  <c r="E4" i="23"/>
  <c r="C4" i="23"/>
  <c r="M663" i="15" l="1"/>
  <c r="G90" i="17" l="1"/>
  <c r="G89" i="17"/>
  <c r="G88" i="17"/>
  <c r="G87" i="17"/>
  <c r="G86" i="17"/>
  <c r="G85" i="17"/>
  <c r="G83" i="17"/>
  <c r="G82" i="17"/>
  <c r="G81" i="17"/>
  <c r="G80" i="17"/>
  <c r="G79" i="17"/>
  <c r="G78" i="17"/>
  <c r="G77" i="17"/>
  <c r="G76" i="17"/>
  <c r="G75" i="17"/>
  <c r="G74" i="17"/>
  <c r="G73" i="17"/>
  <c r="G72" i="17"/>
  <c r="G71" i="17"/>
  <c r="G70" i="17"/>
  <c r="G69" i="17"/>
  <c r="G68" i="17"/>
  <c r="G67" i="17"/>
  <c r="G66" i="17"/>
  <c r="G65" i="17"/>
  <c r="G64" i="17"/>
  <c r="G61" i="17"/>
  <c r="G60" i="17"/>
  <c r="G59" i="17"/>
  <c r="G58" i="17"/>
  <c r="G57" i="17"/>
  <c r="G56" i="17"/>
  <c r="G54" i="17"/>
  <c r="G53" i="17"/>
  <c r="G52" i="17"/>
  <c r="G51" i="17"/>
  <c r="G50" i="17"/>
  <c r="G49" i="17"/>
  <c r="G48" i="17"/>
  <c r="G47" i="17"/>
  <c r="G46" i="17"/>
  <c r="G45" i="17"/>
  <c r="G44" i="17"/>
  <c r="G43" i="17"/>
  <c r="G42" i="17"/>
  <c r="G41" i="17"/>
  <c r="G40" i="17"/>
  <c r="G39" i="17"/>
  <c r="G38" i="17"/>
  <c r="G37" i="17"/>
  <c r="G36" i="17"/>
  <c r="G35" i="17"/>
  <c r="G32" i="17"/>
  <c r="G31" i="17"/>
  <c r="G30" i="17"/>
  <c r="G29" i="17"/>
  <c r="G27" i="17"/>
  <c r="G25" i="17"/>
  <c r="G24" i="17"/>
  <c r="G23" i="17"/>
  <c r="G22" i="17"/>
  <c r="G21" i="17"/>
  <c r="G20" i="17"/>
  <c r="G19" i="17"/>
  <c r="G18" i="17"/>
  <c r="G17" i="17"/>
  <c r="G16" i="17"/>
  <c r="G15" i="17"/>
  <c r="G14" i="17"/>
  <c r="G13" i="17"/>
  <c r="G12" i="17"/>
  <c r="G11" i="17"/>
  <c r="G9" i="17"/>
  <c r="G8" i="17"/>
  <c r="G459" i="15" l="1"/>
  <c r="AO11" i="3" l="1"/>
  <c r="AO13" i="3" s="1"/>
  <c r="AO15" i="3"/>
  <c r="AO18" i="3"/>
  <c r="AO20" i="3" s="1"/>
  <c r="AO22" i="3"/>
  <c r="AO25" i="3"/>
  <c r="AO27" i="3"/>
  <c r="AO29" i="3"/>
  <c r="AO32" i="3"/>
  <c r="AO34" i="3" s="1"/>
  <c r="AO36" i="3"/>
  <c r="AO39" i="3"/>
  <c r="AO41" i="3" s="1"/>
  <c r="AO43" i="3"/>
  <c r="AO46" i="3"/>
  <c r="AO48" i="3" s="1"/>
  <c r="AO50" i="3"/>
  <c r="AO53" i="3"/>
  <c r="AO55" i="3" s="1"/>
  <c r="AO57" i="3"/>
  <c r="AO60" i="3"/>
  <c r="AO62" i="3" s="1"/>
  <c r="AO64" i="3"/>
  <c r="AO67" i="3"/>
  <c r="AO69" i="3"/>
  <c r="AO71" i="3"/>
  <c r="AO74" i="3"/>
  <c r="AO76" i="3" s="1"/>
  <c r="AO78" i="3"/>
  <c r="AO81" i="3"/>
  <c r="AO83" i="3" s="1"/>
  <c r="AO85" i="3"/>
  <c r="AO88" i="3"/>
  <c r="AO90" i="3" s="1"/>
  <c r="AO92" i="3"/>
  <c r="AO95" i="3"/>
  <c r="AO97" i="3" s="1"/>
  <c r="AO99" i="3"/>
  <c r="AO102" i="3"/>
  <c r="AO104" i="3" s="1"/>
  <c r="AO106" i="3"/>
  <c r="AO109" i="3"/>
  <c r="AO111" i="3" s="1"/>
  <c r="AO113" i="3"/>
  <c r="AO116" i="3"/>
  <c r="AO118" i="3" s="1"/>
  <c r="AO120" i="3"/>
  <c r="AO123" i="3"/>
  <c r="AO125" i="3"/>
  <c r="AO127" i="3"/>
  <c r="AO130" i="3"/>
  <c r="AO132" i="3" s="1"/>
  <c r="AO134" i="3"/>
  <c r="AO137" i="3"/>
  <c r="AO139" i="3" s="1"/>
  <c r="AO141" i="3"/>
  <c r="AO144" i="3"/>
  <c r="AO146" i="3" s="1"/>
  <c r="AO148" i="3"/>
  <c r="AO151" i="3"/>
  <c r="AO153" i="3" s="1"/>
  <c r="AO155" i="3"/>
  <c r="AO158" i="3"/>
  <c r="AO160" i="3" s="1"/>
  <c r="AO162" i="3"/>
  <c r="AO165" i="3"/>
  <c r="AO167" i="3" s="1"/>
  <c r="AO169" i="3"/>
  <c r="AO172" i="3"/>
  <c r="AO174" i="3" s="1"/>
  <c r="AO176" i="3"/>
  <c r="N7" i="3"/>
  <c r="M7" i="3"/>
  <c r="L7" i="3"/>
  <c r="K7" i="3"/>
  <c r="J7" i="3"/>
  <c r="I7" i="3"/>
  <c r="H7" i="3"/>
  <c r="G7" i="3"/>
  <c r="F7" i="3"/>
  <c r="E7" i="3"/>
  <c r="AO6" i="3"/>
  <c r="G3" i="3"/>
  <c r="H3" i="3"/>
  <c r="I3" i="3"/>
  <c r="J3" i="3"/>
  <c r="K3" i="3"/>
  <c r="L3" i="3"/>
  <c r="M3" i="3"/>
  <c r="F3" i="3"/>
  <c r="E3" i="3"/>
  <c r="A6" i="17" l="1"/>
  <c r="B6" i="17" s="1"/>
  <c r="K290" i="2" l="1"/>
  <c r="J290" i="2"/>
  <c r="I290" i="2"/>
  <c r="H290" i="2"/>
  <c r="G290" i="2"/>
  <c r="F290" i="2"/>
  <c r="M285" i="2"/>
  <c r="L285" i="2"/>
  <c r="K285" i="2"/>
  <c r="K284" i="2" s="1"/>
  <c r="J285" i="2"/>
  <c r="J284" i="2" s="1"/>
  <c r="I285" i="2"/>
  <c r="H285" i="2"/>
  <c r="G285" i="2"/>
  <c r="G284" i="2" s="1"/>
  <c r="F285" i="2"/>
  <c r="AP280" i="2"/>
  <c r="AP279" i="2"/>
  <c r="AP275" i="2"/>
  <c r="AP274" i="2"/>
  <c r="AP269" i="2"/>
  <c r="AP268" i="2"/>
  <c r="AP267" i="2" s="1"/>
  <c r="AP272" i="2" s="1"/>
  <c r="AP264" i="2"/>
  <c r="AP263" i="2"/>
  <c r="AP258" i="2"/>
  <c r="AP257" i="2"/>
  <c r="AP253" i="2"/>
  <c r="AP252" i="2"/>
  <c r="AP247" i="2"/>
  <c r="AP246" i="2"/>
  <c r="AP242" i="2"/>
  <c r="AP241" i="2"/>
  <c r="AP236" i="2"/>
  <c r="AP235" i="2"/>
  <c r="AP231" i="2"/>
  <c r="AP230" i="2"/>
  <c r="AP225" i="2"/>
  <c r="AQ231" i="2" s="1"/>
  <c r="AP224" i="2"/>
  <c r="AP220" i="2"/>
  <c r="AP219" i="2"/>
  <c r="AP214" i="2"/>
  <c r="AP213" i="2"/>
  <c r="AP209" i="2"/>
  <c r="AP208" i="2"/>
  <c r="AP203" i="2"/>
  <c r="AP202" i="2"/>
  <c r="AP192" i="2"/>
  <c r="AP142" i="2"/>
  <c r="AP132" i="2"/>
  <c r="AP126" i="2"/>
  <c r="AP125" i="2"/>
  <c r="AP121" i="2"/>
  <c r="AP120" i="2"/>
  <c r="AP92" i="2"/>
  <c r="AP82" i="2"/>
  <c r="AP32" i="2"/>
  <c r="AP27" i="2"/>
  <c r="AP26" i="2"/>
  <c r="AP22" i="2"/>
  <c r="AP21" i="2"/>
  <c r="A142" i="17"/>
  <c r="B142" i="17" s="1"/>
  <c r="A132" i="17"/>
  <c r="B132" i="17" s="1"/>
  <c r="A129" i="17"/>
  <c r="B129" i="17" s="1"/>
  <c r="A128" i="17"/>
  <c r="B128" i="17" s="1"/>
  <c r="A127" i="17"/>
  <c r="B127" i="17" s="1"/>
  <c r="A126" i="17"/>
  <c r="B126" i="17" s="1"/>
  <c r="A125" i="17"/>
  <c r="B125" i="17" s="1"/>
  <c r="A124" i="17"/>
  <c r="B124" i="17" s="1"/>
  <c r="A123" i="17"/>
  <c r="B123" i="17" s="1"/>
  <c r="A122" i="17"/>
  <c r="B122" i="17" s="1"/>
  <c r="A121" i="17"/>
  <c r="B121" i="17" s="1"/>
  <c r="A120" i="17"/>
  <c r="B120" i="17" s="1"/>
  <c r="A112" i="17"/>
  <c r="B112" i="17" s="1"/>
  <c r="A102" i="17"/>
  <c r="B102" i="17" s="1"/>
  <c r="A92" i="17"/>
  <c r="B92" i="17" s="1"/>
  <c r="A82" i="17"/>
  <c r="A72" i="17"/>
  <c r="A62" i="17"/>
  <c r="B62" i="17" s="1"/>
  <c r="A52" i="17"/>
  <c r="A42" i="17"/>
  <c r="A32" i="17"/>
  <c r="A29" i="17"/>
  <c r="A28" i="17"/>
  <c r="A27" i="17"/>
  <c r="A26" i="17"/>
  <c r="B26" i="17" s="1"/>
  <c r="A25" i="17"/>
  <c r="A24" i="17"/>
  <c r="A23" i="17"/>
  <c r="A22" i="17"/>
  <c r="A21" i="17"/>
  <c r="A20" i="17"/>
  <c r="A12" i="17"/>
  <c r="Q290" i="18"/>
  <c r="P290" i="18"/>
  <c r="O290" i="18"/>
  <c r="N290" i="18"/>
  <c r="M290" i="18"/>
  <c r="L290" i="18"/>
  <c r="K290" i="18"/>
  <c r="J290" i="18"/>
  <c r="I290" i="18"/>
  <c r="H290" i="18"/>
  <c r="G290" i="18"/>
  <c r="F290" i="18"/>
  <c r="Q285" i="18"/>
  <c r="P285" i="18"/>
  <c r="P284" i="18" s="1"/>
  <c r="O285" i="18"/>
  <c r="O284" i="18" s="1"/>
  <c r="N285" i="18"/>
  <c r="M285" i="18"/>
  <c r="L285" i="18"/>
  <c r="K285" i="18"/>
  <c r="J285" i="18"/>
  <c r="I285" i="18"/>
  <c r="H285" i="18"/>
  <c r="H284" i="18" s="1"/>
  <c r="G285" i="18"/>
  <c r="F285" i="18"/>
  <c r="R280" i="18"/>
  <c r="R279" i="18"/>
  <c r="R278" i="18" s="1"/>
  <c r="Q278" i="18"/>
  <c r="P278" i="18"/>
  <c r="O278" i="18"/>
  <c r="N278" i="18"/>
  <c r="M278" i="18"/>
  <c r="L278" i="18"/>
  <c r="K278" i="18"/>
  <c r="J278" i="18"/>
  <c r="I278" i="18"/>
  <c r="H278" i="18"/>
  <c r="G278" i="18"/>
  <c r="F278" i="18"/>
  <c r="R275" i="18"/>
  <c r="R274" i="18"/>
  <c r="Q273" i="18"/>
  <c r="P273" i="18"/>
  <c r="O273" i="18"/>
  <c r="N273" i="18"/>
  <c r="M273" i="18"/>
  <c r="L273" i="18"/>
  <c r="K273" i="18"/>
  <c r="J273" i="18"/>
  <c r="I273" i="18"/>
  <c r="H273" i="18"/>
  <c r="G273" i="18"/>
  <c r="F273" i="18"/>
  <c r="R269" i="18"/>
  <c r="S275" i="18" s="1"/>
  <c r="R268" i="18"/>
  <c r="Q267" i="18"/>
  <c r="P267" i="18"/>
  <c r="O267" i="18"/>
  <c r="N267" i="18"/>
  <c r="M267" i="18"/>
  <c r="L267" i="18"/>
  <c r="K267" i="18"/>
  <c r="J267" i="18"/>
  <c r="I267" i="18"/>
  <c r="H267" i="18"/>
  <c r="G267" i="18"/>
  <c r="F267" i="18"/>
  <c r="R264" i="18"/>
  <c r="R263" i="18"/>
  <c r="Q262" i="18"/>
  <c r="P262" i="18"/>
  <c r="O262" i="18"/>
  <c r="N262" i="18"/>
  <c r="M262" i="18"/>
  <c r="L262" i="18"/>
  <c r="K262" i="18"/>
  <c r="J262" i="18"/>
  <c r="I262" i="18"/>
  <c r="H262" i="18"/>
  <c r="G262" i="18"/>
  <c r="F262" i="18"/>
  <c r="R258" i="18"/>
  <c r="R257" i="18"/>
  <c r="Q256" i="18"/>
  <c r="P256" i="18"/>
  <c r="O256" i="18"/>
  <c r="N256" i="18"/>
  <c r="M256" i="18"/>
  <c r="L256" i="18"/>
  <c r="K256" i="18"/>
  <c r="J256" i="18"/>
  <c r="I256" i="18"/>
  <c r="H256" i="18"/>
  <c r="G256" i="18"/>
  <c r="F256" i="18"/>
  <c r="R253" i="18"/>
  <c r="R252" i="18"/>
  <c r="Q251" i="18"/>
  <c r="P251" i="18"/>
  <c r="O251" i="18"/>
  <c r="N251" i="18"/>
  <c r="M251" i="18"/>
  <c r="L251" i="18"/>
  <c r="K251" i="18"/>
  <c r="J251" i="18"/>
  <c r="I251" i="18"/>
  <c r="H251" i="18"/>
  <c r="G251" i="18"/>
  <c r="F251" i="18"/>
  <c r="R247" i="18"/>
  <c r="R246" i="18"/>
  <c r="Q245" i="18"/>
  <c r="P245" i="18"/>
  <c r="O245" i="18"/>
  <c r="N245" i="18"/>
  <c r="M245" i="18"/>
  <c r="L245" i="18"/>
  <c r="K245" i="18"/>
  <c r="J245" i="18"/>
  <c r="I245" i="18"/>
  <c r="H245" i="18"/>
  <c r="G245" i="18"/>
  <c r="F245" i="18"/>
  <c r="R242" i="18"/>
  <c r="R241" i="18"/>
  <c r="Q240" i="18"/>
  <c r="P240" i="18"/>
  <c r="O240" i="18"/>
  <c r="N240" i="18"/>
  <c r="M240" i="18"/>
  <c r="L240" i="18"/>
  <c r="K240" i="18"/>
  <c r="J240" i="18"/>
  <c r="I240" i="18"/>
  <c r="H240" i="18"/>
  <c r="G240" i="18"/>
  <c r="F240" i="18"/>
  <c r="R236" i="18"/>
  <c r="R235" i="18"/>
  <c r="Q234" i="18"/>
  <c r="P234" i="18"/>
  <c r="O234" i="18"/>
  <c r="N234" i="18"/>
  <c r="M234" i="18"/>
  <c r="L234" i="18"/>
  <c r="K234" i="18"/>
  <c r="J234" i="18"/>
  <c r="I234" i="18"/>
  <c r="H234" i="18"/>
  <c r="G234" i="18"/>
  <c r="F234" i="18"/>
  <c r="R231" i="18"/>
  <c r="R230" i="18"/>
  <c r="Q229" i="18"/>
  <c r="P229" i="18"/>
  <c r="O229" i="18"/>
  <c r="N229" i="18"/>
  <c r="M229" i="18"/>
  <c r="L229" i="18"/>
  <c r="K229" i="18"/>
  <c r="J229" i="18"/>
  <c r="I229" i="18"/>
  <c r="H229" i="18"/>
  <c r="G229" i="18"/>
  <c r="F229" i="18"/>
  <c r="R225" i="18"/>
  <c r="R224" i="18"/>
  <c r="Q223" i="18"/>
  <c r="P223" i="18"/>
  <c r="O223" i="18"/>
  <c r="N223" i="18"/>
  <c r="M223" i="18"/>
  <c r="L223" i="18"/>
  <c r="K223" i="18"/>
  <c r="J223" i="18"/>
  <c r="I223" i="18"/>
  <c r="H223" i="18"/>
  <c r="G223" i="18"/>
  <c r="F223" i="18"/>
  <c r="R220" i="18"/>
  <c r="R219" i="18"/>
  <c r="Q218" i="18"/>
  <c r="P218" i="18"/>
  <c r="O218" i="18"/>
  <c r="N218" i="18"/>
  <c r="M218" i="18"/>
  <c r="L218" i="18"/>
  <c r="K218" i="18"/>
  <c r="J218" i="18"/>
  <c r="I218" i="18"/>
  <c r="H218" i="18"/>
  <c r="G218" i="18"/>
  <c r="F218" i="18"/>
  <c r="R214" i="18"/>
  <c r="R213" i="18"/>
  <c r="Q212" i="18"/>
  <c r="P212" i="18"/>
  <c r="O212" i="18"/>
  <c r="N212" i="18"/>
  <c r="M212" i="18"/>
  <c r="L212" i="18"/>
  <c r="K212" i="18"/>
  <c r="J212" i="18"/>
  <c r="I212" i="18"/>
  <c r="H212" i="18"/>
  <c r="G212" i="18"/>
  <c r="F212" i="18"/>
  <c r="R209" i="18"/>
  <c r="R208" i="18"/>
  <c r="Q207" i="18"/>
  <c r="P207" i="18"/>
  <c r="O207" i="18"/>
  <c r="N207" i="18"/>
  <c r="M207" i="18"/>
  <c r="L207" i="18"/>
  <c r="K207" i="18"/>
  <c r="J207" i="18"/>
  <c r="I207" i="18"/>
  <c r="H207" i="18"/>
  <c r="G207" i="18"/>
  <c r="F207" i="18"/>
  <c r="R203" i="18"/>
  <c r="R202" i="18"/>
  <c r="R201" i="18" s="1"/>
  <c r="Q201" i="18"/>
  <c r="P201" i="18"/>
  <c r="O201" i="18"/>
  <c r="N201" i="18"/>
  <c r="M201" i="18"/>
  <c r="L201" i="18"/>
  <c r="K201" i="18"/>
  <c r="J201" i="18"/>
  <c r="I201" i="18"/>
  <c r="H201" i="18"/>
  <c r="G201" i="18"/>
  <c r="F201" i="18"/>
  <c r="Q196" i="18"/>
  <c r="P196" i="18"/>
  <c r="O196" i="18"/>
  <c r="N196" i="18"/>
  <c r="M196" i="18"/>
  <c r="L196" i="18"/>
  <c r="K196" i="18"/>
  <c r="J196" i="18"/>
  <c r="I196" i="18"/>
  <c r="H196" i="18"/>
  <c r="G196" i="18"/>
  <c r="F196" i="18"/>
  <c r="R192" i="18"/>
  <c r="Q168" i="18"/>
  <c r="P168" i="18"/>
  <c r="O168" i="18"/>
  <c r="N168" i="18"/>
  <c r="M168" i="18"/>
  <c r="L168" i="18"/>
  <c r="K168" i="18"/>
  <c r="J168" i="18"/>
  <c r="I168" i="18"/>
  <c r="H168" i="18"/>
  <c r="G168" i="18"/>
  <c r="F168" i="18"/>
  <c r="R142" i="18"/>
  <c r="Q141" i="18"/>
  <c r="P141" i="18"/>
  <c r="O141" i="18"/>
  <c r="N141" i="18"/>
  <c r="M141" i="18"/>
  <c r="L141" i="18"/>
  <c r="K141" i="18"/>
  <c r="J141" i="18"/>
  <c r="I141" i="18"/>
  <c r="H141" i="18"/>
  <c r="G141" i="18"/>
  <c r="F141" i="18"/>
  <c r="R132" i="18"/>
  <c r="R126" i="18"/>
  <c r="R125" i="18"/>
  <c r="Q124" i="18"/>
  <c r="P124" i="18"/>
  <c r="O124" i="18"/>
  <c r="N124" i="18"/>
  <c r="M124" i="18"/>
  <c r="L124" i="18"/>
  <c r="K124" i="18"/>
  <c r="J124" i="18"/>
  <c r="I124" i="18"/>
  <c r="H124" i="18"/>
  <c r="G124" i="18"/>
  <c r="F124" i="18"/>
  <c r="R121" i="18"/>
  <c r="R120" i="18"/>
  <c r="Q119" i="18"/>
  <c r="P119" i="18"/>
  <c r="O119" i="18"/>
  <c r="N119" i="18"/>
  <c r="M119" i="18"/>
  <c r="L119" i="18"/>
  <c r="K119" i="18"/>
  <c r="J119" i="18"/>
  <c r="I119" i="18"/>
  <c r="H119" i="18"/>
  <c r="G119" i="18"/>
  <c r="F119" i="18"/>
  <c r="Q108" i="18"/>
  <c r="P108" i="18"/>
  <c r="O108" i="18"/>
  <c r="N108" i="18"/>
  <c r="M108" i="18"/>
  <c r="L108" i="18"/>
  <c r="K108" i="18"/>
  <c r="J108" i="18"/>
  <c r="I108" i="18"/>
  <c r="H108" i="18"/>
  <c r="G108" i="18"/>
  <c r="F108" i="18"/>
  <c r="R92" i="18"/>
  <c r="Q91" i="18"/>
  <c r="P91" i="18"/>
  <c r="O91" i="18"/>
  <c r="N91" i="18"/>
  <c r="M91" i="18"/>
  <c r="L91" i="18"/>
  <c r="K91" i="18"/>
  <c r="J91" i="18"/>
  <c r="I91" i="18"/>
  <c r="H91" i="18"/>
  <c r="G91" i="18"/>
  <c r="F91" i="18"/>
  <c r="R82" i="18"/>
  <c r="Q58" i="18"/>
  <c r="P58" i="18"/>
  <c r="O58" i="18"/>
  <c r="N58" i="18"/>
  <c r="M58" i="18"/>
  <c r="L58" i="18"/>
  <c r="K58" i="18"/>
  <c r="J58" i="18"/>
  <c r="I58" i="18"/>
  <c r="H58" i="18"/>
  <c r="G58" i="18"/>
  <c r="F58" i="18"/>
  <c r="R32" i="18"/>
  <c r="Q31" i="18"/>
  <c r="P31" i="18"/>
  <c r="O31" i="18"/>
  <c r="N31" i="18"/>
  <c r="M31" i="18"/>
  <c r="L31" i="18"/>
  <c r="K31" i="18"/>
  <c r="J31" i="18"/>
  <c r="I31" i="18"/>
  <c r="H31" i="18"/>
  <c r="G31" i="18"/>
  <c r="F31" i="18"/>
  <c r="R27" i="18"/>
  <c r="R26" i="18"/>
  <c r="Q25" i="18"/>
  <c r="P25" i="18"/>
  <c r="O25" i="18"/>
  <c r="N25" i="18"/>
  <c r="M25" i="18"/>
  <c r="L25" i="18"/>
  <c r="K25" i="18"/>
  <c r="J25" i="18"/>
  <c r="I25" i="18"/>
  <c r="H25" i="18"/>
  <c r="G25" i="18"/>
  <c r="F25" i="18"/>
  <c r="R22" i="18"/>
  <c r="R21" i="18"/>
  <c r="Q20" i="18"/>
  <c r="P20" i="18"/>
  <c r="O20" i="18"/>
  <c r="N20" i="18"/>
  <c r="M20" i="18"/>
  <c r="L20" i="18"/>
  <c r="K20" i="18"/>
  <c r="J20" i="18"/>
  <c r="I20" i="18"/>
  <c r="H20" i="18"/>
  <c r="G20" i="18"/>
  <c r="F20" i="18"/>
  <c r="Q62" i="19"/>
  <c r="Q52" i="19"/>
  <c r="Q51" i="19" s="1"/>
  <c r="Q32" i="19"/>
  <c r="Q29" i="19"/>
  <c r="Q28" i="19"/>
  <c r="Q27" i="19" s="1"/>
  <c r="Q26" i="19"/>
  <c r="Q25" i="19"/>
  <c r="Q24" i="19" s="1"/>
  <c r="Q23" i="19"/>
  <c r="Q22" i="19"/>
  <c r="Q21" i="19" s="1"/>
  <c r="Q20" i="19"/>
  <c r="A162" i="10"/>
  <c r="A152" i="10"/>
  <c r="B152" i="10" s="1"/>
  <c r="A142" i="10"/>
  <c r="B142" i="10" s="1"/>
  <c r="A132" i="10"/>
  <c r="B132" i="10" s="1"/>
  <c r="A129" i="10"/>
  <c r="B129" i="10" s="1"/>
  <c r="A128" i="10"/>
  <c r="B128" i="10" s="1"/>
  <c r="A127" i="10"/>
  <c r="B127" i="10" s="1"/>
  <c r="A126" i="10"/>
  <c r="B126" i="10" s="1"/>
  <c r="A125" i="10"/>
  <c r="B125" i="10" s="1"/>
  <c r="A124" i="10"/>
  <c r="B124" i="10" s="1"/>
  <c r="A123" i="10"/>
  <c r="B123" i="10" s="1"/>
  <c r="A122" i="10"/>
  <c r="B122" i="10" s="1"/>
  <c r="A121" i="10"/>
  <c r="B121" i="10" s="1"/>
  <c r="A120" i="10"/>
  <c r="B120" i="10" s="1"/>
  <c r="A112" i="10"/>
  <c r="B112" i="10" s="1"/>
  <c r="A102" i="10"/>
  <c r="B102" i="10" s="1"/>
  <c r="A92" i="10"/>
  <c r="B92" i="10" s="1"/>
  <c r="G89" i="10"/>
  <c r="G88" i="10"/>
  <c r="G87" i="10"/>
  <c r="G86" i="10"/>
  <c r="G85" i="10"/>
  <c r="G84" i="10"/>
  <c r="G82" i="10"/>
  <c r="A82" i="10"/>
  <c r="B82" i="10" s="1"/>
  <c r="G81" i="10"/>
  <c r="G80" i="10"/>
  <c r="G79" i="10"/>
  <c r="G78" i="10"/>
  <c r="G77" i="10"/>
  <c r="G76" i="10"/>
  <c r="G75" i="10"/>
  <c r="G74" i="10"/>
  <c r="G73" i="10"/>
  <c r="G72" i="10"/>
  <c r="A72" i="10"/>
  <c r="B72" i="10" s="1"/>
  <c r="G71" i="10"/>
  <c r="G70" i="10"/>
  <c r="G69" i="10"/>
  <c r="G68" i="10"/>
  <c r="G67" i="10"/>
  <c r="G66" i="10"/>
  <c r="G63" i="10"/>
  <c r="G62" i="10"/>
  <c r="A62" i="10"/>
  <c r="B62" i="10" s="1"/>
  <c r="G61" i="10"/>
  <c r="G60" i="10"/>
  <c r="G59" i="10"/>
  <c r="G58" i="10"/>
  <c r="G55" i="10"/>
  <c r="G54" i="10"/>
  <c r="G53" i="10"/>
  <c r="G52" i="10"/>
  <c r="A52" i="10"/>
  <c r="B52" i="10" s="1"/>
  <c r="G51" i="10"/>
  <c r="G50" i="10"/>
  <c r="G49" i="10"/>
  <c r="G48" i="10"/>
  <c r="G47" i="10"/>
  <c r="G46" i="10"/>
  <c r="G45" i="10"/>
  <c r="G44" i="10"/>
  <c r="G43" i="10"/>
  <c r="G42" i="10"/>
  <c r="A42" i="10"/>
  <c r="B42" i="10" s="1"/>
  <c r="G40" i="10"/>
  <c r="G38" i="10"/>
  <c r="G37" i="10"/>
  <c r="G36" i="10"/>
  <c r="G35" i="10"/>
  <c r="G34" i="10"/>
  <c r="G33" i="10"/>
  <c r="A32" i="10"/>
  <c r="B32" i="10" s="1"/>
  <c r="A29" i="10"/>
  <c r="B29" i="10" s="1"/>
  <c r="A28" i="10"/>
  <c r="B28" i="10" s="1"/>
  <c r="A27" i="10"/>
  <c r="B27" i="10" s="1"/>
  <c r="A26" i="10"/>
  <c r="B26" i="10" s="1"/>
  <c r="A25" i="10"/>
  <c r="B25" i="10" s="1"/>
  <c r="A24" i="10"/>
  <c r="B24" i="10" s="1"/>
  <c r="G23" i="10"/>
  <c r="A23" i="10"/>
  <c r="B23" i="10" s="1"/>
  <c r="G22" i="10"/>
  <c r="A22" i="10"/>
  <c r="B22" i="10" s="1"/>
  <c r="G21" i="10"/>
  <c r="A21" i="10"/>
  <c r="B21" i="10" s="1"/>
  <c r="G20" i="10"/>
  <c r="A20" i="10"/>
  <c r="B20" i="10" s="1"/>
  <c r="G19" i="10"/>
  <c r="G17" i="10"/>
  <c r="G16" i="10"/>
  <c r="G15" i="10"/>
  <c r="G14" i="10"/>
  <c r="G13" i="10"/>
  <c r="G12" i="10"/>
  <c r="A12" i="10"/>
  <c r="B12" i="10" s="1"/>
  <c r="G11" i="10"/>
  <c r="G10" i="10"/>
  <c r="G9" i="10"/>
  <c r="G8" i="10"/>
  <c r="G7" i="10"/>
  <c r="G6" i="10"/>
  <c r="A172" i="10"/>
  <c r="B172" i="10" s="1"/>
  <c r="B162" i="10"/>
  <c r="A172" i="17"/>
  <c r="B172" i="17" s="1"/>
  <c r="A162" i="17"/>
  <c r="B162" i="17" s="1"/>
  <c r="A152" i="17"/>
  <c r="B152" i="17" s="1"/>
  <c r="M290" i="2"/>
  <c r="M284" i="2" s="1"/>
  <c r="L290" i="2"/>
  <c r="L284" i="2" l="1"/>
  <c r="AP278" i="2"/>
  <c r="AP256" i="2"/>
  <c r="R124" i="18"/>
  <c r="S209" i="18"/>
  <c r="R245" i="18"/>
  <c r="R250" i="18" s="1"/>
  <c r="S252" i="18"/>
  <c r="S263" i="18"/>
  <c r="F284" i="18"/>
  <c r="L284" i="18"/>
  <c r="N284" i="18"/>
  <c r="AQ275" i="2"/>
  <c r="R256" i="18"/>
  <c r="AP212" i="2"/>
  <c r="AP217" i="2" s="1"/>
  <c r="R206" i="18"/>
  <c r="K284" i="18"/>
  <c r="G284" i="18"/>
  <c r="S253" i="18"/>
  <c r="AQ209" i="2"/>
  <c r="AP245" i="2"/>
  <c r="AP250" i="2" s="1"/>
  <c r="AQ253" i="2"/>
  <c r="R25" i="18"/>
  <c r="R212" i="18"/>
  <c r="R234" i="18"/>
  <c r="I284" i="18"/>
  <c r="Q284" i="18"/>
  <c r="B28" i="17"/>
  <c r="B42" i="17"/>
  <c r="B52" i="17"/>
  <c r="B22" i="17"/>
  <c r="B23" i="17"/>
  <c r="B32" i="17"/>
  <c r="B27" i="17"/>
  <c r="AP223" i="2"/>
  <c r="AP228" i="2" s="1"/>
  <c r="AQ230" i="2"/>
  <c r="AP234" i="2"/>
  <c r="AP239" i="2" s="1"/>
  <c r="AP261" i="2"/>
  <c r="I284" i="2"/>
  <c r="R261" i="18"/>
  <c r="M284" i="18"/>
  <c r="R290" i="18"/>
  <c r="S290" i="18" s="1"/>
  <c r="AQ264" i="2"/>
  <c r="F284" i="2"/>
  <c r="J284" i="18"/>
  <c r="B24" i="17"/>
  <c r="S32" i="18"/>
  <c r="S132" i="18"/>
  <c r="S219" i="18"/>
  <c r="B21" i="17"/>
  <c r="B72" i="17"/>
  <c r="R267" i="18"/>
  <c r="R272" i="18" s="1"/>
  <c r="B25" i="17"/>
  <c r="AQ241" i="2"/>
  <c r="S208" i="18"/>
  <c r="B82" i="17"/>
  <c r="AQ274" i="2"/>
  <c r="R239" i="18"/>
  <c r="S241" i="18"/>
  <c r="S264" i="18"/>
  <c r="B12" i="17"/>
  <c r="AP285" i="2"/>
  <c r="S231" i="18"/>
  <c r="R285" i="18"/>
  <c r="R217" i="18"/>
  <c r="AQ219" i="2"/>
  <c r="AQ242" i="2"/>
  <c r="AQ263" i="2"/>
  <c r="S220" i="18"/>
  <c r="B29" i="17"/>
  <c r="AQ132" i="2"/>
  <c r="AP290" i="2"/>
  <c r="AQ290" i="2" s="1"/>
  <c r="H284" i="2"/>
  <c r="S274" i="18"/>
  <c r="AQ252" i="2"/>
  <c r="R223" i="18"/>
  <c r="R228" i="18" s="1"/>
  <c r="S230" i="18"/>
  <c r="S242" i="18"/>
  <c r="B20" i="17"/>
  <c r="AP25" i="2"/>
  <c r="AQ32" i="2"/>
  <c r="AP124" i="2"/>
  <c r="AP201" i="2"/>
  <c r="AP206" i="2" s="1"/>
  <c r="AQ208" i="2"/>
  <c r="AQ220" i="2"/>
  <c r="R283" i="18" l="1"/>
  <c r="S285" i="18"/>
  <c r="AP283" i="2"/>
  <c r="AQ285" i="2"/>
  <c r="T11" i="11" l="1"/>
  <c r="T9" i="11"/>
  <c r="T7" i="11"/>
  <c r="T5" i="11"/>
  <c r="T3" i="11"/>
  <c r="A2" i="21" l="1"/>
  <c r="S6" i="20"/>
  <c r="S7" i="20"/>
  <c r="S8" i="20"/>
  <c r="S9" i="20"/>
  <c r="S10" i="20"/>
  <c r="S11" i="20"/>
  <c r="V11" i="20" s="1"/>
  <c r="S12" i="20"/>
  <c r="V12" i="20" s="1"/>
  <c r="S13" i="20"/>
  <c r="S14" i="20"/>
  <c r="S15" i="20"/>
  <c r="V15" i="20" s="1"/>
  <c r="S16" i="20"/>
  <c r="V16" i="20" s="1"/>
  <c r="S17" i="20"/>
  <c r="V17" i="20" s="1"/>
  <c r="S18" i="20"/>
  <c r="S19" i="20"/>
  <c r="V19" i="20" s="1"/>
  <c r="S20" i="20"/>
  <c r="V20" i="20" s="1"/>
  <c r="S21" i="20"/>
  <c r="S22" i="20"/>
  <c r="S23" i="20"/>
  <c r="V23" i="20" s="1"/>
  <c r="S24" i="20"/>
  <c r="S25" i="20"/>
  <c r="V25" i="20" s="1"/>
  <c r="S26" i="20"/>
  <c r="S27" i="20"/>
  <c r="V27" i="20" s="1"/>
  <c r="S28" i="20"/>
  <c r="V28" i="20" s="1"/>
  <c r="S29" i="20"/>
  <c r="S30" i="20"/>
  <c r="S31" i="20"/>
  <c r="V31" i="20" s="1"/>
  <c r="S32" i="20"/>
  <c r="V32" i="20" s="1"/>
  <c r="S33" i="20"/>
  <c r="V33" i="20" s="1"/>
  <c r="S34" i="20"/>
  <c r="S35" i="20"/>
  <c r="V35" i="20" s="1"/>
  <c r="S36" i="20"/>
  <c r="V36" i="20" s="1"/>
  <c r="S37" i="20"/>
  <c r="S38" i="20"/>
  <c r="S39" i="20"/>
  <c r="V39" i="20" s="1"/>
  <c r="S40" i="20"/>
  <c r="V40" i="20" s="1"/>
  <c r="S41" i="20"/>
  <c r="V41" i="20" s="1"/>
  <c r="S42" i="20"/>
  <c r="S43" i="20"/>
  <c r="V43" i="20" s="1"/>
  <c r="S44" i="20"/>
  <c r="V44" i="20" s="1"/>
  <c r="S45" i="20"/>
  <c r="S46" i="20"/>
  <c r="S47" i="20"/>
  <c r="V47" i="20" s="1"/>
  <c r="S48" i="20"/>
  <c r="V48" i="20" s="1"/>
  <c r="S49" i="20"/>
  <c r="V49" i="20" s="1"/>
  <c r="S50" i="20"/>
  <c r="S51" i="20"/>
  <c r="V51" i="20" s="1"/>
  <c r="S52" i="20"/>
  <c r="V52" i="20" s="1"/>
  <c r="S53" i="20"/>
  <c r="S54" i="20"/>
  <c r="S55" i="20"/>
  <c r="V55" i="20" s="1"/>
  <c r="S56" i="20"/>
  <c r="V56" i="20" s="1"/>
  <c r="S57" i="20"/>
  <c r="V57" i="20" s="1"/>
  <c r="S58" i="20"/>
  <c r="S59" i="20"/>
  <c r="V59" i="20" s="1"/>
  <c r="S60" i="20"/>
  <c r="V60" i="20" s="1"/>
  <c r="S61" i="20"/>
  <c r="S62" i="20"/>
  <c r="S63" i="20"/>
  <c r="V63" i="20" s="1"/>
  <c r="S64" i="20"/>
  <c r="V64" i="20" s="1"/>
  <c r="S65" i="20"/>
  <c r="S66" i="20"/>
  <c r="S67" i="20"/>
  <c r="V67" i="20" s="1"/>
  <c r="S68" i="20"/>
  <c r="V68" i="20" s="1"/>
  <c r="S69" i="20"/>
  <c r="S70" i="20"/>
  <c r="S71" i="20"/>
  <c r="V71" i="20" s="1"/>
  <c r="S72" i="20"/>
  <c r="V72" i="20" s="1"/>
  <c r="S73" i="20"/>
  <c r="V73" i="20" s="1"/>
  <c r="S74" i="20"/>
  <c r="S75" i="20"/>
  <c r="V75" i="20" s="1"/>
  <c r="S76" i="20"/>
  <c r="V76" i="20" s="1"/>
  <c r="S77" i="20"/>
  <c r="S78" i="20"/>
  <c r="S79" i="20"/>
  <c r="V79" i="20" s="1"/>
  <c r="S80" i="20"/>
  <c r="V80" i="20" s="1"/>
  <c r="S81" i="20"/>
  <c r="V81" i="20" s="1"/>
  <c r="S82" i="20"/>
  <c r="S83" i="20"/>
  <c r="V83" i="20" s="1"/>
  <c r="S84" i="20"/>
  <c r="V84" i="20" s="1"/>
  <c r="S85" i="20"/>
  <c r="S86" i="20"/>
  <c r="S87" i="20"/>
  <c r="V87" i="20" s="1"/>
  <c r="S88" i="20"/>
  <c r="V88" i="20" s="1"/>
  <c r="S89" i="20"/>
  <c r="V89" i="20" s="1"/>
  <c r="S90" i="20"/>
  <c r="S91" i="20"/>
  <c r="V91" i="20" s="1"/>
  <c r="S92" i="20"/>
  <c r="V92" i="20" s="1"/>
  <c r="S93" i="20"/>
  <c r="S94" i="20"/>
  <c r="S95" i="20"/>
  <c r="V95" i="20" s="1"/>
  <c r="S96" i="20"/>
  <c r="V96" i="20" s="1"/>
  <c r="S97" i="20"/>
  <c r="V97" i="20" s="1"/>
  <c r="S98" i="20"/>
  <c r="S99" i="20"/>
  <c r="V99" i="20" s="1"/>
  <c r="S100" i="20"/>
  <c r="V100" i="20" s="1"/>
  <c r="S101" i="20"/>
  <c r="S102" i="20"/>
  <c r="S103" i="20"/>
  <c r="V103" i="20" s="1"/>
  <c r="S104" i="20"/>
  <c r="V104" i="20" s="1"/>
  <c r="S105" i="20"/>
  <c r="V105" i="20" s="1"/>
  <c r="S106" i="20"/>
  <c r="S107" i="20"/>
  <c r="V107" i="20" s="1"/>
  <c r="S108" i="20"/>
  <c r="V108" i="20" s="1"/>
  <c r="S109" i="20"/>
  <c r="S110" i="20"/>
  <c r="S111" i="20"/>
  <c r="V111" i="20" s="1"/>
  <c r="S112" i="20"/>
  <c r="V112" i="20" s="1"/>
  <c r="S113" i="20"/>
  <c r="V113" i="20" s="1"/>
  <c r="S114" i="20"/>
  <c r="S115" i="20"/>
  <c r="V115" i="20" s="1"/>
  <c r="S116" i="20"/>
  <c r="V116" i="20" s="1"/>
  <c r="S117" i="20"/>
  <c r="S118" i="20"/>
  <c r="S119" i="20"/>
  <c r="V119" i="20" s="1"/>
  <c r="S120" i="20"/>
  <c r="V120" i="20" s="1"/>
  <c r="S121" i="20"/>
  <c r="S122" i="20"/>
  <c r="S123" i="20"/>
  <c r="V123" i="20" s="1"/>
  <c r="S124" i="20"/>
  <c r="V124" i="20" s="1"/>
  <c r="S125" i="20"/>
  <c r="S126" i="20"/>
  <c r="S127" i="20"/>
  <c r="V127" i="20" s="1"/>
  <c r="S128" i="20"/>
  <c r="V128" i="20" s="1"/>
  <c r="S129" i="20"/>
  <c r="V129" i="20" s="1"/>
  <c r="S130" i="20"/>
  <c r="S131" i="20"/>
  <c r="V131" i="20" s="1"/>
  <c r="S132" i="20"/>
  <c r="V132" i="20" s="1"/>
  <c r="S133" i="20"/>
  <c r="S134" i="20"/>
  <c r="S135" i="20"/>
  <c r="V135" i="20" s="1"/>
  <c r="S136" i="20"/>
  <c r="S137" i="20"/>
  <c r="V137" i="20" s="1"/>
  <c r="S138" i="20"/>
  <c r="S139" i="20"/>
  <c r="V139" i="20" s="1"/>
  <c r="S140" i="20"/>
  <c r="V140" i="20" s="1"/>
  <c r="S141" i="20"/>
  <c r="V141" i="20" s="1"/>
  <c r="S142" i="20"/>
  <c r="S143" i="20"/>
  <c r="V143" i="20" s="1"/>
  <c r="S144" i="20"/>
  <c r="V144" i="20" s="1"/>
  <c r="S145" i="20"/>
  <c r="V145" i="20" s="1"/>
  <c r="S146" i="20"/>
  <c r="S147" i="20"/>
  <c r="V147" i="20" s="1"/>
  <c r="S148" i="20"/>
  <c r="V148" i="20" s="1"/>
  <c r="S149" i="20"/>
  <c r="V149" i="20" s="1"/>
  <c r="S150" i="20"/>
  <c r="S151" i="20"/>
  <c r="V151" i="20" s="1"/>
  <c r="S152" i="20"/>
  <c r="S153" i="20"/>
  <c r="V153" i="20" s="1"/>
  <c r="S154" i="20"/>
  <c r="S155" i="20"/>
  <c r="V155" i="20" s="1"/>
  <c r="S156" i="20"/>
  <c r="V156" i="20" s="1"/>
  <c r="S157" i="20"/>
  <c r="S158" i="20"/>
  <c r="S159" i="20"/>
  <c r="V159" i="20" s="1"/>
  <c r="S160" i="20"/>
  <c r="V160" i="20" s="1"/>
  <c r="S161" i="20"/>
  <c r="V161" i="20" s="1"/>
  <c r="S162" i="20"/>
  <c r="S163" i="20"/>
  <c r="V163" i="20" s="1"/>
  <c r="S164" i="20"/>
  <c r="V164" i="20" s="1"/>
  <c r="S165" i="20"/>
  <c r="S166" i="20"/>
  <c r="S167" i="20"/>
  <c r="V167" i="20" s="1"/>
  <c r="S168" i="20"/>
  <c r="V168" i="20" s="1"/>
  <c r="S169" i="20"/>
  <c r="V169" i="20" s="1"/>
  <c r="S170" i="20"/>
  <c r="S171" i="20"/>
  <c r="V171" i="20" s="1"/>
  <c r="S172" i="20"/>
  <c r="V172" i="20" s="1"/>
  <c r="S173" i="20"/>
  <c r="S174" i="20"/>
  <c r="S175" i="20"/>
  <c r="V175" i="20" s="1"/>
  <c r="S176" i="20"/>
  <c r="V176" i="20" s="1"/>
  <c r="S177" i="20"/>
  <c r="V177" i="20" s="1"/>
  <c r="S178" i="20"/>
  <c r="S179" i="20"/>
  <c r="V179" i="20" s="1"/>
  <c r="S180" i="20"/>
  <c r="V180" i="20" s="1"/>
  <c r="S181" i="20"/>
  <c r="S182" i="20"/>
  <c r="S183" i="20"/>
  <c r="V183" i="20" s="1"/>
  <c r="S184" i="20"/>
  <c r="V184" i="20" s="1"/>
  <c r="S185" i="20"/>
  <c r="V185" i="20" s="1"/>
  <c r="S186" i="20"/>
  <c r="S187" i="20"/>
  <c r="V187" i="20" s="1"/>
  <c r="S188" i="20"/>
  <c r="V188" i="20" s="1"/>
  <c r="S189" i="20"/>
  <c r="S190" i="20"/>
  <c r="S191" i="20"/>
  <c r="V191" i="20" s="1"/>
  <c r="S192" i="20"/>
  <c r="V192" i="20" s="1"/>
  <c r="S193" i="20"/>
  <c r="S194" i="20"/>
  <c r="S195" i="20"/>
  <c r="V195" i="20" s="1"/>
  <c r="S196" i="20"/>
  <c r="V196" i="20" s="1"/>
  <c r="S197" i="20"/>
  <c r="S198" i="20"/>
  <c r="S199" i="20"/>
  <c r="V199" i="20" s="1"/>
  <c r="S200" i="20"/>
  <c r="V200" i="20" s="1"/>
  <c r="S201" i="20"/>
  <c r="V201" i="20" s="1"/>
  <c r="S202" i="20"/>
  <c r="S203" i="20"/>
  <c r="V203" i="20" s="1"/>
  <c r="S204" i="20"/>
  <c r="V204" i="20" s="1"/>
  <c r="S205" i="20"/>
  <c r="V205" i="20" s="1"/>
  <c r="S206" i="20"/>
  <c r="S207" i="20"/>
  <c r="V207" i="20" s="1"/>
  <c r="S208" i="20"/>
  <c r="V208" i="20" s="1"/>
  <c r="S209" i="20"/>
  <c r="V209" i="20" s="1"/>
  <c r="S210" i="20"/>
  <c r="S211" i="20"/>
  <c r="V211" i="20" s="1"/>
  <c r="S212" i="20"/>
  <c r="V212" i="20" s="1"/>
  <c r="S213" i="20"/>
  <c r="V213" i="20" s="1"/>
  <c r="S214" i="20"/>
  <c r="S215" i="20"/>
  <c r="V215" i="20" s="1"/>
  <c r="S216" i="20"/>
  <c r="V216" i="20" s="1"/>
  <c r="S217" i="20"/>
  <c r="V217" i="20" s="1"/>
  <c r="S218" i="20"/>
  <c r="S219" i="20"/>
  <c r="V219" i="20" s="1"/>
  <c r="S220" i="20"/>
  <c r="V220" i="20" s="1"/>
  <c r="S221" i="20"/>
  <c r="S222" i="20"/>
  <c r="S223" i="20"/>
  <c r="V223" i="20" s="1"/>
  <c r="S224" i="20"/>
  <c r="V224" i="20" s="1"/>
  <c r="S225" i="20"/>
  <c r="V225" i="20" s="1"/>
  <c r="S226" i="20"/>
  <c r="S227" i="20"/>
  <c r="V227" i="20" s="1"/>
  <c r="S228" i="20"/>
  <c r="V228" i="20" s="1"/>
  <c r="S5" i="20"/>
  <c r="V226" i="20"/>
  <c r="V222" i="20"/>
  <c r="V221" i="20"/>
  <c r="V218" i="20"/>
  <c r="V214" i="20"/>
  <c r="V210" i="20"/>
  <c r="V206" i="20"/>
  <c r="V202" i="20"/>
  <c r="V198" i="20"/>
  <c r="V197" i="20"/>
  <c r="V194" i="20"/>
  <c r="V193" i="20"/>
  <c r="V190" i="20"/>
  <c r="V189" i="20"/>
  <c r="V186" i="20"/>
  <c r="V182" i="20"/>
  <c r="V181" i="20"/>
  <c r="V178" i="20"/>
  <c r="V174" i="20"/>
  <c r="V173" i="20"/>
  <c r="V170" i="20"/>
  <c r="V166" i="20"/>
  <c r="V165" i="20"/>
  <c r="V162" i="20"/>
  <c r="V158" i="20"/>
  <c r="V157" i="20"/>
  <c r="V154" i="20"/>
  <c r="V152" i="20"/>
  <c r="V150" i="20"/>
  <c r="V146" i="20"/>
  <c r="V142" i="20"/>
  <c r="V138" i="20"/>
  <c r="V136" i="20"/>
  <c r="V134" i="20"/>
  <c r="V133" i="20"/>
  <c r="V130" i="20"/>
  <c r="V126" i="20"/>
  <c r="V125" i="20"/>
  <c r="V122" i="20"/>
  <c r="V121" i="20"/>
  <c r="V118" i="20"/>
  <c r="V117" i="20"/>
  <c r="V114" i="20"/>
  <c r="V110" i="20"/>
  <c r="V109" i="20"/>
  <c r="V106" i="20"/>
  <c r="V102" i="20"/>
  <c r="V101" i="20"/>
  <c r="V98" i="20"/>
  <c r="V94" i="20"/>
  <c r="V93" i="20"/>
  <c r="V90" i="20"/>
  <c r="V86" i="20"/>
  <c r="V85" i="20"/>
  <c r="V82" i="20"/>
  <c r="V78" i="20"/>
  <c r="V77" i="20"/>
  <c r="V74" i="20"/>
  <c r="V70" i="20"/>
  <c r="V69" i="20"/>
  <c r="V66" i="20"/>
  <c r="V65" i="20"/>
  <c r="V62" i="20"/>
  <c r="V61" i="20"/>
  <c r="V58" i="20"/>
  <c r="V54" i="20"/>
  <c r="V53" i="20"/>
  <c r="V50" i="20"/>
  <c r="V46" i="20"/>
  <c r="V45" i="20"/>
  <c r="V42" i="20"/>
  <c r="V38" i="20"/>
  <c r="V37" i="20"/>
  <c r="V34" i="20"/>
  <c r="V30" i="20"/>
  <c r="V29" i="20"/>
  <c r="V26" i="20"/>
  <c r="V24" i="20"/>
  <c r="V22" i="20"/>
  <c r="V21" i="20"/>
  <c r="V18" i="20"/>
  <c r="V14" i="20"/>
  <c r="V13" i="20"/>
  <c r="V10" i="20"/>
  <c r="C228" i="20"/>
  <c r="C227" i="20"/>
  <c r="C226" i="20"/>
  <c r="C225" i="20"/>
  <c r="C224" i="20"/>
  <c r="C223" i="20"/>
  <c r="C222" i="20"/>
  <c r="C221" i="20"/>
  <c r="C220" i="20"/>
  <c r="C219" i="20"/>
  <c r="C218" i="20"/>
  <c r="C217" i="20"/>
  <c r="C216" i="20"/>
  <c r="C215" i="20"/>
  <c r="C214" i="20"/>
  <c r="C213" i="20"/>
  <c r="C212" i="20"/>
  <c r="C211" i="20"/>
  <c r="C210" i="20"/>
  <c r="C209" i="20"/>
  <c r="C208" i="20"/>
  <c r="C207" i="20"/>
  <c r="C206" i="20"/>
  <c r="C205" i="20"/>
  <c r="C204" i="20"/>
  <c r="C203" i="20"/>
  <c r="C202" i="20"/>
  <c r="C201" i="20"/>
  <c r="C200" i="20"/>
  <c r="C199" i="20"/>
  <c r="C198" i="20"/>
  <c r="C197" i="20"/>
  <c r="C196" i="20"/>
  <c r="C195" i="20"/>
  <c r="C194" i="20"/>
  <c r="C193" i="20"/>
  <c r="C192" i="20"/>
  <c r="C191" i="20"/>
  <c r="C190" i="20"/>
  <c r="C189" i="20"/>
  <c r="C188" i="20"/>
  <c r="C187" i="20"/>
  <c r="C186" i="20"/>
  <c r="C185" i="20"/>
  <c r="C184" i="20"/>
  <c r="C183" i="20"/>
  <c r="C182" i="20"/>
  <c r="C181" i="20"/>
  <c r="C180" i="20"/>
  <c r="C179" i="20"/>
  <c r="C178" i="20"/>
  <c r="C177" i="20"/>
  <c r="C176" i="20"/>
  <c r="C175" i="20"/>
  <c r="C174" i="20"/>
  <c r="C173" i="20"/>
  <c r="C172" i="20"/>
  <c r="C168" i="20"/>
  <c r="C158" i="20"/>
  <c r="C148" i="20"/>
  <c r="C138" i="20"/>
  <c r="C128" i="20"/>
  <c r="C125" i="20"/>
  <c r="C124" i="20"/>
  <c r="C123" i="20"/>
  <c r="C122" i="20"/>
  <c r="C121" i="20"/>
  <c r="C120" i="20"/>
  <c r="C119" i="20"/>
  <c r="C118" i="20"/>
  <c r="C117" i="20"/>
  <c r="C116" i="20"/>
  <c r="C108" i="20"/>
  <c r="C98" i="20"/>
  <c r="C88" i="20"/>
  <c r="C78" i="20"/>
  <c r="C68" i="20"/>
  <c r="C58" i="20"/>
  <c r="C48" i="20"/>
  <c r="C38" i="20"/>
  <c r="C28" i="20"/>
  <c r="C25" i="20"/>
  <c r="C24" i="20"/>
  <c r="C23" i="20"/>
  <c r="C19" i="20"/>
  <c r="C18" i="20"/>
  <c r="C17" i="20"/>
  <c r="C16" i="20"/>
  <c r="AD7" i="20" l="1"/>
  <c r="B9" i="19" s="1"/>
  <c r="AD5" i="21"/>
  <c r="Q5" i="21"/>
  <c r="Q6" i="20"/>
  <c r="Q7" i="20"/>
  <c r="Q8" i="20"/>
  <c r="Q9" i="20"/>
  <c r="Q10" i="20"/>
  <c r="T10" i="20" s="1"/>
  <c r="Q11" i="20"/>
  <c r="Q12" i="20"/>
  <c r="Q13" i="20"/>
  <c r="Q14" i="20"/>
  <c r="Q15" i="20"/>
  <c r="T15" i="20" s="1"/>
  <c r="Q16" i="20"/>
  <c r="T16" i="20" s="1"/>
  <c r="Q17" i="20"/>
  <c r="Q18" i="20"/>
  <c r="Q19" i="20"/>
  <c r="T19" i="20" s="1"/>
  <c r="Q20" i="20"/>
  <c r="T20" i="20" s="1"/>
  <c r="Q21" i="20"/>
  <c r="T21" i="20" s="1"/>
  <c r="Q22" i="20"/>
  <c r="Q23" i="20"/>
  <c r="T23" i="20" s="1"/>
  <c r="Q24" i="20"/>
  <c r="T24" i="20" s="1"/>
  <c r="Q25" i="20"/>
  <c r="Q26" i="20"/>
  <c r="Q27" i="20"/>
  <c r="T27" i="20" s="1"/>
  <c r="Q28" i="20"/>
  <c r="T28" i="20" s="1"/>
  <c r="Q29" i="20"/>
  <c r="T29" i="20" s="1"/>
  <c r="Q30" i="20"/>
  <c r="Q31" i="20"/>
  <c r="T31" i="20" s="1"/>
  <c r="Q32" i="20"/>
  <c r="T32" i="20" s="1"/>
  <c r="Q33" i="20"/>
  <c r="Q34" i="20"/>
  <c r="Q35" i="20"/>
  <c r="T35" i="20" s="1"/>
  <c r="Q36" i="20"/>
  <c r="T36" i="20" s="1"/>
  <c r="Q37" i="20"/>
  <c r="T37" i="20" s="1"/>
  <c r="Q38" i="20"/>
  <c r="Q39" i="20"/>
  <c r="T39" i="20" s="1"/>
  <c r="Q40" i="20"/>
  <c r="T40" i="20" s="1"/>
  <c r="Q41" i="20"/>
  <c r="Q42" i="20"/>
  <c r="Q43" i="20"/>
  <c r="T43" i="20" s="1"/>
  <c r="Q44" i="20"/>
  <c r="T44" i="20" s="1"/>
  <c r="Q45" i="20"/>
  <c r="T45" i="20" s="1"/>
  <c r="Q46" i="20"/>
  <c r="Q47" i="20"/>
  <c r="T47" i="20" s="1"/>
  <c r="Q48" i="20"/>
  <c r="T48" i="20" s="1"/>
  <c r="Q49" i="20"/>
  <c r="Q50" i="20"/>
  <c r="Q51" i="20"/>
  <c r="T51" i="20" s="1"/>
  <c r="Q52" i="20"/>
  <c r="T52" i="20" s="1"/>
  <c r="Q53" i="20"/>
  <c r="T53" i="20" s="1"/>
  <c r="Q54" i="20"/>
  <c r="Q55" i="20"/>
  <c r="T55" i="20" s="1"/>
  <c r="Q56" i="20"/>
  <c r="T56" i="20" s="1"/>
  <c r="Q57" i="20"/>
  <c r="Q58" i="20"/>
  <c r="Q59" i="20"/>
  <c r="T59" i="20" s="1"/>
  <c r="Q60" i="20"/>
  <c r="T60" i="20" s="1"/>
  <c r="Q61" i="20"/>
  <c r="T61" i="20" s="1"/>
  <c r="Q62" i="20"/>
  <c r="Q63" i="20"/>
  <c r="T63" i="20" s="1"/>
  <c r="Q64" i="20"/>
  <c r="T64" i="20" s="1"/>
  <c r="Q65" i="20"/>
  <c r="Q66" i="20"/>
  <c r="Q67" i="20"/>
  <c r="T67" i="20" s="1"/>
  <c r="Q68" i="20"/>
  <c r="T68" i="20" s="1"/>
  <c r="Q69" i="20"/>
  <c r="T69" i="20" s="1"/>
  <c r="Q70" i="20"/>
  <c r="Q71" i="20"/>
  <c r="T71" i="20" s="1"/>
  <c r="Q72" i="20"/>
  <c r="T72" i="20" s="1"/>
  <c r="Q73" i="20"/>
  <c r="Q74" i="20"/>
  <c r="Q75" i="20"/>
  <c r="T75" i="20" s="1"/>
  <c r="Q76" i="20"/>
  <c r="T76" i="20" s="1"/>
  <c r="Q77" i="20"/>
  <c r="Q78" i="20"/>
  <c r="Q79" i="20"/>
  <c r="T79" i="20" s="1"/>
  <c r="Q80" i="20"/>
  <c r="T80" i="20" s="1"/>
  <c r="Q81" i="20"/>
  <c r="Q82" i="20"/>
  <c r="Q83" i="20"/>
  <c r="T83" i="20" s="1"/>
  <c r="Q84" i="20"/>
  <c r="T84" i="20" s="1"/>
  <c r="Q85" i="20"/>
  <c r="Q86" i="20"/>
  <c r="Q87" i="20"/>
  <c r="T87" i="20" s="1"/>
  <c r="Q88" i="20"/>
  <c r="T88" i="20" s="1"/>
  <c r="Q89" i="20"/>
  <c r="Q90" i="20"/>
  <c r="Q91" i="20"/>
  <c r="Q92" i="20"/>
  <c r="Q93" i="20"/>
  <c r="Q94" i="20"/>
  <c r="Q95" i="20"/>
  <c r="T95" i="20" s="1"/>
  <c r="Q96" i="20"/>
  <c r="T96" i="20" s="1"/>
  <c r="Q97" i="20"/>
  <c r="Q98" i="20"/>
  <c r="Q99" i="20"/>
  <c r="Q100" i="20"/>
  <c r="T100" i="20" s="1"/>
  <c r="Q101" i="20"/>
  <c r="T101" i="20" s="1"/>
  <c r="Q102" i="20"/>
  <c r="Q103" i="20"/>
  <c r="T103" i="20" s="1"/>
  <c r="Q104" i="20"/>
  <c r="T104" i="20" s="1"/>
  <c r="Q105" i="20"/>
  <c r="Q106" i="20"/>
  <c r="Q107" i="20"/>
  <c r="Q108" i="20"/>
  <c r="Q109" i="20"/>
  <c r="T109" i="20" s="1"/>
  <c r="Q110" i="20"/>
  <c r="Q111" i="20"/>
  <c r="T111" i="20" s="1"/>
  <c r="Q112" i="20"/>
  <c r="T112" i="20" s="1"/>
  <c r="Q113" i="20"/>
  <c r="T113" i="20" s="1"/>
  <c r="Q114" i="20"/>
  <c r="Q115" i="20"/>
  <c r="Q116" i="20"/>
  <c r="T116" i="20" s="1"/>
  <c r="Q117" i="20"/>
  <c r="T117" i="20" s="1"/>
  <c r="Q118" i="20"/>
  <c r="Q119" i="20"/>
  <c r="T119" i="20" s="1"/>
  <c r="Q120" i="20"/>
  <c r="T120" i="20" s="1"/>
  <c r="Q121" i="20"/>
  <c r="Q122" i="20"/>
  <c r="Q123" i="20"/>
  <c r="Q124" i="20"/>
  <c r="T124" i="20" s="1"/>
  <c r="Q125" i="20"/>
  <c r="T125" i="20" s="1"/>
  <c r="Q126" i="20"/>
  <c r="Q127" i="20"/>
  <c r="T127" i="20" s="1"/>
  <c r="Q128" i="20"/>
  <c r="T128" i="20" s="1"/>
  <c r="Q129" i="20"/>
  <c r="Q130" i="20"/>
  <c r="Q131" i="20"/>
  <c r="T131" i="20" s="1"/>
  <c r="Q132" i="20"/>
  <c r="T132" i="20" s="1"/>
  <c r="Q133" i="20"/>
  <c r="Q134" i="20"/>
  <c r="Q135" i="20"/>
  <c r="T135" i="20" s="1"/>
  <c r="Q136" i="20"/>
  <c r="T136" i="20" s="1"/>
  <c r="Q137" i="20"/>
  <c r="T137" i="20" s="1"/>
  <c r="Q138" i="20"/>
  <c r="Q139" i="20"/>
  <c r="Q140" i="20"/>
  <c r="Q141" i="20"/>
  <c r="T141" i="20" s="1"/>
  <c r="Q142" i="20"/>
  <c r="Q143" i="20"/>
  <c r="T143" i="20" s="1"/>
  <c r="Q144" i="20"/>
  <c r="T144" i="20" s="1"/>
  <c r="Q145" i="20"/>
  <c r="T145" i="20" s="1"/>
  <c r="Q146" i="20"/>
  <c r="Q147" i="20"/>
  <c r="Q148" i="20"/>
  <c r="T148" i="20" s="1"/>
  <c r="Q149" i="20"/>
  <c r="T149" i="20" s="1"/>
  <c r="Q150" i="20"/>
  <c r="Q151" i="20"/>
  <c r="T151" i="20" s="1"/>
  <c r="Q152" i="20"/>
  <c r="T152" i="20" s="1"/>
  <c r="Q153" i="20"/>
  <c r="Q154" i="20"/>
  <c r="Q155" i="20"/>
  <c r="Q156" i="20"/>
  <c r="T156" i="20" s="1"/>
  <c r="Q157" i="20"/>
  <c r="T157" i="20" s="1"/>
  <c r="Q158" i="20"/>
  <c r="Q159" i="20"/>
  <c r="T159" i="20" s="1"/>
  <c r="Q160" i="20"/>
  <c r="T160" i="20" s="1"/>
  <c r="Q161" i="20"/>
  <c r="Q162" i="20"/>
  <c r="Q163" i="20"/>
  <c r="Q164" i="20"/>
  <c r="Q165" i="20"/>
  <c r="T165" i="20" s="1"/>
  <c r="Q166" i="20"/>
  <c r="Q167" i="20"/>
  <c r="T167" i="20" s="1"/>
  <c r="Q168" i="20"/>
  <c r="Q169" i="20"/>
  <c r="Q170" i="20"/>
  <c r="Q171" i="20"/>
  <c r="Q172" i="20"/>
  <c r="T172" i="20" s="1"/>
  <c r="Q173" i="20"/>
  <c r="T173" i="20" s="1"/>
  <c r="Q174" i="20"/>
  <c r="Q175" i="20"/>
  <c r="T175" i="20" s="1"/>
  <c r="Q176" i="20"/>
  <c r="T176" i="20" s="1"/>
  <c r="Q177" i="20"/>
  <c r="Q178" i="20"/>
  <c r="Q179" i="20"/>
  <c r="Q180" i="20"/>
  <c r="T180" i="20" s="1"/>
  <c r="Q181" i="20"/>
  <c r="T181" i="20" s="1"/>
  <c r="Q182" i="20"/>
  <c r="Q183" i="20"/>
  <c r="T183" i="20" s="1"/>
  <c r="Q184" i="20"/>
  <c r="Q185" i="20"/>
  <c r="T185" i="20" s="1"/>
  <c r="Q186" i="20"/>
  <c r="Q187" i="20"/>
  <c r="Q188" i="20"/>
  <c r="T188" i="20" s="1"/>
  <c r="Q189" i="20"/>
  <c r="T189" i="20" s="1"/>
  <c r="Q190" i="20"/>
  <c r="Q191" i="20"/>
  <c r="T191" i="20" s="1"/>
  <c r="Q192" i="20"/>
  <c r="Q193" i="20"/>
  <c r="T193" i="20" s="1"/>
  <c r="Q194" i="20"/>
  <c r="Q195" i="20"/>
  <c r="Q196" i="20"/>
  <c r="Q197" i="20"/>
  <c r="T197" i="20" s="1"/>
  <c r="Q198" i="20"/>
  <c r="Q199" i="20"/>
  <c r="T199" i="20" s="1"/>
  <c r="Q200" i="20"/>
  <c r="T200" i="20" s="1"/>
  <c r="Q201" i="20"/>
  <c r="T201" i="20" s="1"/>
  <c r="Q202" i="20"/>
  <c r="Q203" i="20"/>
  <c r="T203" i="20" s="1"/>
  <c r="Q204" i="20"/>
  <c r="T204" i="20" s="1"/>
  <c r="Q205" i="20"/>
  <c r="Q206" i="20"/>
  <c r="T206" i="20" s="1"/>
  <c r="Q207" i="20"/>
  <c r="T207" i="20" s="1"/>
  <c r="Q208" i="20"/>
  <c r="T208" i="20" s="1"/>
  <c r="Q209" i="20"/>
  <c r="T209" i="20" s="1"/>
  <c r="Q210" i="20"/>
  <c r="Q211" i="20"/>
  <c r="T211" i="20" s="1"/>
  <c r="Q212" i="20"/>
  <c r="T212" i="20" s="1"/>
  <c r="Q213" i="20"/>
  <c r="T213" i="20" s="1"/>
  <c r="Q214" i="20"/>
  <c r="Q215" i="20"/>
  <c r="T215" i="20" s="1"/>
  <c r="Q216" i="20"/>
  <c r="T216" i="20" s="1"/>
  <c r="Q217" i="20"/>
  <c r="T217" i="20" s="1"/>
  <c r="Q218" i="20"/>
  <c r="Q219" i="20"/>
  <c r="Q220" i="20"/>
  <c r="T220" i="20" s="1"/>
  <c r="Q221" i="20"/>
  <c r="T221" i="20" s="1"/>
  <c r="Q222" i="20"/>
  <c r="Q223" i="20"/>
  <c r="T223" i="20" s="1"/>
  <c r="Q224" i="20"/>
  <c r="Q225" i="20"/>
  <c r="T225" i="20" s="1"/>
  <c r="Q226" i="20"/>
  <c r="T226" i="20" s="1"/>
  <c r="Q227" i="20"/>
  <c r="T227" i="20" s="1"/>
  <c r="Q228" i="20"/>
  <c r="T228" i="20" s="1"/>
  <c r="A228" i="20"/>
  <c r="A227" i="20"/>
  <c r="A226" i="20"/>
  <c r="A225" i="20"/>
  <c r="A224" i="20"/>
  <c r="A223" i="20"/>
  <c r="A222" i="20"/>
  <c r="A221" i="20"/>
  <c r="A220" i="20"/>
  <c r="A219" i="20"/>
  <c r="A218" i="20"/>
  <c r="A217" i="20"/>
  <c r="A216" i="20"/>
  <c r="A215" i="20"/>
  <c r="A214" i="20"/>
  <c r="A213" i="20"/>
  <c r="A212" i="20"/>
  <c r="A211" i="20"/>
  <c r="A210" i="20"/>
  <c r="A209" i="20"/>
  <c r="A208" i="20"/>
  <c r="A207" i="20"/>
  <c r="A206" i="20"/>
  <c r="A205" i="20"/>
  <c r="A204" i="20"/>
  <c r="A203" i="20"/>
  <c r="A202" i="20"/>
  <c r="A201" i="20"/>
  <c r="A200" i="20"/>
  <c r="A199" i="20"/>
  <c r="A198" i="20"/>
  <c r="A197" i="20"/>
  <c r="A196" i="20"/>
  <c r="A195" i="20"/>
  <c r="A194" i="20"/>
  <c r="A193" i="20"/>
  <c r="A192" i="20"/>
  <c r="A191" i="20"/>
  <c r="A190" i="20"/>
  <c r="A189" i="20"/>
  <c r="A188" i="20"/>
  <c r="A187" i="20"/>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A2" i="20"/>
  <c r="AE228" i="20"/>
  <c r="AD228" i="20"/>
  <c r="R228" i="20"/>
  <c r="U228" i="20" s="1"/>
  <c r="AE227" i="20"/>
  <c r="AD227" i="20"/>
  <c r="R227" i="20"/>
  <c r="U227" i="20" s="1"/>
  <c r="AE226" i="20"/>
  <c r="AD226" i="20"/>
  <c r="R226" i="20"/>
  <c r="U226" i="20" s="1"/>
  <c r="AE225" i="20"/>
  <c r="AD225" i="20"/>
  <c r="R225" i="20"/>
  <c r="U225" i="20" s="1"/>
  <c r="AE224" i="20"/>
  <c r="AD224" i="20"/>
  <c r="R224" i="20"/>
  <c r="U224" i="20" s="1"/>
  <c r="T224" i="20"/>
  <c r="AE223" i="20"/>
  <c r="AD223" i="20"/>
  <c r="R223" i="20"/>
  <c r="U223" i="20" s="1"/>
  <c r="AE222" i="20"/>
  <c r="AD222" i="20"/>
  <c r="R222" i="20"/>
  <c r="U222" i="20" s="1"/>
  <c r="T222" i="20"/>
  <c r="AE221" i="20"/>
  <c r="AD221" i="20"/>
  <c r="R221" i="20"/>
  <c r="U221" i="20" s="1"/>
  <c r="AE220" i="20"/>
  <c r="AD220" i="20"/>
  <c r="R220" i="20"/>
  <c r="U220" i="20" s="1"/>
  <c r="AE219" i="20"/>
  <c r="AD219" i="20"/>
  <c r="R219" i="20"/>
  <c r="U219" i="20" s="1"/>
  <c r="T219" i="20"/>
  <c r="AE218" i="20"/>
  <c r="AD218" i="20"/>
  <c r="R218" i="20"/>
  <c r="U218" i="20" s="1"/>
  <c r="T218" i="20"/>
  <c r="AE217" i="20"/>
  <c r="AD217" i="20"/>
  <c r="R217" i="20"/>
  <c r="U217" i="20" s="1"/>
  <c r="AE216" i="20"/>
  <c r="AD216" i="20"/>
  <c r="R216" i="20"/>
  <c r="U216" i="20" s="1"/>
  <c r="AE215" i="20"/>
  <c r="AD215" i="20"/>
  <c r="R215" i="20"/>
  <c r="U215" i="20" s="1"/>
  <c r="AE214" i="20"/>
  <c r="AD214" i="20"/>
  <c r="T214" i="20"/>
  <c r="R214" i="20"/>
  <c r="U214" i="20" s="1"/>
  <c r="AE213" i="20"/>
  <c r="AD213" i="20"/>
  <c r="R213" i="20"/>
  <c r="U213" i="20" s="1"/>
  <c r="AE212" i="20"/>
  <c r="AD212" i="20"/>
  <c r="R212" i="20"/>
  <c r="U212" i="20" s="1"/>
  <c r="AE211" i="20"/>
  <c r="AD211" i="20"/>
  <c r="R211" i="20"/>
  <c r="U211" i="20" s="1"/>
  <c r="AE210" i="20"/>
  <c r="AD210" i="20"/>
  <c r="T210" i="20"/>
  <c r="R210" i="20"/>
  <c r="U210" i="20" s="1"/>
  <c r="AE209" i="20"/>
  <c r="AD209" i="20"/>
  <c r="R209" i="20"/>
  <c r="U209" i="20" s="1"/>
  <c r="AE208" i="20"/>
  <c r="AD208" i="20"/>
  <c r="R208" i="20"/>
  <c r="U208" i="20" s="1"/>
  <c r="AE207" i="20"/>
  <c r="AD207" i="20"/>
  <c r="R207" i="20"/>
  <c r="U207" i="20" s="1"/>
  <c r="AE206" i="20"/>
  <c r="AD206" i="20"/>
  <c r="R206" i="20"/>
  <c r="U206" i="20" s="1"/>
  <c r="AE205" i="20"/>
  <c r="AD205" i="20"/>
  <c r="T205" i="20"/>
  <c r="R205" i="20"/>
  <c r="U205" i="20" s="1"/>
  <c r="AE204" i="20"/>
  <c r="AD204" i="20"/>
  <c r="R204" i="20"/>
  <c r="U204" i="20" s="1"/>
  <c r="AE203" i="20"/>
  <c r="AD203" i="20"/>
  <c r="R203" i="20"/>
  <c r="U203" i="20" s="1"/>
  <c r="AE202" i="20"/>
  <c r="AD202" i="20"/>
  <c r="T202" i="20"/>
  <c r="R202" i="20"/>
  <c r="U202" i="20" s="1"/>
  <c r="AE201" i="20"/>
  <c r="AD201" i="20"/>
  <c r="R201" i="20"/>
  <c r="U201" i="20" s="1"/>
  <c r="AE200" i="20"/>
  <c r="AD200" i="20"/>
  <c r="R200" i="20"/>
  <c r="U200" i="20" s="1"/>
  <c r="AE199" i="20"/>
  <c r="AD199" i="20"/>
  <c r="R199" i="20"/>
  <c r="U199" i="20" s="1"/>
  <c r="AE198" i="20"/>
  <c r="AD198" i="20"/>
  <c r="T198" i="20"/>
  <c r="R198" i="20"/>
  <c r="U198" i="20" s="1"/>
  <c r="AE197" i="20"/>
  <c r="AD197" i="20"/>
  <c r="R197" i="20"/>
  <c r="U197" i="20" s="1"/>
  <c r="AE196" i="20"/>
  <c r="AD196" i="20"/>
  <c r="T196" i="20"/>
  <c r="R196" i="20"/>
  <c r="U196" i="20" s="1"/>
  <c r="AE195" i="20"/>
  <c r="AD195" i="20"/>
  <c r="T195" i="20"/>
  <c r="R195" i="20"/>
  <c r="U195" i="20" s="1"/>
  <c r="AE194" i="20"/>
  <c r="AD194" i="20"/>
  <c r="T194" i="20"/>
  <c r="R194" i="20"/>
  <c r="U194" i="20" s="1"/>
  <c r="AE193" i="20"/>
  <c r="AD193" i="20"/>
  <c r="R193" i="20"/>
  <c r="U193" i="20" s="1"/>
  <c r="AE192" i="20"/>
  <c r="AD192" i="20"/>
  <c r="T192" i="20"/>
  <c r="R192" i="20"/>
  <c r="U192" i="20" s="1"/>
  <c r="AE191" i="20"/>
  <c r="AD191" i="20"/>
  <c r="R191" i="20"/>
  <c r="U191" i="20" s="1"/>
  <c r="AE190" i="20"/>
  <c r="AD190" i="20"/>
  <c r="T190" i="20"/>
  <c r="R190" i="20"/>
  <c r="U190" i="20" s="1"/>
  <c r="AE189" i="20"/>
  <c r="AD189" i="20"/>
  <c r="R189" i="20"/>
  <c r="U189" i="20" s="1"/>
  <c r="AE188" i="20"/>
  <c r="AD188" i="20"/>
  <c r="R188" i="20"/>
  <c r="U188" i="20" s="1"/>
  <c r="AE187" i="20"/>
  <c r="AD187" i="20"/>
  <c r="R187" i="20"/>
  <c r="U187" i="20" s="1"/>
  <c r="T187" i="20"/>
  <c r="AE186" i="20"/>
  <c r="AD186" i="20"/>
  <c r="R186" i="20"/>
  <c r="U186" i="20" s="1"/>
  <c r="T186" i="20"/>
  <c r="AE185" i="20"/>
  <c r="AD185" i="20"/>
  <c r="R185" i="20"/>
  <c r="U185" i="20" s="1"/>
  <c r="AE184" i="20"/>
  <c r="AD184" i="20"/>
  <c r="R184" i="20"/>
  <c r="U184" i="20" s="1"/>
  <c r="T184" i="20"/>
  <c r="AE183" i="20"/>
  <c r="AD183" i="20"/>
  <c r="R183" i="20"/>
  <c r="U183" i="20" s="1"/>
  <c r="AE182" i="20"/>
  <c r="AD182" i="20"/>
  <c r="R182" i="20"/>
  <c r="U182" i="20" s="1"/>
  <c r="T182" i="20"/>
  <c r="AE181" i="20"/>
  <c r="AD181" i="20"/>
  <c r="R181" i="20"/>
  <c r="U181" i="20" s="1"/>
  <c r="AE180" i="20"/>
  <c r="AD180" i="20"/>
  <c r="R180" i="20"/>
  <c r="U180" i="20" s="1"/>
  <c r="AE179" i="20"/>
  <c r="AD179" i="20"/>
  <c r="R179" i="20"/>
  <c r="U179" i="20" s="1"/>
  <c r="T179" i="20"/>
  <c r="AE178" i="20"/>
  <c r="AD178" i="20"/>
  <c r="R178" i="20"/>
  <c r="U178" i="20" s="1"/>
  <c r="T178" i="20"/>
  <c r="AE177" i="20"/>
  <c r="AD177" i="20"/>
  <c r="T177" i="20"/>
  <c r="R177" i="20"/>
  <c r="U177" i="20" s="1"/>
  <c r="AE176" i="20"/>
  <c r="AD176" i="20"/>
  <c r="R176" i="20"/>
  <c r="U176" i="20" s="1"/>
  <c r="AE175" i="20"/>
  <c r="AD175" i="20"/>
  <c r="R175" i="20"/>
  <c r="U175" i="20" s="1"/>
  <c r="AE174" i="20"/>
  <c r="AD174" i="20"/>
  <c r="R174" i="20"/>
  <c r="U174" i="20" s="1"/>
  <c r="T174" i="20"/>
  <c r="AE173" i="20"/>
  <c r="AD173" i="20"/>
  <c r="R173" i="20"/>
  <c r="U173" i="20" s="1"/>
  <c r="AE172" i="20"/>
  <c r="AD172" i="20"/>
  <c r="R172" i="20"/>
  <c r="U172" i="20" s="1"/>
  <c r="AE171" i="20"/>
  <c r="AD171" i="20"/>
  <c r="R171" i="20"/>
  <c r="U171" i="20" s="1"/>
  <c r="T171" i="20"/>
  <c r="AE170" i="20"/>
  <c r="AD170" i="20"/>
  <c r="R170" i="20"/>
  <c r="U170" i="20" s="1"/>
  <c r="T170" i="20"/>
  <c r="AE169" i="20"/>
  <c r="AD169" i="20"/>
  <c r="T169" i="20"/>
  <c r="R169" i="20"/>
  <c r="U169" i="20" s="1"/>
  <c r="AE168" i="20"/>
  <c r="AD168" i="20"/>
  <c r="T168" i="20"/>
  <c r="R168" i="20"/>
  <c r="U168" i="20" s="1"/>
  <c r="AE167" i="20"/>
  <c r="AD167" i="20"/>
  <c r="R167" i="20"/>
  <c r="U167" i="20" s="1"/>
  <c r="AE166" i="20"/>
  <c r="AD166" i="20"/>
  <c r="R166" i="20"/>
  <c r="U166" i="20" s="1"/>
  <c r="T166" i="20"/>
  <c r="AE165" i="20"/>
  <c r="AD165" i="20"/>
  <c r="R165" i="20"/>
  <c r="U165" i="20" s="1"/>
  <c r="AE164" i="20"/>
  <c r="AD164" i="20"/>
  <c r="T164" i="20"/>
  <c r="R164" i="20"/>
  <c r="U164" i="20" s="1"/>
  <c r="AE163" i="20"/>
  <c r="AD163" i="20"/>
  <c r="R163" i="20"/>
  <c r="U163" i="20" s="1"/>
  <c r="T163" i="20"/>
  <c r="AE162" i="20"/>
  <c r="AD162" i="20"/>
  <c r="R162" i="20"/>
  <c r="U162" i="20" s="1"/>
  <c r="T162" i="20"/>
  <c r="AE161" i="20"/>
  <c r="AD161" i="20"/>
  <c r="T161" i="20"/>
  <c r="R161" i="20"/>
  <c r="U161" i="20" s="1"/>
  <c r="AE160" i="20"/>
  <c r="AD160" i="20"/>
  <c r="R160" i="20"/>
  <c r="U160" i="20" s="1"/>
  <c r="AE159" i="20"/>
  <c r="AD159" i="20"/>
  <c r="R159" i="20"/>
  <c r="U159" i="20" s="1"/>
  <c r="AE158" i="20"/>
  <c r="AD158" i="20"/>
  <c r="T158" i="20"/>
  <c r="R158" i="20"/>
  <c r="U158" i="20" s="1"/>
  <c r="AE157" i="20"/>
  <c r="AD157" i="20"/>
  <c r="R157" i="20"/>
  <c r="U157" i="20" s="1"/>
  <c r="AE156" i="20"/>
  <c r="AD156" i="20"/>
  <c r="R156" i="20"/>
  <c r="U156" i="20" s="1"/>
  <c r="AE155" i="20"/>
  <c r="AD155" i="20"/>
  <c r="R155" i="20"/>
  <c r="U155" i="20" s="1"/>
  <c r="T155" i="20"/>
  <c r="AE154" i="20"/>
  <c r="AD154" i="20"/>
  <c r="T154" i="20"/>
  <c r="R154" i="20"/>
  <c r="U154" i="20" s="1"/>
  <c r="AE153" i="20"/>
  <c r="AD153" i="20"/>
  <c r="T153" i="20"/>
  <c r="R153" i="20"/>
  <c r="U153" i="20" s="1"/>
  <c r="AE152" i="20"/>
  <c r="AD152" i="20"/>
  <c r="R152" i="20"/>
  <c r="U152" i="20" s="1"/>
  <c r="AE151" i="20"/>
  <c r="AD151" i="20"/>
  <c r="R151" i="20"/>
  <c r="U151" i="20" s="1"/>
  <c r="AE150" i="20"/>
  <c r="AD150" i="20"/>
  <c r="T150" i="20"/>
  <c r="R150" i="20"/>
  <c r="U150" i="20" s="1"/>
  <c r="AE149" i="20"/>
  <c r="AD149" i="20"/>
  <c r="R149" i="20"/>
  <c r="U149" i="20" s="1"/>
  <c r="AE148" i="20"/>
  <c r="AD148" i="20"/>
  <c r="R148" i="20"/>
  <c r="U148" i="20" s="1"/>
  <c r="AE147" i="20"/>
  <c r="AD147" i="20"/>
  <c r="R147" i="20"/>
  <c r="U147" i="20" s="1"/>
  <c r="T147" i="20"/>
  <c r="AE146" i="20"/>
  <c r="AD146" i="20"/>
  <c r="T146" i="20"/>
  <c r="R146" i="20"/>
  <c r="U146" i="20" s="1"/>
  <c r="AE145" i="20"/>
  <c r="AD145" i="20"/>
  <c r="R145" i="20"/>
  <c r="U145" i="20" s="1"/>
  <c r="AE144" i="20"/>
  <c r="AD144" i="20"/>
  <c r="R144" i="20"/>
  <c r="U144" i="20" s="1"/>
  <c r="AE143" i="20"/>
  <c r="AD143" i="20"/>
  <c r="R143" i="20"/>
  <c r="U143" i="20" s="1"/>
  <c r="AE142" i="20"/>
  <c r="AD142" i="20"/>
  <c r="R142" i="20"/>
  <c r="U142" i="20" s="1"/>
  <c r="T142" i="20"/>
  <c r="AE141" i="20"/>
  <c r="AD141" i="20"/>
  <c r="R141" i="20"/>
  <c r="U141" i="20" s="1"/>
  <c r="AE140" i="20"/>
  <c r="AD140" i="20"/>
  <c r="R140" i="20"/>
  <c r="U140" i="20" s="1"/>
  <c r="T140" i="20"/>
  <c r="AE139" i="20"/>
  <c r="AD139" i="20"/>
  <c r="T139" i="20"/>
  <c r="R139" i="20"/>
  <c r="U139" i="20" s="1"/>
  <c r="AE138" i="20"/>
  <c r="AD138" i="20"/>
  <c r="R138" i="20"/>
  <c r="U138" i="20" s="1"/>
  <c r="T138" i="20"/>
  <c r="AE137" i="20"/>
  <c r="AD137" i="20"/>
  <c r="R137" i="20"/>
  <c r="U137" i="20" s="1"/>
  <c r="AE136" i="20"/>
  <c r="AD136" i="20"/>
  <c r="R136" i="20"/>
  <c r="U136" i="20" s="1"/>
  <c r="AE135" i="20"/>
  <c r="AD135" i="20"/>
  <c r="R135" i="20"/>
  <c r="U135" i="20" s="1"/>
  <c r="AE134" i="20"/>
  <c r="AD134" i="20"/>
  <c r="R134" i="20"/>
  <c r="U134" i="20" s="1"/>
  <c r="T134" i="20"/>
  <c r="AE133" i="20"/>
  <c r="AD133" i="20"/>
  <c r="T133" i="20"/>
  <c r="R133" i="20"/>
  <c r="U133" i="20" s="1"/>
  <c r="AE132" i="20"/>
  <c r="AD132" i="20"/>
  <c r="R132" i="20"/>
  <c r="U132" i="20" s="1"/>
  <c r="AE131" i="20"/>
  <c r="AD131" i="20"/>
  <c r="R131" i="20"/>
  <c r="U131" i="20" s="1"/>
  <c r="AE130" i="20"/>
  <c r="AD130" i="20"/>
  <c r="R130" i="20"/>
  <c r="U130" i="20" s="1"/>
  <c r="T130" i="20"/>
  <c r="AE129" i="20"/>
  <c r="AD129" i="20"/>
  <c r="T129" i="20"/>
  <c r="R129" i="20"/>
  <c r="U129" i="20" s="1"/>
  <c r="AE128" i="20"/>
  <c r="AD128" i="20"/>
  <c r="R128" i="20"/>
  <c r="U128" i="20" s="1"/>
  <c r="AE127" i="20"/>
  <c r="AD127" i="20"/>
  <c r="R127" i="20"/>
  <c r="U127" i="20" s="1"/>
  <c r="AE126" i="20"/>
  <c r="AD126" i="20"/>
  <c r="R126" i="20"/>
  <c r="U126" i="20" s="1"/>
  <c r="T126" i="20"/>
  <c r="AE125" i="20"/>
  <c r="AD125" i="20"/>
  <c r="R125" i="20"/>
  <c r="U125" i="20" s="1"/>
  <c r="AE124" i="20"/>
  <c r="AD124" i="20"/>
  <c r="R124" i="20"/>
  <c r="U124" i="20" s="1"/>
  <c r="AE123" i="20"/>
  <c r="AD123" i="20"/>
  <c r="T123" i="20"/>
  <c r="R123" i="20"/>
  <c r="U123" i="20" s="1"/>
  <c r="AE122" i="20"/>
  <c r="AD122" i="20"/>
  <c r="R122" i="20"/>
  <c r="U122" i="20" s="1"/>
  <c r="T122" i="20"/>
  <c r="AE121" i="20"/>
  <c r="AD121" i="20"/>
  <c r="T121" i="20"/>
  <c r="R121" i="20"/>
  <c r="U121" i="20" s="1"/>
  <c r="AE120" i="20"/>
  <c r="AD120" i="20"/>
  <c r="R120" i="20"/>
  <c r="U120" i="20" s="1"/>
  <c r="AE119" i="20"/>
  <c r="AD119" i="20"/>
  <c r="R119" i="20"/>
  <c r="U119" i="20" s="1"/>
  <c r="AE118" i="20"/>
  <c r="AD118" i="20"/>
  <c r="R118" i="20"/>
  <c r="U118" i="20" s="1"/>
  <c r="T118" i="20"/>
  <c r="AE117" i="20"/>
  <c r="AD117" i="20"/>
  <c r="R117" i="20"/>
  <c r="U117" i="20" s="1"/>
  <c r="AE116" i="20"/>
  <c r="AD116" i="20"/>
  <c r="R116" i="20"/>
  <c r="U116" i="20" s="1"/>
  <c r="AE115" i="20"/>
  <c r="AD115" i="20"/>
  <c r="T115" i="20"/>
  <c r="R115" i="20"/>
  <c r="U115" i="20" s="1"/>
  <c r="AE114" i="20"/>
  <c r="AD114" i="20"/>
  <c r="R114" i="20"/>
  <c r="U114" i="20" s="1"/>
  <c r="T114" i="20"/>
  <c r="AE113" i="20"/>
  <c r="AD113" i="20"/>
  <c r="R113" i="20"/>
  <c r="U113" i="20" s="1"/>
  <c r="AE112" i="20"/>
  <c r="AD112" i="20"/>
  <c r="R112" i="20"/>
  <c r="U112" i="20" s="1"/>
  <c r="AE111" i="20"/>
  <c r="AD111" i="20"/>
  <c r="R111" i="20"/>
  <c r="U111" i="20" s="1"/>
  <c r="AE110" i="20"/>
  <c r="AD110" i="20"/>
  <c r="R110" i="20"/>
  <c r="U110" i="20" s="1"/>
  <c r="T110" i="20"/>
  <c r="AE109" i="20"/>
  <c r="AD109" i="20"/>
  <c r="R109" i="20"/>
  <c r="U109" i="20" s="1"/>
  <c r="AE108" i="20"/>
  <c r="AD108" i="20"/>
  <c r="R108" i="20"/>
  <c r="U108" i="20" s="1"/>
  <c r="T108" i="20"/>
  <c r="AE107" i="20"/>
  <c r="AD107" i="20"/>
  <c r="R107" i="20"/>
  <c r="U107" i="20" s="1"/>
  <c r="T107" i="20"/>
  <c r="AE106" i="20"/>
  <c r="AD106" i="20"/>
  <c r="R106" i="20"/>
  <c r="U106" i="20" s="1"/>
  <c r="T106" i="20"/>
  <c r="AE105" i="20"/>
  <c r="AD105" i="20"/>
  <c r="R105" i="20"/>
  <c r="U105" i="20" s="1"/>
  <c r="T105" i="20"/>
  <c r="AE104" i="20"/>
  <c r="AD104" i="20"/>
  <c r="R104" i="20"/>
  <c r="U104" i="20" s="1"/>
  <c r="AE103" i="20"/>
  <c r="AD103" i="20"/>
  <c r="R103" i="20"/>
  <c r="U103" i="20" s="1"/>
  <c r="AE102" i="20"/>
  <c r="AD102" i="20"/>
  <c r="R102" i="20"/>
  <c r="U102" i="20" s="1"/>
  <c r="T102" i="20"/>
  <c r="AE101" i="20"/>
  <c r="AD101" i="20"/>
  <c r="R101" i="20"/>
  <c r="U101" i="20" s="1"/>
  <c r="AE100" i="20"/>
  <c r="AD100" i="20"/>
  <c r="R100" i="20"/>
  <c r="U100" i="20" s="1"/>
  <c r="AE99" i="20"/>
  <c r="AD99" i="20"/>
  <c r="R99" i="20"/>
  <c r="U99" i="20" s="1"/>
  <c r="T99" i="20"/>
  <c r="AE98" i="20"/>
  <c r="AD98" i="20"/>
  <c r="R98" i="20"/>
  <c r="U98" i="20" s="1"/>
  <c r="T98" i="20"/>
  <c r="AE97" i="20"/>
  <c r="AD97" i="20"/>
  <c r="R97" i="20"/>
  <c r="U97" i="20" s="1"/>
  <c r="T97" i="20"/>
  <c r="AE96" i="20"/>
  <c r="AD96" i="20"/>
  <c r="R96" i="20"/>
  <c r="U96" i="20" s="1"/>
  <c r="AE95" i="20"/>
  <c r="AD95" i="20"/>
  <c r="R95" i="20"/>
  <c r="U95" i="20" s="1"/>
  <c r="AE94" i="20"/>
  <c r="AD94" i="20"/>
  <c r="R94" i="20"/>
  <c r="U94" i="20" s="1"/>
  <c r="T94" i="20"/>
  <c r="AE93" i="20"/>
  <c r="AD93" i="20"/>
  <c r="R93" i="20"/>
  <c r="U93" i="20" s="1"/>
  <c r="T93" i="20"/>
  <c r="AE92" i="20"/>
  <c r="AD92" i="20"/>
  <c r="R92" i="20"/>
  <c r="U92" i="20" s="1"/>
  <c r="T92" i="20"/>
  <c r="AE91" i="20"/>
  <c r="AD91" i="20"/>
  <c r="R91" i="20"/>
  <c r="U91" i="20" s="1"/>
  <c r="T91" i="20"/>
  <c r="AE90" i="20"/>
  <c r="AD90" i="20"/>
  <c r="R90" i="20"/>
  <c r="U90" i="20" s="1"/>
  <c r="T90" i="20"/>
  <c r="AE89" i="20"/>
  <c r="AD89" i="20"/>
  <c r="R89" i="20"/>
  <c r="U89" i="20" s="1"/>
  <c r="T89" i="20"/>
  <c r="AE88" i="20"/>
  <c r="AD88" i="20"/>
  <c r="R88" i="20"/>
  <c r="U88" i="20" s="1"/>
  <c r="AE87" i="20"/>
  <c r="AD87" i="20"/>
  <c r="R87" i="20"/>
  <c r="U87" i="20" s="1"/>
  <c r="AE86" i="20"/>
  <c r="AD86" i="20"/>
  <c r="R86" i="20"/>
  <c r="U86" i="20" s="1"/>
  <c r="T86" i="20"/>
  <c r="AE85" i="20"/>
  <c r="AD85" i="20"/>
  <c r="R85" i="20"/>
  <c r="U85" i="20" s="1"/>
  <c r="T85" i="20"/>
  <c r="AE84" i="20"/>
  <c r="AD84" i="20"/>
  <c r="R84" i="20"/>
  <c r="U84" i="20" s="1"/>
  <c r="AE83" i="20"/>
  <c r="AD83" i="20"/>
  <c r="R83" i="20"/>
  <c r="U83" i="20" s="1"/>
  <c r="AE82" i="20"/>
  <c r="AD82" i="20"/>
  <c r="R82" i="20"/>
  <c r="U82" i="20" s="1"/>
  <c r="T82" i="20"/>
  <c r="AE81" i="20"/>
  <c r="AD81" i="20"/>
  <c r="R81" i="20"/>
  <c r="U81" i="20" s="1"/>
  <c r="T81" i="20"/>
  <c r="AE80" i="20"/>
  <c r="AD80" i="20"/>
  <c r="R80" i="20"/>
  <c r="U80" i="20" s="1"/>
  <c r="AE79" i="20"/>
  <c r="AD79" i="20"/>
  <c r="R79" i="20"/>
  <c r="U79" i="20" s="1"/>
  <c r="AE78" i="20"/>
  <c r="AD78" i="20"/>
  <c r="R78" i="20"/>
  <c r="U78" i="20" s="1"/>
  <c r="T78" i="20"/>
  <c r="AE77" i="20"/>
  <c r="AD77" i="20"/>
  <c r="R77" i="20"/>
  <c r="U77" i="20" s="1"/>
  <c r="T77" i="20"/>
  <c r="AE76" i="20"/>
  <c r="AD76" i="20"/>
  <c r="R76" i="20"/>
  <c r="U76" i="20" s="1"/>
  <c r="AE75" i="20"/>
  <c r="AD75" i="20"/>
  <c r="R75" i="20"/>
  <c r="U75" i="20" s="1"/>
  <c r="AE74" i="20"/>
  <c r="AD74" i="20"/>
  <c r="R74" i="20"/>
  <c r="U74" i="20" s="1"/>
  <c r="T74" i="20"/>
  <c r="AE73" i="20"/>
  <c r="AD73" i="20"/>
  <c r="R73" i="20"/>
  <c r="U73" i="20" s="1"/>
  <c r="T73" i="20"/>
  <c r="AE72" i="20"/>
  <c r="AD72" i="20"/>
  <c r="R72" i="20"/>
  <c r="U72" i="20" s="1"/>
  <c r="AE71" i="20"/>
  <c r="AD71" i="20"/>
  <c r="R71" i="20"/>
  <c r="U71" i="20" s="1"/>
  <c r="AE70" i="20"/>
  <c r="AD70" i="20"/>
  <c r="R70" i="20"/>
  <c r="U70" i="20" s="1"/>
  <c r="T70" i="20"/>
  <c r="AE69" i="20"/>
  <c r="AD69" i="20"/>
  <c r="R69" i="20"/>
  <c r="U69" i="20" s="1"/>
  <c r="AE68" i="20"/>
  <c r="AD68" i="20"/>
  <c r="R68" i="20"/>
  <c r="U68" i="20" s="1"/>
  <c r="AE67" i="20"/>
  <c r="AD67" i="20"/>
  <c r="R67" i="20"/>
  <c r="U67" i="20" s="1"/>
  <c r="AE66" i="20"/>
  <c r="AD66" i="20"/>
  <c r="R66" i="20"/>
  <c r="U66" i="20" s="1"/>
  <c r="T66" i="20"/>
  <c r="AE65" i="20"/>
  <c r="AD65" i="20"/>
  <c r="R65" i="20"/>
  <c r="U65" i="20" s="1"/>
  <c r="T65" i="20"/>
  <c r="AE64" i="20"/>
  <c r="AD64" i="20"/>
  <c r="R64" i="20"/>
  <c r="U64" i="20" s="1"/>
  <c r="AE63" i="20"/>
  <c r="AD63" i="20"/>
  <c r="R63" i="20"/>
  <c r="U63" i="20" s="1"/>
  <c r="AE62" i="20"/>
  <c r="AD62" i="20"/>
  <c r="R62" i="20"/>
  <c r="U62" i="20" s="1"/>
  <c r="T62" i="20"/>
  <c r="AE61" i="20"/>
  <c r="AD61" i="20"/>
  <c r="R61" i="20"/>
  <c r="U61" i="20" s="1"/>
  <c r="AE60" i="20"/>
  <c r="AD60" i="20"/>
  <c r="R60" i="20"/>
  <c r="U60" i="20" s="1"/>
  <c r="AE59" i="20"/>
  <c r="AD59" i="20"/>
  <c r="R59" i="20"/>
  <c r="U59" i="20" s="1"/>
  <c r="AE58" i="20"/>
  <c r="AD58" i="20"/>
  <c r="R58" i="20"/>
  <c r="U58" i="20" s="1"/>
  <c r="T58" i="20"/>
  <c r="AE57" i="20"/>
  <c r="AD57" i="20"/>
  <c r="R57" i="20"/>
  <c r="U57" i="20" s="1"/>
  <c r="T57" i="20"/>
  <c r="AE56" i="20"/>
  <c r="AD56" i="20"/>
  <c r="R56" i="20"/>
  <c r="U56" i="20" s="1"/>
  <c r="AE55" i="20"/>
  <c r="AD55" i="20"/>
  <c r="R55" i="20"/>
  <c r="U55" i="20" s="1"/>
  <c r="AE54" i="20"/>
  <c r="AD54" i="20"/>
  <c r="R54" i="20"/>
  <c r="U54" i="20" s="1"/>
  <c r="T54" i="20"/>
  <c r="AE53" i="20"/>
  <c r="AD53" i="20"/>
  <c r="R53" i="20"/>
  <c r="U53" i="20" s="1"/>
  <c r="AE52" i="20"/>
  <c r="AD52" i="20"/>
  <c r="R52" i="20"/>
  <c r="U52" i="20" s="1"/>
  <c r="AE51" i="20"/>
  <c r="AD51" i="20"/>
  <c r="R51" i="20"/>
  <c r="U51" i="20" s="1"/>
  <c r="AE50" i="20"/>
  <c r="AD50" i="20"/>
  <c r="R50" i="20"/>
  <c r="U50" i="20" s="1"/>
  <c r="T50" i="20"/>
  <c r="AE49" i="20"/>
  <c r="AD49" i="20"/>
  <c r="R49" i="20"/>
  <c r="U49" i="20" s="1"/>
  <c r="T49" i="20"/>
  <c r="AE48" i="20"/>
  <c r="AD48" i="20"/>
  <c r="R48" i="20"/>
  <c r="U48" i="20" s="1"/>
  <c r="AE47" i="20"/>
  <c r="AD47" i="20"/>
  <c r="R47" i="20"/>
  <c r="U47" i="20" s="1"/>
  <c r="AE46" i="20"/>
  <c r="AD46" i="20"/>
  <c r="R46" i="20"/>
  <c r="U46" i="20" s="1"/>
  <c r="T46" i="20"/>
  <c r="AE45" i="20"/>
  <c r="AD45" i="20"/>
  <c r="R45" i="20"/>
  <c r="U45" i="20" s="1"/>
  <c r="AE44" i="20"/>
  <c r="AD44" i="20"/>
  <c r="R44" i="20"/>
  <c r="U44" i="20" s="1"/>
  <c r="AE43" i="20"/>
  <c r="AD43" i="20"/>
  <c r="R43" i="20"/>
  <c r="U43" i="20" s="1"/>
  <c r="AE42" i="20"/>
  <c r="AD42" i="20"/>
  <c r="R42" i="20"/>
  <c r="U42" i="20" s="1"/>
  <c r="T42" i="20"/>
  <c r="AE41" i="20"/>
  <c r="AD41" i="20"/>
  <c r="R41" i="20"/>
  <c r="U41" i="20" s="1"/>
  <c r="T41" i="20"/>
  <c r="AE40" i="20"/>
  <c r="AD40" i="20"/>
  <c r="R40" i="20"/>
  <c r="U40" i="20" s="1"/>
  <c r="AE39" i="20"/>
  <c r="AD39" i="20"/>
  <c r="R39" i="20"/>
  <c r="U39" i="20" s="1"/>
  <c r="AE38" i="20"/>
  <c r="AD38" i="20"/>
  <c r="R38" i="20"/>
  <c r="U38" i="20" s="1"/>
  <c r="T38" i="20"/>
  <c r="AE37" i="20"/>
  <c r="AD37" i="20"/>
  <c r="R37" i="20"/>
  <c r="U37" i="20" s="1"/>
  <c r="AE36" i="20"/>
  <c r="AD36" i="20"/>
  <c r="R36" i="20"/>
  <c r="U36" i="20" s="1"/>
  <c r="AE35" i="20"/>
  <c r="AD35" i="20"/>
  <c r="R35" i="20"/>
  <c r="U35" i="20" s="1"/>
  <c r="AE34" i="20"/>
  <c r="AD34" i="20"/>
  <c r="R34" i="20"/>
  <c r="U34" i="20" s="1"/>
  <c r="T34" i="20"/>
  <c r="AE33" i="20"/>
  <c r="AD33" i="20"/>
  <c r="R33" i="20"/>
  <c r="U33" i="20" s="1"/>
  <c r="T33" i="20"/>
  <c r="AE32" i="20"/>
  <c r="AD32" i="20"/>
  <c r="R32" i="20"/>
  <c r="U32" i="20" s="1"/>
  <c r="AE31" i="20"/>
  <c r="AD31" i="20"/>
  <c r="R31" i="20"/>
  <c r="U31" i="20" s="1"/>
  <c r="AE30" i="20"/>
  <c r="AD30" i="20"/>
  <c r="R30" i="20"/>
  <c r="U30" i="20" s="1"/>
  <c r="T30" i="20"/>
  <c r="AE29" i="20"/>
  <c r="B267" i="18" s="1"/>
  <c r="C267" i="18" s="1"/>
  <c r="AD29" i="20"/>
  <c r="B75" i="19" s="1"/>
  <c r="R29" i="20"/>
  <c r="U29" i="20" s="1"/>
  <c r="AE28" i="20"/>
  <c r="B256" i="18" s="1"/>
  <c r="C256" i="18" s="1"/>
  <c r="AD28" i="20"/>
  <c r="B72" i="19" s="1"/>
  <c r="R28" i="20"/>
  <c r="U28" i="20" s="1"/>
  <c r="AE27" i="20"/>
  <c r="B245" i="18" s="1"/>
  <c r="C245" i="18" s="1"/>
  <c r="AD27" i="20"/>
  <c r="B69" i="19" s="1"/>
  <c r="R27" i="20"/>
  <c r="U27" i="20" s="1"/>
  <c r="AE26" i="20"/>
  <c r="B234" i="18" s="1"/>
  <c r="C234" i="18" s="1"/>
  <c r="AD26" i="20"/>
  <c r="B66" i="19" s="1"/>
  <c r="R26" i="20"/>
  <c r="U26" i="20" s="1"/>
  <c r="T26" i="20"/>
  <c r="AE25" i="20"/>
  <c r="B223" i="18" s="1"/>
  <c r="C223" i="18" s="1"/>
  <c r="AD25" i="20"/>
  <c r="B63" i="19" s="1"/>
  <c r="R25" i="20"/>
  <c r="U25" i="20" s="1"/>
  <c r="T25" i="20"/>
  <c r="AE24" i="20"/>
  <c r="B212" i="18" s="1"/>
  <c r="C212" i="18" s="1"/>
  <c r="AD24" i="20"/>
  <c r="B60" i="19" s="1"/>
  <c r="R24" i="20"/>
  <c r="U24" i="20" s="1"/>
  <c r="AE23" i="20"/>
  <c r="B201" i="18" s="1"/>
  <c r="C201" i="18" s="1"/>
  <c r="AD23" i="20"/>
  <c r="B57" i="19" s="1"/>
  <c r="R23" i="20"/>
  <c r="U23" i="20" s="1"/>
  <c r="AE22" i="20"/>
  <c r="B190" i="18" s="1"/>
  <c r="C190" i="18" s="1"/>
  <c r="AD22" i="20"/>
  <c r="B54" i="19" s="1"/>
  <c r="R22" i="20"/>
  <c r="U22" i="20" s="1"/>
  <c r="T22" i="20"/>
  <c r="AE21" i="20"/>
  <c r="B179" i="18" s="1"/>
  <c r="C179" i="18" s="1"/>
  <c r="AD21" i="20"/>
  <c r="B51" i="19" s="1"/>
  <c r="R21" i="20"/>
  <c r="U21" i="20" s="1"/>
  <c r="AE20" i="20"/>
  <c r="B168" i="18" s="1"/>
  <c r="C168" i="18" s="1"/>
  <c r="AD20" i="20"/>
  <c r="B48" i="19" s="1"/>
  <c r="R20" i="20"/>
  <c r="AE19" i="20"/>
  <c r="B157" i="18" s="1"/>
  <c r="C157" i="18" s="1"/>
  <c r="AD19" i="20"/>
  <c r="B45" i="19" s="1"/>
  <c r="R19" i="20"/>
  <c r="U19" i="20" s="1"/>
  <c r="AE18" i="20"/>
  <c r="B146" i="18" s="1"/>
  <c r="C146" i="18" s="1"/>
  <c r="AD18" i="20"/>
  <c r="B42" i="19" s="1"/>
  <c r="R18" i="20"/>
  <c r="T18" i="20"/>
  <c r="AE17" i="20"/>
  <c r="B135" i="18" s="1"/>
  <c r="C135" i="18" s="1"/>
  <c r="AD17" i="20"/>
  <c r="B39" i="19" s="1"/>
  <c r="R17" i="20"/>
  <c r="T17" i="20"/>
  <c r="AE16" i="20"/>
  <c r="B124" i="18" s="1"/>
  <c r="C124" i="18" s="1"/>
  <c r="AD16" i="20"/>
  <c r="B36" i="19" s="1"/>
  <c r="R16" i="20"/>
  <c r="AE15" i="20"/>
  <c r="B113" i="18" s="1"/>
  <c r="C113" i="18" s="1"/>
  <c r="AD15" i="20"/>
  <c r="B33" i="19" s="1"/>
  <c r="R15" i="20"/>
  <c r="AE14" i="20"/>
  <c r="B102" i="18" s="1"/>
  <c r="AD14" i="20"/>
  <c r="B30" i="19" s="1"/>
  <c r="R14" i="20"/>
  <c r="AE13" i="20"/>
  <c r="B91" i="18" s="1"/>
  <c r="C91" i="18" s="1"/>
  <c r="AD13" i="20"/>
  <c r="B27" i="19" s="1"/>
  <c r="R13" i="20"/>
  <c r="U13" i="20" s="1"/>
  <c r="AE12" i="20"/>
  <c r="B80" i="18" s="1"/>
  <c r="C80" i="18" s="1"/>
  <c r="AD12" i="20"/>
  <c r="B24" i="19" s="1"/>
  <c r="R12" i="20"/>
  <c r="U12" i="20" s="1"/>
  <c r="AE11" i="20"/>
  <c r="B69" i="18" s="1"/>
  <c r="C69" i="18" s="1"/>
  <c r="AD11" i="20"/>
  <c r="B21" i="19" s="1"/>
  <c r="R11" i="20"/>
  <c r="U11" i="20" s="1"/>
  <c r="AE10" i="20"/>
  <c r="B58" i="18" s="1"/>
  <c r="C58" i="18" s="1"/>
  <c r="AD10" i="20"/>
  <c r="B18" i="19" s="1"/>
  <c r="R10" i="20"/>
  <c r="AE9" i="20"/>
  <c r="B47" i="18" s="1"/>
  <c r="C47" i="18" s="1"/>
  <c r="AD9" i="20"/>
  <c r="B15" i="19" s="1"/>
  <c r="R9" i="20"/>
  <c r="AE8" i="20"/>
  <c r="B36" i="18" s="1"/>
  <c r="C36" i="18" s="1"/>
  <c r="AD8" i="20"/>
  <c r="B12" i="19" s="1"/>
  <c r="R8" i="20"/>
  <c r="AE7" i="20"/>
  <c r="B25" i="18" s="1"/>
  <c r="C25" i="18" s="1"/>
  <c r="R7" i="20"/>
  <c r="AE6" i="20"/>
  <c r="B14" i="18" s="1"/>
  <c r="C14" i="18" s="1"/>
  <c r="AD6" i="20"/>
  <c r="B6" i="19" s="1"/>
  <c r="R6" i="20"/>
  <c r="AE5" i="20"/>
  <c r="B3" i="18" s="1"/>
  <c r="C3" i="18" s="1"/>
  <c r="AD5" i="20"/>
  <c r="B3" i="19" s="1"/>
  <c r="R5" i="20"/>
  <c r="Q5" i="20"/>
  <c r="G2" i="20" l="1"/>
  <c r="H2" i="20"/>
  <c r="G6" i="20"/>
  <c r="F6" i="20"/>
  <c r="D6" i="20"/>
  <c r="K6" i="20" s="1"/>
  <c r="E6" i="20"/>
  <c r="L6" i="20" s="1"/>
  <c r="H6" i="20"/>
  <c r="H10" i="20"/>
  <c r="F10" i="20"/>
  <c r="D10" i="20"/>
  <c r="K10" i="20" s="1"/>
  <c r="G10" i="20"/>
  <c r="E10" i="20"/>
  <c r="L10" i="20" s="1"/>
  <c r="F14" i="20"/>
  <c r="D14" i="20"/>
  <c r="K14" i="20" s="1"/>
  <c r="G14" i="20"/>
  <c r="H14" i="20"/>
  <c r="E14" i="20"/>
  <c r="L14" i="20" s="1"/>
  <c r="H18" i="20"/>
  <c r="G18" i="20"/>
  <c r="F18" i="20"/>
  <c r="D18" i="20"/>
  <c r="K18" i="20" s="1"/>
  <c r="E18" i="20"/>
  <c r="L18" i="20" s="1"/>
  <c r="G22" i="20"/>
  <c r="F22" i="20"/>
  <c r="D22" i="20"/>
  <c r="K22" i="20" s="1"/>
  <c r="H22" i="20"/>
  <c r="E22" i="20"/>
  <c r="L22" i="20" s="1"/>
  <c r="H26" i="20"/>
  <c r="F26" i="20"/>
  <c r="D26" i="20"/>
  <c r="K26" i="20" s="1"/>
  <c r="G26" i="20"/>
  <c r="E26" i="20"/>
  <c r="L26" i="20" s="1"/>
  <c r="H30" i="20"/>
  <c r="F30" i="20"/>
  <c r="D30" i="20"/>
  <c r="K30" i="20" s="1"/>
  <c r="G30" i="20"/>
  <c r="E30" i="20"/>
  <c r="L30" i="20" s="1"/>
  <c r="G34" i="20"/>
  <c r="F34" i="20"/>
  <c r="D34" i="20"/>
  <c r="K34" i="20" s="1"/>
  <c r="E34" i="20"/>
  <c r="L34" i="20" s="1"/>
  <c r="H34" i="20"/>
  <c r="G38" i="20"/>
  <c r="F38" i="20"/>
  <c r="D38" i="20"/>
  <c r="K38" i="20" s="1"/>
  <c r="H38" i="20"/>
  <c r="E38" i="20"/>
  <c r="L38" i="20" s="1"/>
  <c r="H42" i="20"/>
  <c r="F42" i="20"/>
  <c r="D42" i="20"/>
  <c r="K42" i="20" s="1"/>
  <c r="E42" i="20"/>
  <c r="L42" i="20" s="1"/>
  <c r="G42" i="20"/>
  <c r="H46" i="20"/>
  <c r="F46" i="20"/>
  <c r="D46" i="20"/>
  <c r="K46" i="20" s="1"/>
  <c r="G46" i="20"/>
  <c r="E46" i="20"/>
  <c r="L46" i="20" s="1"/>
  <c r="G50" i="20"/>
  <c r="F50" i="20"/>
  <c r="D50" i="20"/>
  <c r="K50" i="20" s="1"/>
  <c r="H50" i="20"/>
  <c r="E50" i="20"/>
  <c r="L50" i="20" s="1"/>
  <c r="G54" i="20"/>
  <c r="F54" i="20"/>
  <c r="D54" i="20"/>
  <c r="K54" i="20" s="1"/>
  <c r="H54" i="20"/>
  <c r="E54" i="20"/>
  <c r="L54" i="20" s="1"/>
  <c r="H58" i="20"/>
  <c r="F58" i="20"/>
  <c r="D58" i="20"/>
  <c r="K58" i="20" s="1"/>
  <c r="G58" i="20"/>
  <c r="E58" i="20"/>
  <c r="L58" i="20" s="1"/>
  <c r="H62" i="20"/>
  <c r="F62" i="20"/>
  <c r="D62" i="20"/>
  <c r="K62" i="20" s="1"/>
  <c r="G62" i="20"/>
  <c r="E62" i="20"/>
  <c r="L62" i="20" s="1"/>
  <c r="G66" i="20"/>
  <c r="F66" i="20"/>
  <c r="D66" i="20"/>
  <c r="K66" i="20" s="1"/>
  <c r="H66" i="20"/>
  <c r="E66" i="20"/>
  <c r="L66" i="20" s="1"/>
  <c r="G70" i="20"/>
  <c r="F70" i="20"/>
  <c r="D70" i="20"/>
  <c r="K70" i="20" s="1"/>
  <c r="H70" i="20"/>
  <c r="E70" i="20"/>
  <c r="L70" i="20" s="1"/>
  <c r="H74" i="20"/>
  <c r="F74" i="20"/>
  <c r="D74" i="20"/>
  <c r="K74" i="20" s="1"/>
  <c r="G74" i="20"/>
  <c r="E74" i="20"/>
  <c r="L74" i="20" s="1"/>
  <c r="H78" i="20"/>
  <c r="F78" i="20"/>
  <c r="D78" i="20"/>
  <c r="K78" i="20" s="1"/>
  <c r="G78" i="20"/>
  <c r="E78" i="20"/>
  <c r="L78" i="20" s="1"/>
  <c r="G82" i="20"/>
  <c r="F82" i="20"/>
  <c r="D82" i="20"/>
  <c r="K82" i="20" s="1"/>
  <c r="H82" i="20"/>
  <c r="E82" i="20"/>
  <c r="L82" i="20" s="1"/>
  <c r="G86" i="20"/>
  <c r="F86" i="20"/>
  <c r="D86" i="20"/>
  <c r="K86" i="20" s="1"/>
  <c r="H86" i="20"/>
  <c r="E86" i="20"/>
  <c r="L86" i="20" s="1"/>
  <c r="H90" i="20"/>
  <c r="F90" i="20"/>
  <c r="D90" i="20"/>
  <c r="K90" i="20" s="1"/>
  <c r="G90" i="20"/>
  <c r="E90" i="20"/>
  <c r="L90" i="20" s="1"/>
  <c r="H94" i="20"/>
  <c r="F94" i="20"/>
  <c r="D94" i="20"/>
  <c r="K94" i="20" s="1"/>
  <c r="G94" i="20"/>
  <c r="E94" i="20"/>
  <c r="L94" i="20" s="1"/>
  <c r="G98" i="20"/>
  <c r="F98" i="20"/>
  <c r="D98" i="20"/>
  <c r="K98" i="20" s="1"/>
  <c r="E98" i="20"/>
  <c r="L98" i="20" s="1"/>
  <c r="H98" i="20"/>
  <c r="G102" i="20"/>
  <c r="F102" i="20"/>
  <c r="D102" i="20"/>
  <c r="K102" i="20" s="1"/>
  <c r="H102" i="20"/>
  <c r="E102" i="20"/>
  <c r="L102" i="20" s="1"/>
  <c r="H106" i="20"/>
  <c r="F106" i="20"/>
  <c r="D106" i="20"/>
  <c r="K106" i="20" s="1"/>
  <c r="E106" i="20"/>
  <c r="L106" i="20" s="1"/>
  <c r="G106" i="20"/>
  <c r="H110" i="20"/>
  <c r="F110" i="20"/>
  <c r="D110" i="20"/>
  <c r="K110" i="20" s="1"/>
  <c r="G110" i="20"/>
  <c r="E110" i="20"/>
  <c r="L110" i="20" s="1"/>
  <c r="G114" i="20"/>
  <c r="F114" i="20"/>
  <c r="D114" i="20"/>
  <c r="K114" i="20" s="1"/>
  <c r="H114" i="20"/>
  <c r="E114" i="20"/>
  <c r="L114" i="20" s="1"/>
  <c r="G118" i="20"/>
  <c r="F118" i="20"/>
  <c r="D118" i="20"/>
  <c r="K118" i="20" s="1"/>
  <c r="H118" i="20"/>
  <c r="E118" i="20"/>
  <c r="L118" i="20" s="1"/>
  <c r="H122" i="20"/>
  <c r="F122" i="20"/>
  <c r="D122" i="20"/>
  <c r="K122" i="20" s="1"/>
  <c r="G122" i="20"/>
  <c r="E122" i="20"/>
  <c r="L122" i="20" s="1"/>
  <c r="H126" i="20"/>
  <c r="F126" i="20"/>
  <c r="D126" i="20"/>
  <c r="K126" i="20" s="1"/>
  <c r="G126" i="20"/>
  <c r="E126" i="20"/>
  <c r="L126" i="20" s="1"/>
  <c r="G130" i="20"/>
  <c r="F130" i="20"/>
  <c r="D130" i="20"/>
  <c r="K130" i="20" s="1"/>
  <c r="H130" i="20"/>
  <c r="E130" i="20"/>
  <c r="L130" i="20" s="1"/>
  <c r="G134" i="20"/>
  <c r="F134" i="20"/>
  <c r="D134" i="20"/>
  <c r="K134" i="20" s="1"/>
  <c r="H134" i="20"/>
  <c r="E134" i="20"/>
  <c r="L134" i="20" s="1"/>
  <c r="H138" i="20"/>
  <c r="F138" i="20"/>
  <c r="D138" i="20"/>
  <c r="K138" i="20" s="1"/>
  <c r="E138" i="20"/>
  <c r="L138" i="20" s="1"/>
  <c r="G138" i="20"/>
  <c r="H142" i="20"/>
  <c r="F142" i="20"/>
  <c r="D142" i="20"/>
  <c r="K142" i="20" s="1"/>
  <c r="G142" i="20"/>
  <c r="E142" i="20"/>
  <c r="L142" i="20" s="1"/>
  <c r="G146" i="20"/>
  <c r="F146" i="20"/>
  <c r="D146" i="20"/>
  <c r="K146" i="20" s="1"/>
  <c r="H146" i="20"/>
  <c r="E146" i="20"/>
  <c r="L146" i="20" s="1"/>
  <c r="G150" i="20"/>
  <c r="F150" i="20"/>
  <c r="D150" i="20"/>
  <c r="K150" i="20" s="1"/>
  <c r="H150" i="20"/>
  <c r="E150" i="20"/>
  <c r="L150" i="20" s="1"/>
  <c r="H154" i="20"/>
  <c r="F154" i="20"/>
  <c r="D154" i="20"/>
  <c r="K154" i="20" s="1"/>
  <c r="G154" i="20"/>
  <c r="E154" i="20"/>
  <c r="L154" i="20" s="1"/>
  <c r="H158" i="20"/>
  <c r="F158" i="20"/>
  <c r="D158" i="20"/>
  <c r="K158" i="20" s="1"/>
  <c r="G158" i="20"/>
  <c r="E158" i="20"/>
  <c r="L158" i="20" s="1"/>
  <c r="G162" i="20"/>
  <c r="F162" i="20"/>
  <c r="D162" i="20"/>
  <c r="K162" i="20" s="1"/>
  <c r="E162" i="20"/>
  <c r="L162" i="20" s="1"/>
  <c r="H162" i="20"/>
  <c r="G166" i="20"/>
  <c r="F166" i="20"/>
  <c r="D166" i="20"/>
  <c r="K166" i="20" s="1"/>
  <c r="H166" i="20"/>
  <c r="E166" i="20"/>
  <c r="L166" i="20" s="1"/>
  <c r="H170" i="20"/>
  <c r="F170" i="20"/>
  <c r="D170" i="20"/>
  <c r="K170" i="20" s="1"/>
  <c r="G170" i="20"/>
  <c r="E170" i="20"/>
  <c r="L170" i="20" s="1"/>
  <c r="H174" i="20"/>
  <c r="F174" i="20"/>
  <c r="D174" i="20"/>
  <c r="K174" i="20" s="1"/>
  <c r="G174" i="20"/>
  <c r="E174" i="20"/>
  <c r="L174" i="20" s="1"/>
  <c r="G178" i="20"/>
  <c r="F178" i="20"/>
  <c r="D178" i="20"/>
  <c r="K178" i="20" s="1"/>
  <c r="H178" i="20"/>
  <c r="E178" i="20"/>
  <c r="L178" i="20" s="1"/>
  <c r="G182" i="20"/>
  <c r="F182" i="20"/>
  <c r="D182" i="20"/>
  <c r="K182" i="20" s="1"/>
  <c r="H182" i="20"/>
  <c r="E182" i="20"/>
  <c r="L182" i="20" s="1"/>
  <c r="H186" i="20"/>
  <c r="F186" i="20"/>
  <c r="D186" i="20"/>
  <c r="K186" i="20" s="1"/>
  <c r="G186" i="20"/>
  <c r="E186" i="20"/>
  <c r="L186" i="20" s="1"/>
  <c r="H190" i="20"/>
  <c r="F190" i="20"/>
  <c r="D190" i="20"/>
  <c r="K190" i="20" s="1"/>
  <c r="G190" i="20"/>
  <c r="E190" i="20"/>
  <c r="L190" i="20" s="1"/>
  <c r="G194" i="20"/>
  <c r="F194" i="20"/>
  <c r="D194" i="20"/>
  <c r="K194" i="20" s="1"/>
  <c r="H194" i="20"/>
  <c r="E194" i="20"/>
  <c r="L194" i="20" s="1"/>
  <c r="G198" i="20"/>
  <c r="F198" i="20"/>
  <c r="D198" i="20"/>
  <c r="K198" i="20" s="1"/>
  <c r="H198" i="20"/>
  <c r="E198" i="20"/>
  <c r="L198" i="20" s="1"/>
  <c r="H202" i="20"/>
  <c r="F202" i="20"/>
  <c r="D202" i="20"/>
  <c r="K202" i="20" s="1"/>
  <c r="E202" i="20"/>
  <c r="L202" i="20" s="1"/>
  <c r="G202" i="20"/>
  <c r="H206" i="20"/>
  <c r="F206" i="20"/>
  <c r="D206" i="20"/>
  <c r="K206" i="20" s="1"/>
  <c r="G206" i="20"/>
  <c r="E206" i="20"/>
  <c r="L206" i="20" s="1"/>
  <c r="G210" i="20"/>
  <c r="F210" i="20"/>
  <c r="D210" i="20"/>
  <c r="K210" i="20" s="1"/>
  <c r="H210" i="20"/>
  <c r="E210" i="20"/>
  <c r="L210" i="20" s="1"/>
  <c r="G214" i="20"/>
  <c r="F214" i="20"/>
  <c r="D214" i="20"/>
  <c r="K214" i="20" s="1"/>
  <c r="H214" i="20"/>
  <c r="E214" i="20"/>
  <c r="L214" i="20" s="1"/>
  <c r="H218" i="20"/>
  <c r="F218" i="20"/>
  <c r="D218" i="20"/>
  <c r="K218" i="20" s="1"/>
  <c r="G218" i="20"/>
  <c r="E218" i="20"/>
  <c r="L218" i="20" s="1"/>
  <c r="H222" i="20"/>
  <c r="F222" i="20"/>
  <c r="D222" i="20"/>
  <c r="K222" i="20" s="1"/>
  <c r="G222" i="20"/>
  <c r="E222" i="20"/>
  <c r="L222" i="20" s="1"/>
  <c r="G226" i="20"/>
  <c r="F226" i="20"/>
  <c r="D226" i="20"/>
  <c r="K226" i="20" s="1"/>
  <c r="E226" i="20"/>
  <c r="L226" i="20" s="1"/>
  <c r="H226" i="20"/>
  <c r="G3" i="20"/>
  <c r="E3" i="20"/>
  <c r="L3" i="20" s="1"/>
  <c r="H3" i="20"/>
  <c r="D3" i="20"/>
  <c r="K3" i="20" s="1"/>
  <c r="F3" i="20"/>
  <c r="G7" i="20"/>
  <c r="H7" i="20"/>
  <c r="E7" i="20"/>
  <c r="L7" i="20" s="1"/>
  <c r="D7" i="20"/>
  <c r="K7" i="20" s="1"/>
  <c r="F7" i="20"/>
  <c r="G11" i="20"/>
  <c r="E11" i="20"/>
  <c r="L11" i="20" s="1"/>
  <c r="H11" i="20"/>
  <c r="F11" i="20"/>
  <c r="D11" i="20"/>
  <c r="K11" i="20" s="1"/>
  <c r="G15" i="20"/>
  <c r="H15" i="20"/>
  <c r="E15" i="20"/>
  <c r="L15" i="20" s="1"/>
  <c r="D15" i="20"/>
  <c r="K15" i="20" s="1"/>
  <c r="F15" i="20"/>
  <c r="G19" i="20"/>
  <c r="E19" i="20"/>
  <c r="L19" i="20" s="1"/>
  <c r="F19" i="20"/>
  <c r="H19" i="20"/>
  <c r="D19" i="20"/>
  <c r="K19" i="20" s="1"/>
  <c r="G23" i="20"/>
  <c r="H23" i="20"/>
  <c r="E23" i="20"/>
  <c r="L23" i="20" s="1"/>
  <c r="D23" i="20"/>
  <c r="K23" i="20" s="1"/>
  <c r="F23" i="20"/>
  <c r="G27" i="20"/>
  <c r="E27" i="20"/>
  <c r="L27" i="20" s="1"/>
  <c r="H27" i="20"/>
  <c r="F27" i="20"/>
  <c r="D27" i="20"/>
  <c r="K27" i="20" s="1"/>
  <c r="G31" i="20"/>
  <c r="E31" i="20"/>
  <c r="L31" i="20" s="1"/>
  <c r="H31" i="20"/>
  <c r="D31" i="20"/>
  <c r="K31" i="20" s="1"/>
  <c r="F31" i="20"/>
  <c r="G35" i="20"/>
  <c r="H35" i="20"/>
  <c r="E35" i="20"/>
  <c r="L35" i="20" s="1"/>
  <c r="F35" i="20"/>
  <c r="D35" i="20"/>
  <c r="K35" i="20" s="1"/>
  <c r="G39" i="20"/>
  <c r="E39" i="20"/>
  <c r="L39" i="20" s="1"/>
  <c r="D39" i="20"/>
  <c r="K39" i="20" s="1"/>
  <c r="F39" i="20"/>
  <c r="H39" i="20"/>
  <c r="G43" i="20"/>
  <c r="E43" i="20"/>
  <c r="L43" i="20" s="1"/>
  <c r="F43" i="20"/>
  <c r="H43" i="20"/>
  <c r="D43" i="20"/>
  <c r="K43" i="20" s="1"/>
  <c r="G47" i="20"/>
  <c r="E47" i="20"/>
  <c r="L47" i="20" s="1"/>
  <c r="H47" i="20"/>
  <c r="D47" i="20"/>
  <c r="K47" i="20" s="1"/>
  <c r="F47" i="20"/>
  <c r="G51" i="20"/>
  <c r="H51" i="20"/>
  <c r="E51" i="20"/>
  <c r="L51" i="20" s="1"/>
  <c r="F51" i="20"/>
  <c r="D51" i="20"/>
  <c r="K51" i="20" s="1"/>
  <c r="G55" i="20"/>
  <c r="E55" i="20"/>
  <c r="L55" i="20" s="1"/>
  <c r="D55" i="20"/>
  <c r="K55" i="20" s="1"/>
  <c r="F55" i="20"/>
  <c r="H55" i="20"/>
  <c r="G59" i="20"/>
  <c r="E59" i="20"/>
  <c r="L59" i="20" s="1"/>
  <c r="H59" i="20"/>
  <c r="F59" i="20"/>
  <c r="D59" i="20"/>
  <c r="K59" i="20" s="1"/>
  <c r="G63" i="20"/>
  <c r="E63" i="20"/>
  <c r="L63" i="20" s="1"/>
  <c r="H63" i="20"/>
  <c r="D63" i="20"/>
  <c r="K63" i="20" s="1"/>
  <c r="F63" i="20"/>
  <c r="G67" i="20"/>
  <c r="H67" i="20"/>
  <c r="E67" i="20"/>
  <c r="L67" i="20" s="1"/>
  <c r="F67" i="20"/>
  <c r="D67" i="20"/>
  <c r="K67" i="20" s="1"/>
  <c r="G71" i="20"/>
  <c r="E71" i="20"/>
  <c r="L71" i="20" s="1"/>
  <c r="D71" i="20"/>
  <c r="K71" i="20" s="1"/>
  <c r="F71" i="20"/>
  <c r="H71" i="20"/>
  <c r="G75" i="20"/>
  <c r="E75" i="20"/>
  <c r="L75" i="20" s="1"/>
  <c r="F75" i="20"/>
  <c r="H75" i="20"/>
  <c r="D75" i="20"/>
  <c r="K75" i="20" s="1"/>
  <c r="G79" i="20"/>
  <c r="E79" i="20"/>
  <c r="L79" i="20" s="1"/>
  <c r="H79" i="20"/>
  <c r="D79" i="20"/>
  <c r="K79" i="20" s="1"/>
  <c r="F79" i="20"/>
  <c r="G83" i="20"/>
  <c r="H83" i="20"/>
  <c r="E83" i="20"/>
  <c r="L83" i="20" s="1"/>
  <c r="F83" i="20"/>
  <c r="D83" i="20"/>
  <c r="K83" i="20" s="1"/>
  <c r="G87" i="20"/>
  <c r="E87" i="20"/>
  <c r="L87" i="20" s="1"/>
  <c r="D87" i="20"/>
  <c r="K87" i="20" s="1"/>
  <c r="F87" i="20"/>
  <c r="H87" i="20"/>
  <c r="G91" i="20"/>
  <c r="E91" i="20"/>
  <c r="L91" i="20" s="1"/>
  <c r="H91" i="20"/>
  <c r="F91" i="20"/>
  <c r="D91" i="20"/>
  <c r="K91" i="20" s="1"/>
  <c r="G95" i="20"/>
  <c r="E95" i="20"/>
  <c r="L95" i="20" s="1"/>
  <c r="H95" i="20"/>
  <c r="D95" i="20"/>
  <c r="K95" i="20" s="1"/>
  <c r="F95" i="20"/>
  <c r="G99" i="20"/>
  <c r="H99" i="20"/>
  <c r="E99" i="20"/>
  <c r="L99" i="20" s="1"/>
  <c r="F99" i="20"/>
  <c r="D99" i="20"/>
  <c r="K99" i="20" s="1"/>
  <c r="G103" i="20"/>
  <c r="E103" i="20"/>
  <c r="L103" i="20" s="1"/>
  <c r="D103" i="20"/>
  <c r="K103" i="20" s="1"/>
  <c r="F103" i="20"/>
  <c r="H103" i="20"/>
  <c r="G107" i="20"/>
  <c r="E107" i="20"/>
  <c r="L107" i="20" s="1"/>
  <c r="F107" i="20"/>
  <c r="H107" i="20"/>
  <c r="D107" i="20"/>
  <c r="K107" i="20" s="1"/>
  <c r="G111" i="20"/>
  <c r="E111" i="20"/>
  <c r="L111" i="20" s="1"/>
  <c r="H111" i="20"/>
  <c r="D111" i="20"/>
  <c r="K111" i="20" s="1"/>
  <c r="F111" i="20"/>
  <c r="G115" i="20"/>
  <c r="H115" i="20"/>
  <c r="E115" i="20"/>
  <c r="L115" i="20" s="1"/>
  <c r="F115" i="20"/>
  <c r="D115" i="20"/>
  <c r="K115" i="20" s="1"/>
  <c r="G119" i="20"/>
  <c r="E119" i="20"/>
  <c r="L119" i="20" s="1"/>
  <c r="D119" i="20"/>
  <c r="K119" i="20" s="1"/>
  <c r="F119" i="20"/>
  <c r="H119" i="20"/>
  <c r="G123" i="20"/>
  <c r="E123" i="20"/>
  <c r="L123" i="20" s="1"/>
  <c r="H123" i="20"/>
  <c r="F123" i="20"/>
  <c r="D123" i="20"/>
  <c r="K123" i="20" s="1"/>
  <c r="G127" i="20"/>
  <c r="E127" i="20"/>
  <c r="L127" i="20" s="1"/>
  <c r="H127" i="20"/>
  <c r="D127" i="20"/>
  <c r="K127" i="20" s="1"/>
  <c r="F127" i="20"/>
  <c r="G131" i="20"/>
  <c r="H131" i="20"/>
  <c r="E131" i="20"/>
  <c r="L131" i="20" s="1"/>
  <c r="F131" i="20"/>
  <c r="D131" i="20"/>
  <c r="K131" i="20" s="1"/>
  <c r="G135" i="20"/>
  <c r="E135" i="20"/>
  <c r="L135" i="20" s="1"/>
  <c r="D135" i="20"/>
  <c r="K135" i="20" s="1"/>
  <c r="F135" i="20"/>
  <c r="H135" i="20"/>
  <c r="G139" i="20"/>
  <c r="E139" i="20"/>
  <c r="L139" i="20" s="1"/>
  <c r="F139" i="20"/>
  <c r="H139" i="20"/>
  <c r="D139" i="20"/>
  <c r="K139" i="20" s="1"/>
  <c r="G143" i="20"/>
  <c r="E143" i="20"/>
  <c r="L143" i="20" s="1"/>
  <c r="H143" i="20"/>
  <c r="D143" i="20"/>
  <c r="K143" i="20" s="1"/>
  <c r="F143" i="20"/>
  <c r="G147" i="20"/>
  <c r="H147" i="20"/>
  <c r="E147" i="20"/>
  <c r="L147" i="20" s="1"/>
  <c r="F147" i="20"/>
  <c r="D147" i="20"/>
  <c r="K147" i="20" s="1"/>
  <c r="G151" i="20"/>
  <c r="E151" i="20"/>
  <c r="L151" i="20" s="1"/>
  <c r="D151" i="20"/>
  <c r="K151" i="20" s="1"/>
  <c r="F151" i="20"/>
  <c r="H151" i="20"/>
  <c r="G155" i="20"/>
  <c r="E155" i="20"/>
  <c r="L155" i="20" s="1"/>
  <c r="H155" i="20"/>
  <c r="F155" i="20"/>
  <c r="D155" i="20"/>
  <c r="K155" i="20" s="1"/>
  <c r="G159" i="20"/>
  <c r="E159" i="20"/>
  <c r="L159" i="20" s="1"/>
  <c r="H159" i="20"/>
  <c r="D159" i="20"/>
  <c r="K159" i="20" s="1"/>
  <c r="F159" i="20"/>
  <c r="G163" i="20"/>
  <c r="H163" i="20"/>
  <c r="E163" i="20"/>
  <c r="L163" i="20" s="1"/>
  <c r="F163" i="20"/>
  <c r="D163" i="20"/>
  <c r="K163" i="20" s="1"/>
  <c r="G167" i="20"/>
  <c r="E167" i="20"/>
  <c r="L167" i="20" s="1"/>
  <c r="D167" i="20"/>
  <c r="K167" i="20" s="1"/>
  <c r="F167" i="20"/>
  <c r="H167" i="20"/>
  <c r="G171" i="20"/>
  <c r="E171" i="20"/>
  <c r="L171" i="20" s="1"/>
  <c r="F171" i="20"/>
  <c r="H171" i="20"/>
  <c r="D171" i="20"/>
  <c r="K171" i="20" s="1"/>
  <c r="G175" i="20"/>
  <c r="E175" i="20"/>
  <c r="L175" i="20" s="1"/>
  <c r="H175" i="20"/>
  <c r="D175" i="20"/>
  <c r="K175" i="20" s="1"/>
  <c r="F175" i="20"/>
  <c r="G179" i="20"/>
  <c r="H179" i="20"/>
  <c r="E179" i="20"/>
  <c r="L179" i="20" s="1"/>
  <c r="F179" i="20"/>
  <c r="D179" i="20"/>
  <c r="K179" i="20" s="1"/>
  <c r="G183" i="20"/>
  <c r="E183" i="20"/>
  <c r="L183" i="20" s="1"/>
  <c r="D183" i="20"/>
  <c r="K183" i="20" s="1"/>
  <c r="F183" i="20"/>
  <c r="H183" i="20"/>
  <c r="G187" i="20"/>
  <c r="E187" i="20"/>
  <c r="L187" i="20" s="1"/>
  <c r="H187" i="20"/>
  <c r="F187" i="20"/>
  <c r="D187" i="20"/>
  <c r="K187" i="20" s="1"/>
  <c r="G191" i="20"/>
  <c r="E191" i="20"/>
  <c r="L191" i="20" s="1"/>
  <c r="H191" i="20"/>
  <c r="D191" i="20"/>
  <c r="K191" i="20" s="1"/>
  <c r="F191" i="20"/>
  <c r="G195" i="20"/>
  <c r="H195" i="20"/>
  <c r="E195" i="20"/>
  <c r="L195" i="20" s="1"/>
  <c r="F195" i="20"/>
  <c r="D195" i="20"/>
  <c r="K195" i="20" s="1"/>
  <c r="G199" i="20"/>
  <c r="E199" i="20"/>
  <c r="L199" i="20" s="1"/>
  <c r="D199" i="20"/>
  <c r="K199" i="20" s="1"/>
  <c r="F199" i="20"/>
  <c r="H199" i="20"/>
  <c r="G203" i="20"/>
  <c r="E203" i="20"/>
  <c r="L203" i="20" s="1"/>
  <c r="F203" i="20"/>
  <c r="H203" i="20"/>
  <c r="D203" i="20"/>
  <c r="K203" i="20" s="1"/>
  <c r="G207" i="20"/>
  <c r="E207" i="20"/>
  <c r="L207" i="20" s="1"/>
  <c r="H207" i="20"/>
  <c r="D207" i="20"/>
  <c r="K207" i="20" s="1"/>
  <c r="F207" i="20"/>
  <c r="G211" i="20"/>
  <c r="H211" i="20"/>
  <c r="E211" i="20"/>
  <c r="L211" i="20" s="1"/>
  <c r="F211" i="20"/>
  <c r="D211" i="20"/>
  <c r="K211" i="20" s="1"/>
  <c r="G215" i="20"/>
  <c r="E215" i="20"/>
  <c r="L215" i="20" s="1"/>
  <c r="D215" i="20"/>
  <c r="K215" i="20" s="1"/>
  <c r="F215" i="20"/>
  <c r="H215" i="20"/>
  <c r="G219" i="20"/>
  <c r="E219" i="20"/>
  <c r="L219" i="20" s="1"/>
  <c r="H219" i="20"/>
  <c r="F219" i="20"/>
  <c r="D219" i="20"/>
  <c r="K219" i="20" s="1"/>
  <c r="G223" i="20"/>
  <c r="E223" i="20"/>
  <c r="L223" i="20" s="1"/>
  <c r="H223" i="20"/>
  <c r="D223" i="20"/>
  <c r="K223" i="20" s="1"/>
  <c r="F223" i="20"/>
  <c r="G227" i="20"/>
  <c r="H227" i="20"/>
  <c r="E227" i="20"/>
  <c r="L227" i="20" s="1"/>
  <c r="F227" i="20"/>
  <c r="D227" i="20"/>
  <c r="K227" i="20" s="1"/>
  <c r="H4" i="20"/>
  <c r="F4" i="20"/>
  <c r="E4" i="20"/>
  <c r="L4" i="20" s="1"/>
  <c r="G4" i="20"/>
  <c r="D4" i="20"/>
  <c r="K4" i="20" s="1"/>
  <c r="H8" i="20"/>
  <c r="G8" i="20"/>
  <c r="E8" i="20"/>
  <c r="L8" i="20" s="1"/>
  <c r="F8" i="20"/>
  <c r="D8" i="20"/>
  <c r="K8" i="20" s="1"/>
  <c r="H12" i="20"/>
  <c r="G12" i="20"/>
  <c r="E12" i="20"/>
  <c r="L12" i="20" s="1"/>
  <c r="D12" i="20"/>
  <c r="K12" i="20" s="1"/>
  <c r="F12" i="20"/>
  <c r="H16" i="20"/>
  <c r="E16" i="20"/>
  <c r="L16" i="20" s="1"/>
  <c r="G16" i="20"/>
  <c r="D16" i="20"/>
  <c r="K16" i="20" s="1"/>
  <c r="F16" i="20"/>
  <c r="H20" i="20"/>
  <c r="E20" i="20"/>
  <c r="L20" i="20" s="1"/>
  <c r="G20" i="20"/>
  <c r="F20" i="20"/>
  <c r="D20" i="20"/>
  <c r="K20" i="20" s="1"/>
  <c r="H24" i="20"/>
  <c r="G24" i="20"/>
  <c r="E24" i="20"/>
  <c r="L24" i="20" s="1"/>
  <c r="F24" i="20"/>
  <c r="D24" i="20"/>
  <c r="K24" i="20" s="1"/>
  <c r="G28" i="20"/>
  <c r="E28" i="20"/>
  <c r="L28" i="20" s="1"/>
  <c r="D28" i="20"/>
  <c r="K28" i="20" s="1"/>
  <c r="H28" i="20"/>
  <c r="F28" i="20"/>
  <c r="E32" i="20"/>
  <c r="L32" i="20" s="1"/>
  <c r="H32" i="20"/>
  <c r="G32" i="20"/>
  <c r="D32" i="20"/>
  <c r="K32" i="20" s="1"/>
  <c r="F32" i="20"/>
  <c r="H36" i="20"/>
  <c r="E36" i="20"/>
  <c r="L36" i="20" s="1"/>
  <c r="G36" i="20"/>
  <c r="F36" i="20"/>
  <c r="D36" i="20"/>
  <c r="K36" i="20" s="1"/>
  <c r="H40" i="20"/>
  <c r="G40" i="20"/>
  <c r="E40" i="20"/>
  <c r="L40" i="20" s="1"/>
  <c r="F40" i="20"/>
  <c r="D40" i="20"/>
  <c r="K40" i="20" s="1"/>
  <c r="G44" i="20"/>
  <c r="E44" i="20"/>
  <c r="L44" i="20" s="1"/>
  <c r="H44" i="20"/>
  <c r="D44" i="20"/>
  <c r="K44" i="20" s="1"/>
  <c r="F44" i="20"/>
  <c r="E48" i="20"/>
  <c r="L48" i="20" s="1"/>
  <c r="H48" i="20"/>
  <c r="G48" i="20"/>
  <c r="D48" i="20"/>
  <c r="K48" i="20" s="1"/>
  <c r="F48" i="20"/>
  <c r="H52" i="20"/>
  <c r="E52" i="20"/>
  <c r="L52" i="20" s="1"/>
  <c r="G52" i="20"/>
  <c r="F52" i="20"/>
  <c r="D52" i="20"/>
  <c r="K52" i="20" s="1"/>
  <c r="H56" i="20"/>
  <c r="G56" i="20"/>
  <c r="E56" i="20"/>
  <c r="L56" i="20" s="1"/>
  <c r="F56" i="20"/>
  <c r="D56" i="20"/>
  <c r="K56" i="20" s="1"/>
  <c r="G60" i="20"/>
  <c r="E60" i="20"/>
  <c r="L60" i="20" s="1"/>
  <c r="D60" i="20"/>
  <c r="K60" i="20" s="1"/>
  <c r="H60" i="20"/>
  <c r="F60" i="20"/>
  <c r="E64" i="20"/>
  <c r="L64" i="20" s="1"/>
  <c r="H64" i="20"/>
  <c r="D64" i="20"/>
  <c r="K64" i="20" s="1"/>
  <c r="G64" i="20"/>
  <c r="F64" i="20"/>
  <c r="H68" i="20"/>
  <c r="E68" i="20"/>
  <c r="L68" i="20" s="1"/>
  <c r="G68" i="20"/>
  <c r="F68" i="20"/>
  <c r="D68" i="20"/>
  <c r="K68" i="20" s="1"/>
  <c r="H72" i="20"/>
  <c r="G72" i="20"/>
  <c r="E72" i="20"/>
  <c r="L72" i="20" s="1"/>
  <c r="F72" i="20"/>
  <c r="D72" i="20"/>
  <c r="K72" i="20" s="1"/>
  <c r="G76" i="20"/>
  <c r="E76" i="20"/>
  <c r="L76" i="20" s="1"/>
  <c r="D76" i="20"/>
  <c r="K76" i="20" s="1"/>
  <c r="F76" i="20"/>
  <c r="H76" i="20"/>
  <c r="E80" i="20"/>
  <c r="L80" i="20" s="1"/>
  <c r="H80" i="20"/>
  <c r="G80" i="20"/>
  <c r="D80" i="20"/>
  <c r="K80" i="20" s="1"/>
  <c r="F80" i="20"/>
  <c r="H84" i="20"/>
  <c r="E84" i="20"/>
  <c r="L84" i="20" s="1"/>
  <c r="G84" i="20"/>
  <c r="F84" i="20"/>
  <c r="D84" i="20"/>
  <c r="K84" i="20" s="1"/>
  <c r="H88" i="20"/>
  <c r="G88" i="20"/>
  <c r="E88" i="20"/>
  <c r="L88" i="20" s="1"/>
  <c r="F88" i="20"/>
  <c r="D88" i="20"/>
  <c r="K88" i="20" s="1"/>
  <c r="G92" i="20"/>
  <c r="E92" i="20"/>
  <c r="L92" i="20" s="1"/>
  <c r="D92" i="20"/>
  <c r="K92" i="20" s="1"/>
  <c r="H92" i="20"/>
  <c r="F92" i="20"/>
  <c r="E96" i="20"/>
  <c r="L96" i="20" s="1"/>
  <c r="H96" i="20"/>
  <c r="G96" i="20"/>
  <c r="D96" i="20"/>
  <c r="K96" i="20" s="1"/>
  <c r="F96" i="20"/>
  <c r="H100" i="20"/>
  <c r="E100" i="20"/>
  <c r="L100" i="20" s="1"/>
  <c r="G100" i="20"/>
  <c r="F100" i="20"/>
  <c r="D100" i="20"/>
  <c r="K100" i="20" s="1"/>
  <c r="H104" i="20"/>
  <c r="G104" i="20"/>
  <c r="E104" i="20"/>
  <c r="L104" i="20" s="1"/>
  <c r="F104" i="20"/>
  <c r="D104" i="20"/>
  <c r="K104" i="20" s="1"/>
  <c r="G108" i="20"/>
  <c r="E108" i="20"/>
  <c r="L108" i="20" s="1"/>
  <c r="H108" i="20"/>
  <c r="D108" i="20"/>
  <c r="K108" i="20" s="1"/>
  <c r="F108" i="20"/>
  <c r="E112" i="20"/>
  <c r="L112" i="20" s="1"/>
  <c r="H112" i="20"/>
  <c r="G112" i="20"/>
  <c r="D112" i="20"/>
  <c r="K112" i="20" s="1"/>
  <c r="F112" i="20"/>
  <c r="H116" i="20"/>
  <c r="E116" i="20"/>
  <c r="L116" i="20" s="1"/>
  <c r="G116" i="20"/>
  <c r="F116" i="20"/>
  <c r="D116" i="20"/>
  <c r="K116" i="20" s="1"/>
  <c r="H120" i="20"/>
  <c r="G120" i="20"/>
  <c r="E120" i="20"/>
  <c r="L120" i="20" s="1"/>
  <c r="F120" i="20"/>
  <c r="D120" i="20"/>
  <c r="K120" i="20" s="1"/>
  <c r="G124" i="20"/>
  <c r="E124" i="20"/>
  <c r="L124" i="20" s="1"/>
  <c r="D124" i="20"/>
  <c r="K124" i="20" s="1"/>
  <c r="H124" i="20"/>
  <c r="F124" i="20"/>
  <c r="E128" i="20"/>
  <c r="L128" i="20" s="1"/>
  <c r="H128" i="20"/>
  <c r="G128" i="20"/>
  <c r="D128" i="20"/>
  <c r="K128" i="20" s="1"/>
  <c r="F128" i="20"/>
  <c r="H132" i="20"/>
  <c r="E132" i="20"/>
  <c r="L132" i="20" s="1"/>
  <c r="G132" i="20"/>
  <c r="F132" i="20"/>
  <c r="D132" i="20"/>
  <c r="K132" i="20" s="1"/>
  <c r="H136" i="20"/>
  <c r="G136" i="20"/>
  <c r="E136" i="20"/>
  <c r="L136" i="20" s="1"/>
  <c r="F136" i="20"/>
  <c r="D136" i="20"/>
  <c r="K136" i="20" s="1"/>
  <c r="G140" i="20"/>
  <c r="E140" i="20"/>
  <c r="L140" i="20" s="1"/>
  <c r="D140" i="20"/>
  <c r="K140" i="20" s="1"/>
  <c r="F140" i="20"/>
  <c r="H140" i="20"/>
  <c r="E144" i="20"/>
  <c r="L144" i="20" s="1"/>
  <c r="H144" i="20"/>
  <c r="G144" i="20"/>
  <c r="D144" i="20"/>
  <c r="K144" i="20" s="1"/>
  <c r="F144" i="20"/>
  <c r="H148" i="20"/>
  <c r="E148" i="20"/>
  <c r="L148" i="20" s="1"/>
  <c r="G148" i="20"/>
  <c r="D148" i="20"/>
  <c r="K148" i="20" s="1"/>
  <c r="F148" i="20"/>
  <c r="H152" i="20"/>
  <c r="G152" i="20"/>
  <c r="E152" i="20"/>
  <c r="L152" i="20" s="1"/>
  <c r="F152" i="20"/>
  <c r="D152" i="20"/>
  <c r="K152" i="20" s="1"/>
  <c r="G156" i="20"/>
  <c r="E156" i="20"/>
  <c r="L156" i="20" s="1"/>
  <c r="H156" i="20"/>
  <c r="F156" i="20"/>
  <c r="D156" i="20"/>
  <c r="K156" i="20" s="1"/>
  <c r="E160" i="20"/>
  <c r="L160" i="20" s="1"/>
  <c r="H160" i="20"/>
  <c r="D160" i="20"/>
  <c r="K160" i="20" s="1"/>
  <c r="G160" i="20"/>
  <c r="F160" i="20"/>
  <c r="H164" i="20"/>
  <c r="E164" i="20"/>
  <c r="L164" i="20" s="1"/>
  <c r="G164" i="20"/>
  <c r="D164" i="20"/>
  <c r="K164" i="20" s="1"/>
  <c r="F164" i="20"/>
  <c r="H168" i="20"/>
  <c r="G168" i="20"/>
  <c r="E168" i="20"/>
  <c r="L168" i="20" s="1"/>
  <c r="F168" i="20"/>
  <c r="D168" i="20"/>
  <c r="K168" i="20" s="1"/>
  <c r="G172" i="20"/>
  <c r="E172" i="20"/>
  <c r="L172" i="20" s="1"/>
  <c r="H172" i="20"/>
  <c r="F172" i="20"/>
  <c r="D172" i="20"/>
  <c r="K172" i="20" s="1"/>
  <c r="E176" i="20"/>
  <c r="L176" i="20" s="1"/>
  <c r="H176" i="20"/>
  <c r="G176" i="20"/>
  <c r="D176" i="20"/>
  <c r="K176" i="20" s="1"/>
  <c r="F176" i="20"/>
  <c r="H180" i="20"/>
  <c r="E180" i="20"/>
  <c r="L180" i="20" s="1"/>
  <c r="G180" i="20"/>
  <c r="D180" i="20"/>
  <c r="K180" i="20" s="1"/>
  <c r="F180" i="20"/>
  <c r="H184" i="20"/>
  <c r="G184" i="20"/>
  <c r="E184" i="20"/>
  <c r="L184" i="20" s="1"/>
  <c r="F184" i="20"/>
  <c r="D184" i="20"/>
  <c r="K184" i="20" s="1"/>
  <c r="G188" i="20"/>
  <c r="E188" i="20"/>
  <c r="L188" i="20" s="1"/>
  <c r="H188" i="20"/>
  <c r="F188" i="20"/>
  <c r="D188" i="20"/>
  <c r="K188" i="20" s="1"/>
  <c r="E192" i="20"/>
  <c r="L192" i="20" s="1"/>
  <c r="H192" i="20"/>
  <c r="G192" i="20"/>
  <c r="D192" i="20"/>
  <c r="K192" i="20" s="1"/>
  <c r="F192" i="20"/>
  <c r="H196" i="20"/>
  <c r="E196" i="20"/>
  <c r="L196" i="20" s="1"/>
  <c r="G196" i="20"/>
  <c r="D196" i="20"/>
  <c r="K196" i="20" s="1"/>
  <c r="F196" i="20"/>
  <c r="H200" i="20"/>
  <c r="G200" i="20"/>
  <c r="E200" i="20"/>
  <c r="L200" i="20" s="1"/>
  <c r="F200" i="20"/>
  <c r="D200" i="20"/>
  <c r="K200" i="20" s="1"/>
  <c r="G204" i="20"/>
  <c r="E204" i="20"/>
  <c r="L204" i="20" s="1"/>
  <c r="F204" i="20"/>
  <c r="H204" i="20"/>
  <c r="D204" i="20"/>
  <c r="K204" i="20" s="1"/>
  <c r="E208" i="20"/>
  <c r="L208" i="20" s="1"/>
  <c r="H208" i="20"/>
  <c r="G208" i="20"/>
  <c r="D208" i="20"/>
  <c r="K208" i="20" s="1"/>
  <c r="F208" i="20"/>
  <c r="H212" i="20"/>
  <c r="E212" i="20"/>
  <c r="L212" i="20" s="1"/>
  <c r="G212" i="20"/>
  <c r="F212" i="20"/>
  <c r="D212" i="20"/>
  <c r="K212" i="20" s="1"/>
  <c r="H216" i="20"/>
  <c r="G216" i="20"/>
  <c r="E216" i="20"/>
  <c r="L216" i="20" s="1"/>
  <c r="F216" i="20"/>
  <c r="D216" i="20"/>
  <c r="K216" i="20" s="1"/>
  <c r="G220" i="20"/>
  <c r="E220" i="20"/>
  <c r="L220" i="20" s="1"/>
  <c r="D220" i="20"/>
  <c r="K220" i="20" s="1"/>
  <c r="H220" i="20"/>
  <c r="F220" i="20"/>
  <c r="E224" i="20"/>
  <c r="L224" i="20" s="1"/>
  <c r="H224" i="20"/>
  <c r="D224" i="20"/>
  <c r="K224" i="20" s="1"/>
  <c r="G224" i="20"/>
  <c r="F224" i="20"/>
  <c r="H228" i="20"/>
  <c r="E228" i="20"/>
  <c r="L228" i="20" s="1"/>
  <c r="G228" i="20"/>
  <c r="F228" i="20"/>
  <c r="D228" i="20"/>
  <c r="K228" i="20" s="1"/>
  <c r="H5" i="20"/>
  <c r="F5" i="20"/>
  <c r="D5" i="20"/>
  <c r="K5" i="20" s="1"/>
  <c r="E5" i="20"/>
  <c r="L5" i="20" s="1"/>
  <c r="G5" i="20"/>
  <c r="H9" i="20"/>
  <c r="F9" i="20"/>
  <c r="D9" i="20"/>
  <c r="K9" i="20" s="1"/>
  <c r="E9" i="20"/>
  <c r="L9" i="20" s="1"/>
  <c r="G9" i="20"/>
  <c r="H13" i="20"/>
  <c r="F13" i="20"/>
  <c r="D13" i="20"/>
  <c r="K13" i="20" s="1"/>
  <c r="G13" i="20"/>
  <c r="E13" i="20"/>
  <c r="L13" i="20" s="1"/>
  <c r="H17" i="20"/>
  <c r="G17" i="20"/>
  <c r="F17" i="20"/>
  <c r="D17" i="20"/>
  <c r="K17" i="20" s="1"/>
  <c r="E17" i="20"/>
  <c r="L17" i="20" s="1"/>
  <c r="H21" i="20"/>
  <c r="F21" i="20"/>
  <c r="D21" i="20"/>
  <c r="K21" i="20" s="1"/>
  <c r="E21" i="20"/>
  <c r="L21" i="20" s="1"/>
  <c r="G21" i="20"/>
  <c r="H25" i="20"/>
  <c r="F25" i="20"/>
  <c r="D25" i="20"/>
  <c r="K25" i="20" s="1"/>
  <c r="G25" i="20"/>
  <c r="E25" i="20"/>
  <c r="L25" i="20" s="1"/>
  <c r="H29" i="20"/>
  <c r="F29" i="20"/>
  <c r="D29" i="20"/>
  <c r="K29" i="20" s="1"/>
  <c r="G29" i="20"/>
  <c r="E29" i="20"/>
  <c r="L29" i="20" s="1"/>
  <c r="H33" i="20"/>
  <c r="G33" i="20"/>
  <c r="F33" i="20"/>
  <c r="D33" i="20"/>
  <c r="K33" i="20" s="1"/>
  <c r="E33" i="20"/>
  <c r="L33" i="20" s="1"/>
  <c r="H37" i="20"/>
  <c r="F37" i="20"/>
  <c r="D37" i="20"/>
  <c r="K37" i="20" s="1"/>
  <c r="E37" i="20"/>
  <c r="L37" i="20" s="1"/>
  <c r="G37" i="20"/>
  <c r="H41" i="20"/>
  <c r="F41" i="20"/>
  <c r="D41" i="20"/>
  <c r="K41" i="20" s="1"/>
  <c r="E41" i="20"/>
  <c r="L41" i="20" s="1"/>
  <c r="G41" i="20"/>
  <c r="H45" i="20"/>
  <c r="F45" i="20"/>
  <c r="D45" i="20"/>
  <c r="K45" i="20" s="1"/>
  <c r="G45" i="20"/>
  <c r="E45" i="20"/>
  <c r="L45" i="20" s="1"/>
  <c r="H49" i="20"/>
  <c r="G49" i="20"/>
  <c r="F49" i="20"/>
  <c r="D49" i="20"/>
  <c r="K49" i="20" s="1"/>
  <c r="E49" i="20"/>
  <c r="L49" i="20" s="1"/>
  <c r="H53" i="20"/>
  <c r="F53" i="20"/>
  <c r="D53" i="20"/>
  <c r="K53" i="20" s="1"/>
  <c r="E53" i="20"/>
  <c r="L53" i="20" s="1"/>
  <c r="G53" i="20"/>
  <c r="H57" i="20"/>
  <c r="F57" i="20"/>
  <c r="D57" i="20"/>
  <c r="K57" i="20" s="1"/>
  <c r="G57" i="20"/>
  <c r="E57" i="20"/>
  <c r="L57" i="20" s="1"/>
  <c r="H61" i="20"/>
  <c r="F61" i="20"/>
  <c r="D61" i="20"/>
  <c r="K61" i="20" s="1"/>
  <c r="G61" i="20"/>
  <c r="E61" i="20"/>
  <c r="L61" i="20" s="1"/>
  <c r="H65" i="20"/>
  <c r="G65" i="20"/>
  <c r="F65" i="20"/>
  <c r="D65" i="20"/>
  <c r="K65" i="20" s="1"/>
  <c r="E65" i="20"/>
  <c r="L65" i="20" s="1"/>
  <c r="H69" i="20"/>
  <c r="F69" i="20"/>
  <c r="D69" i="20"/>
  <c r="K69" i="20" s="1"/>
  <c r="E69" i="20"/>
  <c r="L69" i="20" s="1"/>
  <c r="G69" i="20"/>
  <c r="H73" i="20"/>
  <c r="F73" i="20"/>
  <c r="D73" i="20"/>
  <c r="K73" i="20" s="1"/>
  <c r="E73" i="20"/>
  <c r="L73" i="20" s="1"/>
  <c r="G73" i="20"/>
  <c r="H77" i="20"/>
  <c r="F77" i="20"/>
  <c r="D77" i="20"/>
  <c r="K77" i="20" s="1"/>
  <c r="G77" i="20"/>
  <c r="E77" i="20"/>
  <c r="L77" i="20" s="1"/>
  <c r="H81" i="20"/>
  <c r="G81" i="20"/>
  <c r="F81" i="20"/>
  <c r="D81" i="20"/>
  <c r="K81" i="20" s="1"/>
  <c r="E81" i="20"/>
  <c r="L81" i="20" s="1"/>
  <c r="H85" i="20"/>
  <c r="F85" i="20"/>
  <c r="D85" i="20"/>
  <c r="K85" i="20" s="1"/>
  <c r="E85" i="20"/>
  <c r="L85" i="20" s="1"/>
  <c r="G85" i="20"/>
  <c r="H89" i="20"/>
  <c r="F89" i="20"/>
  <c r="D89" i="20"/>
  <c r="K89" i="20" s="1"/>
  <c r="G89" i="20"/>
  <c r="E89" i="20"/>
  <c r="L89" i="20" s="1"/>
  <c r="H93" i="20"/>
  <c r="F93" i="20"/>
  <c r="D93" i="20"/>
  <c r="K93" i="20" s="1"/>
  <c r="G93" i="20"/>
  <c r="E93" i="20"/>
  <c r="L93" i="20" s="1"/>
  <c r="H97" i="20"/>
  <c r="G97" i="20"/>
  <c r="F97" i="20"/>
  <c r="D97" i="20"/>
  <c r="K97" i="20" s="1"/>
  <c r="E97" i="20"/>
  <c r="L97" i="20" s="1"/>
  <c r="H101" i="20"/>
  <c r="F101" i="20"/>
  <c r="D101" i="20"/>
  <c r="K101" i="20" s="1"/>
  <c r="E101" i="20"/>
  <c r="L101" i="20" s="1"/>
  <c r="G101" i="20"/>
  <c r="H105" i="20"/>
  <c r="F105" i="20"/>
  <c r="D105" i="20"/>
  <c r="K105" i="20" s="1"/>
  <c r="E105" i="20"/>
  <c r="L105" i="20" s="1"/>
  <c r="G105" i="20"/>
  <c r="H109" i="20"/>
  <c r="F109" i="20"/>
  <c r="D109" i="20"/>
  <c r="K109" i="20" s="1"/>
  <c r="G109" i="20"/>
  <c r="E109" i="20"/>
  <c r="L109" i="20" s="1"/>
  <c r="H113" i="20"/>
  <c r="G113" i="20"/>
  <c r="F113" i="20"/>
  <c r="D113" i="20"/>
  <c r="K113" i="20" s="1"/>
  <c r="E113" i="20"/>
  <c r="L113" i="20" s="1"/>
  <c r="H117" i="20"/>
  <c r="F117" i="20"/>
  <c r="D117" i="20"/>
  <c r="K117" i="20" s="1"/>
  <c r="E117" i="20"/>
  <c r="L117" i="20" s="1"/>
  <c r="G117" i="20"/>
  <c r="H121" i="20"/>
  <c r="F121" i="20"/>
  <c r="D121" i="20"/>
  <c r="K121" i="20" s="1"/>
  <c r="G121" i="20"/>
  <c r="E121" i="20"/>
  <c r="L121" i="20" s="1"/>
  <c r="H125" i="20"/>
  <c r="F125" i="20"/>
  <c r="D125" i="20"/>
  <c r="K125" i="20" s="1"/>
  <c r="G125" i="20"/>
  <c r="E125" i="20"/>
  <c r="L125" i="20" s="1"/>
  <c r="H129" i="20"/>
  <c r="G129" i="20"/>
  <c r="F129" i="20"/>
  <c r="D129" i="20"/>
  <c r="K129" i="20" s="1"/>
  <c r="E129" i="20"/>
  <c r="L129" i="20" s="1"/>
  <c r="H133" i="20"/>
  <c r="F133" i="20"/>
  <c r="D133" i="20"/>
  <c r="K133" i="20" s="1"/>
  <c r="E133" i="20"/>
  <c r="L133" i="20" s="1"/>
  <c r="G133" i="20"/>
  <c r="H137" i="20"/>
  <c r="F137" i="20"/>
  <c r="D137" i="20"/>
  <c r="K137" i="20" s="1"/>
  <c r="E137" i="20"/>
  <c r="L137" i="20" s="1"/>
  <c r="G137" i="20"/>
  <c r="H141" i="20"/>
  <c r="F141" i="20"/>
  <c r="D141" i="20"/>
  <c r="K141" i="20" s="1"/>
  <c r="G141" i="20"/>
  <c r="E141" i="20"/>
  <c r="L141" i="20" s="1"/>
  <c r="H145" i="20"/>
  <c r="G145" i="20"/>
  <c r="F145" i="20"/>
  <c r="D145" i="20"/>
  <c r="K145" i="20" s="1"/>
  <c r="E145" i="20"/>
  <c r="L145" i="20" s="1"/>
  <c r="H149" i="20"/>
  <c r="F149" i="20"/>
  <c r="D149" i="20"/>
  <c r="K149" i="20" s="1"/>
  <c r="E149" i="20"/>
  <c r="L149" i="20" s="1"/>
  <c r="G149" i="20"/>
  <c r="H153" i="20"/>
  <c r="F153" i="20"/>
  <c r="D153" i="20"/>
  <c r="K153" i="20" s="1"/>
  <c r="G153" i="20"/>
  <c r="E153" i="20"/>
  <c r="L153" i="20" s="1"/>
  <c r="H157" i="20"/>
  <c r="F157" i="20"/>
  <c r="D157" i="20"/>
  <c r="K157" i="20" s="1"/>
  <c r="G157" i="20"/>
  <c r="E157" i="20"/>
  <c r="L157" i="20" s="1"/>
  <c r="H161" i="20"/>
  <c r="G161" i="20"/>
  <c r="F161" i="20"/>
  <c r="D161" i="20"/>
  <c r="K161" i="20" s="1"/>
  <c r="E161" i="20"/>
  <c r="L161" i="20" s="1"/>
  <c r="H165" i="20"/>
  <c r="F165" i="20"/>
  <c r="D165" i="20"/>
  <c r="K165" i="20" s="1"/>
  <c r="E165" i="20"/>
  <c r="L165" i="20" s="1"/>
  <c r="G165" i="20"/>
  <c r="H169" i="20"/>
  <c r="F169" i="20"/>
  <c r="D169" i="20"/>
  <c r="K169" i="20" s="1"/>
  <c r="E169" i="20"/>
  <c r="L169" i="20" s="1"/>
  <c r="G169" i="20"/>
  <c r="H173" i="20"/>
  <c r="F173" i="20"/>
  <c r="D173" i="20"/>
  <c r="K173" i="20" s="1"/>
  <c r="G173" i="20"/>
  <c r="E173" i="20"/>
  <c r="L173" i="20" s="1"/>
  <c r="H177" i="20"/>
  <c r="G177" i="20"/>
  <c r="F177" i="20"/>
  <c r="D177" i="20"/>
  <c r="K177" i="20" s="1"/>
  <c r="E177" i="20"/>
  <c r="L177" i="20" s="1"/>
  <c r="H181" i="20"/>
  <c r="F181" i="20"/>
  <c r="D181" i="20"/>
  <c r="K181" i="20" s="1"/>
  <c r="E181" i="20"/>
  <c r="L181" i="20" s="1"/>
  <c r="G181" i="20"/>
  <c r="H185" i="20"/>
  <c r="F185" i="20"/>
  <c r="D185" i="20"/>
  <c r="K185" i="20" s="1"/>
  <c r="G185" i="20"/>
  <c r="E185" i="20"/>
  <c r="L185" i="20" s="1"/>
  <c r="H189" i="20"/>
  <c r="F189" i="20"/>
  <c r="D189" i="20"/>
  <c r="K189" i="20" s="1"/>
  <c r="G189" i="20"/>
  <c r="E189" i="20"/>
  <c r="L189" i="20" s="1"/>
  <c r="H193" i="20"/>
  <c r="G193" i="20"/>
  <c r="F193" i="20"/>
  <c r="D193" i="20"/>
  <c r="K193" i="20" s="1"/>
  <c r="E193" i="20"/>
  <c r="L193" i="20" s="1"/>
  <c r="H197" i="20"/>
  <c r="F197" i="20"/>
  <c r="D197" i="20"/>
  <c r="K197" i="20" s="1"/>
  <c r="E197" i="20"/>
  <c r="L197" i="20" s="1"/>
  <c r="G197" i="20"/>
  <c r="H201" i="20"/>
  <c r="F201" i="20"/>
  <c r="D201" i="20"/>
  <c r="K201" i="20" s="1"/>
  <c r="E201" i="20"/>
  <c r="L201" i="20" s="1"/>
  <c r="G201" i="20"/>
  <c r="H205" i="20"/>
  <c r="F205" i="20"/>
  <c r="D205" i="20"/>
  <c r="K205" i="20" s="1"/>
  <c r="G205" i="20"/>
  <c r="E205" i="20"/>
  <c r="L205" i="20" s="1"/>
  <c r="H209" i="20"/>
  <c r="G209" i="20"/>
  <c r="F209" i="20"/>
  <c r="D209" i="20"/>
  <c r="K209" i="20" s="1"/>
  <c r="E209" i="20"/>
  <c r="L209" i="20" s="1"/>
  <c r="H213" i="20"/>
  <c r="F213" i="20"/>
  <c r="D213" i="20"/>
  <c r="K213" i="20" s="1"/>
  <c r="E213" i="20"/>
  <c r="L213" i="20" s="1"/>
  <c r="G213" i="20"/>
  <c r="H217" i="20"/>
  <c r="F217" i="20"/>
  <c r="D217" i="20"/>
  <c r="K217" i="20" s="1"/>
  <c r="G217" i="20"/>
  <c r="E217" i="20"/>
  <c r="L217" i="20" s="1"/>
  <c r="H221" i="20"/>
  <c r="F221" i="20"/>
  <c r="D221" i="20"/>
  <c r="K221" i="20" s="1"/>
  <c r="G221" i="20"/>
  <c r="E221" i="20"/>
  <c r="L221" i="20" s="1"/>
  <c r="H225" i="20"/>
  <c r="G225" i="20"/>
  <c r="F225" i="20"/>
  <c r="D225" i="20"/>
  <c r="K225" i="20" s="1"/>
  <c r="E225" i="20"/>
  <c r="L225" i="20" s="1"/>
  <c r="D2" i="20"/>
  <c r="K2" i="20" s="1"/>
  <c r="E2" i="20"/>
  <c r="L2" i="20" s="1"/>
  <c r="F2" i="20"/>
  <c r="I138" i="20" l="1"/>
  <c r="I106" i="20"/>
  <c r="I201" i="20"/>
  <c r="I169" i="20"/>
  <c r="I137" i="20"/>
  <c r="I73" i="20"/>
  <c r="I41" i="20"/>
  <c r="I9" i="20"/>
  <c r="I105" i="20"/>
  <c r="I226" i="20"/>
  <c r="O226" i="20" s="1"/>
  <c r="I162" i="20"/>
  <c r="I19" i="20"/>
  <c r="I170" i="20"/>
  <c r="I154" i="20"/>
  <c r="I122" i="20"/>
  <c r="O122" i="20" s="1"/>
  <c r="I90" i="20"/>
  <c r="I74" i="20"/>
  <c r="I58" i="20"/>
  <c r="O58" i="20" s="1"/>
  <c r="I215" i="20"/>
  <c r="O215" i="20" s="1"/>
  <c r="I199" i="20"/>
  <c r="I183" i="20"/>
  <c r="I167" i="20"/>
  <c r="O167" i="20" s="1"/>
  <c r="I151" i="20"/>
  <c r="O151" i="20" s="1"/>
  <c r="I135" i="20"/>
  <c r="I119" i="20"/>
  <c r="I103" i="20"/>
  <c r="O103" i="20" s="1"/>
  <c r="I87" i="20"/>
  <c r="O87" i="20" s="1"/>
  <c r="I71" i="20"/>
  <c r="I55" i="20"/>
  <c r="I39" i="20"/>
  <c r="O39" i="20" s="1"/>
  <c r="I98" i="20"/>
  <c r="O98" i="20" s="1"/>
  <c r="I218" i="20"/>
  <c r="I202" i="20"/>
  <c r="I186" i="20"/>
  <c r="O186" i="20" s="1"/>
  <c r="I42" i="20"/>
  <c r="O42" i="20" s="1"/>
  <c r="I26" i="20"/>
  <c r="I14" i="20"/>
  <c r="I10" i="20"/>
  <c r="N10" i="20" s="1"/>
  <c r="I216" i="20"/>
  <c r="N216" i="20" s="1"/>
  <c r="I204" i="20"/>
  <c r="I200" i="20"/>
  <c r="O200" i="20" s="1"/>
  <c r="I196" i="20"/>
  <c r="N196" i="20" s="1"/>
  <c r="I184" i="20"/>
  <c r="N184" i="20" s="1"/>
  <c r="I180" i="20"/>
  <c r="I168" i="20"/>
  <c r="O168" i="20" s="1"/>
  <c r="I164" i="20"/>
  <c r="N164" i="20" s="1"/>
  <c r="I152" i="20"/>
  <c r="N152" i="20" s="1"/>
  <c r="I148" i="20"/>
  <c r="I136" i="20"/>
  <c r="O136" i="20" s="1"/>
  <c r="I120" i="20"/>
  <c r="O120" i="20" s="1"/>
  <c r="I104" i="20"/>
  <c r="O104" i="20" s="1"/>
  <c r="I88" i="20"/>
  <c r="I72" i="20"/>
  <c r="O72" i="20" s="1"/>
  <c r="I56" i="20"/>
  <c r="N56" i="20" s="1"/>
  <c r="I40" i="20"/>
  <c r="O40" i="20" s="1"/>
  <c r="I24" i="20"/>
  <c r="I8" i="20"/>
  <c r="N8" i="20" s="1"/>
  <c r="I16" i="20"/>
  <c r="N16" i="20" s="1"/>
  <c r="I34" i="20"/>
  <c r="I220" i="20"/>
  <c r="I124" i="20"/>
  <c r="O124" i="20" s="1"/>
  <c r="I92" i="20"/>
  <c r="O92" i="20" s="1"/>
  <c r="I60" i="20"/>
  <c r="N60" i="20" s="1"/>
  <c r="I28" i="20"/>
  <c r="I12" i="20"/>
  <c r="O12" i="20" s="1"/>
  <c r="N204" i="20"/>
  <c r="O204" i="20"/>
  <c r="N180" i="20"/>
  <c r="O180" i="20"/>
  <c r="O152" i="20"/>
  <c r="N24" i="20"/>
  <c r="O24" i="20"/>
  <c r="O8" i="20"/>
  <c r="O19" i="20"/>
  <c r="N19" i="20"/>
  <c r="O218" i="20"/>
  <c r="N218" i="20"/>
  <c r="O202" i="20"/>
  <c r="N202" i="20"/>
  <c r="O170" i="20"/>
  <c r="N170" i="20"/>
  <c r="O154" i="20"/>
  <c r="N154" i="20"/>
  <c r="O138" i="20"/>
  <c r="N138" i="20"/>
  <c r="N122" i="20"/>
  <c r="O106" i="20"/>
  <c r="N106" i="20"/>
  <c r="O90" i="20"/>
  <c r="N90" i="20"/>
  <c r="O74" i="20"/>
  <c r="N74" i="20"/>
  <c r="N26" i="20"/>
  <c r="O26" i="20"/>
  <c r="N14" i="20"/>
  <c r="O14" i="20"/>
  <c r="I2" i="20"/>
  <c r="I221" i="20"/>
  <c r="I205" i="20"/>
  <c r="I189" i="20"/>
  <c r="I173" i="20"/>
  <c r="I157" i="20"/>
  <c r="I141" i="20"/>
  <c r="I125" i="20"/>
  <c r="I109" i="20"/>
  <c r="I93" i="20"/>
  <c r="I77" i="20"/>
  <c r="I61" i="20"/>
  <c r="I45" i="20"/>
  <c r="I29" i="20"/>
  <c r="I13" i="20"/>
  <c r="I228" i="20"/>
  <c r="I224" i="20"/>
  <c r="I212" i="20"/>
  <c r="I208" i="20"/>
  <c r="I192" i="20"/>
  <c r="I176" i="20"/>
  <c r="I160" i="20"/>
  <c r="I144" i="20"/>
  <c r="I132" i="20"/>
  <c r="I128" i="20"/>
  <c r="I116" i="20"/>
  <c r="I112" i="20"/>
  <c r="I100" i="20"/>
  <c r="I96" i="20"/>
  <c r="I84" i="20"/>
  <c r="I80" i="20"/>
  <c r="I68" i="20"/>
  <c r="I64" i="20"/>
  <c r="I52" i="20"/>
  <c r="I48" i="20"/>
  <c r="I36" i="20"/>
  <c r="I32" i="20"/>
  <c r="I20" i="20"/>
  <c r="I219" i="20"/>
  <c r="I187" i="20"/>
  <c r="I155" i="20"/>
  <c r="I123" i="20"/>
  <c r="I91" i="20"/>
  <c r="I59" i="20"/>
  <c r="I27" i="20"/>
  <c r="I23" i="20"/>
  <c r="I11" i="20"/>
  <c r="I7" i="20"/>
  <c r="I214" i="20"/>
  <c r="I198" i="20"/>
  <c r="I182" i="20"/>
  <c r="I166" i="20"/>
  <c r="I150" i="20"/>
  <c r="I134" i="20"/>
  <c r="I118" i="20"/>
  <c r="I102" i="20"/>
  <c r="I86" i="20"/>
  <c r="I70" i="20"/>
  <c r="I54" i="20"/>
  <c r="I38" i="20"/>
  <c r="I22" i="20"/>
  <c r="I18" i="20"/>
  <c r="I6" i="20"/>
  <c r="N200" i="20"/>
  <c r="N168" i="20"/>
  <c r="N148" i="20"/>
  <c r="O148" i="20"/>
  <c r="N136" i="20"/>
  <c r="N104" i="20"/>
  <c r="O88" i="20"/>
  <c r="N88" i="20"/>
  <c r="I217" i="20"/>
  <c r="N201" i="20"/>
  <c r="O201" i="20"/>
  <c r="I185" i="20"/>
  <c r="N169" i="20"/>
  <c r="O169" i="20"/>
  <c r="I153" i="20"/>
  <c r="N137" i="20"/>
  <c r="O137" i="20"/>
  <c r="I121" i="20"/>
  <c r="N105" i="20"/>
  <c r="O105" i="20"/>
  <c r="I89" i="20"/>
  <c r="N73" i="20"/>
  <c r="O73" i="20"/>
  <c r="I57" i="20"/>
  <c r="N41" i="20"/>
  <c r="O41" i="20"/>
  <c r="I25" i="20"/>
  <c r="O9" i="20"/>
  <c r="N9" i="20"/>
  <c r="N220" i="20"/>
  <c r="O220" i="20"/>
  <c r="N124" i="20"/>
  <c r="I108" i="20"/>
  <c r="O60" i="20"/>
  <c r="I44" i="20"/>
  <c r="N28" i="20"/>
  <c r="O28" i="20"/>
  <c r="I203" i="20"/>
  <c r="O199" i="20"/>
  <c r="N199" i="20"/>
  <c r="O183" i="20"/>
  <c r="N183" i="20"/>
  <c r="I171" i="20"/>
  <c r="I139" i="20"/>
  <c r="O135" i="20"/>
  <c r="N135" i="20"/>
  <c r="O119" i="20"/>
  <c r="N119" i="20"/>
  <c r="I107" i="20"/>
  <c r="N87" i="20"/>
  <c r="I75" i="20"/>
  <c r="O71" i="20"/>
  <c r="N71" i="20"/>
  <c r="O55" i="20"/>
  <c r="N55" i="20"/>
  <c r="I43" i="20"/>
  <c r="N39" i="20"/>
  <c r="I3" i="20"/>
  <c r="I210" i="20"/>
  <c r="I194" i="20"/>
  <c r="I178" i="20"/>
  <c r="O162" i="20"/>
  <c r="N162" i="20"/>
  <c r="I146" i="20"/>
  <c r="I130" i="20"/>
  <c r="I114" i="20"/>
  <c r="N98" i="20"/>
  <c r="I82" i="20"/>
  <c r="I66" i="20"/>
  <c r="I50" i="20"/>
  <c r="O34" i="20"/>
  <c r="N34" i="20"/>
  <c r="I225" i="20"/>
  <c r="I213" i="20"/>
  <c r="I209" i="20"/>
  <c r="I197" i="20"/>
  <c r="I193" i="20"/>
  <c r="I181" i="20"/>
  <c r="I177" i="20"/>
  <c r="I165" i="20"/>
  <c r="I161" i="20"/>
  <c r="I149" i="20"/>
  <c r="I145" i="20"/>
  <c r="I133" i="20"/>
  <c r="I129" i="20"/>
  <c r="I117" i="20"/>
  <c r="I113" i="20"/>
  <c r="I101" i="20"/>
  <c r="I97" i="20"/>
  <c r="I85" i="20"/>
  <c r="I81" i="20"/>
  <c r="I69" i="20"/>
  <c r="I65" i="20"/>
  <c r="I53" i="20"/>
  <c r="I49" i="20"/>
  <c r="I37" i="20"/>
  <c r="I33" i="20"/>
  <c r="I21" i="20"/>
  <c r="I17" i="20"/>
  <c r="I5" i="20"/>
  <c r="I188" i="20"/>
  <c r="I172" i="20"/>
  <c r="I156" i="20"/>
  <c r="I140" i="20"/>
  <c r="I76" i="20"/>
  <c r="I4" i="20"/>
  <c r="I227" i="20"/>
  <c r="I223" i="20"/>
  <c r="I211" i="20"/>
  <c r="I207" i="20"/>
  <c r="I195" i="20"/>
  <c r="I191" i="20"/>
  <c r="I179" i="20"/>
  <c r="I175" i="20"/>
  <c r="I163" i="20"/>
  <c r="I159" i="20"/>
  <c r="I147" i="20"/>
  <c r="I143" i="20"/>
  <c r="I131" i="20"/>
  <c r="I127" i="20"/>
  <c r="I115" i="20"/>
  <c r="I111" i="20"/>
  <c r="I99" i="20"/>
  <c r="I95" i="20"/>
  <c r="I83" i="20"/>
  <c r="I79" i="20"/>
  <c r="I67" i="20"/>
  <c r="I63" i="20"/>
  <c r="I51" i="20"/>
  <c r="I47" i="20"/>
  <c r="I35" i="20"/>
  <c r="I31" i="20"/>
  <c r="I15" i="20"/>
  <c r="I222" i="20"/>
  <c r="I206" i="20"/>
  <c r="I190" i="20"/>
  <c r="I174" i="20"/>
  <c r="I158" i="20"/>
  <c r="I142" i="20"/>
  <c r="I126" i="20"/>
  <c r="I110" i="20"/>
  <c r="I94" i="20"/>
  <c r="I78" i="20"/>
  <c r="I62" i="20"/>
  <c r="I46" i="20"/>
  <c r="I30" i="20"/>
  <c r="N58" i="20" l="1"/>
  <c r="N226" i="20"/>
  <c r="N151" i="20"/>
  <c r="O216" i="20"/>
  <c r="N40" i="20"/>
  <c r="N103" i="20"/>
  <c r="N215" i="20"/>
  <c r="O184" i="20"/>
  <c r="N42" i="20"/>
  <c r="N167" i="20"/>
  <c r="O56" i="20"/>
  <c r="N92" i="20"/>
  <c r="N120" i="20"/>
  <c r="O164" i="20"/>
  <c r="O196" i="20"/>
  <c r="O16" i="20"/>
  <c r="O10" i="20"/>
  <c r="N186" i="20"/>
  <c r="N12" i="20"/>
  <c r="N72" i="20"/>
  <c r="O94" i="20"/>
  <c r="N94" i="20"/>
  <c r="O222" i="20"/>
  <c r="N222" i="20"/>
  <c r="O79" i="20"/>
  <c r="N79" i="20"/>
  <c r="O111" i="20"/>
  <c r="N111" i="20"/>
  <c r="N175" i="20"/>
  <c r="O175" i="20"/>
  <c r="N4" i="20"/>
  <c r="O4" i="20"/>
  <c r="N172" i="20"/>
  <c r="O172" i="20"/>
  <c r="O21" i="20"/>
  <c r="N21" i="20"/>
  <c r="O85" i="20"/>
  <c r="N85" i="20"/>
  <c r="O149" i="20"/>
  <c r="N149" i="20"/>
  <c r="O181" i="20"/>
  <c r="N181" i="20"/>
  <c r="O213" i="20"/>
  <c r="N213" i="20"/>
  <c r="O210" i="20"/>
  <c r="N210" i="20"/>
  <c r="O107" i="20"/>
  <c r="N107" i="20"/>
  <c r="N217" i="20"/>
  <c r="O217" i="20"/>
  <c r="O18" i="20"/>
  <c r="N18" i="20"/>
  <c r="O134" i="20"/>
  <c r="N134" i="20"/>
  <c r="O198" i="20"/>
  <c r="N198" i="20"/>
  <c r="O23" i="20"/>
  <c r="N23" i="20"/>
  <c r="O36" i="20"/>
  <c r="N36" i="20"/>
  <c r="O132" i="20"/>
  <c r="N132" i="20"/>
  <c r="N228" i="20"/>
  <c r="O228" i="20"/>
  <c r="O125" i="20"/>
  <c r="N125" i="20"/>
  <c r="N189" i="20"/>
  <c r="O189" i="20"/>
  <c r="O110" i="20"/>
  <c r="N110" i="20"/>
  <c r="O15" i="20"/>
  <c r="N15" i="20"/>
  <c r="N83" i="20"/>
  <c r="O83" i="20"/>
  <c r="N115" i="20"/>
  <c r="O115" i="20"/>
  <c r="N179" i="20"/>
  <c r="O179" i="20"/>
  <c r="O76" i="20"/>
  <c r="N76" i="20"/>
  <c r="O33" i="20"/>
  <c r="N33" i="20"/>
  <c r="O97" i="20"/>
  <c r="N97" i="20"/>
  <c r="O129" i="20"/>
  <c r="N129" i="20"/>
  <c r="O193" i="20"/>
  <c r="N193" i="20"/>
  <c r="O66" i="20"/>
  <c r="N66" i="20"/>
  <c r="O114" i="20"/>
  <c r="N114" i="20"/>
  <c r="O139" i="20"/>
  <c r="N139" i="20"/>
  <c r="N185" i="20"/>
  <c r="O185" i="20"/>
  <c r="O22" i="20"/>
  <c r="N22" i="20"/>
  <c r="O150" i="20"/>
  <c r="N150" i="20"/>
  <c r="O214" i="20"/>
  <c r="N214" i="20"/>
  <c r="O27" i="20"/>
  <c r="N27" i="20"/>
  <c r="O155" i="20"/>
  <c r="N155" i="20"/>
  <c r="O48" i="20"/>
  <c r="N48" i="20"/>
  <c r="O80" i="20"/>
  <c r="N80" i="20"/>
  <c r="O112" i="20"/>
  <c r="N112" i="20"/>
  <c r="N144" i="20"/>
  <c r="O144" i="20"/>
  <c r="N208" i="20"/>
  <c r="O208" i="20"/>
  <c r="O13" i="20"/>
  <c r="N13" i="20"/>
  <c r="O77" i="20"/>
  <c r="N77" i="20"/>
  <c r="N141" i="20"/>
  <c r="O141" i="20"/>
  <c r="N205" i="20"/>
  <c r="O205" i="20"/>
  <c r="O62" i="20"/>
  <c r="N62" i="20"/>
  <c r="O126" i="20"/>
  <c r="N126" i="20"/>
  <c r="O190" i="20"/>
  <c r="N190" i="20"/>
  <c r="O31" i="20"/>
  <c r="N31" i="20"/>
  <c r="O63" i="20"/>
  <c r="N63" i="20"/>
  <c r="O95" i="20"/>
  <c r="N95" i="20"/>
  <c r="O127" i="20"/>
  <c r="N127" i="20"/>
  <c r="N159" i="20"/>
  <c r="O159" i="20"/>
  <c r="N191" i="20"/>
  <c r="O191" i="20"/>
  <c r="N223" i="20"/>
  <c r="O223" i="20"/>
  <c r="N140" i="20"/>
  <c r="O140" i="20"/>
  <c r="O5" i="20"/>
  <c r="N5" i="20"/>
  <c r="O37" i="20"/>
  <c r="N37" i="20"/>
  <c r="O69" i="20"/>
  <c r="N69" i="20"/>
  <c r="O101" i="20"/>
  <c r="N101" i="20"/>
  <c r="O133" i="20"/>
  <c r="N133" i="20"/>
  <c r="O165" i="20"/>
  <c r="N165" i="20"/>
  <c r="O197" i="20"/>
  <c r="N197" i="20"/>
  <c r="O82" i="20"/>
  <c r="N82" i="20"/>
  <c r="O130" i="20"/>
  <c r="N130" i="20"/>
  <c r="O178" i="20"/>
  <c r="N178" i="20"/>
  <c r="O43" i="20"/>
  <c r="N43" i="20"/>
  <c r="O171" i="20"/>
  <c r="N171" i="20"/>
  <c r="O44" i="20"/>
  <c r="N44" i="20"/>
  <c r="O25" i="20"/>
  <c r="N25" i="20"/>
  <c r="N153" i="20"/>
  <c r="O153" i="20"/>
  <c r="O38" i="20"/>
  <c r="N38" i="20"/>
  <c r="O102" i="20"/>
  <c r="N102" i="20"/>
  <c r="O166" i="20"/>
  <c r="N166" i="20"/>
  <c r="O7" i="20"/>
  <c r="N7" i="20"/>
  <c r="O59" i="20"/>
  <c r="N59" i="20"/>
  <c r="O187" i="20"/>
  <c r="N187" i="20"/>
  <c r="N20" i="20"/>
  <c r="O20" i="20"/>
  <c r="O52" i="20"/>
  <c r="N52" i="20"/>
  <c r="O84" i="20"/>
  <c r="N84" i="20"/>
  <c r="O116" i="20"/>
  <c r="N116" i="20"/>
  <c r="N160" i="20"/>
  <c r="O160" i="20"/>
  <c r="N212" i="20"/>
  <c r="O212" i="20"/>
  <c r="O29" i="20"/>
  <c r="N29" i="20"/>
  <c r="O93" i="20"/>
  <c r="N93" i="20"/>
  <c r="N157" i="20"/>
  <c r="O157" i="20"/>
  <c r="N221" i="20"/>
  <c r="O221" i="20"/>
  <c r="N30" i="20"/>
  <c r="O30" i="20"/>
  <c r="O158" i="20"/>
  <c r="N158" i="20"/>
  <c r="O47" i="20"/>
  <c r="N47" i="20"/>
  <c r="N143" i="20"/>
  <c r="O143" i="20"/>
  <c r="N207" i="20"/>
  <c r="O207" i="20"/>
  <c r="O53" i="20"/>
  <c r="N53" i="20"/>
  <c r="O117" i="20"/>
  <c r="N117" i="20"/>
  <c r="O50" i="20"/>
  <c r="N50" i="20"/>
  <c r="N89" i="20"/>
  <c r="O89" i="20"/>
  <c r="O70" i="20"/>
  <c r="N70" i="20"/>
  <c r="O123" i="20"/>
  <c r="N123" i="20"/>
  <c r="O68" i="20"/>
  <c r="N68" i="20"/>
  <c r="O100" i="20"/>
  <c r="N100" i="20"/>
  <c r="N192" i="20"/>
  <c r="O192" i="20"/>
  <c r="O61" i="20"/>
  <c r="N61" i="20"/>
  <c r="O46" i="20"/>
  <c r="N46" i="20"/>
  <c r="O174" i="20"/>
  <c r="N174" i="20"/>
  <c r="N51" i="20"/>
  <c r="O51" i="20"/>
  <c r="N147" i="20"/>
  <c r="O147" i="20"/>
  <c r="N211" i="20"/>
  <c r="O211" i="20"/>
  <c r="N188" i="20"/>
  <c r="O188" i="20"/>
  <c r="O65" i="20"/>
  <c r="N65" i="20"/>
  <c r="O161" i="20"/>
  <c r="N161" i="20"/>
  <c r="O225" i="20"/>
  <c r="N225" i="20"/>
  <c r="N57" i="20"/>
  <c r="O57" i="20"/>
  <c r="O86" i="20"/>
  <c r="N86" i="20"/>
  <c r="O78" i="20"/>
  <c r="N78" i="20"/>
  <c r="O142" i="20"/>
  <c r="N142" i="20"/>
  <c r="O206" i="20"/>
  <c r="N206" i="20"/>
  <c r="O35" i="20"/>
  <c r="N35" i="20"/>
  <c r="N67" i="20"/>
  <c r="O67" i="20"/>
  <c r="N99" i="20"/>
  <c r="O99" i="20"/>
  <c r="N131" i="20"/>
  <c r="O131" i="20"/>
  <c r="N163" i="20"/>
  <c r="O163" i="20"/>
  <c r="N195" i="20"/>
  <c r="O195" i="20"/>
  <c r="N227" i="20"/>
  <c r="O227" i="20"/>
  <c r="N156" i="20"/>
  <c r="O156" i="20"/>
  <c r="O17" i="20"/>
  <c r="N17" i="20"/>
  <c r="N49" i="20"/>
  <c r="O49" i="20"/>
  <c r="N81" i="20"/>
  <c r="O81" i="20"/>
  <c r="O113" i="20"/>
  <c r="N113" i="20"/>
  <c r="O145" i="20"/>
  <c r="N145" i="20"/>
  <c r="O177" i="20"/>
  <c r="N177" i="20"/>
  <c r="O209" i="20"/>
  <c r="N209" i="20"/>
  <c r="O146" i="20"/>
  <c r="N146" i="20"/>
  <c r="O194" i="20"/>
  <c r="N194" i="20"/>
  <c r="O3" i="20"/>
  <c r="N3" i="20"/>
  <c r="O75" i="20"/>
  <c r="N75" i="20"/>
  <c r="O203" i="20"/>
  <c r="N203" i="20"/>
  <c r="O108" i="20"/>
  <c r="N108" i="20"/>
  <c r="N121" i="20"/>
  <c r="O121" i="20"/>
  <c r="O6" i="20"/>
  <c r="N6" i="20"/>
  <c r="O54" i="20"/>
  <c r="N54" i="20"/>
  <c r="O118" i="20"/>
  <c r="N118" i="20"/>
  <c r="O182" i="20"/>
  <c r="N182" i="20"/>
  <c r="O11" i="20"/>
  <c r="N11" i="20"/>
  <c r="O91" i="20"/>
  <c r="N91" i="20"/>
  <c r="O219" i="20"/>
  <c r="N219" i="20"/>
  <c r="N32" i="20"/>
  <c r="O32" i="20"/>
  <c r="O64" i="20"/>
  <c r="N64" i="20"/>
  <c r="O96" i="20"/>
  <c r="N96" i="20"/>
  <c r="O128" i="20"/>
  <c r="N128" i="20"/>
  <c r="N176" i="20"/>
  <c r="O176" i="20"/>
  <c r="N224" i="20"/>
  <c r="O224" i="20"/>
  <c r="O45" i="20"/>
  <c r="N45" i="20"/>
  <c r="O109" i="20"/>
  <c r="N109" i="20"/>
  <c r="N173" i="20"/>
  <c r="O173" i="20"/>
  <c r="N2" i="20"/>
  <c r="O2" i="20"/>
  <c r="AF9" i="20" l="1"/>
  <c r="F11" i="11" s="1"/>
  <c r="AF13" i="20"/>
  <c r="AF17" i="20"/>
  <c r="F27" i="11" s="1"/>
  <c r="AF21" i="20"/>
  <c r="F35" i="11" s="1"/>
  <c r="AF25" i="20"/>
  <c r="F43" i="11" s="1"/>
  <c r="AF29" i="20"/>
  <c r="F51" i="11" s="1"/>
  <c r="AF33" i="20"/>
  <c r="AF37" i="20"/>
  <c r="AF41" i="20"/>
  <c r="AF45" i="20"/>
  <c r="AF49" i="20"/>
  <c r="AF53" i="20"/>
  <c r="AF57" i="20"/>
  <c r="AF61" i="20"/>
  <c r="AF65" i="20"/>
  <c r="AF69" i="20"/>
  <c r="AF73" i="20"/>
  <c r="AF77" i="20"/>
  <c r="AF81" i="20"/>
  <c r="AF85" i="20"/>
  <c r="AF89" i="20"/>
  <c r="AF93" i="20"/>
  <c r="AF97" i="20"/>
  <c r="AF101" i="20"/>
  <c r="AF105" i="20"/>
  <c r="AF109" i="20"/>
  <c r="AF113" i="20"/>
  <c r="AF117" i="20"/>
  <c r="AF121" i="20"/>
  <c r="AF125" i="20"/>
  <c r="AF129" i="20"/>
  <c r="AF133" i="20"/>
  <c r="AF137" i="20"/>
  <c r="AF141" i="20"/>
  <c r="AF145" i="20"/>
  <c r="AF149" i="20"/>
  <c r="AF153" i="20"/>
  <c r="AF157" i="20"/>
  <c r="AF161" i="20"/>
  <c r="AF165" i="20"/>
  <c r="AF169" i="20"/>
  <c r="AF173" i="20"/>
  <c r="AF177" i="20"/>
  <c r="AF181" i="20"/>
  <c r="AF185" i="20"/>
  <c r="AF189" i="20"/>
  <c r="AF193" i="20"/>
  <c r="AF197" i="20"/>
  <c r="AF201" i="20"/>
  <c r="AF205" i="20"/>
  <c r="AF209" i="20"/>
  <c r="AF213" i="20"/>
  <c r="AF217" i="20"/>
  <c r="AF221" i="20"/>
  <c r="AF225" i="20"/>
  <c r="AF6" i="20"/>
  <c r="F5" i="11" s="1"/>
  <c r="AF10" i="20"/>
  <c r="AF14" i="20"/>
  <c r="AF18" i="20"/>
  <c r="F29" i="11" s="1"/>
  <c r="AF22" i="20"/>
  <c r="F37" i="11" s="1"/>
  <c r="AF26" i="20"/>
  <c r="F45" i="11" s="1"/>
  <c r="AF30" i="20"/>
  <c r="AF34" i="20"/>
  <c r="AF38" i="20"/>
  <c r="AF42" i="20"/>
  <c r="AF46" i="20"/>
  <c r="AF50" i="20"/>
  <c r="AF54" i="20"/>
  <c r="AF58" i="20"/>
  <c r="AF62" i="20"/>
  <c r="AF66" i="20"/>
  <c r="AF70" i="20"/>
  <c r="AF74" i="20"/>
  <c r="AF78" i="20"/>
  <c r="AF82" i="20"/>
  <c r="AF86" i="20"/>
  <c r="AF90" i="20"/>
  <c r="AF94" i="20"/>
  <c r="AF98" i="20"/>
  <c r="AF102" i="20"/>
  <c r="AF106" i="20"/>
  <c r="AF110" i="20"/>
  <c r="AF114" i="20"/>
  <c r="AF118" i="20"/>
  <c r="AF122" i="20"/>
  <c r="AF126" i="20"/>
  <c r="AF130" i="20"/>
  <c r="AF134" i="20"/>
  <c r="AF138" i="20"/>
  <c r="AF142" i="20"/>
  <c r="AF146" i="20"/>
  <c r="AF150" i="20"/>
  <c r="AF154" i="20"/>
  <c r="AF158" i="20"/>
  <c r="AF162" i="20"/>
  <c r="AF166" i="20"/>
  <c r="AF170" i="20"/>
  <c r="AF174" i="20"/>
  <c r="AF178" i="20"/>
  <c r="AF182" i="20"/>
  <c r="AF186" i="20"/>
  <c r="AF190" i="20"/>
  <c r="AF194" i="20"/>
  <c r="AF198" i="20"/>
  <c r="AF202" i="20"/>
  <c r="AF206" i="20"/>
  <c r="AF210" i="20"/>
  <c r="AF214" i="20"/>
  <c r="AF218" i="20"/>
  <c r="AF222" i="20"/>
  <c r="AF226" i="20"/>
  <c r="AF8" i="20"/>
  <c r="F9" i="11" s="1"/>
  <c r="AF12" i="20"/>
  <c r="F17" i="11" s="1"/>
  <c r="AF16" i="20"/>
  <c r="AF20" i="20"/>
  <c r="F33" i="11" s="1"/>
  <c r="AF24" i="20"/>
  <c r="F41" i="11" s="1"/>
  <c r="AF28" i="20"/>
  <c r="F49" i="11" s="1"/>
  <c r="AF32" i="20"/>
  <c r="AF36" i="20"/>
  <c r="AF40" i="20"/>
  <c r="AF44" i="20"/>
  <c r="AF48" i="20"/>
  <c r="AF52" i="20"/>
  <c r="AF56" i="20"/>
  <c r="AF60" i="20"/>
  <c r="AF64" i="20"/>
  <c r="AF68" i="20"/>
  <c r="AF72" i="20"/>
  <c r="AF76" i="20"/>
  <c r="AF80" i="20"/>
  <c r="AF84" i="20"/>
  <c r="AF88" i="20"/>
  <c r="AF92" i="20"/>
  <c r="AF96" i="20"/>
  <c r="AF100" i="20"/>
  <c r="AF104" i="20"/>
  <c r="AF108" i="20"/>
  <c r="AF112" i="20"/>
  <c r="AF116" i="20"/>
  <c r="AF120" i="20"/>
  <c r="AF124" i="20"/>
  <c r="AF128" i="20"/>
  <c r="AF132" i="20"/>
  <c r="AF136" i="20"/>
  <c r="AF140" i="20"/>
  <c r="AF144" i="20"/>
  <c r="AF148" i="20"/>
  <c r="AF152" i="20"/>
  <c r="AF156" i="20"/>
  <c r="AF160" i="20"/>
  <c r="AF164" i="20"/>
  <c r="AF168" i="20"/>
  <c r="AF172" i="20"/>
  <c r="AF176" i="20"/>
  <c r="AF180" i="20"/>
  <c r="AF184" i="20"/>
  <c r="AF188" i="20"/>
  <c r="AF192" i="20"/>
  <c r="AF196" i="20"/>
  <c r="AF200" i="20"/>
  <c r="AF204" i="20"/>
  <c r="AF208" i="20"/>
  <c r="AF212" i="20"/>
  <c r="AF216" i="20"/>
  <c r="AF220" i="20"/>
  <c r="AF224" i="20"/>
  <c r="AF228" i="20"/>
  <c r="AF15" i="20"/>
  <c r="F23" i="11" s="1"/>
  <c r="AF31" i="20"/>
  <c r="AF47" i="20"/>
  <c r="AF63" i="20"/>
  <c r="AF79" i="20"/>
  <c r="AF95" i="20"/>
  <c r="AF111" i="20"/>
  <c r="AF127" i="20"/>
  <c r="AF143" i="20"/>
  <c r="AF159" i="20"/>
  <c r="AF175" i="20"/>
  <c r="AF191" i="20"/>
  <c r="AF207" i="20"/>
  <c r="AF223" i="20"/>
  <c r="AF19" i="20"/>
  <c r="AF35" i="20"/>
  <c r="AF51" i="20"/>
  <c r="AF67" i="20"/>
  <c r="AF83" i="20"/>
  <c r="AF99" i="20"/>
  <c r="AF115" i="20"/>
  <c r="AF131" i="20"/>
  <c r="AF147" i="20"/>
  <c r="AF163" i="20"/>
  <c r="AF179" i="20"/>
  <c r="AF195" i="20"/>
  <c r="AF211" i="20"/>
  <c r="AF227" i="20"/>
  <c r="AF11" i="20"/>
  <c r="F15" i="11" s="1"/>
  <c r="AF27" i="20"/>
  <c r="F47" i="11" s="1"/>
  <c r="AF43" i="20"/>
  <c r="AF59" i="20"/>
  <c r="AF75" i="20"/>
  <c r="AF91" i="20"/>
  <c r="AF107" i="20"/>
  <c r="AF123" i="20"/>
  <c r="AF139" i="20"/>
  <c r="AF155" i="20"/>
  <c r="AF171" i="20"/>
  <c r="AF187" i="20"/>
  <c r="AF203" i="20"/>
  <c r="AF219" i="20"/>
  <c r="AF55" i="20"/>
  <c r="AF119" i="20"/>
  <c r="AF183" i="20"/>
  <c r="AF7" i="20"/>
  <c r="F7" i="11" s="1"/>
  <c r="AF71" i="20"/>
  <c r="AF135" i="20"/>
  <c r="AF199" i="20"/>
  <c r="AF39" i="20"/>
  <c r="AF103" i="20"/>
  <c r="AF167" i="20"/>
  <c r="AF215" i="20"/>
  <c r="AF23" i="20"/>
  <c r="F39" i="11" s="1"/>
  <c r="AF151" i="20"/>
  <c r="AF87" i="20"/>
  <c r="AF5" i="20"/>
  <c r="F3" i="11" s="1"/>
  <c r="F21" i="11"/>
  <c r="F13" i="11"/>
  <c r="F25" i="11"/>
  <c r="F19" i="11"/>
  <c r="F31" i="11"/>
  <c r="I23" i="11" l="1"/>
  <c r="B23" i="11"/>
  <c r="I9" i="11"/>
  <c r="I5" i="11"/>
  <c r="I15" i="11"/>
  <c r="B15" i="11"/>
  <c r="I29" i="11"/>
  <c r="B29" i="11"/>
  <c r="W11" i="11"/>
  <c r="I11" i="11"/>
  <c r="I27" i="11"/>
  <c r="B27" i="11"/>
  <c r="I3" i="11"/>
  <c r="W3" i="11"/>
  <c r="I47" i="11"/>
  <c r="B47" i="11"/>
  <c r="I41" i="11"/>
  <c r="B41" i="11"/>
  <c r="I19" i="11"/>
  <c r="B19" i="11"/>
  <c r="I13" i="11"/>
  <c r="B13" i="11"/>
  <c r="I33" i="11"/>
  <c r="B33" i="11"/>
  <c r="I17" i="11"/>
  <c r="B17" i="11"/>
  <c r="W7" i="11"/>
  <c r="I7" i="11"/>
  <c r="I49" i="11"/>
  <c r="B49" i="11"/>
  <c r="I25" i="11"/>
  <c r="B25" i="11"/>
  <c r="I43" i="11"/>
  <c r="B43" i="11"/>
  <c r="I45" i="11"/>
  <c r="B45" i="11"/>
  <c r="I31" i="11"/>
  <c r="B31" i="11"/>
  <c r="I21" i="11"/>
  <c r="B21" i="11"/>
  <c r="I51" i="11"/>
  <c r="B51" i="11"/>
  <c r="I35" i="11"/>
  <c r="B35" i="11"/>
  <c r="W9" i="11"/>
  <c r="W5" i="11"/>
  <c r="T35" i="11"/>
  <c r="T51" i="11"/>
  <c r="T25" i="11"/>
  <c r="T15" i="11"/>
  <c r="T45" i="11"/>
  <c r="T31" i="11"/>
  <c r="T41" i="11"/>
  <c r="T43" i="11"/>
  <c r="T47" i="11"/>
  <c r="T17" i="11"/>
  <c r="T19" i="11"/>
  <c r="T27" i="11"/>
  <c r="T21" i="11"/>
  <c r="T49" i="11"/>
  <c r="T33" i="11"/>
  <c r="T37" i="11"/>
  <c r="T13" i="11"/>
  <c r="T29" i="11"/>
  <c r="T23" i="11"/>
  <c r="T39" i="11"/>
  <c r="I39" i="11" l="1"/>
  <c r="B39" i="11"/>
  <c r="I37" i="11"/>
  <c r="B37" i="11"/>
  <c r="A36" i="10"/>
  <c r="A35" i="10"/>
  <c r="A15" i="10"/>
  <c r="B15" i="10" s="1"/>
  <c r="C11" i="20" s="1"/>
  <c r="T7" i="20" s="1"/>
  <c r="A14" i="10"/>
  <c r="B14" i="10" s="1"/>
  <c r="C10" i="20" s="1"/>
  <c r="U9" i="20" s="1"/>
  <c r="A34" i="10"/>
  <c r="C22" i="20" l="1"/>
  <c r="B36" i="10"/>
  <c r="C32" i="20" s="1"/>
  <c r="U17" i="20" s="1"/>
  <c r="C20" i="20"/>
  <c r="T11" i="20" s="1"/>
  <c r="B34" i="10"/>
  <c r="C30" i="20" s="1"/>
  <c r="U16" i="20" s="1"/>
  <c r="C21" i="20"/>
  <c r="U14" i="20" s="1"/>
  <c r="B35" i="10"/>
  <c r="C31" i="20" s="1"/>
  <c r="T12" i="20" s="1"/>
  <c r="AP198" i="2" l="1"/>
  <c r="AQ198" i="2" s="1"/>
  <c r="AP197" i="2"/>
  <c r="AP191" i="2"/>
  <c r="AP190" i="2" s="1"/>
  <c r="AP187" i="2"/>
  <c r="AP186" i="2"/>
  <c r="AP181" i="2"/>
  <c r="AP180" i="2"/>
  <c r="AP179" i="2"/>
  <c r="AP176" i="2"/>
  <c r="AP175" i="2"/>
  <c r="AP170" i="2"/>
  <c r="AP169" i="2"/>
  <c r="AP165" i="2"/>
  <c r="AP164" i="2"/>
  <c r="AP159" i="2"/>
  <c r="AP158" i="2"/>
  <c r="AP154" i="2"/>
  <c r="AP153" i="2"/>
  <c r="AP148" i="2"/>
  <c r="AP147" i="2"/>
  <c r="AP88" i="2"/>
  <c r="AQ88" i="2" s="1"/>
  <c r="AP87" i="2"/>
  <c r="AP81" i="2"/>
  <c r="AP80" i="2" s="1"/>
  <c r="AP77" i="2"/>
  <c r="AP76" i="2"/>
  <c r="AP71" i="2"/>
  <c r="AP70" i="2"/>
  <c r="AP66" i="2"/>
  <c r="AP65" i="2"/>
  <c r="AP60" i="2"/>
  <c r="AP59" i="2"/>
  <c r="AP58" i="2"/>
  <c r="AP55" i="2"/>
  <c r="AP54" i="2"/>
  <c r="AP49" i="2"/>
  <c r="AP48" i="2"/>
  <c r="AP47" i="2" s="1"/>
  <c r="AP44" i="2"/>
  <c r="AP43" i="2"/>
  <c r="AP38" i="2"/>
  <c r="AP37" i="2"/>
  <c r="AP36" i="2" s="1"/>
  <c r="AP33" i="2"/>
  <c r="M9" i="2"/>
  <c r="L9" i="2"/>
  <c r="K9" i="2"/>
  <c r="J9" i="2"/>
  <c r="I9" i="2"/>
  <c r="H9" i="2"/>
  <c r="G9" i="2"/>
  <c r="F9" i="2"/>
  <c r="AP5" i="2"/>
  <c r="M3" i="2"/>
  <c r="L3" i="2"/>
  <c r="K3" i="2"/>
  <c r="J3" i="2"/>
  <c r="I3" i="2"/>
  <c r="H3" i="2"/>
  <c r="G3" i="2"/>
  <c r="F3" i="2"/>
  <c r="AP16" i="2"/>
  <c r="AQ22" i="2" s="1"/>
  <c r="AP15" i="2"/>
  <c r="AQ21" i="2" s="1"/>
  <c r="AP143" i="2"/>
  <c r="AP137" i="2"/>
  <c r="AP136" i="2"/>
  <c r="AQ142" i="2" s="1"/>
  <c r="AP131" i="2"/>
  <c r="AP115" i="2"/>
  <c r="AQ121" i="2" s="1"/>
  <c r="AP114" i="2"/>
  <c r="AQ120" i="2" s="1"/>
  <c r="AP110" i="2"/>
  <c r="AP109" i="2"/>
  <c r="AP104" i="2"/>
  <c r="AP103" i="2"/>
  <c r="AP99" i="2"/>
  <c r="AP98" i="2"/>
  <c r="AQ98" i="2" s="1"/>
  <c r="AP93" i="2"/>
  <c r="AP91" i="2" s="1"/>
  <c r="R198" i="18"/>
  <c r="S198" i="18" s="1"/>
  <c r="R197" i="18"/>
  <c r="R191" i="18"/>
  <c r="R190" i="18" s="1"/>
  <c r="Q190" i="18"/>
  <c r="P190" i="18"/>
  <c r="O190" i="18"/>
  <c r="N190" i="18"/>
  <c r="M190" i="18"/>
  <c r="L190" i="18"/>
  <c r="K190" i="18"/>
  <c r="J190" i="18"/>
  <c r="I190" i="18"/>
  <c r="H190" i="18"/>
  <c r="G190" i="18"/>
  <c r="F190" i="18"/>
  <c r="R187" i="18"/>
  <c r="R186" i="18"/>
  <c r="Q185" i="18"/>
  <c r="P185" i="18"/>
  <c r="O185" i="18"/>
  <c r="N185" i="18"/>
  <c r="M185" i="18"/>
  <c r="L185" i="18"/>
  <c r="K185" i="18"/>
  <c r="J185" i="18"/>
  <c r="I185" i="18"/>
  <c r="H185" i="18"/>
  <c r="G185" i="18"/>
  <c r="F185" i="18"/>
  <c r="R181" i="18"/>
  <c r="R180" i="18"/>
  <c r="Q179" i="18"/>
  <c r="P179" i="18"/>
  <c r="O179" i="18"/>
  <c r="N179" i="18"/>
  <c r="M179" i="18"/>
  <c r="L179" i="18"/>
  <c r="K179" i="18"/>
  <c r="J179" i="18"/>
  <c r="I179" i="18"/>
  <c r="H179" i="18"/>
  <c r="G179" i="18"/>
  <c r="F179" i="18"/>
  <c r="R176" i="18"/>
  <c r="R175" i="18"/>
  <c r="Q174" i="18"/>
  <c r="P174" i="18"/>
  <c r="O174" i="18"/>
  <c r="N174" i="18"/>
  <c r="M174" i="18"/>
  <c r="L174" i="18"/>
  <c r="K174" i="18"/>
  <c r="J174" i="18"/>
  <c r="I174" i="18"/>
  <c r="H174" i="18"/>
  <c r="G174" i="18"/>
  <c r="F174" i="18"/>
  <c r="R170" i="18"/>
  <c r="R169" i="18"/>
  <c r="R165" i="18"/>
  <c r="R164" i="18"/>
  <c r="Q163" i="18"/>
  <c r="P163" i="18"/>
  <c r="O163" i="18"/>
  <c r="N163" i="18"/>
  <c r="M163" i="18"/>
  <c r="L163" i="18"/>
  <c r="K163" i="18"/>
  <c r="J163" i="18"/>
  <c r="I163" i="18"/>
  <c r="H163" i="18"/>
  <c r="G163" i="18"/>
  <c r="F163" i="18"/>
  <c r="R159" i="18"/>
  <c r="R158" i="18"/>
  <c r="Q157" i="18"/>
  <c r="P157" i="18"/>
  <c r="O157" i="18"/>
  <c r="N157" i="18"/>
  <c r="M157" i="18"/>
  <c r="L157" i="18"/>
  <c r="K157" i="18"/>
  <c r="J157" i="18"/>
  <c r="I157" i="18"/>
  <c r="H157" i="18"/>
  <c r="G157" i="18"/>
  <c r="F157" i="18"/>
  <c r="R154" i="18"/>
  <c r="R153" i="18"/>
  <c r="Q152" i="18"/>
  <c r="P152" i="18"/>
  <c r="O152" i="18"/>
  <c r="N152" i="18"/>
  <c r="M152" i="18"/>
  <c r="L152" i="18"/>
  <c r="K152" i="18"/>
  <c r="J152" i="18"/>
  <c r="I152" i="18"/>
  <c r="H152" i="18"/>
  <c r="G152" i="18"/>
  <c r="F152" i="18"/>
  <c r="R148" i="18"/>
  <c r="R147" i="18"/>
  <c r="R146" i="18"/>
  <c r="Q146" i="18"/>
  <c r="P146" i="18"/>
  <c r="O146" i="18"/>
  <c r="N146" i="18"/>
  <c r="M146" i="18"/>
  <c r="L146" i="18"/>
  <c r="K146" i="18"/>
  <c r="J146" i="18"/>
  <c r="I146" i="18"/>
  <c r="H146" i="18"/>
  <c r="G146" i="18"/>
  <c r="F146" i="18"/>
  <c r="R143" i="18"/>
  <c r="R137" i="18"/>
  <c r="R136" i="18"/>
  <c r="Q135" i="18"/>
  <c r="P135" i="18"/>
  <c r="O135" i="18"/>
  <c r="N135" i="18"/>
  <c r="M135" i="18"/>
  <c r="L135" i="18"/>
  <c r="K135" i="18"/>
  <c r="J135" i="18"/>
  <c r="I135" i="18"/>
  <c r="H135" i="18"/>
  <c r="G135" i="18"/>
  <c r="F135" i="18"/>
  <c r="R131" i="18"/>
  <c r="Q130" i="18"/>
  <c r="P130" i="18"/>
  <c r="O130" i="18"/>
  <c r="N130" i="18"/>
  <c r="M130" i="18"/>
  <c r="L130" i="18"/>
  <c r="K130" i="18"/>
  <c r="J130" i="18"/>
  <c r="I130" i="18"/>
  <c r="H130" i="18"/>
  <c r="G130" i="18"/>
  <c r="F130" i="18"/>
  <c r="R115" i="18"/>
  <c r="S121" i="18" s="1"/>
  <c r="R114" i="18"/>
  <c r="S120" i="18" s="1"/>
  <c r="Q113" i="18"/>
  <c r="P113" i="18"/>
  <c r="O113" i="18"/>
  <c r="N113" i="18"/>
  <c r="M113" i="18"/>
  <c r="L113" i="18"/>
  <c r="K113" i="18"/>
  <c r="J113" i="18"/>
  <c r="I113" i="18"/>
  <c r="H113" i="18"/>
  <c r="G113" i="18"/>
  <c r="F113" i="18"/>
  <c r="R110" i="18"/>
  <c r="R109" i="18"/>
  <c r="R104" i="18"/>
  <c r="R103" i="18"/>
  <c r="Q102" i="18"/>
  <c r="P102" i="18"/>
  <c r="O102" i="18"/>
  <c r="N102" i="18"/>
  <c r="M102" i="18"/>
  <c r="L102" i="18"/>
  <c r="K102" i="18"/>
  <c r="J102" i="18"/>
  <c r="I102" i="18"/>
  <c r="H102" i="18"/>
  <c r="G102" i="18"/>
  <c r="F102" i="18"/>
  <c r="R99" i="18"/>
  <c r="R98" i="18"/>
  <c r="S98" i="18" s="1"/>
  <c r="Q97" i="18"/>
  <c r="P97" i="18"/>
  <c r="O97" i="18"/>
  <c r="N97" i="18"/>
  <c r="M97" i="18"/>
  <c r="L97" i="18"/>
  <c r="K97" i="18"/>
  <c r="J97" i="18"/>
  <c r="I97" i="18"/>
  <c r="H97" i="18"/>
  <c r="G97" i="18"/>
  <c r="F97" i="18"/>
  <c r="R93" i="18"/>
  <c r="R91" i="18" s="1"/>
  <c r="R96" i="18" s="1"/>
  <c r="R88" i="18"/>
  <c r="S88" i="18" s="1"/>
  <c r="R87" i="18"/>
  <c r="Q86" i="18"/>
  <c r="P86" i="18"/>
  <c r="O86" i="18"/>
  <c r="N86" i="18"/>
  <c r="M86" i="18"/>
  <c r="L86" i="18"/>
  <c r="K86" i="18"/>
  <c r="J86" i="18"/>
  <c r="I86" i="18"/>
  <c r="H86" i="18"/>
  <c r="G86" i="18"/>
  <c r="F86" i="18"/>
  <c r="R81" i="18"/>
  <c r="R80" i="18" s="1"/>
  <c r="Q80" i="18"/>
  <c r="P80" i="18"/>
  <c r="O80" i="18"/>
  <c r="N80" i="18"/>
  <c r="M80" i="18"/>
  <c r="L80" i="18"/>
  <c r="K80" i="18"/>
  <c r="J80" i="18"/>
  <c r="I80" i="18"/>
  <c r="H80" i="18"/>
  <c r="G80" i="18"/>
  <c r="F80" i="18"/>
  <c r="R77" i="18"/>
  <c r="R76" i="18"/>
  <c r="Q75" i="18"/>
  <c r="P75" i="18"/>
  <c r="O75" i="18"/>
  <c r="N75" i="18"/>
  <c r="M75" i="18"/>
  <c r="L75" i="18"/>
  <c r="K75" i="18"/>
  <c r="J75" i="18"/>
  <c r="I75" i="18"/>
  <c r="H75" i="18"/>
  <c r="G75" i="18"/>
  <c r="F75" i="18"/>
  <c r="R71" i="18"/>
  <c r="R70" i="18"/>
  <c r="Q69" i="18"/>
  <c r="P69" i="18"/>
  <c r="O69" i="18"/>
  <c r="N69" i="18"/>
  <c r="M69" i="18"/>
  <c r="L69" i="18"/>
  <c r="K69" i="18"/>
  <c r="J69" i="18"/>
  <c r="I69" i="18"/>
  <c r="H69" i="18"/>
  <c r="G69" i="18"/>
  <c r="F69" i="18"/>
  <c r="R66" i="18"/>
  <c r="R65" i="18"/>
  <c r="Q64" i="18"/>
  <c r="P64" i="18"/>
  <c r="O64" i="18"/>
  <c r="N64" i="18"/>
  <c r="M64" i="18"/>
  <c r="L64" i="18"/>
  <c r="K64" i="18"/>
  <c r="J64" i="18"/>
  <c r="I64" i="18"/>
  <c r="H64" i="18"/>
  <c r="G64" i="18"/>
  <c r="F64" i="18"/>
  <c r="R60" i="18"/>
  <c r="R59" i="18"/>
  <c r="R55" i="18"/>
  <c r="R54" i="18"/>
  <c r="Q53" i="18"/>
  <c r="P53" i="18"/>
  <c r="O53" i="18"/>
  <c r="N53" i="18"/>
  <c r="M53" i="18"/>
  <c r="L53" i="18"/>
  <c r="K53" i="18"/>
  <c r="J53" i="18"/>
  <c r="I53" i="18"/>
  <c r="H53" i="18"/>
  <c r="G53" i="18"/>
  <c r="F53" i="18"/>
  <c r="R49" i="18"/>
  <c r="R48" i="18"/>
  <c r="R47" i="18"/>
  <c r="Q47" i="18"/>
  <c r="P47" i="18"/>
  <c r="O47" i="18"/>
  <c r="N47" i="18"/>
  <c r="M47" i="18"/>
  <c r="L47" i="18"/>
  <c r="K47" i="18"/>
  <c r="J47" i="18"/>
  <c r="I47" i="18"/>
  <c r="H47" i="18"/>
  <c r="G47" i="18"/>
  <c r="F47" i="18"/>
  <c r="R44" i="18"/>
  <c r="R43" i="18"/>
  <c r="Q42" i="18"/>
  <c r="P42" i="18"/>
  <c r="O42" i="18"/>
  <c r="N42" i="18"/>
  <c r="M42" i="18"/>
  <c r="L42" i="18"/>
  <c r="K42" i="18"/>
  <c r="J42" i="18"/>
  <c r="I42" i="18"/>
  <c r="H42" i="18"/>
  <c r="G42" i="18"/>
  <c r="F42" i="18"/>
  <c r="R38" i="18"/>
  <c r="R37" i="18"/>
  <c r="Q36" i="18"/>
  <c r="P36" i="18"/>
  <c r="O36" i="18"/>
  <c r="N36" i="18"/>
  <c r="M36" i="18"/>
  <c r="L36" i="18"/>
  <c r="K36" i="18"/>
  <c r="J36" i="18"/>
  <c r="I36" i="18"/>
  <c r="H36" i="18"/>
  <c r="G36" i="18"/>
  <c r="F36" i="18"/>
  <c r="R33" i="18"/>
  <c r="R16" i="18"/>
  <c r="R15" i="18"/>
  <c r="S21" i="18" s="1"/>
  <c r="Q14" i="18"/>
  <c r="P14" i="18"/>
  <c r="O14" i="18"/>
  <c r="N14" i="18"/>
  <c r="M14" i="18"/>
  <c r="L14" i="18"/>
  <c r="K14" i="18"/>
  <c r="J14" i="18"/>
  <c r="I14" i="18"/>
  <c r="H14" i="18"/>
  <c r="G14" i="18"/>
  <c r="F14" i="18"/>
  <c r="S55" i="18" l="1"/>
  <c r="R157" i="18"/>
  <c r="R168" i="18"/>
  <c r="S197" i="18"/>
  <c r="AQ55" i="2"/>
  <c r="AQ65" i="2"/>
  <c r="AP146" i="2"/>
  <c r="AP151" i="2" s="1"/>
  <c r="AP168" i="2"/>
  <c r="AP173" i="2" s="1"/>
  <c r="AQ186" i="2"/>
  <c r="R36" i="18"/>
  <c r="R41" i="18" s="1"/>
  <c r="R151" i="18"/>
  <c r="S154" i="18"/>
  <c r="R69" i="18"/>
  <c r="S54" i="18"/>
  <c r="S65" i="18"/>
  <c r="AP52" i="2"/>
  <c r="AQ66" i="2"/>
  <c r="AP157" i="2"/>
  <c r="AP162" i="2" s="1"/>
  <c r="R58" i="18"/>
  <c r="AP85" i="2"/>
  <c r="R173" i="18"/>
  <c r="AQ153" i="2"/>
  <c r="AQ187" i="2"/>
  <c r="R135" i="18"/>
  <c r="R140" i="18" s="1"/>
  <c r="S142" i="18"/>
  <c r="S187" i="18"/>
  <c r="AQ99" i="2"/>
  <c r="AQ110" i="2"/>
  <c r="R63" i="18"/>
  <c r="S44" i="18"/>
  <c r="AP41" i="2"/>
  <c r="AQ76" i="2"/>
  <c r="AQ176" i="2"/>
  <c r="AP96" i="2"/>
  <c r="S76" i="18"/>
  <c r="S131" i="18"/>
  <c r="R129" i="18"/>
  <c r="S164" i="18"/>
  <c r="S175" i="18"/>
  <c r="AQ131" i="2"/>
  <c r="AP129" i="2"/>
  <c r="AQ10" i="2"/>
  <c r="AQ77" i="2"/>
  <c r="R14" i="18"/>
  <c r="R19" i="18" s="1"/>
  <c r="S22" i="18"/>
  <c r="R113" i="18"/>
  <c r="R118" i="18" s="1"/>
  <c r="S165" i="18"/>
  <c r="S77" i="18"/>
  <c r="R30" i="18"/>
  <c r="S33" i="18"/>
  <c r="AP102" i="2"/>
  <c r="AP107" i="2" s="1"/>
  <c r="AQ33" i="2"/>
  <c r="AP30" i="2"/>
  <c r="AP69" i="2"/>
  <c r="AP74" i="2" s="1"/>
  <c r="AQ154" i="2"/>
  <c r="AQ197" i="2"/>
  <c r="S87" i="18"/>
  <c r="R195" i="18"/>
  <c r="R74" i="18"/>
  <c r="R52" i="18"/>
  <c r="S66" i="18"/>
  <c r="R162" i="18"/>
  <c r="R85" i="18"/>
  <c r="R102" i="18"/>
  <c r="R107" i="18" s="1"/>
  <c r="R179" i="18"/>
  <c r="R184" i="18" s="1"/>
  <c r="AP63" i="2"/>
  <c r="AP184" i="2"/>
  <c r="S109" i="18"/>
  <c r="S176" i="18"/>
  <c r="AQ143" i="2"/>
  <c r="AQ11" i="2"/>
  <c r="AQ43" i="2"/>
  <c r="S43" i="18"/>
  <c r="S99" i="18"/>
  <c r="S110" i="18"/>
  <c r="S143" i="18"/>
  <c r="S153" i="18"/>
  <c r="S186" i="18"/>
  <c r="AP113" i="2"/>
  <c r="AP118" i="2" s="1"/>
  <c r="AP3" i="2"/>
  <c r="AP8" i="2" s="1"/>
  <c r="AQ44" i="2"/>
  <c r="AQ54" i="2"/>
  <c r="AQ87" i="2"/>
  <c r="AQ165" i="2"/>
  <c r="AQ175" i="2"/>
  <c r="AP195" i="2"/>
  <c r="AQ164" i="2"/>
  <c r="AP14" i="2"/>
  <c r="AP19" i="2" s="1"/>
  <c r="AP135" i="2"/>
  <c r="AP140" i="2" s="1"/>
  <c r="AQ109" i="2"/>
  <c r="R10" i="18"/>
  <c r="Q3" i="18"/>
  <c r="H3" i="18"/>
  <c r="I3" i="18"/>
  <c r="J3" i="18"/>
  <c r="K3" i="18"/>
  <c r="L3" i="18"/>
  <c r="M3" i="18"/>
  <c r="N3" i="18"/>
  <c r="O3" i="18"/>
  <c r="P3" i="18"/>
  <c r="G3" i="18"/>
  <c r="F3" i="18"/>
  <c r="R5" i="18"/>
  <c r="R4" i="18"/>
  <c r="F9" i="18"/>
  <c r="G9" i="18"/>
  <c r="H9" i="18"/>
  <c r="I9" i="18"/>
  <c r="J9" i="18"/>
  <c r="K9" i="18"/>
  <c r="L9" i="18"/>
  <c r="M9" i="18"/>
  <c r="N9" i="18"/>
  <c r="O9" i="18"/>
  <c r="P9" i="18"/>
  <c r="Q9" i="18"/>
  <c r="A4" i="17"/>
  <c r="B4" i="17" s="1"/>
  <c r="S10" i="18" l="1"/>
  <c r="R3" i="18"/>
  <c r="C228" i="21"/>
  <c r="C227" i="21"/>
  <c r="C226" i="21"/>
  <c r="C225" i="21"/>
  <c r="C224" i="21"/>
  <c r="C223" i="21"/>
  <c r="C222" i="21"/>
  <c r="C221" i="21"/>
  <c r="C220" i="21"/>
  <c r="C219" i="21"/>
  <c r="C218" i="21"/>
  <c r="C217" i="21"/>
  <c r="C216" i="21"/>
  <c r="C215" i="21"/>
  <c r="C214" i="21"/>
  <c r="C213" i="21"/>
  <c r="C212" i="21"/>
  <c r="C211" i="21"/>
  <c r="C210" i="21"/>
  <c r="C209" i="21"/>
  <c r="C208" i="21"/>
  <c r="C207" i="21"/>
  <c r="C206" i="21"/>
  <c r="C205" i="21"/>
  <c r="C204" i="21"/>
  <c r="C203" i="21"/>
  <c r="C202" i="21"/>
  <c r="C201" i="21"/>
  <c r="C200" i="21"/>
  <c r="C199" i="21"/>
  <c r="C198" i="21"/>
  <c r="C197" i="21"/>
  <c r="C196" i="21"/>
  <c r="C195" i="21"/>
  <c r="C194" i="21"/>
  <c r="C193" i="21"/>
  <c r="C192" i="21"/>
  <c r="C191" i="21"/>
  <c r="C190" i="21"/>
  <c r="C189" i="21"/>
  <c r="C188" i="21"/>
  <c r="C187" i="21"/>
  <c r="C186" i="21"/>
  <c r="C185" i="21"/>
  <c r="C184" i="21"/>
  <c r="C183" i="21"/>
  <c r="C182" i="21"/>
  <c r="C181" i="21"/>
  <c r="C180" i="21"/>
  <c r="C179" i="21"/>
  <c r="C178" i="21"/>
  <c r="C177" i="21"/>
  <c r="C176" i="21"/>
  <c r="C175" i="21"/>
  <c r="C174" i="21"/>
  <c r="C173" i="21"/>
  <c r="C172" i="21"/>
  <c r="S6" i="21" l="1"/>
  <c r="S7" i="21"/>
  <c r="S8" i="21"/>
  <c r="S9" i="21"/>
  <c r="S10" i="21"/>
  <c r="S11" i="21"/>
  <c r="V11" i="21" s="1"/>
  <c r="S12" i="21"/>
  <c r="V12" i="21" s="1"/>
  <c r="S13" i="21"/>
  <c r="V13" i="21" s="1"/>
  <c r="S14" i="21"/>
  <c r="V14" i="21" s="1"/>
  <c r="S15" i="21"/>
  <c r="V15" i="21" s="1"/>
  <c r="S16" i="21"/>
  <c r="V16" i="21" s="1"/>
  <c r="S17" i="21"/>
  <c r="V17" i="21" s="1"/>
  <c r="S18" i="21"/>
  <c r="V18" i="21" s="1"/>
  <c r="S19" i="21"/>
  <c r="V19" i="21" s="1"/>
  <c r="S20" i="21"/>
  <c r="V20" i="21" s="1"/>
  <c r="S21" i="21"/>
  <c r="V21" i="21" s="1"/>
  <c r="S22" i="21"/>
  <c r="V22" i="21" s="1"/>
  <c r="S23" i="21"/>
  <c r="V23" i="21" s="1"/>
  <c r="S24" i="21"/>
  <c r="V24" i="21" s="1"/>
  <c r="S25" i="21"/>
  <c r="V25" i="21" s="1"/>
  <c r="S26" i="21"/>
  <c r="V26" i="21" s="1"/>
  <c r="S27" i="21"/>
  <c r="V27" i="21" s="1"/>
  <c r="S28" i="21"/>
  <c r="V28" i="21" s="1"/>
  <c r="S29" i="21"/>
  <c r="V29" i="21" s="1"/>
  <c r="S30" i="21"/>
  <c r="V30" i="21" s="1"/>
  <c r="S31" i="21"/>
  <c r="V31" i="21" s="1"/>
  <c r="S32" i="21"/>
  <c r="V32" i="21" s="1"/>
  <c r="S33" i="21"/>
  <c r="V33" i="21" s="1"/>
  <c r="S34" i="21"/>
  <c r="V34" i="21" s="1"/>
  <c r="S35" i="21"/>
  <c r="V35" i="21" s="1"/>
  <c r="S36" i="21"/>
  <c r="V36" i="21" s="1"/>
  <c r="S37" i="21"/>
  <c r="V37" i="21" s="1"/>
  <c r="S38" i="21"/>
  <c r="V38" i="21" s="1"/>
  <c r="S39" i="21"/>
  <c r="V39" i="21" s="1"/>
  <c r="S40" i="21"/>
  <c r="V40" i="21" s="1"/>
  <c r="S41" i="21"/>
  <c r="V41" i="21" s="1"/>
  <c r="S42" i="21"/>
  <c r="V42" i="21" s="1"/>
  <c r="S43" i="21"/>
  <c r="V43" i="21" s="1"/>
  <c r="S44" i="21"/>
  <c r="V44" i="21" s="1"/>
  <c r="S45" i="21"/>
  <c r="V45" i="21" s="1"/>
  <c r="S46" i="21"/>
  <c r="V46" i="21" s="1"/>
  <c r="S47" i="21"/>
  <c r="V47" i="21" s="1"/>
  <c r="S48" i="21"/>
  <c r="V48" i="21" s="1"/>
  <c r="S49" i="21"/>
  <c r="V49" i="21" s="1"/>
  <c r="S50" i="21"/>
  <c r="V50" i="21" s="1"/>
  <c r="S51" i="21"/>
  <c r="V51" i="21" s="1"/>
  <c r="S52" i="21"/>
  <c r="V52" i="21" s="1"/>
  <c r="S53" i="21"/>
  <c r="V53" i="21" s="1"/>
  <c r="S54" i="21"/>
  <c r="V54" i="21" s="1"/>
  <c r="S55" i="21"/>
  <c r="V55" i="21" s="1"/>
  <c r="S56" i="21"/>
  <c r="V56" i="21" s="1"/>
  <c r="S57" i="21"/>
  <c r="V57" i="21" s="1"/>
  <c r="S58" i="21"/>
  <c r="V58" i="21" s="1"/>
  <c r="S59" i="21"/>
  <c r="V59" i="21" s="1"/>
  <c r="S60" i="21"/>
  <c r="V60" i="21" s="1"/>
  <c r="S61" i="21"/>
  <c r="V61" i="21" s="1"/>
  <c r="S62" i="21"/>
  <c r="V62" i="21" s="1"/>
  <c r="S63" i="21"/>
  <c r="V63" i="21" s="1"/>
  <c r="S64" i="21"/>
  <c r="V64" i="21" s="1"/>
  <c r="S65" i="21"/>
  <c r="V65" i="21" s="1"/>
  <c r="S66" i="21"/>
  <c r="V66" i="21" s="1"/>
  <c r="S67" i="21"/>
  <c r="V67" i="21" s="1"/>
  <c r="S68" i="21"/>
  <c r="V68" i="21" s="1"/>
  <c r="S69" i="21"/>
  <c r="V69" i="21" s="1"/>
  <c r="S70" i="21"/>
  <c r="V70" i="21" s="1"/>
  <c r="S71" i="21"/>
  <c r="V71" i="21" s="1"/>
  <c r="S72" i="21"/>
  <c r="V72" i="21" s="1"/>
  <c r="S73" i="21"/>
  <c r="V73" i="21" s="1"/>
  <c r="S74" i="21"/>
  <c r="V74" i="21" s="1"/>
  <c r="S75" i="21"/>
  <c r="V75" i="21" s="1"/>
  <c r="S76" i="21"/>
  <c r="V76" i="21" s="1"/>
  <c r="S77" i="21"/>
  <c r="V77" i="21" s="1"/>
  <c r="S78" i="21"/>
  <c r="V78" i="21" s="1"/>
  <c r="S79" i="21"/>
  <c r="V79" i="21" s="1"/>
  <c r="S80" i="21"/>
  <c r="V80" i="21" s="1"/>
  <c r="S81" i="21"/>
  <c r="V81" i="21" s="1"/>
  <c r="S82" i="21"/>
  <c r="V82" i="21" s="1"/>
  <c r="S83" i="21"/>
  <c r="V83" i="21" s="1"/>
  <c r="S84" i="21"/>
  <c r="V84" i="21" s="1"/>
  <c r="S85" i="21"/>
  <c r="V85" i="21" s="1"/>
  <c r="S86" i="21"/>
  <c r="V86" i="21" s="1"/>
  <c r="S87" i="21"/>
  <c r="V87" i="21" s="1"/>
  <c r="S88" i="21"/>
  <c r="V88" i="21" s="1"/>
  <c r="S89" i="21"/>
  <c r="V89" i="21" s="1"/>
  <c r="S90" i="21"/>
  <c r="V90" i="21" s="1"/>
  <c r="S91" i="21"/>
  <c r="V91" i="21" s="1"/>
  <c r="S92" i="21"/>
  <c r="V92" i="21" s="1"/>
  <c r="S93" i="21"/>
  <c r="V93" i="21" s="1"/>
  <c r="S94" i="21"/>
  <c r="V94" i="21" s="1"/>
  <c r="S95" i="21"/>
  <c r="V95" i="21" s="1"/>
  <c r="S96" i="21"/>
  <c r="V96" i="21" s="1"/>
  <c r="S97" i="21"/>
  <c r="V97" i="21" s="1"/>
  <c r="S98" i="21"/>
  <c r="V98" i="21" s="1"/>
  <c r="S99" i="21"/>
  <c r="V99" i="21" s="1"/>
  <c r="S100" i="21"/>
  <c r="V100" i="21" s="1"/>
  <c r="S101" i="21"/>
  <c r="V101" i="21" s="1"/>
  <c r="S102" i="21"/>
  <c r="V102" i="21" s="1"/>
  <c r="S103" i="21"/>
  <c r="V103" i="21" s="1"/>
  <c r="S104" i="21"/>
  <c r="V104" i="21" s="1"/>
  <c r="S105" i="21"/>
  <c r="V105" i="21" s="1"/>
  <c r="S106" i="21"/>
  <c r="V106" i="21" s="1"/>
  <c r="S107" i="21"/>
  <c r="V107" i="21" s="1"/>
  <c r="S108" i="21"/>
  <c r="V108" i="21" s="1"/>
  <c r="S109" i="21"/>
  <c r="V109" i="21" s="1"/>
  <c r="S110" i="21"/>
  <c r="V110" i="21" s="1"/>
  <c r="S111" i="21"/>
  <c r="V111" i="21" s="1"/>
  <c r="S112" i="21"/>
  <c r="V112" i="21" s="1"/>
  <c r="S113" i="21"/>
  <c r="V113" i="21" s="1"/>
  <c r="S114" i="21"/>
  <c r="V114" i="21" s="1"/>
  <c r="S115" i="21"/>
  <c r="V115" i="21" s="1"/>
  <c r="S116" i="21"/>
  <c r="V116" i="21" s="1"/>
  <c r="S117" i="21"/>
  <c r="V117" i="21" s="1"/>
  <c r="S118" i="21"/>
  <c r="V118" i="21" s="1"/>
  <c r="S119" i="21"/>
  <c r="V119" i="21" s="1"/>
  <c r="S120" i="21"/>
  <c r="V120" i="21" s="1"/>
  <c r="S121" i="21"/>
  <c r="V121" i="21" s="1"/>
  <c r="S122" i="21"/>
  <c r="V122" i="21" s="1"/>
  <c r="S123" i="21"/>
  <c r="V123" i="21" s="1"/>
  <c r="S124" i="21"/>
  <c r="V124" i="21" s="1"/>
  <c r="S125" i="21"/>
  <c r="V125" i="21" s="1"/>
  <c r="S126" i="21"/>
  <c r="V126" i="21" s="1"/>
  <c r="S127" i="21"/>
  <c r="V127" i="21" s="1"/>
  <c r="S128" i="21"/>
  <c r="V128" i="21" s="1"/>
  <c r="S129" i="21"/>
  <c r="V129" i="21" s="1"/>
  <c r="S130" i="21"/>
  <c r="V130" i="21" s="1"/>
  <c r="S131" i="21"/>
  <c r="V131" i="21" s="1"/>
  <c r="S132" i="21"/>
  <c r="V132" i="21" s="1"/>
  <c r="S133" i="21"/>
  <c r="V133" i="21" s="1"/>
  <c r="S134" i="21"/>
  <c r="V134" i="21" s="1"/>
  <c r="S135" i="21"/>
  <c r="V135" i="21" s="1"/>
  <c r="S136" i="21"/>
  <c r="V136" i="21" s="1"/>
  <c r="S137" i="21"/>
  <c r="V137" i="21" s="1"/>
  <c r="S138" i="21"/>
  <c r="V138" i="21" s="1"/>
  <c r="S139" i="21"/>
  <c r="V139" i="21" s="1"/>
  <c r="S140" i="21"/>
  <c r="V140" i="21" s="1"/>
  <c r="S141" i="21"/>
  <c r="V141" i="21" s="1"/>
  <c r="S142" i="21"/>
  <c r="V142" i="21" s="1"/>
  <c r="S143" i="21"/>
  <c r="V143" i="21" s="1"/>
  <c r="S144" i="21"/>
  <c r="V144" i="21" s="1"/>
  <c r="S145" i="21"/>
  <c r="V145" i="21" s="1"/>
  <c r="S146" i="21"/>
  <c r="V146" i="21" s="1"/>
  <c r="S147" i="21"/>
  <c r="V147" i="21" s="1"/>
  <c r="S148" i="21"/>
  <c r="V148" i="21" s="1"/>
  <c r="S149" i="21"/>
  <c r="V149" i="21" s="1"/>
  <c r="S150" i="21"/>
  <c r="V150" i="21" s="1"/>
  <c r="S151" i="21"/>
  <c r="V151" i="21" s="1"/>
  <c r="S152" i="21"/>
  <c r="V152" i="21" s="1"/>
  <c r="S153" i="21"/>
  <c r="V153" i="21" s="1"/>
  <c r="S154" i="21"/>
  <c r="V154" i="21" s="1"/>
  <c r="S155" i="21"/>
  <c r="V155" i="21" s="1"/>
  <c r="S156" i="21"/>
  <c r="V156" i="21" s="1"/>
  <c r="S157" i="21"/>
  <c r="V157" i="21" s="1"/>
  <c r="S158" i="21"/>
  <c r="V158" i="21" s="1"/>
  <c r="S159" i="21"/>
  <c r="V159" i="21" s="1"/>
  <c r="S160" i="21"/>
  <c r="V160" i="21" s="1"/>
  <c r="S161" i="21"/>
  <c r="V161" i="21" s="1"/>
  <c r="S162" i="21"/>
  <c r="V162" i="21" s="1"/>
  <c r="S163" i="21"/>
  <c r="V163" i="21" s="1"/>
  <c r="S164" i="21"/>
  <c r="V164" i="21" s="1"/>
  <c r="S165" i="21"/>
  <c r="V165" i="21" s="1"/>
  <c r="S166" i="21"/>
  <c r="V166" i="21" s="1"/>
  <c r="S167" i="21"/>
  <c r="V167" i="21" s="1"/>
  <c r="S168" i="21"/>
  <c r="V168" i="21" s="1"/>
  <c r="S169" i="21"/>
  <c r="V169" i="21" s="1"/>
  <c r="S170" i="21"/>
  <c r="V170" i="21" s="1"/>
  <c r="S171" i="21"/>
  <c r="V171" i="21" s="1"/>
  <c r="S172" i="21"/>
  <c r="V172" i="21" s="1"/>
  <c r="S173" i="21"/>
  <c r="V173" i="21" s="1"/>
  <c r="S174" i="21"/>
  <c r="V174" i="21" s="1"/>
  <c r="S175" i="21"/>
  <c r="V175" i="21" s="1"/>
  <c r="S176" i="21"/>
  <c r="V176" i="21" s="1"/>
  <c r="S177" i="21"/>
  <c r="V177" i="21" s="1"/>
  <c r="S178" i="21"/>
  <c r="V178" i="21" s="1"/>
  <c r="S179" i="21"/>
  <c r="V179" i="21" s="1"/>
  <c r="S180" i="21"/>
  <c r="V180" i="21" s="1"/>
  <c r="S181" i="21"/>
  <c r="V181" i="21" s="1"/>
  <c r="S182" i="21"/>
  <c r="V182" i="21" s="1"/>
  <c r="S183" i="21"/>
  <c r="V183" i="21" s="1"/>
  <c r="S184" i="21"/>
  <c r="V184" i="21" s="1"/>
  <c r="S185" i="21"/>
  <c r="V185" i="21" s="1"/>
  <c r="S186" i="21"/>
  <c r="V186" i="21" s="1"/>
  <c r="S187" i="21"/>
  <c r="V187" i="21" s="1"/>
  <c r="S188" i="21"/>
  <c r="V188" i="21" s="1"/>
  <c r="S189" i="21"/>
  <c r="V189" i="21" s="1"/>
  <c r="S190" i="21"/>
  <c r="V190" i="21" s="1"/>
  <c r="S191" i="21"/>
  <c r="V191" i="21" s="1"/>
  <c r="S192" i="21"/>
  <c r="V192" i="21" s="1"/>
  <c r="S193" i="21"/>
  <c r="V193" i="21" s="1"/>
  <c r="S194" i="21"/>
  <c r="V194" i="21" s="1"/>
  <c r="S195" i="21"/>
  <c r="V195" i="21" s="1"/>
  <c r="S196" i="21"/>
  <c r="V196" i="21" s="1"/>
  <c r="S197" i="21"/>
  <c r="V197" i="21" s="1"/>
  <c r="S198" i="21"/>
  <c r="V198" i="21" s="1"/>
  <c r="S199" i="21"/>
  <c r="V199" i="21" s="1"/>
  <c r="S200" i="21"/>
  <c r="V200" i="21" s="1"/>
  <c r="S201" i="21"/>
  <c r="V201" i="21" s="1"/>
  <c r="S202" i="21"/>
  <c r="V202" i="21" s="1"/>
  <c r="S203" i="21"/>
  <c r="V203" i="21" s="1"/>
  <c r="S204" i="21"/>
  <c r="V204" i="21" s="1"/>
  <c r="S205" i="21"/>
  <c r="V205" i="21" s="1"/>
  <c r="S206" i="21"/>
  <c r="V206" i="21" s="1"/>
  <c r="S207" i="21"/>
  <c r="V207" i="21" s="1"/>
  <c r="S208" i="21"/>
  <c r="V208" i="21" s="1"/>
  <c r="S209" i="21"/>
  <c r="V209" i="21" s="1"/>
  <c r="S210" i="21"/>
  <c r="V210" i="21" s="1"/>
  <c r="S211" i="21"/>
  <c r="V211" i="21" s="1"/>
  <c r="S212" i="21"/>
  <c r="V212" i="21" s="1"/>
  <c r="S213" i="21"/>
  <c r="V213" i="21" s="1"/>
  <c r="S214" i="21"/>
  <c r="V214" i="21" s="1"/>
  <c r="S215" i="21"/>
  <c r="V215" i="21" s="1"/>
  <c r="S216" i="21"/>
  <c r="V216" i="21" s="1"/>
  <c r="S217" i="21"/>
  <c r="V217" i="21" s="1"/>
  <c r="S218" i="21"/>
  <c r="V218" i="21" s="1"/>
  <c r="S219" i="21"/>
  <c r="V219" i="21" s="1"/>
  <c r="S220" i="21"/>
  <c r="V220" i="21" s="1"/>
  <c r="S221" i="21"/>
  <c r="V221" i="21" s="1"/>
  <c r="S222" i="21"/>
  <c r="V222" i="21" s="1"/>
  <c r="S223" i="21"/>
  <c r="V223" i="21" s="1"/>
  <c r="S224" i="21"/>
  <c r="V224" i="21" s="1"/>
  <c r="S225" i="21"/>
  <c r="V225" i="21" s="1"/>
  <c r="S226" i="21"/>
  <c r="V226" i="21" s="1"/>
  <c r="S227" i="21"/>
  <c r="V227" i="21" s="1"/>
  <c r="S228" i="21"/>
  <c r="V228" i="21" s="1"/>
  <c r="R6" i="21"/>
  <c r="R7" i="21"/>
  <c r="R8" i="21"/>
  <c r="R9" i="21"/>
  <c r="R10" i="21"/>
  <c r="R11" i="21"/>
  <c r="R12" i="21"/>
  <c r="R13" i="21"/>
  <c r="U13" i="21" s="1"/>
  <c r="R14" i="21"/>
  <c r="U14" i="21" s="1"/>
  <c r="R15" i="21"/>
  <c r="U15" i="21" s="1"/>
  <c r="R16" i="21"/>
  <c r="U16" i="21" s="1"/>
  <c r="R17" i="21"/>
  <c r="U17" i="21" s="1"/>
  <c r="R18" i="21"/>
  <c r="U18" i="21" s="1"/>
  <c r="R19" i="21"/>
  <c r="U19" i="21" s="1"/>
  <c r="R20" i="21"/>
  <c r="U20" i="21" s="1"/>
  <c r="R21" i="21"/>
  <c r="U21" i="21" s="1"/>
  <c r="R22" i="21"/>
  <c r="U22" i="21" s="1"/>
  <c r="R23" i="21"/>
  <c r="U23" i="21" s="1"/>
  <c r="R24" i="21"/>
  <c r="U24" i="21" s="1"/>
  <c r="R25" i="21"/>
  <c r="U25" i="21" s="1"/>
  <c r="R26" i="21"/>
  <c r="U26" i="21" s="1"/>
  <c r="R27" i="21"/>
  <c r="U27" i="21" s="1"/>
  <c r="R28" i="21"/>
  <c r="U28" i="21" s="1"/>
  <c r="R29" i="21"/>
  <c r="U29" i="21" s="1"/>
  <c r="R30" i="21"/>
  <c r="U30" i="21" s="1"/>
  <c r="R31" i="21"/>
  <c r="U31" i="21" s="1"/>
  <c r="R32" i="21"/>
  <c r="U32" i="21" s="1"/>
  <c r="R33" i="21"/>
  <c r="U33" i="21" s="1"/>
  <c r="R34" i="21"/>
  <c r="U34" i="21" s="1"/>
  <c r="R35" i="21"/>
  <c r="U35" i="21" s="1"/>
  <c r="R36" i="21"/>
  <c r="U36" i="21" s="1"/>
  <c r="R37" i="21"/>
  <c r="U37" i="21" s="1"/>
  <c r="R38" i="21"/>
  <c r="U38" i="21" s="1"/>
  <c r="R39" i="21"/>
  <c r="U39" i="21" s="1"/>
  <c r="R40" i="21"/>
  <c r="U40" i="21" s="1"/>
  <c r="R41" i="21"/>
  <c r="U41" i="21" s="1"/>
  <c r="R42" i="21"/>
  <c r="U42" i="21" s="1"/>
  <c r="R43" i="21"/>
  <c r="U43" i="21" s="1"/>
  <c r="R44" i="21"/>
  <c r="U44" i="21" s="1"/>
  <c r="R45" i="21"/>
  <c r="U45" i="21" s="1"/>
  <c r="R46" i="21"/>
  <c r="U46" i="21" s="1"/>
  <c r="R47" i="21"/>
  <c r="U47" i="21" s="1"/>
  <c r="R48" i="21"/>
  <c r="U48" i="21" s="1"/>
  <c r="R49" i="21"/>
  <c r="U49" i="21" s="1"/>
  <c r="R50" i="21"/>
  <c r="U50" i="21" s="1"/>
  <c r="R51" i="21"/>
  <c r="U51" i="21" s="1"/>
  <c r="R52" i="21"/>
  <c r="U52" i="21" s="1"/>
  <c r="R53" i="21"/>
  <c r="U53" i="21" s="1"/>
  <c r="R54" i="21"/>
  <c r="U54" i="21" s="1"/>
  <c r="R55" i="21"/>
  <c r="U55" i="21" s="1"/>
  <c r="R56" i="21"/>
  <c r="U56" i="21" s="1"/>
  <c r="R57" i="21"/>
  <c r="U57" i="21" s="1"/>
  <c r="R58" i="21"/>
  <c r="U58" i="21" s="1"/>
  <c r="R59" i="21"/>
  <c r="U59" i="21" s="1"/>
  <c r="R60" i="21"/>
  <c r="U60" i="21" s="1"/>
  <c r="R61" i="21"/>
  <c r="U61" i="21" s="1"/>
  <c r="R62" i="21"/>
  <c r="U62" i="21" s="1"/>
  <c r="R63" i="21"/>
  <c r="U63" i="21" s="1"/>
  <c r="R64" i="21"/>
  <c r="U64" i="21" s="1"/>
  <c r="R65" i="21"/>
  <c r="U65" i="21" s="1"/>
  <c r="R66" i="21"/>
  <c r="U66" i="21" s="1"/>
  <c r="R67" i="21"/>
  <c r="U67" i="21" s="1"/>
  <c r="R68" i="21"/>
  <c r="U68" i="21" s="1"/>
  <c r="R69" i="21"/>
  <c r="U69" i="21" s="1"/>
  <c r="R70" i="21"/>
  <c r="U70" i="21" s="1"/>
  <c r="R71" i="21"/>
  <c r="U71" i="21" s="1"/>
  <c r="R72" i="21"/>
  <c r="U72" i="21" s="1"/>
  <c r="R73" i="21"/>
  <c r="U73" i="21" s="1"/>
  <c r="R74" i="21"/>
  <c r="U74" i="21" s="1"/>
  <c r="R75" i="21"/>
  <c r="U75" i="21" s="1"/>
  <c r="R76" i="21"/>
  <c r="U76" i="21" s="1"/>
  <c r="R77" i="21"/>
  <c r="U77" i="21" s="1"/>
  <c r="R78" i="21"/>
  <c r="U78" i="21" s="1"/>
  <c r="R79" i="21"/>
  <c r="U79" i="21" s="1"/>
  <c r="R80" i="21"/>
  <c r="U80" i="21" s="1"/>
  <c r="R81" i="21"/>
  <c r="U81" i="21" s="1"/>
  <c r="R82" i="21"/>
  <c r="U82" i="21" s="1"/>
  <c r="R83" i="21"/>
  <c r="U83" i="21" s="1"/>
  <c r="R84" i="21"/>
  <c r="U84" i="21" s="1"/>
  <c r="R85" i="21"/>
  <c r="U85" i="21" s="1"/>
  <c r="R86" i="21"/>
  <c r="U86" i="21" s="1"/>
  <c r="R87" i="21"/>
  <c r="U87" i="21" s="1"/>
  <c r="R88" i="21"/>
  <c r="U88" i="21" s="1"/>
  <c r="R89" i="21"/>
  <c r="U89" i="21" s="1"/>
  <c r="R90" i="21"/>
  <c r="U90" i="21" s="1"/>
  <c r="R91" i="21"/>
  <c r="U91" i="21" s="1"/>
  <c r="R92" i="21"/>
  <c r="U92" i="21" s="1"/>
  <c r="R93" i="21"/>
  <c r="U93" i="21" s="1"/>
  <c r="R94" i="21"/>
  <c r="U94" i="21" s="1"/>
  <c r="R95" i="21"/>
  <c r="U95" i="21" s="1"/>
  <c r="R96" i="21"/>
  <c r="U96" i="21" s="1"/>
  <c r="R97" i="21"/>
  <c r="U97" i="21" s="1"/>
  <c r="R98" i="21"/>
  <c r="U98" i="21" s="1"/>
  <c r="R99" i="21"/>
  <c r="U99" i="21" s="1"/>
  <c r="R100" i="21"/>
  <c r="U100" i="21" s="1"/>
  <c r="R101" i="21"/>
  <c r="U101" i="21" s="1"/>
  <c r="R102" i="21"/>
  <c r="U102" i="21" s="1"/>
  <c r="R103" i="21"/>
  <c r="U103" i="21" s="1"/>
  <c r="R104" i="21"/>
  <c r="U104" i="21" s="1"/>
  <c r="R105" i="21"/>
  <c r="U105" i="21" s="1"/>
  <c r="R106" i="21"/>
  <c r="U106" i="21" s="1"/>
  <c r="R107" i="21"/>
  <c r="U107" i="21" s="1"/>
  <c r="R108" i="21"/>
  <c r="U108" i="21" s="1"/>
  <c r="R109" i="21"/>
  <c r="U109" i="21" s="1"/>
  <c r="R110" i="21"/>
  <c r="U110" i="21" s="1"/>
  <c r="R111" i="21"/>
  <c r="U111" i="21" s="1"/>
  <c r="R112" i="21"/>
  <c r="U112" i="21" s="1"/>
  <c r="R113" i="21"/>
  <c r="U113" i="21" s="1"/>
  <c r="R114" i="21"/>
  <c r="U114" i="21" s="1"/>
  <c r="R115" i="21"/>
  <c r="U115" i="21" s="1"/>
  <c r="R116" i="21"/>
  <c r="U116" i="21" s="1"/>
  <c r="R117" i="21"/>
  <c r="U117" i="21" s="1"/>
  <c r="R118" i="21"/>
  <c r="U118" i="21" s="1"/>
  <c r="R119" i="21"/>
  <c r="U119" i="21" s="1"/>
  <c r="R120" i="21"/>
  <c r="U120" i="21" s="1"/>
  <c r="R121" i="21"/>
  <c r="U121" i="21" s="1"/>
  <c r="R122" i="21"/>
  <c r="U122" i="21" s="1"/>
  <c r="R123" i="21"/>
  <c r="U123" i="21" s="1"/>
  <c r="R124" i="21"/>
  <c r="U124" i="21" s="1"/>
  <c r="R125" i="21"/>
  <c r="U125" i="21" s="1"/>
  <c r="R126" i="21"/>
  <c r="U126" i="21" s="1"/>
  <c r="R127" i="21"/>
  <c r="U127" i="21" s="1"/>
  <c r="R128" i="21"/>
  <c r="U128" i="21" s="1"/>
  <c r="R129" i="21"/>
  <c r="U129" i="21" s="1"/>
  <c r="R130" i="21"/>
  <c r="U130" i="21" s="1"/>
  <c r="R131" i="21"/>
  <c r="U131" i="21" s="1"/>
  <c r="R132" i="21"/>
  <c r="U132" i="21" s="1"/>
  <c r="R133" i="21"/>
  <c r="U133" i="21" s="1"/>
  <c r="R134" i="21"/>
  <c r="U134" i="21" s="1"/>
  <c r="R135" i="21"/>
  <c r="U135" i="21" s="1"/>
  <c r="R136" i="21"/>
  <c r="U136" i="21" s="1"/>
  <c r="R137" i="21"/>
  <c r="U137" i="21" s="1"/>
  <c r="R138" i="21"/>
  <c r="U138" i="21" s="1"/>
  <c r="R139" i="21"/>
  <c r="U139" i="21" s="1"/>
  <c r="R140" i="21"/>
  <c r="U140" i="21" s="1"/>
  <c r="R141" i="21"/>
  <c r="U141" i="21" s="1"/>
  <c r="R142" i="21"/>
  <c r="U142" i="21" s="1"/>
  <c r="R143" i="21"/>
  <c r="U143" i="21" s="1"/>
  <c r="R144" i="21"/>
  <c r="U144" i="21" s="1"/>
  <c r="R145" i="21"/>
  <c r="U145" i="21" s="1"/>
  <c r="R146" i="21"/>
  <c r="U146" i="21" s="1"/>
  <c r="R147" i="21"/>
  <c r="U147" i="21" s="1"/>
  <c r="R148" i="21"/>
  <c r="U148" i="21" s="1"/>
  <c r="R149" i="21"/>
  <c r="U149" i="21" s="1"/>
  <c r="R150" i="21"/>
  <c r="U150" i="21" s="1"/>
  <c r="R151" i="21"/>
  <c r="U151" i="21" s="1"/>
  <c r="R152" i="21"/>
  <c r="U152" i="21" s="1"/>
  <c r="R153" i="21"/>
  <c r="U153" i="21" s="1"/>
  <c r="R154" i="21"/>
  <c r="U154" i="21" s="1"/>
  <c r="R155" i="21"/>
  <c r="U155" i="21" s="1"/>
  <c r="R156" i="21"/>
  <c r="U156" i="21" s="1"/>
  <c r="R157" i="21"/>
  <c r="U157" i="21" s="1"/>
  <c r="R158" i="21"/>
  <c r="U158" i="21" s="1"/>
  <c r="R159" i="21"/>
  <c r="U159" i="21" s="1"/>
  <c r="R160" i="21"/>
  <c r="U160" i="21" s="1"/>
  <c r="R161" i="21"/>
  <c r="U161" i="21" s="1"/>
  <c r="R162" i="21"/>
  <c r="U162" i="21" s="1"/>
  <c r="R163" i="21"/>
  <c r="U163" i="21" s="1"/>
  <c r="R164" i="21"/>
  <c r="U164" i="21" s="1"/>
  <c r="R165" i="21"/>
  <c r="U165" i="21" s="1"/>
  <c r="R166" i="21"/>
  <c r="U166" i="21" s="1"/>
  <c r="R167" i="21"/>
  <c r="U167" i="21" s="1"/>
  <c r="R168" i="21"/>
  <c r="U168" i="21" s="1"/>
  <c r="R169" i="21"/>
  <c r="U169" i="21" s="1"/>
  <c r="R170" i="21"/>
  <c r="U170" i="21" s="1"/>
  <c r="R171" i="21"/>
  <c r="U171" i="21" s="1"/>
  <c r="R172" i="21"/>
  <c r="U172" i="21" s="1"/>
  <c r="R173" i="21"/>
  <c r="U173" i="21" s="1"/>
  <c r="R174" i="21"/>
  <c r="U174" i="21" s="1"/>
  <c r="R175" i="21"/>
  <c r="U175" i="21" s="1"/>
  <c r="R176" i="21"/>
  <c r="U176" i="21" s="1"/>
  <c r="R177" i="21"/>
  <c r="U177" i="21" s="1"/>
  <c r="R178" i="21"/>
  <c r="U178" i="21" s="1"/>
  <c r="R179" i="21"/>
  <c r="U179" i="21" s="1"/>
  <c r="R180" i="21"/>
  <c r="U180" i="21" s="1"/>
  <c r="R181" i="21"/>
  <c r="U181" i="21" s="1"/>
  <c r="R182" i="21"/>
  <c r="U182" i="21" s="1"/>
  <c r="R183" i="21"/>
  <c r="U183" i="21" s="1"/>
  <c r="R184" i="21"/>
  <c r="U184" i="21" s="1"/>
  <c r="R185" i="21"/>
  <c r="U185" i="21" s="1"/>
  <c r="R186" i="21"/>
  <c r="U186" i="21" s="1"/>
  <c r="R187" i="21"/>
  <c r="U187" i="21" s="1"/>
  <c r="R188" i="21"/>
  <c r="U188" i="21" s="1"/>
  <c r="R189" i="21"/>
  <c r="U189" i="21" s="1"/>
  <c r="R190" i="21"/>
  <c r="U190" i="21" s="1"/>
  <c r="R191" i="21"/>
  <c r="U191" i="21" s="1"/>
  <c r="R192" i="21"/>
  <c r="U192" i="21" s="1"/>
  <c r="R193" i="21"/>
  <c r="U193" i="21" s="1"/>
  <c r="R194" i="21"/>
  <c r="U194" i="21" s="1"/>
  <c r="R195" i="21"/>
  <c r="U195" i="21" s="1"/>
  <c r="R196" i="21"/>
  <c r="U196" i="21" s="1"/>
  <c r="R197" i="21"/>
  <c r="U197" i="21" s="1"/>
  <c r="R198" i="21"/>
  <c r="U198" i="21" s="1"/>
  <c r="R199" i="21"/>
  <c r="U199" i="21" s="1"/>
  <c r="R200" i="21"/>
  <c r="U200" i="21" s="1"/>
  <c r="R201" i="21"/>
  <c r="U201" i="21" s="1"/>
  <c r="R202" i="21"/>
  <c r="U202" i="21" s="1"/>
  <c r="R203" i="21"/>
  <c r="U203" i="21" s="1"/>
  <c r="R204" i="21"/>
  <c r="U204" i="21" s="1"/>
  <c r="R205" i="21"/>
  <c r="U205" i="21" s="1"/>
  <c r="R206" i="21"/>
  <c r="U206" i="21" s="1"/>
  <c r="R207" i="21"/>
  <c r="U207" i="21" s="1"/>
  <c r="R208" i="21"/>
  <c r="U208" i="21" s="1"/>
  <c r="R209" i="21"/>
  <c r="U209" i="21" s="1"/>
  <c r="R210" i="21"/>
  <c r="U210" i="21" s="1"/>
  <c r="R211" i="21"/>
  <c r="U211" i="21" s="1"/>
  <c r="R212" i="21"/>
  <c r="U212" i="21" s="1"/>
  <c r="R213" i="21"/>
  <c r="U213" i="21" s="1"/>
  <c r="R214" i="21"/>
  <c r="U214" i="21" s="1"/>
  <c r="R215" i="21"/>
  <c r="U215" i="21" s="1"/>
  <c r="R216" i="21"/>
  <c r="U216" i="21" s="1"/>
  <c r="R217" i="21"/>
  <c r="U217" i="21" s="1"/>
  <c r="R218" i="21"/>
  <c r="U218" i="21" s="1"/>
  <c r="R219" i="21"/>
  <c r="U219" i="21" s="1"/>
  <c r="R220" i="21"/>
  <c r="U220" i="21" s="1"/>
  <c r="R221" i="21"/>
  <c r="U221" i="21" s="1"/>
  <c r="R222" i="21"/>
  <c r="U222" i="21" s="1"/>
  <c r="R223" i="21"/>
  <c r="U223" i="21" s="1"/>
  <c r="R224" i="21"/>
  <c r="U224" i="21" s="1"/>
  <c r="R225" i="21"/>
  <c r="U225" i="21" s="1"/>
  <c r="R226" i="21"/>
  <c r="U226" i="21" s="1"/>
  <c r="R227" i="21"/>
  <c r="U227" i="21" s="1"/>
  <c r="R228" i="21"/>
  <c r="U228" i="21" s="1"/>
  <c r="R5" i="21"/>
  <c r="S5" i="21"/>
  <c r="Q6" i="21"/>
  <c r="Q7" i="21"/>
  <c r="Q8" i="21"/>
  <c r="Q9" i="21"/>
  <c r="Q10" i="21"/>
  <c r="Q11" i="21"/>
  <c r="T11" i="21" s="1"/>
  <c r="Q12" i="21"/>
  <c r="T12" i="21" s="1"/>
  <c r="Q13" i="21"/>
  <c r="T13" i="21" s="1"/>
  <c r="Q14" i="21"/>
  <c r="T14" i="21" s="1"/>
  <c r="Q15" i="21"/>
  <c r="T15" i="21" s="1"/>
  <c r="Q16" i="21"/>
  <c r="T16" i="21" s="1"/>
  <c r="Q17" i="21"/>
  <c r="T17" i="21" s="1"/>
  <c r="Q18" i="21"/>
  <c r="T18" i="21" s="1"/>
  <c r="Q19" i="21"/>
  <c r="T19" i="21" s="1"/>
  <c r="Q20" i="21"/>
  <c r="T20" i="21" s="1"/>
  <c r="Q21" i="21"/>
  <c r="T21" i="21" s="1"/>
  <c r="Q22" i="21"/>
  <c r="T22" i="21" s="1"/>
  <c r="Q23" i="21"/>
  <c r="T23" i="21" s="1"/>
  <c r="Q24" i="21"/>
  <c r="T24" i="21" s="1"/>
  <c r="Q25" i="21"/>
  <c r="T25" i="21" s="1"/>
  <c r="Q26" i="21"/>
  <c r="T26" i="21" s="1"/>
  <c r="Q27" i="21"/>
  <c r="T27" i="21" s="1"/>
  <c r="Q28" i="21"/>
  <c r="T28" i="21" s="1"/>
  <c r="Q29" i="21"/>
  <c r="T29" i="21" s="1"/>
  <c r="Q30" i="21"/>
  <c r="T30" i="21" s="1"/>
  <c r="Q31" i="21"/>
  <c r="T31" i="21" s="1"/>
  <c r="Q32" i="21"/>
  <c r="T32" i="21" s="1"/>
  <c r="Q33" i="21"/>
  <c r="T33" i="21" s="1"/>
  <c r="Q34" i="21"/>
  <c r="T34" i="21" s="1"/>
  <c r="Q35" i="21"/>
  <c r="T35" i="21" s="1"/>
  <c r="Q36" i="21"/>
  <c r="T36" i="21" s="1"/>
  <c r="Q37" i="21"/>
  <c r="T37" i="21" s="1"/>
  <c r="Q38" i="21"/>
  <c r="T38" i="21" s="1"/>
  <c r="Q39" i="21"/>
  <c r="T39" i="21" s="1"/>
  <c r="Q40" i="21"/>
  <c r="T40" i="21" s="1"/>
  <c r="Q41" i="21"/>
  <c r="T41" i="21" s="1"/>
  <c r="Q42" i="21"/>
  <c r="T42" i="21" s="1"/>
  <c r="Q43" i="21"/>
  <c r="T43" i="21" s="1"/>
  <c r="Q44" i="21"/>
  <c r="T44" i="21" s="1"/>
  <c r="Q45" i="21"/>
  <c r="T45" i="21" s="1"/>
  <c r="Q46" i="21"/>
  <c r="T46" i="21" s="1"/>
  <c r="Q47" i="21"/>
  <c r="T47" i="21" s="1"/>
  <c r="Q48" i="21"/>
  <c r="T48" i="21" s="1"/>
  <c r="Q49" i="21"/>
  <c r="T49" i="21" s="1"/>
  <c r="Q50" i="21"/>
  <c r="T50" i="21" s="1"/>
  <c r="Q51" i="21"/>
  <c r="T51" i="21" s="1"/>
  <c r="Q52" i="21"/>
  <c r="T52" i="21" s="1"/>
  <c r="Q53" i="21"/>
  <c r="T53" i="21" s="1"/>
  <c r="Q54" i="21"/>
  <c r="T54" i="21" s="1"/>
  <c r="Q55" i="21"/>
  <c r="T55" i="21" s="1"/>
  <c r="Q56" i="21"/>
  <c r="T56" i="21" s="1"/>
  <c r="Q57" i="21"/>
  <c r="T57" i="21" s="1"/>
  <c r="Q58" i="21"/>
  <c r="T58" i="21" s="1"/>
  <c r="Q59" i="21"/>
  <c r="T59" i="21" s="1"/>
  <c r="Q60" i="21"/>
  <c r="T60" i="21" s="1"/>
  <c r="Q61" i="21"/>
  <c r="T61" i="21" s="1"/>
  <c r="Q62" i="21"/>
  <c r="T62" i="21" s="1"/>
  <c r="Q63" i="21"/>
  <c r="T63" i="21" s="1"/>
  <c r="Q64" i="21"/>
  <c r="T64" i="21" s="1"/>
  <c r="Q65" i="21"/>
  <c r="T65" i="21" s="1"/>
  <c r="Q66" i="21"/>
  <c r="T66" i="21" s="1"/>
  <c r="Q67" i="21"/>
  <c r="T67" i="21" s="1"/>
  <c r="Q68" i="21"/>
  <c r="T68" i="21" s="1"/>
  <c r="Q69" i="21"/>
  <c r="T69" i="21" s="1"/>
  <c r="Q70" i="21"/>
  <c r="T70" i="21" s="1"/>
  <c r="Q71" i="21"/>
  <c r="T71" i="21" s="1"/>
  <c r="Q72" i="21"/>
  <c r="T72" i="21" s="1"/>
  <c r="Q73" i="21"/>
  <c r="T73" i="21" s="1"/>
  <c r="Q74" i="21"/>
  <c r="T74" i="21" s="1"/>
  <c r="Q75" i="21"/>
  <c r="T75" i="21" s="1"/>
  <c r="Q76" i="21"/>
  <c r="T76" i="21" s="1"/>
  <c r="Q77" i="21"/>
  <c r="T77" i="21" s="1"/>
  <c r="Q78" i="21"/>
  <c r="T78" i="21" s="1"/>
  <c r="Q79" i="21"/>
  <c r="T79" i="21" s="1"/>
  <c r="Q80" i="21"/>
  <c r="T80" i="21" s="1"/>
  <c r="Q81" i="21"/>
  <c r="T81" i="21" s="1"/>
  <c r="Q82" i="21"/>
  <c r="T82" i="21" s="1"/>
  <c r="Q83" i="21"/>
  <c r="T83" i="21" s="1"/>
  <c r="Q84" i="21"/>
  <c r="T84" i="21" s="1"/>
  <c r="Q85" i="21"/>
  <c r="T85" i="21" s="1"/>
  <c r="Q86" i="21"/>
  <c r="T86" i="21" s="1"/>
  <c r="Q87" i="21"/>
  <c r="T87" i="21" s="1"/>
  <c r="Q88" i="21"/>
  <c r="T88" i="21" s="1"/>
  <c r="Q89" i="21"/>
  <c r="T89" i="21" s="1"/>
  <c r="Q90" i="21"/>
  <c r="T90" i="21" s="1"/>
  <c r="Q91" i="21"/>
  <c r="T91" i="21" s="1"/>
  <c r="Q92" i="21"/>
  <c r="T92" i="21" s="1"/>
  <c r="Q93" i="21"/>
  <c r="T93" i="21" s="1"/>
  <c r="Q94" i="21"/>
  <c r="T94" i="21" s="1"/>
  <c r="Q95" i="21"/>
  <c r="T95" i="21" s="1"/>
  <c r="Q96" i="21"/>
  <c r="T96" i="21" s="1"/>
  <c r="Q97" i="21"/>
  <c r="T97" i="21" s="1"/>
  <c r="Q98" i="21"/>
  <c r="T98" i="21" s="1"/>
  <c r="Q99" i="21"/>
  <c r="T99" i="21" s="1"/>
  <c r="Q100" i="21"/>
  <c r="T100" i="21" s="1"/>
  <c r="Q101" i="21"/>
  <c r="T101" i="21" s="1"/>
  <c r="Q102" i="21"/>
  <c r="T102" i="21" s="1"/>
  <c r="Q103" i="21"/>
  <c r="T103" i="21" s="1"/>
  <c r="Q104" i="21"/>
  <c r="T104" i="21" s="1"/>
  <c r="Q105" i="21"/>
  <c r="T105" i="21" s="1"/>
  <c r="Q106" i="21"/>
  <c r="T106" i="21" s="1"/>
  <c r="Q107" i="21"/>
  <c r="T107" i="21" s="1"/>
  <c r="Q108" i="21"/>
  <c r="T108" i="21" s="1"/>
  <c r="Q109" i="21"/>
  <c r="T109" i="21" s="1"/>
  <c r="Q110" i="21"/>
  <c r="T110" i="21" s="1"/>
  <c r="Q111" i="21"/>
  <c r="T111" i="21" s="1"/>
  <c r="Q112" i="21"/>
  <c r="T112" i="21" s="1"/>
  <c r="Q113" i="21"/>
  <c r="T113" i="21" s="1"/>
  <c r="Q114" i="21"/>
  <c r="T114" i="21" s="1"/>
  <c r="Q115" i="21"/>
  <c r="T115" i="21" s="1"/>
  <c r="Q116" i="21"/>
  <c r="T116" i="21" s="1"/>
  <c r="Q117" i="21"/>
  <c r="T117" i="21" s="1"/>
  <c r="Q118" i="21"/>
  <c r="T118" i="21" s="1"/>
  <c r="Q119" i="21"/>
  <c r="T119" i="21" s="1"/>
  <c r="Q120" i="21"/>
  <c r="T120" i="21" s="1"/>
  <c r="Q121" i="21"/>
  <c r="T121" i="21" s="1"/>
  <c r="Q122" i="21"/>
  <c r="T122" i="21" s="1"/>
  <c r="Q123" i="21"/>
  <c r="T123" i="21" s="1"/>
  <c r="Q124" i="21"/>
  <c r="T124" i="21" s="1"/>
  <c r="Q125" i="21"/>
  <c r="T125" i="21" s="1"/>
  <c r="Q126" i="21"/>
  <c r="T126" i="21" s="1"/>
  <c r="Q127" i="21"/>
  <c r="T127" i="21" s="1"/>
  <c r="Q128" i="21"/>
  <c r="T128" i="21" s="1"/>
  <c r="Q129" i="21"/>
  <c r="T129" i="21" s="1"/>
  <c r="Q130" i="21"/>
  <c r="T130" i="21" s="1"/>
  <c r="Q131" i="21"/>
  <c r="T131" i="21" s="1"/>
  <c r="Q132" i="21"/>
  <c r="T132" i="21" s="1"/>
  <c r="Q133" i="21"/>
  <c r="T133" i="21" s="1"/>
  <c r="Q134" i="21"/>
  <c r="T134" i="21" s="1"/>
  <c r="Q135" i="21"/>
  <c r="T135" i="21" s="1"/>
  <c r="Q136" i="21"/>
  <c r="T136" i="21" s="1"/>
  <c r="Q137" i="21"/>
  <c r="T137" i="21" s="1"/>
  <c r="Q138" i="21"/>
  <c r="T138" i="21" s="1"/>
  <c r="Q139" i="21"/>
  <c r="T139" i="21" s="1"/>
  <c r="Q140" i="21"/>
  <c r="T140" i="21" s="1"/>
  <c r="Q141" i="21"/>
  <c r="T141" i="21" s="1"/>
  <c r="Q142" i="21"/>
  <c r="T142" i="21" s="1"/>
  <c r="Q143" i="21"/>
  <c r="T143" i="21" s="1"/>
  <c r="Q144" i="21"/>
  <c r="T144" i="21" s="1"/>
  <c r="Q145" i="21"/>
  <c r="T145" i="21" s="1"/>
  <c r="Q146" i="21"/>
  <c r="T146" i="21" s="1"/>
  <c r="Q147" i="21"/>
  <c r="T147" i="21" s="1"/>
  <c r="Q148" i="21"/>
  <c r="T148" i="21" s="1"/>
  <c r="Q149" i="21"/>
  <c r="T149" i="21" s="1"/>
  <c r="Q150" i="21"/>
  <c r="T150" i="21" s="1"/>
  <c r="Q151" i="21"/>
  <c r="T151" i="21" s="1"/>
  <c r="Q152" i="21"/>
  <c r="T152" i="21" s="1"/>
  <c r="Q153" i="21"/>
  <c r="T153" i="21" s="1"/>
  <c r="Q154" i="21"/>
  <c r="T154" i="21" s="1"/>
  <c r="Q155" i="21"/>
  <c r="T155" i="21" s="1"/>
  <c r="Q156" i="21"/>
  <c r="T156" i="21" s="1"/>
  <c r="Q157" i="21"/>
  <c r="T157" i="21" s="1"/>
  <c r="Q158" i="21"/>
  <c r="T158" i="21" s="1"/>
  <c r="Q159" i="21"/>
  <c r="T159" i="21" s="1"/>
  <c r="Q160" i="21"/>
  <c r="T160" i="21" s="1"/>
  <c r="Q161" i="21"/>
  <c r="T161" i="21" s="1"/>
  <c r="Q162" i="21"/>
  <c r="T162" i="21" s="1"/>
  <c r="Q163" i="21"/>
  <c r="T163" i="21" s="1"/>
  <c r="Q164" i="21"/>
  <c r="T164" i="21" s="1"/>
  <c r="Q165" i="21"/>
  <c r="T165" i="21" s="1"/>
  <c r="Q166" i="21"/>
  <c r="T166" i="21" s="1"/>
  <c r="Q167" i="21"/>
  <c r="T167" i="21" s="1"/>
  <c r="Q168" i="21"/>
  <c r="T168" i="21" s="1"/>
  <c r="Q169" i="21"/>
  <c r="T169" i="21" s="1"/>
  <c r="Q170" i="21"/>
  <c r="T170" i="21" s="1"/>
  <c r="Q171" i="21"/>
  <c r="T171" i="21" s="1"/>
  <c r="Q172" i="21"/>
  <c r="T172" i="21" s="1"/>
  <c r="Q173" i="21"/>
  <c r="T173" i="21" s="1"/>
  <c r="Q174" i="21"/>
  <c r="T174" i="21" s="1"/>
  <c r="Q175" i="21"/>
  <c r="T175" i="21" s="1"/>
  <c r="Q176" i="21"/>
  <c r="T176" i="21" s="1"/>
  <c r="Q177" i="21"/>
  <c r="T177" i="21" s="1"/>
  <c r="Q178" i="21"/>
  <c r="T178" i="21" s="1"/>
  <c r="Q179" i="21"/>
  <c r="T179" i="21" s="1"/>
  <c r="Q180" i="21"/>
  <c r="T180" i="21" s="1"/>
  <c r="Q181" i="21"/>
  <c r="T181" i="21" s="1"/>
  <c r="Q182" i="21"/>
  <c r="T182" i="21" s="1"/>
  <c r="Q183" i="21"/>
  <c r="T183" i="21" s="1"/>
  <c r="Q184" i="21"/>
  <c r="T184" i="21" s="1"/>
  <c r="Q185" i="21"/>
  <c r="T185" i="21" s="1"/>
  <c r="Q186" i="21"/>
  <c r="T186" i="21" s="1"/>
  <c r="Q187" i="21"/>
  <c r="T187" i="21" s="1"/>
  <c r="Q188" i="21"/>
  <c r="T188" i="21" s="1"/>
  <c r="Q189" i="21"/>
  <c r="T189" i="21" s="1"/>
  <c r="Q190" i="21"/>
  <c r="T190" i="21" s="1"/>
  <c r="Q191" i="21"/>
  <c r="T191" i="21" s="1"/>
  <c r="Q192" i="21"/>
  <c r="T192" i="21" s="1"/>
  <c r="Q193" i="21"/>
  <c r="T193" i="21" s="1"/>
  <c r="Q194" i="21"/>
  <c r="T194" i="21" s="1"/>
  <c r="Q195" i="21"/>
  <c r="T195" i="21" s="1"/>
  <c r="Q196" i="21"/>
  <c r="T196" i="21" s="1"/>
  <c r="Q197" i="21"/>
  <c r="T197" i="21" s="1"/>
  <c r="Q198" i="21"/>
  <c r="T198" i="21" s="1"/>
  <c r="Q199" i="21"/>
  <c r="T199" i="21" s="1"/>
  <c r="Q200" i="21"/>
  <c r="T200" i="21" s="1"/>
  <c r="Q201" i="21"/>
  <c r="T201" i="21" s="1"/>
  <c r="Q202" i="21"/>
  <c r="T202" i="21" s="1"/>
  <c r="Q203" i="21"/>
  <c r="T203" i="21" s="1"/>
  <c r="Q204" i="21"/>
  <c r="T204" i="21" s="1"/>
  <c r="Q205" i="21"/>
  <c r="T205" i="21" s="1"/>
  <c r="Q206" i="21"/>
  <c r="T206" i="21" s="1"/>
  <c r="Q207" i="21"/>
  <c r="T207" i="21" s="1"/>
  <c r="Q208" i="21"/>
  <c r="T208" i="21" s="1"/>
  <c r="Q209" i="21"/>
  <c r="T209" i="21" s="1"/>
  <c r="Q210" i="21"/>
  <c r="T210" i="21" s="1"/>
  <c r="Q211" i="21"/>
  <c r="T211" i="21" s="1"/>
  <c r="Q212" i="21"/>
  <c r="T212" i="21" s="1"/>
  <c r="Q213" i="21"/>
  <c r="T213" i="21" s="1"/>
  <c r="Q214" i="21"/>
  <c r="T214" i="21" s="1"/>
  <c r="Q215" i="21"/>
  <c r="T215" i="21" s="1"/>
  <c r="Q216" i="21"/>
  <c r="T216" i="21" s="1"/>
  <c r="Q217" i="21"/>
  <c r="T217" i="21" s="1"/>
  <c r="Q218" i="21"/>
  <c r="T218" i="21" s="1"/>
  <c r="Q219" i="21"/>
  <c r="T219" i="21" s="1"/>
  <c r="Q220" i="21"/>
  <c r="T220" i="21" s="1"/>
  <c r="Q221" i="21"/>
  <c r="T221" i="21" s="1"/>
  <c r="Q222" i="21"/>
  <c r="T222" i="21" s="1"/>
  <c r="Q223" i="21"/>
  <c r="T223" i="21" s="1"/>
  <c r="Q224" i="21"/>
  <c r="T224" i="21" s="1"/>
  <c r="Q225" i="21"/>
  <c r="T225" i="21" s="1"/>
  <c r="Q226" i="21"/>
  <c r="T226" i="21" s="1"/>
  <c r="Q227" i="21"/>
  <c r="T227" i="21" s="1"/>
  <c r="Q228" i="21"/>
  <c r="T228" i="21" s="1"/>
  <c r="V10" i="21" l="1"/>
  <c r="V9" i="21"/>
  <c r="V8" i="21"/>
  <c r="AE15" i="21"/>
  <c r="B113" i="2" s="1"/>
  <c r="C113" i="2" s="1"/>
  <c r="AE16" i="21"/>
  <c r="B124" i="2" s="1"/>
  <c r="C124" i="2" s="1"/>
  <c r="AE17" i="21"/>
  <c r="B135" i="2" s="1"/>
  <c r="C135" i="2" s="1"/>
  <c r="AE18" i="21"/>
  <c r="B146" i="2" s="1"/>
  <c r="C146" i="2" s="1"/>
  <c r="AE19" i="21"/>
  <c r="B157" i="2" s="1"/>
  <c r="C157" i="2" s="1"/>
  <c r="AE20" i="21"/>
  <c r="B168" i="2" s="1"/>
  <c r="C168" i="2" s="1"/>
  <c r="AE21" i="21"/>
  <c r="B179" i="2" s="1"/>
  <c r="C179" i="2" s="1"/>
  <c r="AE22" i="21"/>
  <c r="B190" i="2" s="1"/>
  <c r="C190" i="2" s="1"/>
  <c r="AE23" i="21"/>
  <c r="B201" i="2" s="1"/>
  <c r="C201" i="2" s="1"/>
  <c r="AE24" i="21"/>
  <c r="B212" i="2" s="1"/>
  <c r="C212" i="2" s="1"/>
  <c r="AE25" i="21"/>
  <c r="B223" i="2" s="1"/>
  <c r="C223" i="2" s="1"/>
  <c r="AE26" i="21"/>
  <c r="B234" i="2" s="1"/>
  <c r="C234" i="2" s="1"/>
  <c r="AE27" i="21"/>
  <c r="B245" i="2" s="1"/>
  <c r="C245" i="2" s="1"/>
  <c r="AE28" i="21"/>
  <c r="B256" i="2" s="1"/>
  <c r="C256" i="2" s="1"/>
  <c r="AE29" i="21"/>
  <c r="B267" i="2" s="1"/>
  <c r="C267" i="2" s="1"/>
  <c r="AE30" i="21"/>
  <c r="B278" i="2" s="1"/>
  <c r="C278" i="2" s="1"/>
  <c r="AE31" i="21"/>
  <c r="AE32" i="21"/>
  <c r="AE33" i="21"/>
  <c r="AE34" i="21"/>
  <c r="AE35" i="21"/>
  <c r="AE36" i="21"/>
  <c r="AE37" i="21"/>
  <c r="AE38" i="21"/>
  <c r="AE39" i="21"/>
  <c r="AE40" i="21"/>
  <c r="AE41" i="21"/>
  <c r="AE42" i="21"/>
  <c r="AE43" i="21"/>
  <c r="AE44" i="21"/>
  <c r="AE45" i="21"/>
  <c r="AE46" i="21"/>
  <c r="AE47" i="21"/>
  <c r="AE48" i="21"/>
  <c r="AE49" i="21"/>
  <c r="AE50" i="21"/>
  <c r="AE51" i="21"/>
  <c r="AE52" i="21"/>
  <c r="AE53" i="21"/>
  <c r="AE54" i="21"/>
  <c r="AE55" i="21"/>
  <c r="AE56" i="21"/>
  <c r="AE57" i="21"/>
  <c r="AE58" i="21"/>
  <c r="AE59" i="21"/>
  <c r="AE60" i="21"/>
  <c r="AE61" i="21"/>
  <c r="AE62" i="21"/>
  <c r="AE63" i="21"/>
  <c r="AE64" i="21"/>
  <c r="AE65" i="21"/>
  <c r="AE66" i="21"/>
  <c r="AE67" i="21"/>
  <c r="AE68" i="21"/>
  <c r="AE69" i="21"/>
  <c r="AE70" i="21"/>
  <c r="AE71" i="21"/>
  <c r="AE72" i="21"/>
  <c r="AE73" i="21"/>
  <c r="AE74" i="21"/>
  <c r="AE75" i="21"/>
  <c r="AE76" i="21"/>
  <c r="AE77" i="21"/>
  <c r="AE78" i="21"/>
  <c r="AE79" i="21"/>
  <c r="AE80" i="21"/>
  <c r="AE81" i="21"/>
  <c r="AE82" i="21"/>
  <c r="AE83" i="21"/>
  <c r="AE84" i="21"/>
  <c r="AE85" i="21"/>
  <c r="AE86" i="21"/>
  <c r="AE87" i="21"/>
  <c r="AE88" i="21"/>
  <c r="AE89" i="21"/>
  <c r="AE90" i="21"/>
  <c r="AE91" i="21"/>
  <c r="AE92" i="21"/>
  <c r="AE93" i="21"/>
  <c r="AE94" i="21"/>
  <c r="AE95" i="21"/>
  <c r="AE96" i="21"/>
  <c r="AE97" i="21"/>
  <c r="AE98" i="21"/>
  <c r="AE99" i="21"/>
  <c r="AE100" i="21"/>
  <c r="AE101" i="21"/>
  <c r="AE102" i="21"/>
  <c r="AE103" i="21"/>
  <c r="AE104" i="21"/>
  <c r="AE105" i="21"/>
  <c r="AE106" i="21"/>
  <c r="AE107" i="21"/>
  <c r="AE108" i="21"/>
  <c r="AE109" i="21"/>
  <c r="AE110" i="21"/>
  <c r="AE111" i="21"/>
  <c r="AE112" i="21"/>
  <c r="AE113" i="21"/>
  <c r="AE114" i="21"/>
  <c r="AE115" i="21"/>
  <c r="AE116" i="21"/>
  <c r="AE117" i="21"/>
  <c r="AE118" i="21"/>
  <c r="AE119" i="21"/>
  <c r="AE120" i="21"/>
  <c r="AE121" i="21"/>
  <c r="AE122" i="21"/>
  <c r="AE123" i="21"/>
  <c r="AE124" i="21"/>
  <c r="AE125" i="21"/>
  <c r="AE126" i="21"/>
  <c r="AE127" i="21"/>
  <c r="AE128" i="21"/>
  <c r="AE129" i="21"/>
  <c r="AE130" i="21"/>
  <c r="AE131" i="21"/>
  <c r="AE132" i="21"/>
  <c r="AE133" i="21"/>
  <c r="AE134" i="21"/>
  <c r="AE135" i="21"/>
  <c r="AE136" i="21"/>
  <c r="AE137" i="21"/>
  <c r="AE138" i="21"/>
  <c r="AE139" i="21"/>
  <c r="AE140" i="21"/>
  <c r="AE141" i="21"/>
  <c r="AE142" i="21"/>
  <c r="AE143" i="21"/>
  <c r="AE144" i="21"/>
  <c r="AE145" i="21"/>
  <c r="AE146" i="21"/>
  <c r="AE147" i="21"/>
  <c r="AE148" i="21"/>
  <c r="AE149" i="21"/>
  <c r="AE150" i="21"/>
  <c r="AE151" i="21"/>
  <c r="AE152" i="21"/>
  <c r="AE153" i="21"/>
  <c r="AE154" i="21"/>
  <c r="AE155" i="21"/>
  <c r="AE156" i="21"/>
  <c r="AE157" i="21"/>
  <c r="AE158" i="21"/>
  <c r="AE159" i="21"/>
  <c r="AE160" i="21"/>
  <c r="AE161" i="21"/>
  <c r="AE162" i="21"/>
  <c r="AE163" i="21"/>
  <c r="AE164" i="21"/>
  <c r="AE165" i="21"/>
  <c r="AE166" i="21"/>
  <c r="AE167" i="21"/>
  <c r="AE168" i="21"/>
  <c r="AE169" i="21"/>
  <c r="AE170" i="21"/>
  <c r="AE171" i="21"/>
  <c r="AE172" i="21"/>
  <c r="AE173" i="21"/>
  <c r="AE174" i="21"/>
  <c r="AE175" i="21"/>
  <c r="AE176" i="21"/>
  <c r="AE177" i="21"/>
  <c r="AE178" i="21"/>
  <c r="AE179" i="21"/>
  <c r="AE180" i="21"/>
  <c r="AE181" i="21"/>
  <c r="AE182" i="21"/>
  <c r="AE183" i="21"/>
  <c r="AE184" i="21"/>
  <c r="AE185" i="21"/>
  <c r="AE186" i="21"/>
  <c r="AE187" i="21"/>
  <c r="AE188" i="21"/>
  <c r="AE189" i="21"/>
  <c r="AE190" i="21"/>
  <c r="AE191" i="21"/>
  <c r="AE192" i="21"/>
  <c r="AE193" i="21"/>
  <c r="AE194" i="21"/>
  <c r="AE195" i="21"/>
  <c r="AE196" i="21"/>
  <c r="AE197" i="21"/>
  <c r="AE198" i="21"/>
  <c r="AE199" i="21"/>
  <c r="AE200" i="21"/>
  <c r="AE201" i="21"/>
  <c r="AE202" i="21"/>
  <c r="AE203" i="21"/>
  <c r="AE204" i="21"/>
  <c r="AE205" i="21"/>
  <c r="AE206" i="21"/>
  <c r="AE207" i="21"/>
  <c r="AE208" i="21"/>
  <c r="AE209" i="21"/>
  <c r="AE210" i="21"/>
  <c r="AE211" i="21"/>
  <c r="AE212" i="21"/>
  <c r="AE213" i="21"/>
  <c r="AE214" i="21"/>
  <c r="AE215" i="21"/>
  <c r="AE216" i="21"/>
  <c r="AE217" i="21"/>
  <c r="AE218" i="21"/>
  <c r="AE219" i="21"/>
  <c r="AE220" i="21"/>
  <c r="AE221" i="21"/>
  <c r="AE222" i="21"/>
  <c r="AE223" i="21"/>
  <c r="AE224" i="21"/>
  <c r="AE225" i="21"/>
  <c r="AE226" i="21"/>
  <c r="AE227" i="21"/>
  <c r="AE228" i="21"/>
  <c r="AD15" i="21"/>
  <c r="B73" i="3" s="1"/>
  <c r="AD16" i="21"/>
  <c r="B80" i="3" s="1"/>
  <c r="AD17" i="21"/>
  <c r="B87" i="3" s="1"/>
  <c r="AD18" i="21"/>
  <c r="B94" i="3" s="1"/>
  <c r="AD19" i="21"/>
  <c r="B101" i="3" s="1"/>
  <c r="AD20" i="21"/>
  <c r="B108" i="3" s="1"/>
  <c r="AD21" i="21"/>
  <c r="B115" i="3" s="1"/>
  <c r="AD22" i="21"/>
  <c r="B122" i="3" s="1"/>
  <c r="AD23" i="21"/>
  <c r="B129" i="3" s="1"/>
  <c r="AD24" i="21"/>
  <c r="B136" i="3" s="1"/>
  <c r="AD25" i="21"/>
  <c r="B143" i="3" s="1"/>
  <c r="AD26" i="21"/>
  <c r="B150" i="3" s="1"/>
  <c r="AD27" i="21"/>
  <c r="B157" i="3" s="1"/>
  <c r="AD28" i="21"/>
  <c r="B164" i="3" s="1"/>
  <c r="AD29" i="21"/>
  <c r="B171" i="3" s="1"/>
  <c r="AD30" i="21"/>
  <c r="AD31" i="21"/>
  <c r="AD32" i="21"/>
  <c r="AD33" i="21"/>
  <c r="AD34" i="21"/>
  <c r="AD35" i="21"/>
  <c r="AD36" i="21"/>
  <c r="AD37" i="21"/>
  <c r="AD38" i="21"/>
  <c r="AD39" i="21"/>
  <c r="AD40" i="21"/>
  <c r="AD41" i="21"/>
  <c r="AD42" i="21"/>
  <c r="AD43" i="21"/>
  <c r="AD44" i="21"/>
  <c r="AD45" i="21"/>
  <c r="AD46" i="21"/>
  <c r="AD47" i="21"/>
  <c r="AD48" i="21"/>
  <c r="AD49" i="21"/>
  <c r="AD50" i="21"/>
  <c r="AD51" i="21"/>
  <c r="AD52" i="21"/>
  <c r="AD53" i="21"/>
  <c r="AD54" i="21"/>
  <c r="AD55" i="21"/>
  <c r="AD56" i="21"/>
  <c r="AD57" i="21"/>
  <c r="AD58" i="21"/>
  <c r="AD59" i="21"/>
  <c r="AD60" i="21"/>
  <c r="AD61" i="21"/>
  <c r="AD62" i="21"/>
  <c r="AD63" i="21"/>
  <c r="AD64" i="21"/>
  <c r="AD65" i="21"/>
  <c r="AD66" i="21"/>
  <c r="AD67" i="21"/>
  <c r="AD68" i="21"/>
  <c r="AD69" i="21"/>
  <c r="AD70" i="21"/>
  <c r="AD71" i="21"/>
  <c r="AD72" i="21"/>
  <c r="AD73" i="21"/>
  <c r="AD74" i="21"/>
  <c r="AD75" i="21"/>
  <c r="AD76" i="21"/>
  <c r="AD77" i="21"/>
  <c r="AD78" i="21"/>
  <c r="AD79" i="21"/>
  <c r="AD80" i="21"/>
  <c r="AD81" i="21"/>
  <c r="AD82" i="21"/>
  <c r="AD83" i="21"/>
  <c r="AD84" i="21"/>
  <c r="AD85" i="21"/>
  <c r="AD86" i="21"/>
  <c r="AD87" i="21"/>
  <c r="AD88" i="21"/>
  <c r="AD89" i="21"/>
  <c r="AD90" i="21"/>
  <c r="AD91" i="21"/>
  <c r="AD92" i="21"/>
  <c r="AD93" i="21"/>
  <c r="AD94" i="21"/>
  <c r="AD95" i="21"/>
  <c r="AD96" i="21"/>
  <c r="AD97" i="21"/>
  <c r="AD98" i="21"/>
  <c r="AD99" i="21"/>
  <c r="AD100" i="21"/>
  <c r="AD101" i="21"/>
  <c r="AD102" i="21"/>
  <c r="AD103" i="21"/>
  <c r="AD104" i="21"/>
  <c r="AD105" i="21"/>
  <c r="AD106" i="21"/>
  <c r="AD107" i="21"/>
  <c r="AD108" i="21"/>
  <c r="AD109" i="21"/>
  <c r="AD110" i="21"/>
  <c r="AD111" i="21"/>
  <c r="AD112" i="21"/>
  <c r="AD113" i="21"/>
  <c r="AD114" i="21"/>
  <c r="AD115" i="21"/>
  <c r="AD116" i="21"/>
  <c r="AD117" i="21"/>
  <c r="AD118" i="21"/>
  <c r="AD119" i="21"/>
  <c r="AD120" i="21"/>
  <c r="AD121" i="21"/>
  <c r="AD122" i="21"/>
  <c r="AD123" i="21"/>
  <c r="AD124" i="21"/>
  <c r="AD125" i="21"/>
  <c r="AD126" i="21"/>
  <c r="AD127" i="21"/>
  <c r="AD128" i="21"/>
  <c r="AD129" i="21"/>
  <c r="AD130" i="21"/>
  <c r="AD131" i="21"/>
  <c r="AD132" i="21"/>
  <c r="AD133" i="21"/>
  <c r="AD134" i="21"/>
  <c r="AD135" i="21"/>
  <c r="AD136" i="21"/>
  <c r="AD137" i="21"/>
  <c r="AD138" i="21"/>
  <c r="AD139" i="21"/>
  <c r="AD140" i="21"/>
  <c r="AD141" i="21"/>
  <c r="AD142" i="21"/>
  <c r="AD143" i="21"/>
  <c r="AD144" i="21"/>
  <c r="AD145" i="21"/>
  <c r="AD146" i="21"/>
  <c r="AD147" i="21"/>
  <c r="AD148" i="21"/>
  <c r="AD149" i="21"/>
  <c r="AD150" i="21"/>
  <c r="AD151" i="21"/>
  <c r="AD152" i="21"/>
  <c r="AD153" i="21"/>
  <c r="AD154" i="21"/>
  <c r="AD155" i="21"/>
  <c r="AD156" i="21"/>
  <c r="AD157" i="21"/>
  <c r="AD158" i="21"/>
  <c r="AD159" i="21"/>
  <c r="AD160" i="21"/>
  <c r="AD161" i="21"/>
  <c r="AD162" i="21"/>
  <c r="AD163" i="21"/>
  <c r="AD164" i="21"/>
  <c r="AD165" i="21"/>
  <c r="AD166" i="21"/>
  <c r="AD167" i="21"/>
  <c r="AD168" i="21"/>
  <c r="AD169" i="21"/>
  <c r="AD170" i="21"/>
  <c r="AD171" i="21"/>
  <c r="AD172" i="21"/>
  <c r="AD173" i="21"/>
  <c r="AD174" i="21"/>
  <c r="AD175" i="21"/>
  <c r="AD176" i="21"/>
  <c r="AD177" i="21"/>
  <c r="AD178" i="21"/>
  <c r="AD179" i="21"/>
  <c r="AD180" i="21"/>
  <c r="AD181" i="21"/>
  <c r="AD182" i="21"/>
  <c r="AD183" i="21"/>
  <c r="AD184" i="21"/>
  <c r="AD185" i="21"/>
  <c r="AD186" i="21"/>
  <c r="AD187" i="21"/>
  <c r="AD188" i="21"/>
  <c r="AD189" i="21"/>
  <c r="AD190" i="21"/>
  <c r="AD191" i="21"/>
  <c r="AD192" i="21"/>
  <c r="AD193" i="21"/>
  <c r="AD194" i="21"/>
  <c r="AD195" i="21"/>
  <c r="AD196" i="21"/>
  <c r="AD197" i="21"/>
  <c r="AD198" i="21"/>
  <c r="AD199" i="21"/>
  <c r="AD200" i="21"/>
  <c r="AD201" i="21"/>
  <c r="AD202" i="21"/>
  <c r="AD203" i="21"/>
  <c r="AD204" i="21"/>
  <c r="AD205" i="21"/>
  <c r="AD206" i="21"/>
  <c r="AD207" i="21"/>
  <c r="AD208" i="21"/>
  <c r="AD209" i="21"/>
  <c r="AD210" i="21"/>
  <c r="AD211" i="21"/>
  <c r="AD212" i="21"/>
  <c r="AD213" i="21"/>
  <c r="AD214" i="21"/>
  <c r="AD215" i="21"/>
  <c r="AD216" i="21"/>
  <c r="AD217" i="21"/>
  <c r="AD218" i="21"/>
  <c r="AD219" i="21"/>
  <c r="AD220" i="21"/>
  <c r="AD221" i="21"/>
  <c r="AD222" i="21"/>
  <c r="AD223" i="21"/>
  <c r="AD224" i="21"/>
  <c r="AD225" i="21"/>
  <c r="AD226" i="21"/>
  <c r="AD227" i="21"/>
  <c r="AD228" i="21"/>
  <c r="D278" i="2" l="1"/>
  <c r="D267" i="2"/>
  <c r="A5" i="10"/>
  <c r="B5" i="10" l="1"/>
  <c r="A7" i="17"/>
  <c r="B7" i="17" s="1"/>
  <c r="A8" i="17"/>
  <c r="A9" i="17"/>
  <c r="A10" i="17"/>
  <c r="A11" i="17"/>
  <c r="A13" i="17"/>
  <c r="A14" i="17"/>
  <c r="A15" i="17"/>
  <c r="A16" i="17"/>
  <c r="A17" i="17"/>
  <c r="A18" i="17"/>
  <c r="A19" i="17"/>
  <c r="C22" i="21"/>
  <c r="A30" i="17"/>
  <c r="A31" i="17"/>
  <c r="A33" i="17"/>
  <c r="B33" i="17" s="1"/>
  <c r="C29" i="21" s="1"/>
  <c r="A34" i="17"/>
  <c r="B34" i="17" s="1"/>
  <c r="C30" i="21" s="1"/>
  <c r="A35" i="17"/>
  <c r="B35" i="17" s="1"/>
  <c r="C31" i="21" s="1"/>
  <c r="A36" i="17"/>
  <c r="B36" i="17" s="1"/>
  <c r="C32" i="21" s="1"/>
  <c r="A37" i="17"/>
  <c r="A38" i="17"/>
  <c r="A39" i="17"/>
  <c r="A40" i="17"/>
  <c r="A41" i="17"/>
  <c r="A43" i="17"/>
  <c r="A44" i="17"/>
  <c r="A45" i="17"/>
  <c r="A46" i="17"/>
  <c r="A47" i="17"/>
  <c r="A48" i="17"/>
  <c r="A49" i="17"/>
  <c r="A50" i="17"/>
  <c r="A51" i="17"/>
  <c r="A53" i="17"/>
  <c r="A54" i="17"/>
  <c r="A55" i="17"/>
  <c r="B55" i="17" s="1"/>
  <c r="C51" i="21" s="1"/>
  <c r="A56" i="17"/>
  <c r="A57" i="17"/>
  <c r="A58" i="17"/>
  <c r="A59" i="17"/>
  <c r="A60" i="17"/>
  <c r="A61" i="17"/>
  <c r="C58" i="21"/>
  <c r="A63" i="17"/>
  <c r="B63" i="17" s="1"/>
  <c r="C59" i="21" s="1"/>
  <c r="A64" i="17"/>
  <c r="A65" i="17"/>
  <c r="A66" i="17"/>
  <c r="A67" i="17"/>
  <c r="A68" i="17"/>
  <c r="A69" i="17"/>
  <c r="A70" i="17"/>
  <c r="A71" i="17"/>
  <c r="A73" i="17"/>
  <c r="A74" i="17"/>
  <c r="A75" i="17"/>
  <c r="A76" i="17"/>
  <c r="A77" i="17"/>
  <c r="A78" i="17"/>
  <c r="A79" i="17"/>
  <c r="A80" i="17"/>
  <c r="A81" i="17"/>
  <c r="A83" i="17"/>
  <c r="A84" i="17"/>
  <c r="B84" i="17" s="1"/>
  <c r="C80" i="21" s="1"/>
  <c r="A85" i="17"/>
  <c r="A86" i="17"/>
  <c r="A87" i="17"/>
  <c r="A88" i="17"/>
  <c r="A89" i="17"/>
  <c r="A90" i="17"/>
  <c r="A91" i="17"/>
  <c r="B91" i="17" s="1"/>
  <c r="C87" i="21" s="1"/>
  <c r="C88" i="21"/>
  <c r="A93" i="17"/>
  <c r="B93" i="17" s="1"/>
  <c r="C89" i="21" s="1"/>
  <c r="A94" i="17"/>
  <c r="B94" i="17" s="1"/>
  <c r="C90" i="21" s="1"/>
  <c r="A95" i="17"/>
  <c r="B95" i="17" s="1"/>
  <c r="C91" i="21" s="1"/>
  <c r="A96" i="17"/>
  <c r="B96" i="17" s="1"/>
  <c r="C92" i="21" s="1"/>
  <c r="A97" i="17"/>
  <c r="B97" i="17" s="1"/>
  <c r="C93" i="21" s="1"/>
  <c r="A98" i="17"/>
  <c r="B98" i="17" s="1"/>
  <c r="C94" i="21" s="1"/>
  <c r="A99" i="17"/>
  <c r="B99" i="17" s="1"/>
  <c r="C95" i="21" s="1"/>
  <c r="A100" i="17"/>
  <c r="B100" i="17" s="1"/>
  <c r="C96" i="21" s="1"/>
  <c r="A101" i="17"/>
  <c r="B101" i="17" s="1"/>
  <c r="C97" i="21" s="1"/>
  <c r="C98" i="21"/>
  <c r="A103" i="17"/>
  <c r="B103" i="17" s="1"/>
  <c r="C99" i="21" s="1"/>
  <c r="A104" i="17"/>
  <c r="B104" i="17" s="1"/>
  <c r="C100" i="21" s="1"/>
  <c r="A105" i="17"/>
  <c r="B105" i="17" s="1"/>
  <c r="C101" i="21" s="1"/>
  <c r="A106" i="17"/>
  <c r="B106" i="17" s="1"/>
  <c r="C102" i="21" s="1"/>
  <c r="A107" i="17"/>
  <c r="B107" i="17" s="1"/>
  <c r="C103" i="21" s="1"/>
  <c r="A108" i="17"/>
  <c r="B108" i="17" s="1"/>
  <c r="C104" i="21" s="1"/>
  <c r="A109" i="17"/>
  <c r="B109" i="17" s="1"/>
  <c r="C105" i="21" s="1"/>
  <c r="A110" i="17"/>
  <c r="B110" i="17" s="1"/>
  <c r="C106" i="21" s="1"/>
  <c r="A111" i="17"/>
  <c r="B111" i="17" s="1"/>
  <c r="C107" i="21" s="1"/>
  <c r="C108" i="21"/>
  <c r="A113" i="17"/>
  <c r="B113" i="17" s="1"/>
  <c r="C109" i="21" s="1"/>
  <c r="A114" i="17"/>
  <c r="B114" i="17" s="1"/>
  <c r="C110" i="21" s="1"/>
  <c r="A115" i="17"/>
  <c r="B115" i="17" s="1"/>
  <c r="C111" i="21" s="1"/>
  <c r="A116" i="17"/>
  <c r="B116" i="17" s="1"/>
  <c r="C112" i="21" s="1"/>
  <c r="A117" i="17"/>
  <c r="B117" i="17" s="1"/>
  <c r="C113" i="21" s="1"/>
  <c r="A118" i="17"/>
  <c r="B118" i="17" s="1"/>
  <c r="C114" i="21" s="1"/>
  <c r="A119" i="17"/>
  <c r="B119" i="17" s="1"/>
  <c r="C115" i="21" s="1"/>
  <c r="C116" i="21"/>
  <c r="C117" i="21"/>
  <c r="C118" i="21"/>
  <c r="C119" i="21"/>
  <c r="C120" i="21"/>
  <c r="C121" i="21"/>
  <c r="C122" i="21"/>
  <c r="C123" i="21"/>
  <c r="C124" i="21"/>
  <c r="C125" i="21"/>
  <c r="A130" i="17"/>
  <c r="B130" i="17" s="1"/>
  <c r="C126" i="21" s="1"/>
  <c r="A131" i="17"/>
  <c r="B131" i="17" s="1"/>
  <c r="C127" i="21" s="1"/>
  <c r="C128" i="21"/>
  <c r="A133" i="17"/>
  <c r="B133" i="17" s="1"/>
  <c r="C129" i="21" s="1"/>
  <c r="A134" i="17"/>
  <c r="B134" i="17" s="1"/>
  <c r="C130" i="21" s="1"/>
  <c r="A135" i="17"/>
  <c r="B135" i="17" s="1"/>
  <c r="C131" i="21" s="1"/>
  <c r="A136" i="17"/>
  <c r="B136" i="17" s="1"/>
  <c r="C132" i="21" s="1"/>
  <c r="A137" i="17"/>
  <c r="B137" i="17" s="1"/>
  <c r="C133" i="21" s="1"/>
  <c r="A138" i="17"/>
  <c r="B138" i="17" s="1"/>
  <c r="C134" i="21" s="1"/>
  <c r="A139" i="17"/>
  <c r="B139" i="17" s="1"/>
  <c r="C135" i="21" s="1"/>
  <c r="A140" i="17"/>
  <c r="B140" i="17" s="1"/>
  <c r="C136" i="21" s="1"/>
  <c r="A141" i="17"/>
  <c r="B141" i="17" s="1"/>
  <c r="C137" i="21" s="1"/>
  <c r="C138" i="21"/>
  <c r="A143" i="17"/>
  <c r="B143" i="17" s="1"/>
  <c r="C139" i="21" s="1"/>
  <c r="A144" i="17"/>
  <c r="B144" i="17" s="1"/>
  <c r="C140" i="21" s="1"/>
  <c r="A145" i="17"/>
  <c r="B145" i="17" s="1"/>
  <c r="C141" i="21" s="1"/>
  <c r="A146" i="17"/>
  <c r="B146" i="17" s="1"/>
  <c r="C142" i="21" s="1"/>
  <c r="A147" i="17"/>
  <c r="B147" i="17" s="1"/>
  <c r="C143" i="21" s="1"/>
  <c r="A148" i="17"/>
  <c r="B148" i="17" s="1"/>
  <c r="C144" i="21" s="1"/>
  <c r="A149" i="17"/>
  <c r="B149" i="17" s="1"/>
  <c r="C145" i="21" s="1"/>
  <c r="A150" i="17"/>
  <c r="B150" i="17" s="1"/>
  <c r="C146" i="21" s="1"/>
  <c r="A151" i="17"/>
  <c r="B151" i="17" s="1"/>
  <c r="C147" i="21" s="1"/>
  <c r="C148" i="21"/>
  <c r="A153" i="17"/>
  <c r="B153" i="17" s="1"/>
  <c r="C149" i="21" s="1"/>
  <c r="A154" i="17"/>
  <c r="B154" i="17" s="1"/>
  <c r="C150" i="21" s="1"/>
  <c r="A155" i="17"/>
  <c r="B155" i="17" s="1"/>
  <c r="C151" i="21" s="1"/>
  <c r="A156" i="17"/>
  <c r="B156" i="17" s="1"/>
  <c r="C152" i="21" s="1"/>
  <c r="A157" i="17"/>
  <c r="B157" i="17" s="1"/>
  <c r="C153" i="21" s="1"/>
  <c r="A158" i="17"/>
  <c r="B158" i="17" s="1"/>
  <c r="C154" i="21" s="1"/>
  <c r="A159" i="17"/>
  <c r="B159" i="17" s="1"/>
  <c r="C155" i="21" s="1"/>
  <c r="A160" i="17"/>
  <c r="B160" i="17" s="1"/>
  <c r="C156" i="21" s="1"/>
  <c r="A161" i="17"/>
  <c r="B161" i="17" s="1"/>
  <c r="C157" i="21" s="1"/>
  <c r="C158" i="21"/>
  <c r="A163" i="17"/>
  <c r="B163" i="17" s="1"/>
  <c r="C159" i="21" s="1"/>
  <c r="A164" i="17"/>
  <c r="B164" i="17" s="1"/>
  <c r="C160" i="21" s="1"/>
  <c r="A165" i="17"/>
  <c r="B165" i="17" s="1"/>
  <c r="C161" i="21" s="1"/>
  <c r="A166" i="17"/>
  <c r="B166" i="17" s="1"/>
  <c r="C162" i="21" s="1"/>
  <c r="A167" i="17"/>
  <c r="B167" i="17" s="1"/>
  <c r="C163" i="21" s="1"/>
  <c r="A168" i="17"/>
  <c r="B168" i="17" s="1"/>
  <c r="C164" i="21" s="1"/>
  <c r="A169" i="17"/>
  <c r="B169" i="17" s="1"/>
  <c r="C165" i="21" s="1"/>
  <c r="A170" i="17"/>
  <c r="B170" i="17" s="1"/>
  <c r="C166" i="21" s="1"/>
  <c r="A171" i="17"/>
  <c r="B171" i="17" s="1"/>
  <c r="C167" i="21" s="1"/>
  <c r="C168" i="21"/>
  <c r="A173" i="17"/>
  <c r="B173" i="17" s="1"/>
  <c r="C169" i="21" s="1"/>
  <c r="A174" i="17"/>
  <c r="B174" i="17" s="1"/>
  <c r="C170" i="21" s="1"/>
  <c r="A175" i="17"/>
  <c r="B175" i="17" s="1"/>
  <c r="C171" i="21" s="1"/>
  <c r="B9" i="17" l="1"/>
  <c r="C5" i="21" s="1"/>
  <c r="B13" i="17"/>
  <c r="C9" i="21" s="1"/>
  <c r="B14" i="17"/>
  <c r="C10" i="21" s="1"/>
  <c r="B15" i="17"/>
  <c r="C11" i="21" s="1"/>
  <c r="B90" i="17"/>
  <c r="C86" i="21" s="1"/>
  <c r="B89" i="17"/>
  <c r="C85" i="21" s="1"/>
  <c r="B88" i="17"/>
  <c r="C84" i="21" s="1"/>
  <c r="B87" i="17"/>
  <c r="C83" i="21" s="1"/>
  <c r="B86" i="17"/>
  <c r="C82" i="21" s="1"/>
  <c r="B85" i="17"/>
  <c r="C81" i="21" s="1"/>
  <c r="B61" i="17"/>
  <c r="C57" i="21" s="1"/>
  <c r="B60" i="17"/>
  <c r="C56" i="21" s="1"/>
  <c r="B59" i="17"/>
  <c r="C55" i="21" s="1"/>
  <c r="B58" i="17"/>
  <c r="C54" i="21" s="1"/>
  <c r="B57" i="17"/>
  <c r="C53" i="21" s="1"/>
  <c r="B56" i="17"/>
  <c r="C52" i="21" s="1"/>
  <c r="C28" i="21"/>
  <c r="B31" i="17"/>
  <c r="C27" i="21" s="1"/>
  <c r="B30" i="17"/>
  <c r="C26" i="21" s="1"/>
  <c r="C25" i="21"/>
  <c r="C24" i="21"/>
  <c r="C23" i="21"/>
  <c r="A228" i="21"/>
  <c r="H228" i="21" l="1"/>
  <c r="F228" i="21"/>
  <c r="B64" i="17"/>
  <c r="C60" i="21" s="1"/>
  <c r="B65" i="17"/>
  <c r="C61" i="21" s="1"/>
  <c r="B66" i="17"/>
  <c r="C62" i="21" s="1"/>
  <c r="B67" i="17"/>
  <c r="C63" i="21" s="1"/>
  <c r="B68" i="17"/>
  <c r="C64" i="21" s="1"/>
  <c r="B69" i="17"/>
  <c r="C65" i="21" s="1"/>
  <c r="B70" i="17"/>
  <c r="C66" i="21" s="1"/>
  <c r="B71" i="17"/>
  <c r="C67" i="21" s="1"/>
  <c r="B37" i="17"/>
  <c r="C33" i="21" s="1"/>
  <c r="B38" i="17"/>
  <c r="C34" i="21" s="1"/>
  <c r="B39" i="17"/>
  <c r="C35" i="21" s="1"/>
  <c r="B40" i="17"/>
  <c r="C36" i="21" s="1"/>
  <c r="B41" i="17"/>
  <c r="C37" i="21" s="1"/>
  <c r="C38" i="21"/>
  <c r="C3" i="21"/>
  <c r="B8" i="17"/>
  <c r="C4" i="21" s="1"/>
  <c r="B10" i="17"/>
  <c r="C6" i="21" s="1"/>
  <c r="U7" i="21" s="1"/>
  <c r="B11" i="17"/>
  <c r="C7" i="21" s="1"/>
  <c r="Q4" i="15"/>
  <c r="R4" i="15" s="1"/>
  <c r="Q5" i="15"/>
  <c r="R5" i="15" s="1"/>
  <c r="Q6" i="15"/>
  <c r="R6" i="15" s="1"/>
  <c r="Q7" i="15"/>
  <c r="R7" i="15" s="1"/>
  <c r="Q8" i="15"/>
  <c r="R8" i="15" s="1"/>
  <c r="B3" i="11" s="1"/>
  <c r="Q9" i="15"/>
  <c r="R9" i="15" s="1"/>
  <c r="Q10" i="15"/>
  <c r="R10" i="15" s="1"/>
  <c r="Q11" i="15"/>
  <c r="R11" i="15" s="1"/>
  <c r="Q12" i="15"/>
  <c r="R12" i="15" s="1"/>
  <c r="Q13" i="15"/>
  <c r="R13" i="15" s="1"/>
  <c r="Q14" i="15"/>
  <c r="R14" i="15" s="1"/>
  <c r="Q15" i="15"/>
  <c r="R15" i="15" s="1"/>
  <c r="B5" i="11" s="1"/>
  <c r="Q16" i="15"/>
  <c r="R16" i="15" s="1"/>
  <c r="Q17" i="15"/>
  <c r="R17" i="15" s="1"/>
  <c r="Q18" i="15"/>
  <c r="R18" i="15" s="1"/>
  <c r="Q19" i="15"/>
  <c r="R19" i="15" s="1"/>
  <c r="Q20" i="15"/>
  <c r="R20" i="15" s="1"/>
  <c r="Q21" i="15"/>
  <c r="R21" i="15" s="1"/>
  <c r="Q22" i="15"/>
  <c r="R22" i="15" s="1"/>
  <c r="Q23" i="15"/>
  <c r="R23" i="15" s="1"/>
  <c r="Q24" i="15"/>
  <c r="R24" i="15" s="1"/>
  <c r="Q25" i="15"/>
  <c r="R25" i="15" s="1"/>
  <c r="Q26" i="15"/>
  <c r="R26" i="15" s="1"/>
  <c r="Q27" i="15"/>
  <c r="R27" i="15" s="1"/>
  <c r="Q28" i="15"/>
  <c r="R28" i="15" s="1"/>
  <c r="Q29" i="15"/>
  <c r="R29" i="15" s="1"/>
  <c r="Q30" i="15"/>
  <c r="R30" i="15" s="1"/>
  <c r="Q31" i="15"/>
  <c r="R31" i="15" s="1"/>
  <c r="Q32" i="15"/>
  <c r="R32" i="15" s="1"/>
  <c r="Q33" i="15"/>
  <c r="R33" i="15" s="1"/>
  <c r="Q34" i="15"/>
  <c r="R34" i="15" s="1"/>
  <c r="Q35" i="15"/>
  <c r="R35" i="15" s="1"/>
  <c r="Q36" i="15"/>
  <c r="R36" i="15" s="1"/>
  <c r="Q37" i="15"/>
  <c r="R37" i="15" s="1"/>
  <c r="Q38" i="15"/>
  <c r="R38" i="15" s="1"/>
  <c r="Q39" i="15"/>
  <c r="R39" i="15" s="1"/>
  <c r="Q40" i="15"/>
  <c r="R40" i="15" s="1"/>
  <c r="Q41" i="15"/>
  <c r="R41" i="15" s="1"/>
  <c r="Q42" i="15"/>
  <c r="R42" i="15" s="1"/>
  <c r="Q43" i="15"/>
  <c r="R43" i="15" s="1"/>
  <c r="Q44" i="15"/>
  <c r="R44" i="15" s="1"/>
  <c r="Q45" i="15"/>
  <c r="R45" i="15" s="1"/>
  <c r="Q46" i="15"/>
  <c r="R46" i="15" s="1"/>
  <c r="Q47" i="15"/>
  <c r="R47" i="15" s="1"/>
  <c r="Q48" i="15"/>
  <c r="R48" i="15" s="1"/>
  <c r="Q49" i="15"/>
  <c r="R49" i="15" s="1"/>
  <c r="Q50" i="15"/>
  <c r="R50" i="15" s="1"/>
  <c r="Q51" i="15"/>
  <c r="R51" i="15" s="1"/>
  <c r="Q52" i="15"/>
  <c r="R52" i="15" s="1"/>
  <c r="Q53" i="15"/>
  <c r="R53" i="15" s="1"/>
  <c r="Q54" i="15"/>
  <c r="R54" i="15" s="1"/>
  <c r="Q55" i="15"/>
  <c r="R55" i="15" s="1"/>
  <c r="Q56" i="15"/>
  <c r="R56" i="15" s="1"/>
  <c r="Q57" i="15"/>
  <c r="R57" i="15" s="1"/>
  <c r="Q58" i="15"/>
  <c r="R58" i="15" s="1"/>
  <c r="Q59" i="15"/>
  <c r="R59" i="15" s="1"/>
  <c r="Q60" i="15"/>
  <c r="R60" i="15" s="1"/>
  <c r="Q61" i="15"/>
  <c r="R61" i="15" s="1"/>
  <c r="Q62" i="15"/>
  <c r="R62" i="15" s="1"/>
  <c r="Q63" i="15"/>
  <c r="R63" i="15" s="1"/>
  <c r="Q64" i="15"/>
  <c r="R64" i="15" s="1"/>
  <c r="Q65" i="15"/>
  <c r="R65" i="15" s="1"/>
  <c r="Q66" i="15"/>
  <c r="R66" i="15" s="1"/>
  <c r="Q67" i="15"/>
  <c r="R67" i="15" s="1"/>
  <c r="Q68" i="15"/>
  <c r="R68" i="15" s="1"/>
  <c r="Q69" i="15"/>
  <c r="R69" i="15" s="1"/>
  <c r="Q70" i="15"/>
  <c r="R70" i="15" s="1"/>
  <c r="Q71" i="15"/>
  <c r="R71" i="15" s="1"/>
  <c r="Q72" i="15"/>
  <c r="R72" i="15" s="1"/>
  <c r="Q73" i="15"/>
  <c r="R73" i="15" s="1"/>
  <c r="Q74" i="15"/>
  <c r="R74" i="15" s="1"/>
  <c r="Q75" i="15"/>
  <c r="R75" i="15" s="1"/>
  <c r="Q76" i="15"/>
  <c r="R76" i="15" s="1"/>
  <c r="Q77" i="15"/>
  <c r="R77" i="15" s="1"/>
  <c r="Q78" i="15"/>
  <c r="R78" i="15" s="1"/>
  <c r="Q79" i="15"/>
  <c r="R79" i="15" s="1"/>
  <c r="Q80" i="15"/>
  <c r="R80" i="15" s="1"/>
  <c r="Q81" i="15"/>
  <c r="R81" i="15" s="1"/>
  <c r="Q82" i="15"/>
  <c r="R82" i="15" s="1"/>
  <c r="Q83" i="15"/>
  <c r="R83" i="15" s="1"/>
  <c r="Q84" i="15"/>
  <c r="R84" i="15" s="1"/>
  <c r="Q85" i="15"/>
  <c r="R85" i="15" s="1"/>
  <c r="Q86" i="15"/>
  <c r="R86" i="15" s="1"/>
  <c r="Q87" i="15"/>
  <c r="R87" i="15" s="1"/>
  <c r="Q88" i="15"/>
  <c r="R88" i="15" s="1"/>
  <c r="Q89" i="15"/>
  <c r="R89" i="15" s="1"/>
  <c r="Q90" i="15"/>
  <c r="R90" i="15" s="1"/>
  <c r="Q91" i="15"/>
  <c r="R91" i="15" s="1"/>
  <c r="Q92" i="15"/>
  <c r="R92" i="15" s="1"/>
  <c r="Q93" i="15"/>
  <c r="R93" i="15" s="1"/>
  <c r="Q94" i="15"/>
  <c r="R94" i="15" s="1"/>
  <c r="Q95" i="15"/>
  <c r="R95" i="15" s="1"/>
  <c r="Q96" i="15"/>
  <c r="R96" i="15" s="1"/>
  <c r="Q97" i="15"/>
  <c r="R97" i="15" s="1"/>
  <c r="Q98" i="15"/>
  <c r="R98" i="15" s="1"/>
  <c r="Q99" i="15"/>
  <c r="R99" i="15" s="1"/>
  <c r="Q100" i="15"/>
  <c r="R100" i="15" s="1"/>
  <c r="Q101" i="15"/>
  <c r="R101" i="15" s="1"/>
  <c r="Q102" i="15"/>
  <c r="R102" i="15" s="1"/>
  <c r="Q103" i="15"/>
  <c r="R103" i="15" s="1"/>
  <c r="Q104" i="15"/>
  <c r="R104" i="15" s="1"/>
  <c r="Q105" i="15"/>
  <c r="R105" i="15" s="1"/>
  <c r="Q106" i="15"/>
  <c r="R106" i="15" s="1"/>
  <c r="Q107" i="15"/>
  <c r="R107" i="15" s="1"/>
  <c r="Q108" i="15"/>
  <c r="R108" i="15" s="1"/>
  <c r="Q109" i="15"/>
  <c r="R109" i="15" s="1"/>
  <c r="Q110" i="15"/>
  <c r="R110" i="15" s="1"/>
  <c r="B9" i="11" s="1"/>
  <c r="Q111" i="15"/>
  <c r="R111" i="15" s="1"/>
  <c r="Q112" i="15"/>
  <c r="R112" i="15" s="1"/>
  <c r="Q113" i="15"/>
  <c r="R113" i="15" s="1"/>
  <c r="Q114" i="15"/>
  <c r="R114" i="15" s="1"/>
  <c r="Q115" i="15"/>
  <c r="R115" i="15" s="1"/>
  <c r="Q116" i="15"/>
  <c r="R116" i="15" s="1"/>
  <c r="Q117" i="15"/>
  <c r="R117" i="15" s="1"/>
  <c r="Q118" i="15"/>
  <c r="R118" i="15" s="1"/>
  <c r="Q119" i="15"/>
  <c r="R119" i="15" s="1"/>
  <c r="Q120" i="15"/>
  <c r="R120" i="15" s="1"/>
  <c r="Q121" i="15"/>
  <c r="R121" i="15" s="1"/>
  <c r="Q122" i="15"/>
  <c r="R122" i="15" s="1"/>
  <c r="Q123" i="15"/>
  <c r="R123" i="15" s="1"/>
  <c r="Q124" i="15"/>
  <c r="R124" i="15" s="1"/>
  <c r="Q125" i="15"/>
  <c r="R125" i="15" s="1"/>
  <c r="Q126" i="15"/>
  <c r="R126" i="15" s="1"/>
  <c r="Q127" i="15"/>
  <c r="R127" i="15" s="1"/>
  <c r="Q128" i="15"/>
  <c r="R128" i="15" s="1"/>
  <c r="Q129" i="15"/>
  <c r="R129" i="15" s="1"/>
  <c r="Q130" i="15"/>
  <c r="R130" i="15" s="1"/>
  <c r="Q131" i="15"/>
  <c r="R131" i="15" s="1"/>
  <c r="Q132" i="15"/>
  <c r="R132" i="15" s="1"/>
  <c r="Q133" i="15"/>
  <c r="R133" i="15" s="1"/>
  <c r="Q134" i="15"/>
  <c r="R134" i="15" s="1"/>
  <c r="Q135" i="15"/>
  <c r="R135" i="15" s="1"/>
  <c r="Q136" i="15"/>
  <c r="R136" i="15" s="1"/>
  <c r="Q137" i="15"/>
  <c r="R137" i="15" s="1"/>
  <c r="Q138" i="15"/>
  <c r="R138" i="15" s="1"/>
  <c r="Q139" i="15"/>
  <c r="R139" i="15" s="1"/>
  <c r="Q140" i="15"/>
  <c r="R140" i="15" s="1"/>
  <c r="Q141" i="15"/>
  <c r="R141" i="15" s="1"/>
  <c r="Q142" i="15"/>
  <c r="R142" i="15" s="1"/>
  <c r="Q143" i="15"/>
  <c r="R143" i="15" s="1"/>
  <c r="Q144" i="15"/>
  <c r="R144" i="15" s="1"/>
  <c r="Q145" i="15"/>
  <c r="R145" i="15" s="1"/>
  <c r="Q146" i="15"/>
  <c r="R146" i="15" s="1"/>
  <c r="Q147" i="15"/>
  <c r="R147" i="15" s="1"/>
  <c r="Q148" i="15"/>
  <c r="R148" i="15" s="1"/>
  <c r="Q149" i="15"/>
  <c r="R149" i="15" s="1"/>
  <c r="Q150" i="15"/>
  <c r="R150" i="15" s="1"/>
  <c r="Q151" i="15"/>
  <c r="R151" i="15" s="1"/>
  <c r="Q152" i="15"/>
  <c r="R152" i="15" s="1"/>
  <c r="Q153" i="15"/>
  <c r="R153" i="15" s="1"/>
  <c r="Q154" i="15"/>
  <c r="R154" i="15" s="1"/>
  <c r="Q155" i="15"/>
  <c r="R155" i="15" s="1"/>
  <c r="Q156" i="15"/>
  <c r="R156" i="15" s="1"/>
  <c r="Q157" i="15"/>
  <c r="R157" i="15" s="1"/>
  <c r="Q158" i="15"/>
  <c r="R158" i="15" s="1"/>
  <c r="Q159" i="15"/>
  <c r="R159" i="15" s="1"/>
  <c r="Q160" i="15"/>
  <c r="R160" i="15" s="1"/>
  <c r="Q161" i="15"/>
  <c r="R161" i="15" s="1"/>
  <c r="Q162" i="15"/>
  <c r="R162" i="15" s="1"/>
  <c r="Q163" i="15"/>
  <c r="R163" i="15" s="1"/>
  <c r="Q164" i="15"/>
  <c r="R164" i="15" s="1"/>
  <c r="Q165" i="15"/>
  <c r="R165" i="15" s="1"/>
  <c r="Q166" i="15"/>
  <c r="R166" i="15" s="1"/>
  <c r="Q167" i="15"/>
  <c r="R167" i="15" s="1"/>
  <c r="Q168" i="15"/>
  <c r="R168" i="15" s="1"/>
  <c r="Q169" i="15"/>
  <c r="R169" i="15" s="1"/>
  <c r="Q170" i="15"/>
  <c r="R170" i="15" s="1"/>
  <c r="Q171" i="15"/>
  <c r="R171" i="15" s="1"/>
  <c r="Q172" i="15"/>
  <c r="R172" i="15" s="1"/>
  <c r="Q173" i="15"/>
  <c r="R173" i="15" s="1"/>
  <c r="Q174" i="15"/>
  <c r="R174" i="15" s="1"/>
  <c r="Q175" i="15"/>
  <c r="R175" i="15" s="1"/>
  <c r="Q176" i="15"/>
  <c r="R176" i="15" s="1"/>
  <c r="Q177" i="15"/>
  <c r="R177" i="15" s="1"/>
  <c r="Q178" i="15"/>
  <c r="R178" i="15" s="1"/>
  <c r="Q179" i="15"/>
  <c r="R179" i="15" s="1"/>
  <c r="Q180" i="15"/>
  <c r="R180" i="15" s="1"/>
  <c r="Q181" i="15"/>
  <c r="R181" i="15" s="1"/>
  <c r="Q182" i="15"/>
  <c r="R182" i="15" s="1"/>
  <c r="Q183" i="15"/>
  <c r="R183" i="15" s="1"/>
  <c r="Q184" i="15"/>
  <c r="R184" i="15" s="1"/>
  <c r="Q185" i="15"/>
  <c r="R185" i="15" s="1"/>
  <c r="Q186" i="15"/>
  <c r="R186" i="15" s="1"/>
  <c r="Q187" i="15"/>
  <c r="R187" i="15" s="1"/>
  <c r="Q188" i="15"/>
  <c r="R188" i="15" s="1"/>
  <c r="Q189" i="15"/>
  <c r="R189" i="15" s="1"/>
  <c r="Q190" i="15"/>
  <c r="R190" i="15" s="1"/>
  <c r="Q191" i="15"/>
  <c r="R191" i="15" s="1"/>
  <c r="Q192" i="15"/>
  <c r="R192" i="15" s="1"/>
  <c r="Q193" i="15"/>
  <c r="R193" i="15" s="1"/>
  <c r="Q194" i="15"/>
  <c r="R194" i="15" s="1"/>
  <c r="Q195" i="15"/>
  <c r="R195" i="15" s="1"/>
  <c r="Q196" i="15"/>
  <c r="R196" i="15" s="1"/>
  <c r="Q197" i="15"/>
  <c r="R197" i="15" s="1"/>
  <c r="Q198" i="15"/>
  <c r="R198" i="15" s="1"/>
  <c r="Q199" i="15"/>
  <c r="R199" i="15" s="1"/>
  <c r="Q200" i="15"/>
  <c r="R200" i="15" s="1"/>
  <c r="Q201" i="15"/>
  <c r="R201" i="15" s="1"/>
  <c r="Q202" i="15"/>
  <c r="R202" i="15" s="1"/>
  <c r="Q203" i="15"/>
  <c r="R203" i="15" s="1"/>
  <c r="Q204" i="15"/>
  <c r="R204" i="15" s="1"/>
  <c r="Q205" i="15"/>
  <c r="R205" i="15" s="1"/>
  <c r="Q206" i="15"/>
  <c r="R206" i="15" s="1"/>
  <c r="Q207" i="15"/>
  <c r="R207" i="15" s="1"/>
  <c r="Q208" i="15"/>
  <c r="R208" i="15" s="1"/>
  <c r="Q209" i="15"/>
  <c r="R209" i="15" s="1"/>
  <c r="Q210" i="15"/>
  <c r="R210" i="15" s="1"/>
  <c r="Q211" i="15"/>
  <c r="R211" i="15" s="1"/>
  <c r="Q212" i="15"/>
  <c r="R212" i="15" s="1"/>
  <c r="Q213" i="15"/>
  <c r="R213" i="15" s="1"/>
  <c r="Q214" i="15"/>
  <c r="R214" i="15" s="1"/>
  <c r="Q215" i="15"/>
  <c r="R215" i="15" s="1"/>
  <c r="Q216" i="15"/>
  <c r="R216" i="15" s="1"/>
  <c r="Q217" i="15"/>
  <c r="R217" i="15" s="1"/>
  <c r="Q218" i="15"/>
  <c r="R218" i="15" s="1"/>
  <c r="Q219" i="15"/>
  <c r="R219" i="15" s="1"/>
  <c r="Q220" i="15"/>
  <c r="R220" i="15" s="1"/>
  <c r="Q221" i="15"/>
  <c r="R221" i="15" s="1"/>
  <c r="Q222" i="15"/>
  <c r="R222" i="15" s="1"/>
  <c r="Q223" i="15"/>
  <c r="R223" i="15" s="1"/>
  <c r="Q224" i="15"/>
  <c r="R224" i="15" s="1"/>
  <c r="Q225" i="15"/>
  <c r="R225" i="15" s="1"/>
  <c r="Q226" i="15"/>
  <c r="R226" i="15" s="1"/>
  <c r="Q227" i="15"/>
  <c r="R227" i="15" s="1"/>
  <c r="Q228" i="15"/>
  <c r="R228" i="15" s="1"/>
  <c r="Q229" i="15"/>
  <c r="R229" i="15" s="1"/>
  <c r="Q230" i="15"/>
  <c r="R230" i="15" s="1"/>
  <c r="Q231" i="15"/>
  <c r="R231" i="15" s="1"/>
  <c r="Q232" i="15"/>
  <c r="R232" i="15" s="1"/>
  <c r="Q233" i="15"/>
  <c r="R233" i="15" s="1"/>
  <c r="C8" i="21"/>
  <c r="T6" i="21" s="1"/>
  <c r="B16" i="17"/>
  <c r="C12" i="21" s="1"/>
  <c r="U9" i="21" s="1"/>
  <c r="B17" i="17"/>
  <c r="C13" i="21" s="1"/>
  <c r="B18" i="17"/>
  <c r="C14" i="21" s="1"/>
  <c r="T7" i="21" l="1"/>
  <c r="U10" i="21"/>
  <c r="U8" i="21"/>
  <c r="U6" i="21"/>
  <c r="V6" i="21"/>
  <c r="C68" i="21" l="1"/>
  <c r="B73" i="17"/>
  <c r="C69" i="21" s="1"/>
  <c r="B74" i="17"/>
  <c r="C70" i="21" s="1"/>
  <c r="B75" i="17"/>
  <c r="C71" i="21" s="1"/>
  <c r="B76" i="17"/>
  <c r="C72" i="21" s="1"/>
  <c r="B77" i="17"/>
  <c r="C73" i="21" s="1"/>
  <c r="B78" i="17"/>
  <c r="C74" i="21" s="1"/>
  <c r="B79" i="17"/>
  <c r="C75" i="21" s="1"/>
  <c r="B80" i="17"/>
  <c r="C76" i="21" s="1"/>
  <c r="B81" i="17"/>
  <c r="C77" i="21" s="1"/>
  <c r="C78" i="21"/>
  <c r="B83" i="17"/>
  <c r="C79" i="21" s="1"/>
  <c r="B43" i="17"/>
  <c r="C39" i="21" s="1"/>
  <c r="B44" i="17"/>
  <c r="C40" i="21" s="1"/>
  <c r="B45" i="17"/>
  <c r="C41" i="21" s="1"/>
  <c r="B46" i="17"/>
  <c r="C42" i="21" s="1"/>
  <c r="B47" i="17"/>
  <c r="C43" i="21" s="1"/>
  <c r="B48" i="17"/>
  <c r="C44" i="21" s="1"/>
  <c r="B49" i="17"/>
  <c r="C45" i="21" s="1"/>
  <c r="B50" i="17"/>
  <c r="C46" i="21" s="1"/>
  <c r="B51" i="17"/>
  <c r="C47" i="21" s="1"/>
  <c r="C48" i="21"/>
  <c r="B53" i="17"/>
  <c r="C49" i="21" s="1"/>
  <c r="B54" i="17"/>
  <c r="C50" i="21" s="1"/>
  <c r="C20" i="21"/>
  <c r="U12" i="21" s="1"/>
  <c r="C21" i="21"/>
  <c r="B19" i="17"/>
  <c r="C15" i="21" s="1"/>
  <c r="T8" i="21" s="1"/>
  <c r="C16" i="21"/>
  <c r="V7" i="21" s="1"/>
  <c r="C17" i="21"/>
  <c r="T9" i="21" s="1"/>
  <c r="C18" i="21"/>
  <c r="U11" i="21" s="1"/>
  <c r="C19" i="21"/>
  <c r="T10" i="21" s="1"/>
  <c r="F19" i="24" l="1"/>
  <c r="G228" i="21"/>
  <c r="I228" i="21" s="1"/>
  <c r="E228" i="21"/>
  <c r="L228" i="21" s="1"/>
  <c r="D228" i="21"/>
  <c r="K228" i="21" s="1"/>
  <c r="A227" i="21"/>
  <c r="A226" i="21"/>
  <c r="A225" i="21"/>
  <c r="A224" i="21"/>
  <c r="A223" i="21"/>
  <c r="A222" i="21"/>
  <c r="A221" i="21"/>
  <c r="A220" i="21"/>
  <c r="A219" i="21"/>
  <c r="A218" i="21"/>
  <c r="A217" i="21"/>
  <c r="A216" i="21"/>
  <c r="A215" i="21"/>
  <c r="A214" i="21"/>
  <c r="A213" i="21"/>
  <c r="A212" i="21"/>
  <c r="A211" i="21"/>
  <c r="A210" i="21"/>
  <c r="A209" i="21"/>
  <c r="A208" i="21"/>
  <c r="A207" i="21"/>
  <c r="A206" i="21"/>
  <c r="A205" i="21"/>
  <c r="A204" i="21"/>
  <c r="A203" i="21"/>
  <c r="A202" i="21"/>
  <c r="A201" i="21"/>
  <c r="A200" i="21"/>
  <c r="A199" i="21"/>
  <c r="A198" i="21"/>
  <c r="A197" i="21"/>
  <c r="A196" i="21"/>
  <c r="A195" i="21"/>
  <c r="A194" i="21"/>
  <c r="A193" i="21"/>
  <c r="A192" i="21"/>
  <c r="A191" i="21"/>
  <c r="A190" i="21"/>
  <c r="A189" i="21"/>
  <c r="A188" i="21"/>
  <c r="A187" i="21"/>
  <c r="A186" i="21"/>
  <c r="A185" i="21"/>
  <c r="A184" i="21"/>
  <c r="A183" i="21"/>
  <c r="A182" i="21"/>
  <c r="A181" i="21"/>
  <c r="A180" i="21"/>
  <c r="A179" i="21"/>
  <c r="A178" i="21"/>
  <c r="A177" i="21"/>
  <c r="A176" i="21"/>
  <c r="A175" i="21"/>
  <c r="A174" i="21"/>
  <c r="A173" i="21"/>
  <c r="A172" i="21"/>
  <c r="A171" i="21"/>
  <c r="A170" i="21"/>
  <c r="A169" i="21"/>
  <c r="A168" i="21"/>
  <c r="A167" i="21"/>
  <c r="A166" i="21"/>
  <c r="A165" i="21"/>
  <c r="A164" i="21"/>
  <c r="A163" i="21"/>
  <c r="A162" i="21"/>
  <c r="A161" i="21"/>
  <c r="A160" i="21"/>
  <c r="A159" i="21"/>
  <c r="A158" i="21"/>
  <c r="A157" i="21"/>
  <c r="A156" i="21"/>
  <c r="A155" i="21"/>
  <c r="A154" i="21"/>
  <c r="A153" i="21"/>
  <c r="A152" i="21"/>
  <c r="A151" i="21"/>
  <c r="A150" i="21"/>
  <c r="A149" i="21"/>
  <c r="A148" i="21"/>
  <c r="A147" i="21"/>
  <c r="A146" i="21"/>
  <c r="A145" i="21"/>
  <c r="A144" i="21"/>
  <c r="A143" i="21"/>
  <c r="A142" i="21"/>
  <c r="A141" i="21"/>
  <c r="A140" i="21"/>
  <c r="A139" i="21"/>
  <c r="A138" i="21"/>
  <c r="A137" i="21"/>
  <c r="A136" i="21"/>
  <c r="A135" i="21"/>
  <c r="A134" i="21"/>
  <c r="A133" i="21"/>
  <c r="A132" i="21"/>
  <c r="A131" i="21"/>
  <c r="A130" i="21"/>
  <c r="A129" i="21"/>
  <c r="A128" i="21"/>
  <c r="A127" i="21"/>
  <c r="A126" i="21"/>
  <c r="A125" i="21"/>
  <c r="A124" i="21"/>
  <c r="A123" i="21"/>
  <c r="A122" i="21"/>
  <c r="A121" i="21"/>
  <c r="A120" i="21"/>
  <c r="A119" i="21"/>
  <c r="A118" i="21"/>
  <c r="A117" i="21"/>
  <c r="A116" i="21"/>
  <c r="A115" i="21"/>
  <c r="A114" i="21"/>
  <c r="A113" i="21"/>
  <c r="A112" i="21"/>
  <c r="A111" i="21"/>
  <c r="A110" i="21"/>
  <c r="A109" i="21"/>
  <c r="A108" i="21"/>
  <c r="A107" i="21"/>
  <c r="A106" i="21"/>
  <c r="A105" i="21"/>
  <c r="A104" i="21"/>
  <c r="A103" i="21"/>
  <c r="A102" i="21"/>
  <c r="A101" i="21"/>
  <c r="A100" i="21"/>
  <c r="A99" i="21"/>
  <c r="A98" i="21"/>
  <c r="A97" i="21"/>
  <c r="A96" i="21"/>
  <c r="A95" i="21"/>
  <c r="A94" i="21"/>
  <c r="A93" i="21"/>
  <c r="A92" i="21"/>
  <c r="A91" i="21"/>
  <c r="A90" i="21"/>
  <c r="A89" i="21"/>
  <c r="A88" i="21"/>
  <c r="A87" i="21"/>
  <c r="A86" i="21"/>
  <c r="A85" i="21"/>
  <c r="A84" i="21"/>
  <c r="A83" i="21"/>
  <c r="A82" i="21"/>
  <c r="A81" i="21"/>
  <c r="A80" i="21"/>
  <c r="A79" i="21"/>
  <c r="A78" i="21"/>
  <c r="A77" i="21"/>
  <c r="A76" i="21"/>
  <c r="A75" i="21"/>
  <c r="A74" i="21"/>
  <c r="A73" i="21"/>
  <c r="A72" i="21"/>
  <c r="A71" i="21"/>
  <c r="A70" i="21"/>
  <c r="A69" i="21"/>
  <c r="A68" i="21"/>
  <c r="A67" i="21"/>
  <c r="A66" i="21"/>
  <c r="A65" i="21"/>
  <c r="A64" i="21"/>
  <c r="A63" i="21"/>
  <c r="A62" i="21"/>
  <c r="A61" i="21"/>
  <c r="A60" i="21"/>
  <c r="A59" i="21"/>
  <c r="A58" i="21"/>
  <c r="A57" i="21"/>
  <c r="A56" i="21"/>
  <c r="A55" i="21"/>
  <c r="A54" i="21"/>
  <c r="A53" i="21"/>
  <c r="A52" i="21"/>
  <c r="A51" i="21"/>
  <c r="A50" i="21"/>
  <c r="A49" i="21"/>
  <c r="A48" i="21"/>
  <c r="A47" i="21"/>
  <c r="A46" i="21"/>
  <c r="A45" i="21"/>
  <c r="A44" i="21"/>
  <c r="A43" i="21"/>
  <c r="A42" i="21"/>
  <c r="A41" i="21"/>
  <c r="A40" i="21"/>
  <c r="A39" i="21"/>
  <c r="A38" i="21"/>
  <c r="A37" i="21"/>
  <c r="A36" i="2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A8" i="21"/>
  <c r="A7" i="21"/>
  <c r="A6" i="21"/>
  <c r="A5" i="21"/>
  <c r="A4" i="21"/>
  <c r="A3" i="21"/>
  <c r="H3" i="21" l="1"/>
  <c r="F3" i="21"/>
  <c r="H11" i="21"/>
  <c r="F11" i="21"/>
  <c r="H19" i="21"/>
  <c r="F19" i="21"/>
  <c r="H27" i="21"/>
  <c r="F27" i="21"/>
  <c r="H35" i="21"/>
  <c r="F35" i="21"/>
  <c r="H43" i="21"/>
  <c r="F43" i="21"/>
  <c r="H59" i="21"/>
  <c r="F59" i="21"/>
  <c r="H67" i="21"/>
  <c r="F67" i="21"/>
  <c r="H75" i="21"/>
  <c r="F75" i="21"/>
  <c r="H83" i="21"/>
  <c r="F83" i="21"/>
  <c r="H91" i="21"/>
  <c r="F91" i="21"/>
  <c r="H99" i="21"/>
  <c r="F99" i="21"/>
  <c r="H107" i="21"/>
  <c r="F107" i="21"/>
  <c r="H115" i="21"/>
  <c r="F115" i="21"/>
  <c r="H123" i="21"/>
  <c r="F123" i="21"/>
  <c r="H131" i="21"/>
  <c r="F131" i="21"/>
  <c r="H139" i="21"/>
  <c r="F139" i="21"/>
  <c r="H147" i="21"/>
  <c r="F147" i="21"/>
  <c r="H155" i="21"/>
  <c r="F155" i="21"/>
  <c r="H163" i="21"/>
  <c r="F163" i="21"/>
  <c r="H171" i="21"/>
  <c r="F171" i="21"/>
  <c r="H175" i="21"/>
  <c r="F175" i="21"/>
  <c r="H183" i="21"/>
  <c r="F183" i="21"/>
  <c r="H191" i="21"/>
  <c r="F191" i="21"/>
  <c r="H199" i="21"/>
  <c r="F199" i="21"/>
  <c r="H207" i="21"/>
  <c r="F207" i="21"/>
  <c r="H215" i="21"/>
  <c r="F215" i="21"/>
  <c r="H223" i="21"/>
  <c r="F223" i="21"/>
  <c r="H4" i="21"/>
  <c r="F4" i="21"/>
  <c r="H12" i="21"/>
  <c r="F12" i="21"/>
  <c r="H20" i="21"/>
  <c r="F20" i="21"/>
  <c r="H28" i="21"/>
  <c r="F28" i="21"/>
  <c r="H32" i="21"/>
  <c r="F32" i="21"/>
  <c r="H44" i="21"/>
  <c r="F44" i="21"/>
  <c r="H52" i="21"/>
  <c r="F52" i="21"/>
  <c r="H56" i="21"/>
  <c r="F56" i="21"/>
  <c r="H64" i="21"/>
  <c r="F64" i="21"/>
  <c r="H72" i="21"/>
  <c r="F72" i="21"/>
  <c r="H80" i="21"/>
  <c r="F80" i="21"/>
  <c r="H88" i="21"/>
  <c r="F88" i="21"/>
  <c r="H96" i="21"/>
  <c r="F96" i="21"/>
  <c r="H104" i="21"/>
  <c r="F104" i="21"/>
  <c r="H112" i="21"/>
  <c r="F112" i="21"/>
  <c r="H120" i="21"/>
  <c r="F120" i="21"/>
  <c r="H128" i="21"/>
  <c r="F128" i="21"/>
  <c r="H136" i="21"/>
  <c r="F136" i="21"/>
  <c r="H144" i="21"/>
  <c r="F144" i="21"/>
  <c r="H148" i="21"/>
  <c r="F148" i="21"/>
  <c r="H156" i="21"/>
  <c r="F156" i="21"/>
  <c r="H164" i="21"/>
  <c r="F164" i="21"/>
  <c r="H176" i="21"/>
  <c r="F176" i="21"/>
  <c r="H192" i="21"/>
  <c r="F192" i="21"/>
  <c r="H9" i="21"/>
  <c r="F9" i="21"/>
  <c r="H13" i="21"/>
  <c r="F13" i="21"/>
  <c r="H17" i="21"/>
  <c r="F17" i="21"/>
  <c r="H21" i="21"/>
  <c r="F21" i="21"/>
  <c r="H25" i="21"/>
  <c r="F25" i="21"/>
  <c r="H29" i="21"/>
  <c r="F29" i="21"/>
  <c r="H33" i="21"/>
  <c r="F33" i="21"/>
  <c r="H37" i="21"/>
  <c r="F37" i="21"/>
  <c r="H41" i="21"/>
  <c r="F41" i="21"/>
  <c r="H45" i="21"/>
  <c r="F45" i="21"/>
  <c r="H49" i="21"/>
  <c r="F49" i="21"/>
  <c r="H53" i="21"/>
  <c r="F53" i="21"/>
  <c r="H57" i="21"/>
  <c r="F57" i="21"/>
  <c r="H61" i="21"/>
  <c r="F61" i="21"/>
  <c r="H65" i="21"/>
  <c r="F65" i="21"/>
  <c r="H69" i="21"/>
  <c r="F69" i="21"/>
  <c r="H73" i="21"/>
  <c r="F73" i="21"/>
  <c r="H77" i="21"/>
  <c r="F77" i="21"/>
  <c r="H81" i="21"/>
  <c r="F81" i="21"/>
  <c r="H85" i="21"/>
  <c r="F85" i="21"/>
  <c r="H89" i="21"/>
  <c r="F89" i="21"/>
  <c r="H93" i="21"/>
  <c r="F93" i="21"/>
  <c r="H97" i="21"/>
  <c r="F97" i="21"/>
  <c r="H101" i="21"/>
  <c r="F101" i="21"/>
  <c r="H105" i="21"/>
  <c r="F105" i="21"/>
  <c r="H109" i="21"/>
  <c r="F109" i="21"/>
  <c r="H113" i="21"/>
  <c r="F113" i="21"/>
  <c r="H117" i="21"/>
  <c r="F117" i="21"/>
  <c r="H121" i="21"/>
  <c r="F121" i="21"/>
  <c r="H125" i="21"/>
  <c r="F125" i="21"/>
  <c r="H129" i="21"/>
  <c r="F129" i="21"/>
  <c r="H133" i="21"/>
  <c r="F133" i="21"/>
  <c r="H137" i="21"/>
  <c r="F137" i="21"/>
  <c r="H141" i="21"/>
  <c r="F141" i="21"/>
  <c r="H145" i="21"/>
  <c r="F145" i="21"/>
  <c r="H149" i="21"/>
  <c r="F149" i="21"/>
  <c r="H153" i="21"/>
  <c r="F153" i="21"/>
  <c r="H157" i="21"/>
  <c r="F157" i="21"/>
  <c r="H161" i="21"/>
  <c r="F161" i="21"/>
  <c r="H165" i="21"/>
  <c r="F165" i="21"/>
  <c r="H169" i="21"/>
  <c r="F169" i="21"/>
  <c r="H173" i="21"/>
  <c r="F173" i="21"/>
  <c r="H177" i="21"/>
  <c r="F177" i="21"/>
  <c r="H181" i="21"/>
  <c r="F181" i="21"/>
  <c r="H185" i="21"/>
  <c r="F185" i="21"/>
  <c r="H189" i="21"/>
  <c r="F189" i="21"/>
  <c r="H193" i="21"/>
  <c r="F193" i="21"/>
  <c r="H197" i="21"/>
  <c r="F197" i="21"/>
  <c r="H201" i="21"/>
  <c r="F201" i="21"/>
  <c r="H205" i="21"/>
  <c r="F205" i="21"/>
  <c r="H209" i="21"/>
  <c r="F209" i="21"/>
  <c r="H213" i="21"/>
  <c r="F213" i="21"/>
  <c r="H217" i="21"/>
  <c r="F217" i="21"/>
  <c r="H221" i="21"/>
  <c r="F221" i="21"/>
  <c r="H225" i="21"/>
  <c r="F225" i="21"/>
  <c r="H7" i="21"/>
  <c r="F7" i="21"/>
  <c r="H15" i="21"/>
  <c r="F15" i="21"/>
  <c r="H23" i="21"/>
  <c r="F23" i="21"/>
  <c r="H31" i="21"/>
  <c r="F31" i="21"/>
  <c r="H39" i="21"/>
  <c r="F39" i="21"/>
  <c r="H47" i="21"/>
  <c r="F47" i="21"/>
  <c r="H51" i="21"/>
  <c r="F51" i="21"/>
  <c r="H55" i="21"/>
  <c r="F55" i="21"/>
  <c r="H63" i="21"/>
  <c r="F63" i="21"/>
  <c r="H71" i="21"/>
  <c r="F71" i="21"/>
  <c r="H79" i="21"/>
  <c r="F79" i="21"/>
  <c r="H87" i="21"/>
  <c r="F87" i="21"/>
  <c r="H95" i="21"/>
  <c r="F95" i="21"/>
  <c r="H103" i="21"/>
  <c r="F103" i="21"/>
  <c r="H111" i="21"/>
  <c r="F111" i="21"/>
  <c r="H119" i="21"/>
  <c r="F119" i="21"/>
  <c r="H127" i="21"/>
  <c r="F127" i="21"/>
  <c r="H135" i="21"/>
  <c r="F135" i="21"/>
  <c r="H143" i="21"/>
  <c r="F143" i="21"/>
  <c r="H151" i="21"/>
  <c r="F151" i="21"/>
  <c r="H159" i="21"/>
  <c r="F159" i="21"/>
  <c r="H167" i="21"/>
  <c r="F167" i="21"/>
  <c r="H179" i="21"/>
  <c r="F179" i="21"/>
  <c r="H187" i="21"/>
  <c r="F187" i="21"/>
  <c r="H195" i="21"/>
  <c r="F195" i="21"/>
  <c r="H203" i="21"/>
  <c r="F203" i="21"/>
  <c r="H211" i="21"/>
  <c r="F211" i="21"/>
  <c r="H219" i="21"/>
  <c r="F219" i="21"/>
  <c r="H227" i="21"/>
  <c r="F227" i="21"/>
  <c r="H8" i="21"/>
  <c r="F8" i="21"/>
  <c r="H16" i="21"/>
  <c r="F16" i="21"/>
  <c r="H24" i="21"/>
  <c r="F24" i="21"/>
  <c r="H36" i="21"/>
  <c r="F36" i="21"/>
  <c r="H40" i="21"/>
  <c r="F40" i="21"/>
  <c r="H48" i="21"/>
  <c r="F48" i="21"/>
  <c r="H60" i="21"/>
  <c r="F60" i="21"/>
  <c r="H68" i="21"/>
  <c r="F68" i="21"/>
  <c r="H76" i="21"/>
  <c r="F76" i="21"/>
  <c r="H84" i="21"/>
  <c r="F84" i="21"/>
  <c r="H92" i="21"/>
  <c r="F92" i="21"/>
  <c r="H100" i="21"/>
  <c r="F100" i="21"/>
  <c r="H108" i="21"/>
  <c r="F108" i="21"/>
  <c r="H116" i="21"/>
  <c r="F116" i="21"/>
  <c r="H124" i="21"/>
  <c r="F124" i="21"/>
  <c r="H132" i="21"/>
  <c r="F132" i="21"/>
  <c r="H140" i="21"/>
  <c r="F140" i="21"/>
  <c r="H152" i="21"/>
  <c r="F152" i="21"/>
  <c r="H160" i="21"/>
  <c r="F160" i="21"/>
  <c r="H168" i="21"/>
  <c r="F168" i="21"/>
  <c r="H172" i="21"/>
  <c r="F172" i="21"/>
  <c r="H180" i="21"/>
  <c r="F180" i="21"/>
  <c r="H184" i="21"/>
  <c r="F184" i="21"/>
  <c r="H188" i="21"/>
  <c r="F188" i="21"/>
  <c r="H196" i="21"/>
  <c r="F196" i="21"/>
  <c r="H200" i="21"/>
  <c r="F200" i="21"/>
  <c r="H204" i="21"/>
  <c r="F204" i="21"/>
  <c r="H208" i="21"/>
  <c r="F208" i="21"/>
  <c r="H212" i="21"/>
  <c r="F212" i="21"/>
  <c r="H216" i="21"/>
  <c r="F216" i="21"/>
  <c r="H220" i="21"/>
  <c r="F220" i="21"/>
  <c r="H224" i="21"/>
  <c r="F224" i="21"/>
  <c r="H5" i="21"/>
  <c r="F5" i="21"/>
  <c r="H2" i="21"/>
  <c r="F2" i="21"/>
  <c r="H6" i="21"/>
  <c r="F6" i="21"/>
  <c r="H10" i="21"/>
  <c r="F10" i="21"/>
  <c r="H14" i="21"/>
  <c r="F14" i="21"/>
  <c r="H18" i="21"/>
  <c r="F18" i="21"/>
  <c r="H22" i="21"/>
  <c r="F22" i="21"/>
  <c r="H26" i="21"/>
  <c r="F26" i="21"/>
  <c r="H30" i="21"/>
  <c r="F30" i="21"/>
  <c r="H34" i="21"/>
  <c r="F34" i="21"/>
  <c r="H38" i="21"/>
  <c r="F38" i="21"/>
  <c r="H42" i="21"/>
  <c r="F42" i="21"/>
  <c r="H46" i="21"/>
  <c r="F46" i="21"/>
  <c r="H50" i="21"/>
  <c r="F50" i="21"/>
  <c r="H54" i="21"/>
  <c r="F54" i="21"/>
  <c r="H58" i="21"/>
  <c r="F58" i="21"/>
  <c r="H62" i="21"/>
  <c r="F62" i="21"/>
  <c r="H66" i="21"/>
  <c r="F66" i="21"/>
  <c r="H70" i="21"/>
  <c r="F70" i="21"/>
  <c r="H74" i="21"/>
  <c r="F74" i="21"/>
  <c r="H78" i="21"/>
  <c r="F78" i="21"/>
  <c r="H82" i="21"/>
  <c r="F82" i="21"/>
  <c r="H86" i="21"/>
  <c r="F86" i="21"/>
  <c r="H90" i="21"/>
  <c r="F90" i="21"/>
  <c r="H94" i="21"/>
  <c r="F94" i="21"/>
  <c r="H98" i="21"/>
  <c r="F98" i="21"/>
  <c r="H102" i="21"/>
  <c r="F102" i="21"/>
  <c r="H106" i="21"/>
  <c r="F106" i="21"/>
  <c r="H110" i="21"/>
  <c r="F110" i="21"/>
  <c r="H114" i="21"/>
  <c r="F114" i="21"/>
  <c r="H118" i="21"/>
  <c r="F118" i="21"/>
  <c r="H122" i="21"/>
  <c r="F122" i="21"/>
  <c r="H126" i="21"/>
  <c r="F126" i="21"/>
  <c r="H130" i="21"/>
  <c r="F130" i="21"/>
  <c r="H134" i="21"/>
  <c r="F134" i="21"/>
  <c r="H138" i="21"/>
  <c r="F138" i="21"/>
  <c r="H142" i="21"/>
  <c r="F142" i="21"/>
  <c r="H146" i="21"/>
  <c r="F146" i="21"/>
  <c r="H150" i="21"/>
  <c r="F150" i="21"/>
  <c r="H154" i="21"/>
  <c r="F154" i="21"/>
  <c r="H158" i="21"/>
  <c r="F158" i="21"/>
  <c r="H162" i="21"/>
  <c r="F162" i="21"/>
  <c r="H166" i="21"/>
  <c r="F166" i="21"/>
  <c r="H170" i="21"/>
  <c r="F170" i="21"/>
  <c r="H174" i="21"/>
  <c r="F174" i="21"/>
  <c r="H178" i="21"/>
  <c r="F178" i="21"/>
  <c r="H182" i="21"/>
  <c r="F182" i="21"/>
  <c r="H186" i="21"/>
  <c r="F186" i="21"/>
  <c r="H190" i="21"/>
  <c r="F190" i="21"/>
  <c r="H194" i="21"/>
  <c r="F194" i="21"/>
  <c r="H198" i="21"/>
  <c r="F198" i="21"/>
  <c r="H202" i="21"/>
  <c r="F202" i="21"/>
  <c r="H206" i="21"/>
  <c r="F206" i="21"/>
  <c r="H210" i="21"/>
  <c r="F210" i="21"/>
  <c r="H214" i="21"/>
  <c r="F214" i="21"/>
  <c r="H218" i="21"/>
  <c r="F218" i="21"/>
  <c r="H222" i="21"/>
  <c r="F222" i="21"/>
  <c r="H226" i="21"/>
  <c r="F226" i="21"/>
  <c r="D12" i="21"/>
  <c r="K12" i="21" s="1"/>
  <c r="E176" i="21"/>
  <c r="L176" i="21" s="1"/>
  <c r="G184" i="21"/>
  <c r="E204" i="21"/>
  <c r="L204" i="21" s="1"/>
  <c r="D85" i="21"/>
  <c r="K85" i="21" s="1"/>
  <c r="E97" i="21"/>
  <c r="L97" i="21" s="1"/>
  <c r="E109" i="21"/>
  <c r="L109" i="21" s="1"/>
  <c r="E141" i="21"/>
  <c r="L141" i="21" s="1"/>
  <c r="E161" i="21"/>
  <c r="L161" i="21" s="1"/>
  <c r="E173" i="21"/>
  <c r="L173" i="21" s="1"/>
  <c r="E193" i="21"/>
  <c r="L193" i="21" s="1"/>
  <c r="E205" i="21"/>
  <c r="L205" i="21" s="1"/>
  <c r="E225" i="21"/>
  <c r="L225" i="21" s="1"/>
  <c r="E64" i="21"/>
  <c r="L64" i="21" s="1"/>
  <c r="D68" i="21"/>
  <c r="K68" i="21" s="1"/>
  <c r="G124" i="21"/>
  <c r="D128" i="21"/>
  <c r="K128" i="21" s="1"/>
  <c r="D164" i="21"/>
  <c r="K164" i="21" s="1"/>
  <c r="E192" i="21"/>
  <c r="L192" i="21" s="1"/>
  <c r="E13" i="21"/>
  <c r="L13" i="21" s="1"/>
  <c r="D21" i="21"/>
  <c r="K21" i="21" s="1"/>
  <c r="E77" i="21"/>
  <c r="L77" i="21" s="1"/>
  <c r="E129" i="21"/>
  <c r="L129" i="21" s="1"/>
  <c r="E18" i="21"/>
  <c r="L18" i="21" s="1"/>
  <c r="E22" i="21"/>
  <c r="L22" i="21" s="1"/>
  <c r="D26" i="21"/>
  <c r="K26" i="21" s="1"/>
  <c r="E34" i="21"/>
  <c r="L34" i="21" s="1"/>
  <c r="D38" i="21"/>
  <c r="K38" i="21" s="1"/>
  <c r="E50" i="21"/>
  <c r="L50" i="21" s="1"/>
  <c r="E54" i="21"/>
  <c r="L54" i="21" s="1"/>
  <c r="D58" i="21"/>
  <c r="K58" i="21" s="1"/>
  <c r="D70" i="21"/>
  <c r="K70" i="21" s="1"/>
  <c r="E74" i="21"/>
  <c r="L74" i="21" s="1"/>
  <c r="E82" i="21"/>
  <c r="L82" i="21" s="1"/>
  <c r="E86" i="21"/>
  <c r="L86" i="21" s="1"/>
  <c r="D90" i="21"/>
  <c r="K90" i="21" s="1"/>
  <c r="E98" i="21"/>
  <c r="L98" i="21" s="1"/>
  <c r="D102" i="21"/>
  <c r="K102" i="21" s="1"/>
  <c r="E114" i="21"/>
  <c r="L114" i="21" s="1"/>
  <c r="E118" i="21"/>
  <c r="L118" i="21" s="1"/>
  <c r="G130" i="21"/>
  <c r="G138" i="21"/>
  <c r="E146" i="21"/>
  <c r="L146" i="21" s="1"/>
  <c r="E150" i="21"/>
  <c r="L150" i="21" s="1"/>
  <c r="E162" i="21"/>
  <c r="L162" i="21" s="1"/>
  <c r="G166" i="21"/>
  <c r="E178" i="21"/>
  <c r="L178" i="21" s="1"/>
  <c r="E182" i="21"/>
  <c r="L182" i="21" s="1"/>
  <c r="E194" i="21"/>
  <c r="L194" i="21" s="1"/>
  <c r="G202" i="21"/>
  <c r="E210" i="21"/>
  <c r="L210" i="21" s="1"/>
  <c r="E214" i="21"/>
  <c r="L214" i="21" s="1"/>
  <c r="E226" i="21"/>
  <c r="L226" i="21" s="1"/>
  <c r="D4" i="21"/>
  <c r="K4" i="21" s="1"/>
  <c r="E40" i="21"/>
  <c r="L40" i="21" s="1"/>
  <c r="G44" i="21"/>
  <c r="D76" i="21"/>
  <c r="K76" i="21" s="1"/>
  <c r="D84" i="21"/>
  <c r="K84" i="21" s="1"/>
  <c r="D92" i="21"/>
  <c r="K92" i="21" s="1"/>
  <c r="G108" i="21"/>
  <c r="E112" i="21"/>
  <c r="L112" i="21" s="1"/>
  <c r="E33" i="21"/>
  <c r="L33" i="21" s="1"/>
  <c r="D37" i="21"/>
  <c r="K37" i="21" s="1"/>
  <c r="E45" i="21"/>
  <c r="L45" i="21" s="1"/>
  <c r="D49" i="21"/>
  <c r="K49" i="21" s="1"/>
  <c r="G53" i="21"/>
  <c r="E65" i="21"/>
  <c r="L65" i="21" s="1"/>
  <c r="G2" i="21"/>
  <c r="D6" i="21"/>
  <c r="K6" i="21" s="1"/>
  <c r="E7" i="21"/>
  <c r="L7" i="21" s="1"/>
  <c r="E11" i="21"/>
  <c r="L11" i="21" s="1"/>
  <c r="E23" i="21"/>
  <c r="L23" i="21" s="1"/>
  <c r="E27" i="21"/>
  <c r="L27" i="21" s="1"/>
  <c r="E39" i="21"/>
  <c r="L39" i="21" s="1"/>
  <c r="E55" i="21"/>
  <c r="L55" i="21" s="1"/>
  <c r="E71" i="21"/>
  <c r="L71" i="21" s="1"/>
  <c r="E75" i="21"/>
  <c r="L75" i="21" s="1"/>
  <c r="E87" i="21"/>
  <c r="L87" i="21" s="1"/>
  <c r="E91" i="21"/>
  <c r="L91" i="21" s="1"/>
  <c r="G99" i="21"/>
  <c r="E103" i="21"/>
  <c r="L103" i="21" s="1"/>
  <c r="G111" i="21"/>
  <c r="D119" i="21"/>
  <c r="K119" i="21" s="1"/>
  <c r="G123" i="21"/>
  <c r="G127" i="21"/>
  <c r="G131" i="21"/>
  <c r="D135" i="21"/>
  <c r="K135" i="21" s="1"/>
  <c r="G139" i="21"/>
  <c r="G143" i="21"/>
  <c r="G151" i="21"/>
  <c r="G155" i="21"/>
  <c r="G163" i="21"/>
  <c r="G167" i="21"/>
  <c r="G171" i="21"/>
  <c r="G175" i="21"/>
  <c r="G183" i="21"/>
  <c r="G187" i="21"/>
  <c r="G195" i="21"/>
  <c r="G199" i="21"/>
  <c r="G203" i="21"/>
  <c r="G207" i="21"/>
  <c r="G215" i="21"/>
  <c r="D219" i="21"/>
  <c r="K219" i="21" s="1"/>
  <c r="G227" i="21"/>
  <c r="D227" i="21"/>
  <c r="K227" i="21" s="1"/>
  <c r="D192" i="21"/>
  <c r="K192" i="21" s="1"/>
  <c r="D167" i="21"/>
  <c r="K167" i="21" s="1"/>
  <c r="D107" i="21"/>
  <c r="K107" i="21" s="1"/>
  <c r="E183" i="21"/>
  <c r="L183" i="21" s="1"/>
  <c r="E130" i="21"/>
  <c r="L130" i="21" s="1"/>
  <c r="E59" i="21"/>
  <c r="L59" i="21" s="1"/>
  <c r="D215" i="21"/>
  <c r="K215" i="21" s="1"/>
  <c r="D187" i="21"/>
  <c r="K187" i="21" s="1"/>
  <c r="D163" i="21"/>
  <c r="K163" i="21" s="1"/>
  <c r="D103" i="21"/>
  <c r="K103" i="21" s="1"/>
  <c r="E167" i="21"/>
  <c r="L167" i="21" s="1"/>
  <c r="E43" i="21"/>
  <c r="L43" i="21" s="1"/>
  <c r="D203" i="21"/>
  <c r="K203" i="21" s="1"/>
  <c r="D175" i="21"/>
  <c r="K175" i="21" s="1"/>
  <c r="D151" i="21"/>
  <c r="K151" i="21" s="1"/>
  <c r="D123" i="21"/>
  <c r="K123" i="21" s="1"/>
  <c r="D99" i="21"/>
  <c r="K99" i="21" s="1"/>
  <c r="E203" i="21"/>
  <c r="L203" i="21" s="1"/>
  <c r="E155" i="21"/>
  <c r="L155" i="21" s="1"/>
  <c r="D199" i="21"/>
  <c r="K199" i="21" s="1"/>
  <c r="D171" i="21"/>
  <c r="K171" i="21" s="1"/>
  <c r="D139" i="21"/>
  <c r="K139" i="21" s="1"/>
  <c r="D111" i="21"/>
  <c r="K111" i="21" s="1"/>
  <c r="D64" i="21"/>
  <c r="K64" i="21" s="1"/>
  <c r="E187" i="21"/>
  <c r="L187" i="21" s="1"/>
  <c r="E151" i="21"/>
  <c r="L151" i="21" s="1"/>
  <c r="D20" i="21"/>
  <c r="K20" i="21" s="1"/>
  <c r="G28" i="21"/>
  <c r="D28" i="21"/>
  <c r="K28" i="21" s="1"/>
  <c r="E48" i="21"/>
  <c r="L48" i="21" s="1"/>
  <c r="E56" i="21"/>
  <c r="L56" i="21" s="1"/>
  <c r="G56" i="21"/>
  <c r="E72" i="21"/>
  <c r="L72" i="21" s="1"/>
  <c r="G72" i="21"/>
  <c r="E80" i="21"/>
  <c r="L80" i="21" s="1"/>
  <c r="G80" i="21"/>
  <c r="E88" i="21"/>
  <c r="L88" i="21" s="1"/>
  <c r="E140" i="21"/>
  <c r="L140" i="21" s="1"/>
  <c r="E168" i="21"/>
  <c r="L168" i="21" s="1"/>
  <c r="D168" i="21"/>
  <c r="K168" i="21" s="1"/>
  <c r="E172" i="21"/>
  <c r="L172" i="21" s="1"/>
  <c r="D180" i="21"/>
  <c r="K180" i="21" s="1"/>
  <c r="E184" i="21"/>
  <c r="L184" i="21" s="1"/>
  <c r="D184" i="21"/>
  <c r="K184" i="21" s="1"/>
  <c r="E188" i="21"/>
  <c r="L188" i="21" s="1"/>
  <c r="G188" i="21"/>
  <c r="E200" i="21"/>
  <c r="L200" i="21" s="1"/>
  <c r="G200" i="21"/>
  <c r="D44" i="21"/>
  <c r="K44" i="21" s="1"/>
  <c r="E8" i="21"/>
  <c r="L8" i="21" s="1"/>
  <c r="G8" i="21"/>
  <c r="E16" i="21"/>
  <c r="L16" i="21" s="1"/>
  <c r="G16" i="21"/>
  <c r="D16" i="21"/>
  <c r="K16" i="21" s="1"/>
  <c r="E24" i="21"/>
  <c r="L24" i="21" s="1"/>
  <c r="G24" i="21"/>
  <c r="E32" i="21"/>
  <c r="L32" i="21" s="1"/>
  <c r="D32" i="21"/>
  <c r="K32" i="21" s="1"/>
  <c r="D52" i="21"/>
  <c r="K52" i="21" s="1"/>
  <c r="G60" i="21"/>
  <c r="D60" i="21"/>
  <c r="K60" i="21" s="1"/>
  <c r="E96" i="21"/>
  <c r="L96" i="21" s="1"/>
  <c r="G96" i="21"/>
  <c r="D96" i="21"/>
  <c r="K96" i="21" s="1"/>
  <c r="D100" i="21"/>
  <c r="K100" i="21" s="1"/>
  <c r="E104" i="21"/>
  <c r="L104" i="21" s="1"/>
  <c r="D104" i="21"/>
  <c r="K104" i="21" s="1"/>
  <c r="D116" i="21"/>
  <c r="K116" i="21" s="1"/>
  <c r="E120" i="21"/>
  <c r="L120" i="21" s="1"/>
  <c r="D120" i="21"/>
  <c r="K120" i="21" s="1"/>
  <c r="G120" i="21"/>
  <c r="E124" i="21"/>
  <c r="L124" i="21" s="1"/>
  <c r="E128" i="21"/>
  <c r="L128" i="21" s="1"/>
  <c r="G128" i="21"/>
  <c r="E136" i="21"/>
  <c r="L136" i="21" s="1"/>
  <c r="G136" i="21"/>
  <c r="E144" i="21"/>
  <c r="L144" i="21" s="1"/>
  <c r="D144" i="21"/>
  <c r="K144" i="21" s="1"/>
  <c r="D148" i="21"/>
  <c r="K148" i="21" s="1"/>
  <c r="E152" i="21"/>
  <c r="L152" i="21" s="1"/>
  <c r="E156" i="21"/>
  <c r="L156" i="21" s="1"/>
  <c r="G156" i="21"/>
  <c r="E160" i="21"/>
  <c r="L160" i="21" s="1"/>
  <c r="G160" i="21"/>
  <c r="D160" i="21"/>
  <c r="K160" i="21" s="1"/>
  <c r="D196" i="21"/>
  <c r="K196" i="21" s="1"/>
  <c r="E208" i="21"/>
  <c r="L208" i="21" s="1"/>
  <c r="D208" i="21"/>
  <c r="K208" i="21" s="1"/>
  <c r="D212" i="21"/>
  <c r="K212" i="21" s="1"/>
  <c r="E216" i="21"/>
  <c r="L216" i="21" s="1"/>
  <c r="E220" i="21"/>
  <c r="L220" i="21" s="1"/>
  <c r="G220" i="21"/>
  <c r="E224" i="21"/>
  <c r="L224" i="21" s="1"/>
  <c r="G224" i="21"/>
  <c r="D224" i="21"/>
  <c r="K224" i="21" s="1"/>
  <c r="G92" i="21"/>
  <c r="G81" i="21"/>
  <c r="D200" i="21"/>
  <c r="K200" i="21" s="1"/>
  <c r="D176" i="21"/>
  <c r="K176" i="21" s="1"/>
  <c r="D136" i="21"/>
  <c r="K136" i="21" s="1"/>
  <c r="D112" i="21"/>
  <c r="K112" i="21" s="1"/>
  <c r="G208" i="21"/>
  <c r="G144" i="21"/>
  <c r="G64" i="21"/>
  <c r="D216" i="21"/>
  <c r="K216" i="21" s="1"/>
  <c r="D152" i="21"/>
  <c r="K152" i="21" s="1"/>
  <c r="G32" i="21"/>
  <c r="D74" i="21"/>
  <c r="K74" i="21" s="1"/>
  <c r="D54" i="21"/>
  <c r="K54" i="21" s="1"/>
  <c r="G102" i="21"/>
  <c r="D207" i="21"/>
  <c r="K207" i="21" s="1"/>
  <c r="D195" i="21"/>
  <c r="K195" i="21" s="1"/>
  <c r="D183" i="21"/>
  <c r="K183" i="21" s="1"/>
  <c r="D155" i="21"/>
  <c r="K155" i="21" s="1"/>
  <c r="D143" i="21"/>
  <c r="K143" i="21" s="1"/>
  <c r="D131" i="21"/>
  <c r="K131" i="21" s="1"/>
  <c r="E171" i="21"/>
  <c r="L171" i="21" s="1"/>
  <c r="E139" i="21"/>
  <c r="L139" i="21" s="1"/>
  <c r="D173" i="21"/>
  <c r="K173" i="21" s="1"/>
  <c r="G173" i="21"/>
  <c r="E10" i="21"/>
  <c r="L10" i="21" s="1"/>
  <c r="G10" i="21"/>
  <c r="D10" i="21"/>
  <c r="K10" i="21" s="1"/>
  <c r="E38" i="21"/>
  <c r="L38" i="21" s="1"/>
  <c r="G66" i="21"/>
  <c r="E66" i="21"/>
  <c r="L66" i="21" s="1"/>
  <c r="D65" i="21"/>
  <c r="K65" i="21" s="1"/>
  <c r="G17" i="21"/>
  <c r="G95" i="21"/>
  <c r="G107" i="21"/>
  <c r="E107" i="21"/>
  <c r="L107" i="21" s="1"/>
  <c r="G115" i="21"/>
  <c r="G119" i="21"/>
  <c r="E119" i="21"/>
  <c r="L119" i="21" s="1"/>
  <c r="G135" i="21"/>
  <c r="E135" i="21"/>
  <c r="L135" i="21" s="1"/>
  <c r="G147" i="21"/>
  <c r="G159" i="21"/>
  <c r="G179" i="21"/>
  <c r="G191" i="21"/>
  <c r="G211" i="21"/>
  <c r="G219" i="21"/>
  <c r="E219" i="21"/>
  <c r="L219" i="21" s="1"/>
  <c r="G223" i="21"/>
  <c r="D223" i="21"/>
  <c r="K223" i="21" s="1"/>
  <c r="D211" i="21"/>
  <c r="K211" i="21" s="1"/>
  <c r="D191" i="21"/>
  <c r="K191" i="21" s="1"/>
  <c r="D179" i="21"/>
  <c r="K179" i="21" s="1"/>
  <c r="D159" i="21"/>
  <c r="K159" i="21" s="1"/>
  <c r="D147" i="21"/>
  <c r="K147" i="21" s="1"/>
  <c r="D127" i="21"/>
  <c r="K127" i="21" s="1"/>
  <c r="D115" i="21"/>
  <c r="K115" i="21" s="1"/>
  <c r="D95" i="21"/>
  <c r="K95" i="21" s="1"/>
  <c r="E215" i="21"/>
  <c r="L215" i="21" s="1"/>
  <c r="E199" i="21"/>
  <c r="L199" i="21" s="1"/>
  <c r="E123" i="21"/>
  <c r="L123" i="21" s="1"/>
  <c r="G38" i="21"/>
  <c r="D220" i="21"/>
  <c r="K220" i="21" s="1"/>
  <c r="D204" i="21"/>
  <c r="K204" i="21" s="1"/>
  <c r="D188" i="21"/>
  <c r="K188" i="21" s="1"/>
  <c r="D172" i="21"/>
  <c r="K172" i="21" s="1"/>
  <c r="D156" i="21"/>
  <c r="K156" i="21" s="1"/>
  <c r="D140" i="21"/>
  <c r="K140" i="21" s="1"/>
  <c r="D132" i="21"/>
  <c r="K132" i="21" s="1"/>
  <c r="D124" i="21"/>
  <c r="K124" i="21" s="1"/>
  <c r="D108" i="21"/>
  <c r="K108" i="21" s="1"/>
  <c r="D80" i="21"/>
  <c r="K80" i="21" s="1"/>
  <c r="D48" i="21"/>
  <c r="K48" i="21" s="1"/>
  <c r="D36" i="21"/>
  <c r="K36" i="21" s="1"/>
  <c r="G216" i="21"/>
  <c r="G192" i="21"/>
  <c r="G172" i="21"/>
  <c r="G152" i="21"/>
  <c r="G88" i="21"/>
  <c r="G5" i="21"/>
  <c r="E5" i="21"/>
  <c r="L5" i="21" s="1"/>
  <c r="G9" i="21"/>
  <c r="E9" i="21"/>
  <c r="L9" i="21" s="1"/>
  <c r="D9" i="21"/>
  <c r="K9" i="21" s="1"/>
  <c r="D13" i="21"/>
  <c r="K13" i="21" s="1"/>
  <c r="G13" i="21"/>
  <c r="G21" i="21"/>
  <c r="E21" i="21"/>
  <c r="L21" i="21" s="1"/>
  <c r="G25" i="21"/>
  <c r="E25" i="21"/>
  <c r="L25" i="21" s="1"/>
  <c r="D25" i="21"/>
  <c r="K25" i="21" s="1"/>
  <c r="D29" i="21"/>
  <c r="K29" i="21" s="1"/>
  <c r="G29" i="21"/>
  <c r="G33" i="21"/>
  <c r="E37" i="21"/>
  <c r="L37" i="21" s="1"/>
  <c r="G37" i="21"/>
  <c r="G41" i="21"/>
  <c r="E41" i="21"/>
  <c r="L41" i="21" s="1"/>
  <c r="D41" i="21"/>
  <c r="K41" i="21" s="1"/>
  <c r="D45" i="21"/>
  <c r="K45" i="21" s="1"/>
  <c r="G49" i="21"/>
  <c r="E53" i="21"/>
  <c r="L53" i="21" s="1"/>
  <c r="G57" i="21"/>
  <c r="E57" i="21"/>
  <c r="L57" i="21" s="1"/>
  <c r="D57" i="21"/>
  <c r="K57" i="21" s="1"/>
  <c r="G61" i="21"/>
  <c r="D61" i="21"/>
  <c r="K61" i="21" s="1"/>
  <c r="G65" i="21"/>
  <c r="G69" i="21"/>
  <c r="E69" i="21"/>
  <c r="L69" i="21" s="1"/>
  <c r="G73" i="21"/>
  <c r="E73" i="21"/>
  <c r="L73" i="21" s="1"/>
  <c r="D73" i="21"/>
  <c r="K73" i="21" s="1"/>
  <c r="D77" i="21"/>
  <c r="K77" i="21" s="1"/>
  <c r="G77" i="21"/>
  <c r="G85" i="21"/>
  <c r="E85" i="21"/>
  <c r="L85" i="21" s="1"/>
  <c r="G89" i="21"/>
  <c r="E89" i="21"/>
  <c r="L89" i="21" s="1"/>
  <c r="D89" i="21"/>
  <c r="K89" i="21" s="1"/>
  <c r="D93" i="21"/>
  <c r="K93" i="21" s="1"/>
  <c r="G93" i="21"/>
  <c r="G97" i="21"/>
  <c r="D97" i="21"/>
  <c r="K97" i="21" s="1"/>
  <c r="D101" i="21"/>
  <c r="K101" i="21" s="1"/>
  <c r="E101" i="21"/>
  <c r="L101" i="21" s="1"/>
  <c r="G101" i="21"/>
  <c r="G105" i="21"/>
  <c r="E105" i="21"/>
  <c r="L105" i="21" s="1"/>
  <c r="D105" i="21"/>
  <c r="K105" i="21" s="1"/>
  <c r="D109" i="21"/>
  <c r="K109" i="21" s="1"/>
  <c r="D113" i="21"/>
  <c r="K113" i="21" s="1"/>
  <c r="G113" i="21"/>
  <c r="D117" i="21"/>
  <c r="K117" i="21" s="1"/>
  <c r="E117" i="21"/>
  <c r="L117" i="21" s="1"/>
  <c r="G121" i="21"/>
  <c r="E121" i="21"/>
  <c r="L121" i="21" s="1"/>
  <c r="D121" i="21"/>
  <c r="K121" i="21" s="1"/>
  <c r="G125" i="21"/>
  <c r="D125" i="21"/>
  <c r="K125" i="21" s="1"/>
  <c r="D129" i="21"/>
  <c r="K129" i="21" s="1"/>
  <c r="G129" i="21"/>
  <c r="G133" i="21"/>
  <c r="D133" i="21"/>
  <c r="K133" i="21" s="1"/>
  <c r="E133" i="21"/>
  <c r="L133" i="21" s="1"/>
  <c r="G137" i="21"/>
  <c r="E137" i="21"/>
  <c r="L137" i="21" s="1"/>
  <c r="D137" i="21"/>
  <c r="K137" i="21" s="1"/>
  <c r="D141" i="21"/>
  <c r="K141" i="21" s="1"/>
  <c r="G141" i="21"/>
  <c r="D145" i="21"/>
  <c r="K145" i="21" s="1"/>
  <c r="D149" i="21"/>
  <c r="K149" i="21" s="1"/>
  <c r="G149" i="21"/>
  <c r="E149" i="21"/>
  <c r="L149" i="21" s="1"/>
  <c r="G153" i="21"/>
  <c r="E153" i="21"/>
  <c r="L153" i="21" s="1"/>
  <c r="D153" i="21"/>
  <c r="K153" i="21" s="1"/>
  <c r="D157" i="21"/>
  <c r="K157" i="21" s="1"/>
  <c r="G157" i="21"/>
  <c r="G161" i="21"/>
  <c r="D161" i="21"/>
  <c r="K161" i="21" s="1"/>
  <c r="D165" i="21"/>
  <c r="K165" i="21" s="1"/>
  <c r="E165" i="21"/>
  <c r="L165" i="21" s="1"/>
  <c r="G165" i="21"/>
  <c r="G169" i="21"/>
  <c r="E169" i="21"/>
  <c r="L169" i="21" s="1"/>
  <c r="D169" i="21"/>
  <c r="K169" i="21" s="1"/>
  <c r="D177" i="21"/>
  <c r="K177" i="21" s="1"/>
  <c r="G177" i="21"/>
  <c r="D181" i="21"/>
  <c r="K181" i="21" s="1"/>
  <c r="E181" i="21"/>
  <c r="L181" i="21" s="1"/>
  <c r="G185" i="21"/>
  <c r="E185" i="21"/>
  <c r="L185" i="21" s="1"/>
  <c r="D185" i="21"/>
  <c r="K185" i="21" s="1"/>
  <c r="G189" i="21"/>
  <c r="D189" i="21"/>
  <c r="K189" i="21" s="1"/>
  <c r="D193" i="21"/>
  <c r="K193" i="21" s="1"/>
  <c r="G193" i="21"/>
  <c r="G197" i="21"/>
  <c r="D197" i="21"/>
  <c r="K197" i="21" s="1"/>
  <c r="E197" i="21"/>
  <c r="L197" i="21" s="1"/>
  <c r="G201" i="21"/>
  <c r="E201" i="21"/>
  <c r="L201" i="21" s="1"/>
  <c r="D201" i="21"/>
  <c r="K201" i="21" s="1"/>
  <c r="D205" i="21"/>
  <c r="K205" i="21" s="1"/>
  <c r="G205" i="21"/>
  <c r="D209" i="21"/>
  <c r="K209" i="21" s="1"/>
  <c r="D213" i="21"/>
  <c r="K213" i="21" s="1"/>
  <c r="G213" i="21"/>
  <c r="E213" i="21"/>
  <c r="L213" i="21" s="1"/>
  <c r="G217" i="21"/>
  <c r="E217" i="21"/>
  <c r="L217" i="21" s="1"/>
  <c r="D217" i="21"/>
  <c r="K217" i="21" s="1"/>
  <c r="D221" i="21"/>
  <c r="K221" i="21" s="1"/>
  <c r="G221" i="21"/>
  <c r="G225" i="21"/>
  <c r="D225" i="21"/>
  <c r="K225" i="21" s="1"/>
  <c r="D81" i="21"/>
  <c r="K81" i="21" s="1"/>
  <c r="D53" i="21"/>
  <c r="K53" i="21" s="1"/>
  <c r="D17" i="21"/>
  <c r="K17" i="21" s="1"/>
  <c r="E221" i="21"/>
  <c r="L221" i="21" s="1"/>
  <c r="E189" i="21"/>
  <c r="L189" i="21" s="1"/>
  <c r="E157" i="21"/>
  <c r="L157" i="21" s="1"/>
  <c r="E125" i="21"/>
  <c r="L125" i="21" s="1"/>
  <c r="E93" i="21"/>
  <c r="L93" i="21" s="1"/>
  <c r="E61" i="21"/>
  <c r="L61" i="21" s="1"/>
  <c r="E29" i="21"/>
  <c r="L29" i="21" s="1"/>
  <c r="G145" i="21"/>
  <c r="G117" i="21"/>
  <c r="G45" i="21"/>
  <c r="E2" i="21"/>
  <c r="L2" i="21" s="1"/>
  <c r="D2" i="21"/>
  <c r="K2" i="21" s="1"/>
  <c r="G6" i="21"/>
  <c r="G14" i="21"/>
  <c r="E14" i="21"/>
  <c r="L14" i="21" s="1"/>
  <c r="D14" i="21"/>
  <c r="K14" i="21" s="1"/>
  <c r="G18" i="21"/>
  <c r="D18" i="21"/>
  <c r="K18" i="21" s="1"/>
  <c r="G22" i="21"/>
  <c r="G26" i="21"/>
  <c r="E26" i="21"/>
  <c r="L26" i="21" s="1"/>
  <c r="G30" i="21"/>
  <c r="E30" i="21"/>
  <c r="L30" i="21" s="1"/>
  <c r="D30" i="21"/>
  <c r="K30" i="21" s="1"/>
  <c r="D34" i="21"/>
  <c r="K34" i="21" s="1"/>
  <c r="G34" i="21"/>
  <c r="G42" i="21"/>
  <c r="E42" i="21"/>
  <c r="L42" i="21" s="1"/>
  <c r="G46" i="21"/>
  <c r="E46" i="21"/>
  <c r="L46" i="21" s="1"/>
  <c r="D46" i="21"/>
  <c r="K46" i="21" s="1"/>
  <c r="D50" i="21"/>
  <c r="K50" i="21" s="1"/>
  <c r="G50" i="21"/>
  <c r="G54" i="21"/>
  <c r="E58" i="21"/>
  <c r="L58" i="21" s="1"/>
  <c r="G58" i="21"/>
  <c r="G62" i="21"/>
  <c r="E62" i="21"/>
  <c r="L62" i="21" s="1"/>
  <c r="D62" i="21"/>
  <c r="K62" i="21" s="1"/>
  <c r="D66" i="21"/>
  <c r="K66" i="21" s="1"/>
  <c r="G70" i="21"/>
  <c r="G78" i="21"/>
  <c r="E78" i="21"/>
  <c r="L78" i="21" s="1"/>
  <c r="D78" i="21"/>
  <c r="K78" i="21" s="1"/>
  <c r="G82" i="21"/>
  <c r="D82" i="21"/>
  <c r="K82" i="21" s="1"/>
  <c r="G86" i="21"/>
  <c r="G90" i="21"/>
  <c r="E90" i="21"/>
  <c r="L90" i="21" s="1"/>
  <c r="G94" i="21"/>
  <c r="E94" i="21"/>
  <c r="L94" i="21" s="1"/>
  <c r="D94" i="21"/>
  <c r="K94" i="21" s="1"/>
  <c r="G98" i="21"/>
  <c r="D98" i="21"/>
  <c r="K98" i="21" s="1"/>
  <c r="G106" i="21"/>
  <c r="E106" i="21"/>
  <c r="L106" i="21" s="1"/>
  <c r="D106" i="21"/>
  <c r="K106" i="21" s="1"/>
  <c r="G110" i="21"/>
  <c r="E110" i="21"/>
  <c r="L110" i="21" s="1"/>
  <c r="D110" i="21"/>
  <c r="K110" i="21" s="1"/>
  <c r="D114" i="21"/>
  <c r="K114" i="21" s="1"/>
  <c r="G114" i="21"/>
  <c r="G118" i="21"/>
  <c r="D118" i="21"/>
  <c r="K118" i="21" s="1"/>
  <c r="E122" i="21"/>
  <c r="L122" i="21" s="1"/>
  <c r="D122" i="21"/>
  <c r="K122" i="21" s="1"/>
  <c r="G122" i="21"/>
  <c r="G126" i="21"/>
  <c r="E126" i="21"/>
  <c r="L126" i="21" s="1"/>
  <c r="D126" i="21"/>
  <c r="K126" i="21" s="1"/>
  <c r="D130" i="21"/>
  <c r="K130" i="21" s="1"/>
  <c r="G134" i="21"/>
  <c r="D134" i="21"/>
  <c r="K134" i="21" s="1"/>
  <c r="E138" i="21"/>
  <c r="L138" i="21" s="1"/>
  <c r="D138" i="21"/>
  <c r="K138" i="21" s="1"/>
  <c r="G142" i="21"/>
  <c r="E142" i="21"/>
  <c r="L142" i="21" s="1"/>
  <c r="D142" i="21"/>
  <c r="K142" i="21" s="1"/>
  <c r="G146" i="21"/>
  <c r="D146" i="21"/>
  <c r="K146" i="21" s="1"/>
  <c r="D150" i="21"/>
  <c r="K150" i="21" s="1"/>
  <c r="G150" i="21"/>
  <c r="G154" i="21"/>
  <c r="E154" i="21"/>
  <c r="L154" i="21" s="1"/>
  <c r="D154" i="21"/>
  <c r="K154" i="21" s="1"/>
  <c r="G158" i="21"/>
  <c r="E158" i="21"/>
  <c r="L158" i="21" s="1"/>
  <c r="D158" i="21"/>
  <c r="K158" i="21" s="1"/>
  <c r="G162" i="21"/>
  <c r="D162" i="21"/>
  <c r="K162" i="21" s="1"/>
  <c r="D166" i="21"/>
  <c r="K166" i="21" s="1"/>
  <c r="G170" i="21"/>
  <c r="E170" i="21"/>
  <c r="L170" i="21" s="1"/>
  <c r="D170" i="21"/>
  <c r="K170" i="21" s="1"/>
  <c r="G174" i="21"/>
  <c r="E174" i="21"/>
  <c r="L174" i="21" s="1"/>
  <c r="D174" i="21"/>
  <c r="K174" i="21" s="1"/>
  <c r="D178" i="21"/>
  <c r="K178" i="21" s="1"/>
  <c r="G178" i="21"/>
  <c r="G182" i="21"/>
  <c r="D182" i="21"/>
  <c r="K182" i="21" s="1"/>
  <c r="E186" i="21"/>
  <c r="L186" i="21" s="1"/>
  <c r="D186" i="21"/>
  <c r="K186" i="21" s="1"/>
  <c r="G186" i="21"/>
  <c r="G190" i="21"/>
  <c r="E190" i="21"/>
  <c r="L190" i="21" s="1"/>
  <c r="D190" i="21"/>
  <c r="K190" i="21" s="1"/>
  <c r="D194" i="21"/>
  <c r="K194" i="21" s="1"/>
  <c r="G198" i="21"/>
  <c r="D198" i="21"/>
  <c r="K198" i="21" s="1"/>
  <c r="E202" i="21"/>
  <c r="L202" i="21" s="1"/>
  <c r="D202" i="21"/>
  <c r="K202" i="21" s="1"/>
  <c r="G206" i="21"/>
  <c r="E206" i="21"/>
  <c r="L206" i="21" s="1"/>
  <c r="D206" i="21"/>
  <c r="K206" i="21" s="1"/>
  <c r="G210" i="21"/>
  <c r="D210" i="21"/>
  <c r="K210" i="21" s="1"/>
  <c r="D214" i="21"/>
  <c r="K214" i="21" s="1"/>
  <c r="G214" i="21"/>
  <c r="G218" i="21"/>
  <c r="E218" i="21"/>
  <c r="L218" i="21" s="1"/>
  <c r="D218" i="21"/>
  <c r="K218" i="21" s="1"/>
  <c r="G222" i="21"/>
  <c r="E222" i="21"/>
  <c r="L222" i="21" s="1"/>
  <c r="D222" i="21"/>
  <c r="K222" i="21" s="1"/>
  <c r="G226" i="21"/>
  <c r="D226" i="21"/>
  <c r="K226" i="21" s="1"/>
  <c r="D86" i="21"/>
  <c r="K86" i="21" s="1"/>
  <c r="D69" i="21"/>
  <c r="K69" i="21" s="1"/>
  <c r="D42" i="21"/>
  <c r="K42" i="21" s="1"/>
  <c r="D33" i="21"/>
  <c r="K33" i="21" s="1"/>
  <c r="D22" i="21"/>
  <c r="K22" i="21" s="1"/>
  <c r="D5" i="21"/>
  <c r="K5" i="21" s="1"/>
  <c r="E209" i="21"/>
  <c r="L209" i="21" s="1"/>
  <c r="E198" i="21"/>
  <c r="L198" i="21" s="1"/>
  <c r="E177" i="21"/>
  <c r="L177" i="21" s="1"/>
  <c r="E166" i="21"/>
  <c r="L166" i="21" s="1"/>
  <c r="E145" i="21"/>
  <c r="L145" i="21" s="1"/>
  <c r="E134" i="21"/>
  <c r="L134" i="21" s="1"/>
  <c r="E113" i="21"/>
  <c r="L113" i="21" s="1"/>
  <c r="E102" i="21"/>
  <c r="L102" i="21" s="1"/>
  <c r="E81" i="21"/>
  <c r="L81" i="21" s="1"/>
  <c r="E70" i="21"/>
  <c r="L70" i="21" s="1"/>
  <c r="E49" i="21"/>
  <c r="L49" i="21" s="1"/>
  <c r="E17" i="21"/>
  <c r="L17" i="21" s="1"/>
  <c r="E6" i="21"/>
  <c r="L6" i="21" s="1"/>
  <c r="G209" i="21"/>
  <c r="G194" i="21"/>
  <c r="G181" i="21"/>
  <c r="G109" i="21"/>
  <c r="G74" i="21"/>
  <c r="G3" i="21"/>
  <c r="D3" i="21"/>
  <c r="K3" i="21" s="1"/>
  <c r="G7" i="21"/>
  <c r="D7" i="21"/>
  <c r="K7" i="21" s="1"/>
  <c r="G11" i="21"/>
  <c r="D11" i="21"/>
  <c r="K11" i="21" s="1"/>
  <c r="G15" i="21"/>
  <c r="D15" i="21"/>
  <c r="K15" i="21" s="1"/>
  <c r="G19" i="21"/>
  <c r="D19" i="21"/>
  <c r="K19" i="21" s="1"/>
  <c r="G23" i="21"/>
  <c r="D23" i="21"/>
  <c r="K23" i="21" s="1"/>
  <c r="G27" i="21"/>
  <c r="D27" i="21"/>
  <c r="K27" i="21" s="1"/>
  <c r="G31" i="21"/>
  <c r="D31" i="21"/>
  <c r="K31" i="21" s="1"/>
  <c r="G35" i="21"/>
  <c r="D35" i="21"/>
  <c r="K35" i="21" s="1"/>
  <c r="G39" i="21"/>
  <c r="D39" i="21"/>
  <c r="K39" i="21" s="1"/>
  <c r="G43" i="21"/>
  <c r="D43" i="21"/>
  <c r="K43" i="21" s="1"/>
  <c r="G47" i="21"/>
  <c r="D47" i="21"/>
  <c r="K47" i="21" s="1"/>
  <c r="G51" i="21"/>
  <c r="D51" i="21"/>
  <c r="K51" i="21" s="1"/>
  <c r="G55" i="21"/>
  <c r="D55" i="21"/>
  <c r="K55" i="21" s="1"/>
  <c r="G59" i="21"/>
  <c r="D59" i="21"/>
  <c r="K59" i="21" s="1"/>
  <c r="G63" i="21"/>
  <c r="D63" i="21"/>
  <c r="K63" i="21" s="1"/>
  <c r="G67" i="21"/>
  <c r="D67" i="21"/>
  <c r="K67" i="21" s="1"/>
  <c r="G71" i="21"/>
  <c r="D71" i="21"/>
  <c r="K71" i="21" s="1"/>
  <c r="G75" i="21"/>
  <c r="D75" i="21"/>
  <c r="K75" i="21" s="1"/>
  <c r="G79" i="21"/>
  <c r="D79" i="21"/>
  <c r="K79" i="21" s="1"/>
  <c r="G83" i="21"/>
  <c r="D83" i="21"/>
  <c r="K83" i="21" s="1"/>
  <c r="G87" i="21"/>
  <c r="D87" i="21"/>
  <c r="K87" i="21" s="1"/>
  <c r="G91" i="21"/>
  <c r="D91" i="21"/>
  <c r="K91" i="21" s="1"/>
  <c r="G103" i="21"/>
  <c r="E223" i="21"/>
  <c r="L223" i="21" s="1"/>
  <c r="E207" i="21"/>
  <c r="L207" i="21" s="1"/>
  <c r="E191" i="21"/>
  <c r="L191" i="21" s="1"/>
  <c r="E175" i="21"/>
  <c r="L175" i="21" s="1"/>
  <c r="E159" i="21"/>
  <c r="L159" i="21" s="1"/>
  <c r="E143" i="21"/>
  <c r="L143" i="21" s="1"/>
  <c r="E127" i="21"/>
  <c r="L127" i="21" s="1"/>
  <c r="E111" i="21"/>
  <c r="L111" i="21" s="1"/>
  <c r="E95" i="21"/>
  <c r="L95" i="21" s="1"/>
  <c r="E79" i="21"/>
  <c r="L79" i="21" s="1"/>
  <c r="E63" i="21"/>
  <c r="L63" i="21" s="1"/>
  <c r="E47" i="21"/>
  <c r="L47" i="21" s="1"/>
  <c r="E31" i="21"/>
  <c r="L31" i="21" s="1"/>
  <c r="E15" i="21"/>
  <c r="L15" i="21" s="1"/>
  <c r="G4" i="21"/>
  <c r="E4" i="21"/>
  <c r="L4" i="21" s="1"/>
  <c r="E12" i="21"/>
  <c r="L12" i="21" s="1"/>
  <c r="G20" i="21"/>
  <c r="E20" i="21"/>
  <c r="L20" i="21" s="1"/>
  <c r="E28" i="21"/>
  <c r="L28" i="21" s="1"/>
  <c r="G36" i="21"/>
  <c r="E36" i="21"/>
  <c r="L36" i="21" s="1"/>
  <c r="E44" i="21"/>
  <c r="L44" i="21" s="1"/>
  <c r="G52" i="21"/>
  <c r="E52" i="21"/>
  <c r="L52" i="21" s="1"/>
  <c r="E60" i="21"/>
  <c r="L60" i="21" s="1"/>
  <c r="G68" i="21"/>
  <c r="E68" i="21"/>
  <c r="L68" i="21" s="1"/>
  <c r="E76" i="21"/>
  <c r="L76" i="21" s="1"/>
  <c r="G84" i="21"/>
  <c r="E84" i="21"/>
  <c r="L84" i="21" s="1"/>
  <c r="E92" i="21"/>
  <c r="L92" i="21" s="1"/>
  <c r="G100" i="21"/>
  <c r="E100" i="21"/>
  <c r="L100" i="21" s="1"/>
  <c r="E108" i="21"/>
  <c r="L108" i="21" s="1"/>
  <c r="G116" i="21"/>
  <c r="E116" i="21"/>
  <c r="L116" i="21" s="1"/>
  <c r="G132" i="21"/>
  <c r="E132" i="21"/>
  <c r="L132" i="21" s="1"/>
  <c r="G148" i="21"/>
  <c r="E148" i="21"/>
  <c r="L148" i="21" s="1"/>
  <c r="G164" i="21"/>
  <c r="E164" i="21"/>
  <c r="L164" i="21" s="1"/>
  <c r="G180" i="21"/>
  <c r="E180" i="21"/>
  <c r="L180" i="21" s="1"/>
  <c r="G196" i="21"/>
  <c r="E196" i="21"/>
  <c r="L196" i="21" s="1"/>
  <c r="G212" i="21"/>
  <c r="E212" i="21"/>
  <c r="L212" i="21" s="1"/>
  <c r="D88" i="21"/>
  <c r="K88" i="21" s="1"/>
  <c r="D72" i="21"/>
  <c r="K72" i="21" s="1"/>
  <c r="D56" i="21"/>
  <c r="K56" i="21" s="1"/>
  <c r="D40" i="21"/>
  <c r="K40" i="21" s="1"/>
  <c r="D24" i="21"/>
  <c r="K24" i="21" s="1"/>
  <c r="D8" i="21"/>
  <c r="K8" i="21" s="1"/>
  <c r="E227" i="21"/>
  <c r="L227" i="21" s="1"/>
  <c r="E211" i="21"/>
  <c r="L211" i="21" s="1"/>
  <c r="E195" i="21"/>
  <c r="L195" i="21" s="1"/>
  <c r="E179" i="21"/>
  <c r="L179" i="21" s="1"/>
  <c r="E163" i="21"/>
  <c r="L163" i="21" s="1"/>
  <c r="E147" i="21"/>
  <c r="L147" i="21" s="1"/>
  <c r="E131" i="21"/>
  <c r="L131" i="21" s="1"/>
  <c r="E115" i="21"/>
  <c r="L115" i="21" s="1"/>
  <c r="E99" i="21"/>
  <c r="L99" i="21" s="1"/>
  <c r="E83" i="21"/>
  <c r="L83" i="21" s="1"/>
  <c r="E67" i="21"/>
  <c r="L67" i="21" s="1"/>
  <c r="E51" i="21"/>
  <c r="L51" i="21" s="1"/>
  <c r="E35" i="21"/>
  <c r="L35" i="21" s="1"/>
  <c r="E19" i="21"/>
  <c r="L19" i="21" s="1"/>
  <c r="E3" i="21"/>
  <c r="L3" i="21" s="1"/>
  <c r="G204" i="21"/>
  <c r="G176" i="21"/>
  <c r="G168" i="21"/>
  <c r="G140" i="21"/>
  <c r="G112" i="21"/>
  <c r="G104" i="21"/>
  <c r="G76" i="21"/>
  <c r="G48" i="21"/>
  <c r="G40" i="21"/>
  <c r="G12" i="21"/>
  <c r="A30" i="10"/>
  <c r="B30" i="10" s="1"/>
  <c r="C26" i="20" s="1"/>
  <c r="A31" i="10"/>
  <c r="B31" i="10" s="1"/>
  <c r="C27" i="20" s="1"/>
  <c r="A33" i="10"/>
  <c r="B33" i="10" s="1"/>
  <c r="C29" i="20" s="1"/>
  <c r="U15" i="20" s="1"/>
  <c r="A37" i="10"/>
  <c r="B37" i="10" s="1"/>
  <c r="C33" i="20" s="1"/>
  <c r="T13" i="20" s="1"/>
  <c r="A38" i="10"/>
  <c r="B38" i="10" s="1"/>
  <c r="C34" i="20" s="1"/>
  <c r="U18" i="20" s="1"/>
  <c r="A39" i="10"/>
  <c r="B39" i="10" s="1"/>
  <c r="C35" i="20" s="1"/>
  <c r="A40" i="10"/>
  <c r="B40" i="10" s="1"/>
  <c r="C36" i="20" s="1"/>
  <c r="V8" i="20" s="1"/>
  <c r="A41" i="10"/>
  <c r="B41" i="10" s="1"/>
  <c r="C37" i="20" s="1"/>
  <c r="V9" i="20" s="1"/>
  <c r="A43" i="10"/>
  <c r="B43" i="10" s="1"/>
  <c r="C39" i="20" s="1"/>
  <c r="T14" i="20" s="1"/>
  <c r="A44" i="10"/>
  <c r="B44" i="10" s="1"/>
  <c r="C40" i="20" s="1"/>
  <c r="A45" i="10"/>
  <c r="B45" i="10" s="1"/>
  <c r="C41" i="20" s="1"/>
  <c r="A46" i="10"/>
  <c r="B46" i="10" s="1"/>
  <c r="C42" i="20" s="1"/>
  <c r="A47" i="10"/>
  <c r="B47" i="10" s="1"/>
  <c r="C43" i="20" s="1"/>
  <c r="A48" i="10"/>
  <c r="B48" i="10" s="1"/>
  <c r="C44" i="20" s="1"/>
  <c r="A49" i="10"/>
  <c r="B49" i="10" s="1"/>
  <c r="C45" i="20" s="1"/>
  <c r="A50" i="10"/>
  <c r="B50" i="10" s="1"/>
  <c r="C46" i="20" s="1"/>
  <c r="A51" i="10"/>
  <c r="B51" i="10" s="1"/>
  <c r="C47" i="20" s="1"/>
  <c r="A53" i="10"/>
  <c r="B53" i="10" s="1"/>
  <c r="C49" i="20" s="1"/>
  <c r="A54" i="10"/>
  <c r="B54" i="10" s="1"/>
  <c r="C50" i="20" s="1"/>
  <c r="A55" i="10"/>
  <c r="B55" i="10" s="1"/>
  <c r="C51" i="20" s="1"/>
  <c r="A56" i="10"/>
  <c r="B56" i="10" s="1"/>
  <c r="C52" i="20" s="1"/>
  <c r="A57" i="10"/>
  <c r="B57" i="10" s="1"/>
  <c r="C53" i="20" s="1"/>
  <c r="A58" i="10"/>
  <c r="B58" i="10" s="1"/>
  <c r="C54" i="20" s="1"/>
  <c r="U20" i="20" s="1"/>
  <c r="A59" i="10"/>
  <c r="B59" i="10" s="1"/>
  <c r="C55" i="20" s="1"/>
  <c r="A60" i="10"/>
  <c r="B60" i="10" s="1"/>
  <c r="C56" i="20" s="1"/>
  <c r="A61" i="10"/>
  <c r="B61" i="10" s="1"/>
  <c r="C57" i="20" s="1"/>
  <c r="A63" i="10"/>
  <c r="B63" i="10" s="1"/>
  <c r="C59" i="20" s="1"/>
  <c r="A64" i="10"/>
  <c r="B64" i="10" s="1"/>
  <c r="C60" i="20" s="1"/>
  <c r="A65" i="10"/>
  <c r="B65" i="10" s="1"/>
  <c r="C61" i="20" s="1"/>
  <c r="A66" i="10"/>
  <c r="B66" i="10" s="1"/>
  <c r="C62" i="20" s="1"/>
  <c r="A67" i="10"/>
  <c r="B67" i="10" s="1"/>
  <c r="C63" i="20" s="1"/>
  <c r="A68" i="10"/>
  <c r="B68" i="10" s="1"/>
  <c r="C64" i="20" s="1"/>
  <c r="A69" i="10"/>
  <c r="B69" i="10" s="1"/>
  <c r="C65" i="20" s="1"/>
  <c r="A70" i="10"/>
  <c r="B70" i="10" s="1"/>
  <c r="C66" i="20" s="1"/>
  <c r="A71" i="10"/>
  <c r="B71" i="10" s="1"/>
  <c r="C67" i="20" s="1"/>
  <c r="A73" i="10"/>
  <c r="B73" i="10" s="1"/>
  <c r="C69" i="20" s="1"/>
  <c r="A74" i="10"/>
  <c r="B74" i="10" s="1"/>
  <c r="C70" i="20" s="1"/>
  <c r="A75" i="10"/>
  <c r="B75" i="10" s="1"/>
  <c r="C71" i="20" s="1"/>
  <c r="A76" i="10"/>
  <c r="B76" i="10" s="1"/>
  <c r="C72" i="20" s="1"/>
  <c r="A77" i="10"/>
  <c r="B77" i="10" s="1"/>
  <c r="C73" i="20" s="1"/>
  <c r="A78" i="10"/>
  <c r="B78" i="10" s="1"/>
  <c r="C74" i="20" s="1"/>
  <c r="A79" i="10"/>
  <c r="B79" i="10" s="1"/>
  <c r="C75" i="20" s="1"/>
  <c r="A80" i="10"/>
  <c r="B80" i="10" s="1"/>
  <c r="C76" i="20" s="1"/>
  <c r="A81" i="10"/>
  <c r="B81" i="10" s="1"/>
  <c r="C77" i="20" s="1"/>
  <c r="A83" i="10"/>
  <c r="B83" i="10" s="1"/>
  <c r="C79" i="20" s="1"/>
  <c r="A84" i="10"/>
  <c r="B84" i="10" s="1"/>
  <c r="C80" i="20" s="1"/>
  <c r="A85" i="10"/>
  <c r="B85" i="10" s="1"/>
  <c r="C81" i="20" s="1"/>
  <c r="A86" i="10"/>
  <c r="B86" i="10" s="1"/>
  <c r="C82" i="20" s="1"/>
  <c r="A87" i="10"/>
  <c r="B87" i="10" s="1"/>
  <c r="C83" i="20" s="1"/>
  <c r="A88" i="10"/>
  <c r="B88" i="10" s="1"/>
  <c r="C84" i="20" s="1"/>
  <c r="A89" i="10"/>
  <c r="B89" i="10" s="1"/>
  <c r="C85" i="20" s="1"/>
  <c r="A90" i="10"/>
  <c r="B90" i="10" s="1"/>
  <c r="C86" i="20" s="1"/>
  <c r="A91" i="10"/>
  <c r="B91" i="10" s="1"/>
  <c r="C87" i="20" s="1"/>
  <c r="A93" i="10"/>
  <c r="B93" i="10" s="1"/>
  <c r="C89" i="20" s="1"/>
  <c r="A94" i="10"/>
  <c r="B94" i="10" s="1"/>
  <c r="C90" i="20" s="1"/>
  <c r="A95" i="10"/>
  <c r="B95" i="10" s="1"/>
  <c r="C91" i="20" s="1"/>
  <c r="A96" i="10"/>
  <c r="B96" i="10" s="1"/>
  <c r="C92" i="20" s="1"/>
  <c r="A97" i="10"/>
  <c r="B97" i="10" s="1"/>
  <c r="C93" i="20" s="1"/>
  <c r="A98" i="10"/>
  <c r="B98" i="10" s="1"/>
  <c r="C94" i="20" s="1"/>
  <c r="A99" i="10"/>
  <c r="B99" i="10" s="1"/>
  <c r="C95" i="20" s="1"/>
  <c r="A100" i="10"/>
  <c r="B100" i="10" s="1"/>
  <c r="C96" i="20" s="1"/>
  <c r="A101" i="10"/>
  <c r="B101" i="10" s="1"/>
  <c r="C97" i="20" s="1"/>
  <c r="A103" i="10"/>
  <c r="B103" i="10" s="1"/>
  <c r="C99" i="20" s="1"/>
  <c r="A104" i="10"/>
  <c r="B104" i="10" s="1"/>
  <c r="C100" i="20" s="1"/>
  <c r="A105" i="10"/>
  <c r="B105" i="10" s="1"/>
  <c r="C101" i="20" s="1"/>
  <c r="A106" i="10"/>
  <c r="B106" i="10" s="1"/>
  <c r="C102" i="20" s="1"/>
  <c r="A107" i="10"/>
  <c r="B107" i="10" s="1"/>
  <c r="C103" i="20" s="1"/>
  <c r="A108" i="10"/>
  <c r="B108" i="10" s="1"/>
  <c r="C104" i="20" s="1"/>
  <c r="A109" i="10"/>
  <c r="B109" i="10" s="1"/>
  <c r="C105" i="20" s="1"/>
  <c r="A110" i="10"/>
  <c r="B110" i="10" s="1"/>
  <c r="C106" i="20" s="1"/>
  <c r="A111" i="10"/>
  <c r="B111" i="10" s="1"/>
  <c r="C107" i="20" s="1"/>
  <c r="A113" i="10"/>
  <c r="B113" i="10" s="1"/>
  <c r="C109" i="20" s="1"/>
  <c r="A114" i="10"/>
  <c r="B114" i="10" s="1"/>
  <c r="C110" i="20" s="1"/>
  <c r="A115" i="10"/>
  <c r="B115" i="10" s="1"/>
  <c r="C111" i="20" s="1"/>
  <c r="A116" i="10"/>
  <c r="B116" i="10" s="1"/>
  <c r="C112" i="20" s="1"/>
  <c r="A117" i="10"/>
  <c r="B117" i="10" s="1"/>
  <c r="C113" i="20" s="1"/>
  <c r="A118" i="10"/>
  <c r="B118" i="10" s="1"/>
  <c r="C114" i="20" s="1"/>
  <c r="A119" i="10"/>
  <c r="B119" i="10" s="1"/>
  <c r="C115" i="20" s="1"/>
  <c r="A130" i="10"/>
  <c r="B130" i="10" s="1"/>
  <c r="C126" i="20" s="1"/>
  <c r="A131" i="10"/>
  <c r="B131" i="10" s="1"/>
  <c r="C127" i="20" s="1"/>
  <c r="A133" i="10"/>
  <c r="B133" i="10" s="1"/>
  <c r="C129" i="20" s="1"/>
  <c r="A134" i="10"/>
  <c r="B134" i="10" s="1"/>
  <c r="C130" i="20" s="1"/>
  <c r="A135" i="10"/>
  <c r="B135" i="10" s="1"/>
  <c r="C131" i="20" s="1"/>
  <c r="A136" i="10"/>
  <c r="B136" i="10" s="1"/>
  <c r="C132" i="20" s="1"/>
  <c r="A137" i="10"/>
  <c r="B137" i="10" s="1"/>
  <c r="C133" i="20" s="1"/>
  <c r="A138" i="10"/>
  <c r="B138" i="10" s="1"/>
  <c r="C134" i="20" s="1"/>
  <c r="A139" i="10"/>
  <c r="B139" i="10" s="1"/>
  <c r="C135" i="20" s="1"/>
  <c r="A140" i="10"/>
  <c r="B140" i="10" s="1"/>
  <c r="C136" i="20" s="1"/>
  <c r="A141" i="10"/>
  <c r="B141" i="10" s="1"/>
  <c r="C137" i="20" s="1"/>
  <c r="A143" i="10"/>
  <c r="B143" i="10" s="1"/>
  <c r="C139" i="20" s="1"/>
  <c r="A144" i="10"/>
  <c r="B144" i="10" s="1"/>
  <c r="C140" i="20" s="1"/>
  <c r="A145" i="10"/>
  <c r="B145" i="10" s="1"/>
  <c r="C141" i="20" s="1"/>
  <c r="A146" i="10"/>
  <c r="B146" i="10" s="1"/>
  <c r="C142" i="20" s="1"/>
  <c r="A147" i="10"/>
  <c r="B147" i="10" s="1"/>
  <c r="C143" i="20" s="1"/>
  <c r="A148" i="10"/>
  <c r="B148" i="10" s="1"/>
  <c r="C144" i="20" s="1"/>
  <c r="A149" i="10"/>
  <c r="B149" i="10" s="1"/>
  <c r="C145" i="20" s="1"/>
  <c r="A150" i="10"/>
  <c r="B150" i="10" s="1"/>
  <c r="C146" i="20" s="1"/>
  <c r="A151" i="10"/>
  <c r="B151" i="10" s="1"/>
  <c r="C147" i="20" s="1"/>
  <c r="A153" i="10"/>
  <c r="B153" i="10" s="1"/>
  <c r="C149" i="20" s="1"/>
  <c r="A154" i="10"/>
  <c r="B154" i="10" s="1"/>
  <c r="C150" i="20" s="1"/>
  <c r="A155" i="10"/>
  <c r="B155" i="10" s="1"/>
  <c r="C151" i="20" s="1"/>
  <c r="A156" i="10"/>
  <c r="B156" i="10" s="1"/>
  <c r="C152" i="20" s="1"/>
  <c r="A157" i="10"/>
  <c r="B157" i="10" s="1"/>
  <c r="C153" i="20" s="1"/>
  <c r="A158" i="10"/>
  <c r="B158" i="10" s="1"/>
  <c r="C154" i="20" s="1"/>
  <c r="A159" i="10"/>
  <c r="B159" i="10" s="1"/>
  <c r="C155" i="20" s="1"/>
  <c r="A160" i="10"/>
  <c r="B160" i="10" s="1"/>
  <c r="C156" i="20" s="1"/>
  <c r="A161" i="10"/>
  <c r="B161" i="10" s="1"/>
  <c r="C157" i="20" s="1"/>
  <c r="A163" i="10"/>
  <c r="B163" i="10" s="1"/>
  <c r="C159" i="20" s="1"/>
  <c r="A164" i="10"/>
  <c r="B164" i="10" s="1"/>
  <c r="C160" i="20" s="1"/>
  <c r="A165" i="10"/>
  <c r="B165" i="10" s="1"/>
  <c r="C161" i="20" s="1"/>
  <c r="A166" i="10"/>
  <c r="B166" i="10" s="1"/>
  <c r="C162" i="20" s="1"/>
  <c r="A167" i="10"/>
  <c r="B167" i="10" s="1"/>
  <c r="C163" i="20" s="1"/>
  <c r="A168" i="10"/>
  <c r="B168" i="10" s="1"/>
  <c r="C164" i="20" s="1"/>
  <c r="A169" i="10"/>
  <c r="B169" i="10" s="1"/>
  <c r="C165" i="20" s="1"/>
  <c r="A170" i="10"/>
  <c r="B170" i="10" s="1"/>
  <c r="C166" i="20" s="1"/>
  <c r="A171" i="10"/>
  <c r="B171" i="10" s="1"/>
  <c r="C167" i="20" s="1"/>
  <c r="A173" i="10"/>
  <c r="B173" i="10" s="1"/>
  <c r="C169" i="20" s="1"/>
  <c r="A174" i="10"/>
  <c r="B174" i="10" s="1"/>
  <c r="C170" i="20" s="1"/>
  <c r="A175" i="10"/>
  <c r="B175" i="10" s="1"/>
  <c r="C171" i="20" s="1"/>
  <c r="A7" i="10"/>
  <c r="B7" i="10" s="1"/>
  <c r="C3" i="20" s="1"/>
  <c r="V6" i="20" s="1"/>
  <c r="A8" i="10"/>
  <c r="B8" i="10" s="1"/>
  <c r="C4" i="20" s="1"/>
  <c r="U5" i="20" s="1"/>
  <c r="A9" i="10"/>
  <c r="B9" i="10" s="1"/>
  <c r="A10" i="10"/>
  <c r="A11" i="10"/>
  <c r="B11" i="10" s="1"/>
  <c r="C7" i="20" s="1"/>
  <c r="T5" i="20" s="1"/>
  <c r="A13" i="10"/>
  <c r="A16" i="10"/>
  <c r="B16" i="10" s="1"/>
  <c r="C12" i="20" s="1"/>
  <c r="U10" i="20" s="1"/>
  <c r="A17" i="10"/>
  <c r="B17" i="10" s="1"/>
  <c r="C13" i="20" s="1"/>
  <c r="T8" i="20" s="1"/>
  <c r="A18" i="10"/>
  <c r="B18" i="10" s="1"/>
  <c r="C14" i="20" s="1"/>
  <c r="V7" i="20" s="1"/>
  <c r="A19" i="10"/>
  <c r="B19" i="10" s="1"/>
  <c r="C15" i="20" s="1"/>
  <c r="T9" i="20" s="1"/>
  <c r="C5" i="20" l="1"/>
  <c r="U6" i="20" s="1"/>
  <c r="B13" i="10"/>
  <c r="C9" i="20" s="1"/>
  <c r="T6" i="20" s="1"/>
  <c r="C8" i="20"/>
  <c r="U8" i="20" s="1"/>
  <c r="B10" i="10"/>
  <c r="C6" i="20" s="1"/>
  <c r="U7" i="20" s="1"/>
  <c r="I130" i="21"/>
  <c r="I226" i="21"/>
  <c r="I202" i="21"/>
  <c r="I178" i="21"/>
  <c r="I154" i="21"/>
  <c r="I146" i="21"/>
  <c r="I138" i="21"/>
  <c r="I122" i="21"/>
  <c r="I114" i="21"/>
  <c r="I106" i="21"/>
  <c r="I74" i="21"/>
  <c r="I66" i="21"/>
  <c r="I42" i="21"/>
  <c r="I34" i="21"/>
  <c r="I10" i="21"/>
  <c r="I224" i="21"/>
  <c r="N224" i="21" s="1"/>
  <c r="I216" i="21"/>
  <c r="N216" i="21" s="1"/>
  <c r="I208" i="21"/>
  <c r="I188" i="21"/>
  <c r="N188" i="21" s="1"/>
  <c r="I180" i="21"/>
  <c r="N180" i="21" s="1"/>
  <c r="I168" i="21"/>
  <c r="N168" i="21" s="1"/>
  <c r="I152" i="21"/>
  <c r="N152" i="21" s="1"/>
  <c r="I116" i="21"/>
  <c r="N116" i="21" s="1"/>
  <c r="I100" i="21"/>
  <c r="I36" i="21"/>
  <c r="N36" i="21" s="1"/>
  <c r="I16" i="21"/>
  <c r="I211" i="21"/>
  <c r="N211" i="21" s="1"/>
  <c r="I195" i="21"/>
  <c r="N195" i="21" s="1"/>
  <c r="I159" i="21"/>
  <c r="N159" i="21" s="1"/>
  <c r="I111" i="21"/>
  <c r="N111" i="21" s="1"/>
  <c r="I95" i="21"/>
  <c r="N95" i="21" s="1"/>
  <c r="I79" i="21"/>
  <c r="N79" i="21" s="1"/>
  <c r="I63" i="21"/>
  <c r="N63" i="21" s="1"/>
  <c r="I39" i="21"/>
  <c r="N39" i="21" s="1"/>
  <c r="I23" i="21"/>
  <c r="I7" i="21"/>
  <c r="N7" i="21" s="1"/>
  <c r="I221" i="21"/>
  <c r="I205" i="21"/>
  <c r="I197" i="21"/>
  <c r="I189" i="21"/>
  <c r="I157" i="21"/>
  <c r="I141" i="21"/>
  <c r="I133" i="21"/>
  <c r="I125" i="21"/>
  <c r="I109" i="21"/>
  <c r="I101" i="21"/>
  <c r="I93" i="21"/>
  <c r="I77" i="21"/>
  <c r="I61" i="21"/>
  <c r="I53" i="21"/>
  <c r="I45" i="21"/>
  <c r="I21" i="21"/>
  <c r="I13" i="21"/>
  <c r="I148" i="21"/>
  <c r="I104" i="21"/>
  <c r="N104" i="21" s="1"/>
  <c r="I88" i="21"/>
  <c r="I72" i="21"/>
  <c r="N72" i="21" s="1"/>
  <c r="I12" i="21"/>
  <c r="N12" i="21" s="1"/>
  <c r="I175" i="21"/>
  <c r="N175" i="21" s="1"/>
  <c r="I147" i="21"/>
  <c r="N147" i="21" s="1"/>
  <c r="I131" i="21"/>
  <c r="N131" i="21" s="1"/>
  <c r="I162" i="21"/>
  <c r="I98" i="21"/>
  <c r="I82" i="21"/>
  <c r="I50" i="21"/>
  <c r="I18" i="21"/>
  <c r="I200" i="21"/>
  <c r="N200" i="21" s="1"/>
  <c r="I143" i="21"/>
  <c r="N143" i="21" s="1"/>
  <c r="I127" i="21"/>
  <c r="N127" i="21" s="1"/>
  <c r="I213" i="21"/>
  <c r="I181" i="21"/>
  <c r="I173" i="21"/>
  <c r="I149" i="21"/>
  <c r="I117" i="21"/>
  <c r="I69" i="21"/>
  <c r="I29" i="21"/>
  <c r="I136" i="21"/>
  <c r="I56" i="21"/>
  <c r="N56" i="21" s="1"/>
  <c r="I28" i="21"/>
  <c r="I223" i="21"/>
  <c r="N223" i="21" s="1"/>
  <c r="I207" i="21"/>
  <c r="N207" i="21" s="1"/>
  <c r="I191" i="21"/>
  <c r="N191" i="21" s="1"/>
  <c r="I115" i="21"/>
  <c r="N115" i="21" s="1"/>
  <c r="I68" i="21"/>
  <c r="N68" i="21" s="1"/>
  <c r="I210" i="21"/>
  <c r="I194" i="21"/>
  <c r="I90" i="21"/>
  <c r="I26" i="21"/>
  <c r="I132" i="21"/>
  <c r="N132" i="21" s="1"/>
  <c r="I84" i="21"/>
  <c r="N84" i="21" s="1"/>
  <c r="I48" i="21"/>
  <c r="N48" i="21" s="1"/>
  <c r="I165" i="21"/>
  <c r="I120" i="21"/>
  <c r="N120" i="21" s="1"/>
  <c r="I44" i="21"/>
  <c r="N44" i="21" s="1"/>
  <c r="I83" i="21"/>
  <c r="N83" i="21" s="1"/>
  <c r="I43" i="21"/>
  <c r="N43" i="21" s="1"/>
  <c r="I11" i="21"/>
  <c r="N11" i="21" s="1"/>
  <c r="I222" i="21"/>
  <c r="I214" i="21"/>
  <c r="I206" i="21"/>
  <c r="I198" i="21"/>
  <c r="I190" i="21"/>
  <c r="I182" i="21"/>
  <c r="I174" i="21"/>
  <c r="I166" i="21"/>
  <c r="I158" i="21"/>
  <c r="I150" i="21"/>
  <c r="I142" i="21"/>
  <c r="I134" i="21"/>
  <c r="I126" i="21"/>
  <c r="I118" i="21"/>
  <c r="I110" i="21"/>
  <c r="I102" i="21"/>
  <c r="I94" i="21"/>
  <c r="I86" i="21"/>
  <c r="I78" i="21"/>
  <c r="I70" i="21"/>
  <c r="I62" i="21"/>
  <c r="I54" i="21"/>
  <c r="I46" i="21"/>
  <c r="I38" i="21"/>
  <c r="I30" i="21"/>
  <c r="I22" i="21"/>
  <c r="I14" i="21"/>
  <c r="I6" i="21"/>
  <c r="I5" i="21"/>
  <c r="I220" i="21"/>
  <c r="I212" i="21"/>
  <c r="N212" i="21" s="1"/>
  <c r="I204" i="21"/>
  <c r="N204" i="21" s="1"/>
  <c r="I196" i="21"/>
  <c r="I184" i="21"/>
  <c r="I172" i="21"/>
  <c r="I160" i="21"/>
  <c r="I140" i="21"/>
  <c r="N140" i="21" s="1"/>
  <c r="I124" i="21"/>
  <c r="I108" i="21"/>
  <c r="N108" i="21" s="1"/>
  <c r="I92" i="21"/>
  <c r="N92" i="21" s="1"/>
  <c r="I76" i="21"/>
  <c r="I60" i="21"/>
  <c r="N60" i="21" s="1"/>
  <c r="I40" i="21"/>
  <c r="I24" i="21"/>
  <c r="N24" i="21" s="1"/>
  <c r="I8" i="21"/>
  <c r="N8" i="21" s="1"/>
  <c r="I219" i="21"/>
  <c r="N219" i="21" s="1"/>
  <c r="I203" i="21"/>
  <c r="N203" i="21" s="1"/>
  <c r="I187" i="21"/>
  <c r="N187" i="21" s="1"/>
  <c r="I167" i="21"/>
  <c r="N167" i="21" s="1"/>
  <c r="I151" i="21"/>
  <c r="N151" i="21" s="1"/>
  <c r="I135" i="21"/>
  <c r="N135" i="21" s="1"/>
  <c r="I119" i="21"/>
  <c r="N119" i="21" s="1"/>
  <c r="I103" i="21"/>
  <c r="N103" i="21" s="1"/>
  <c r="I87" i="21"/>
  <c r="N87" i="21" s="1"/>
  <c r="I71" i="21"/>
  <c r="N71" i="21" s="1"/>
  <c r="I55" i="21"/>
  <c r="N55" i="21" s="1"/>
  <c r="I47" i="21"/>
  <c r="N47" i="21" s="1"/>
  <c r="I31" i="21"/>
  <c r="N31" i="21" s="1"/>
  <c r="I15" i="21"/>
  <c r="N15" i="21" s="1"/>
  <c r="I225" i="21"/>
  <c r="I217" i="21"/>
  <c r="I209" i="21"/>
  <c r="I201" i="21"/>
  <c r="I193" i="21"/>
  <c r="I185" i="21"/>
  <c r="I177" i="21"/>
  <c r="I169" i="21"/>
  <c r="I161" i="21"/>
  <c r="I153" i="21"/>
  <c r="I145" i="21"/>
  <c r="I137" i="21"/>
  <c r="I129" i="21"/>
  <c r="I121" i="21"/>
  <c r="I113" i="21"/>
  <c r="I105" i="21"/>
  <c r="I97" i="21"/>
  <c r="I89" i="21"/>
  <c r="I81" i="21"/>
  <c r="I73" i="21"/>
  <c r="I65" i="21"/>
  <c r="I57" i="21"/>
  <c r="I49" i="21"/>
  <c r="I41" i="21"/>
  <c r="I33" i="21"/>
  <c r="I25" i="21"/>
  <c r="I17" i="21"/>
  <c r="I9" i="21"/>
  <c r="I176" i="21"/>
  <c r="N176" i="21" s="1"/>
  <c r="I156" i="21"/>
  <c r="N156" i="21" s="1"/>
  <c r="I144" i="21"/>
  <c r="N144" i="21" s="1"/>
  <c r="I128" i="21"/>
  <c r="N128" i="21" s="1"/>
  <c r="I112" i="21"/>
  <c r="I96" i="21"/>
  <c r="N96" i="21" s="1"/>
  <c r="I80" i="21"/>
  <c r="N80" i="21" s="1"/>
  <c r="I64" i="21"/>
  <c r="I52" i="21"/>
  <c r="I32" i="21"/>
  <c r="N32" i="21" s="1"/>
  <c r="I20" i="21"/>
  <c r="N20" i="21" s="1"/>
  <c r="I4" i="21"/>
  <c r="I215" i="21"/>
  <c r="N215" i="21" s="1"/>
  <c r="I199" i="21"/>
  <c r="N199" i="21" s="1"/>
  <c r="I183" i="21"/>
  <c r="N183" i="21" s="1"/>
  <c r="I171" i="21"/>
  <c r="N171" i="21" s="1"/>
  <c r="I155" i="21"/>
  <c r="N155" i="21" s="1"/>
  <c r="I139" i="21"/>
  <c r="N139" i="21" s="1"/>
  <c r="I123" i="21"/>
  <c r="N123" i="21" s="1"/>
  <c r="I107" i="21"/>
  <c r="N107" i="21" s="1"/>
  <c r="I91" i="21"/>
  <c r="N91" i="21" s="1"/>
  <c r="I75" i="21"/>
  <c r="N75" i="21" s="1"/>
  <c r="I59" i="21"/>
  <c r="N59" i="21" s="1"/>
  <c r="I35" i="21"/>
  <c r="N35" i="21" s="1"/>
  <c r="I19" i="21"/>
  <c r="N19" i="21" s="1"/>
  <c r="I3" i="21"/>
  <c r="N3" i="21" s="1"/>
  <c r="I218" i="21"/>
  <c r="I186" i="21"/>
  <c r="I170" i="21"/>
  <c r="I58" i="21"/>
  <c r="I2" i="21"/>
  <c r="O2" i="21" s="1"/>
  <c r="I227" i="21"/>
  <c r="N227" i="21" s="1"/>
  <c r="I179" i="21"/>
  <c r="N179" i="21" s="1"/>
  <c r="I51" i="21"/>
  <c r="N51" i="21" s="1"/>
  <c r="I85" i="21"/>
  <c r="I37" i="21"/>
  <c r="I192" i="21"/>
  <c r="N192" i="21" s="1"/>
  <c r="I164" i="21"/>
  <c r="N164" i="21" s="1"/>
  <c r="I163" i="21"/>
  <c r="N163" i="21" s="1"/>
  <c r="I99" i="21"/>
  <c r="N99" i="21" s="1"/>
  <c r="I67" i="21"/>
  <c r="N67" i="21" s="1"/>
  <c r="I27" i="21"/>
  <c r="N27" i="21" s="1"/>
  <c r="N23" i="21"/>
  <c r="N228" i="21"/>
  <c r="N226" i="21" l="1"/>
  <c r="N178" i="21"/>
  <c r="N130" i="21"/>
  <c r="N82" i="21"/>
  <c r="N220" i="21"/>
  <c r="N208" i="21"/>
  <c r="N196" i="21"/>
  <c r="N184" i="21"/>
  <c r="N172" i="21"/>
  <c r="N160" i="21"/>
  <c r="N148" i="21"/>
  <c r="N136" i="21"/>
  <c r="N124" i="21"/>
  <c r="N112" i="21"/>
  <c r="N100" i="21"/>
  <c r="N88" i="21"/>
  <c r="N76" i="21"/>
  <c r="N64" i="21"/>
  <c r="N52" i="21"/>
  <c r="N40" i="21"/>
  <c r="N28" i="21"/>
  <c r="N16" i="21"/>
  <c r="N4" i="21"/>
  <c r="N194" i="21"/>
  <c r="N146" i="21"/>
  <c r="N50" i="21"/>
  <c r="N210" i="21"/>
  <c r="N162" i="21"/>
  <c r="N114" i="21"/>
  <c r="N18" i="21"/>
  <c r="N222" i="21"/>
  <c r="N218" i="21"/>
  <c r="N214" i="21"/>
  <c r="N206" i="21"/>
  <c r="N202" i="21"/>
  <c r="N198" i="21"/>
  <c r="N190" i="21"/>
  <c r="N186" i="21"/>
  <c r="N182" i="21"/>
  <c r="N174" i="21"/>
  <c r="N170" i="21"/>
  <c r="N166" i="21"/>
  <c r="N158" i="21"/>
  <c r="N154" i="21"/>
  <c r="N150" i="21"/>
  <c r="N142" i="21"/>
  <c r="N138" i="21"/>
  <c r="N134" i="21"/>
  <c r="N126" i="21"/>
  <c r="N122" i="21"/>
  <c r="N118" i="21"/>
  <c r="N106" i="21"/>
  <c r="N98" i="21"/>
  <c r="N90" i="21"/>
  <c r="N74" i="21"/>
  <c r="N66" i="21"/>
  <c r="N58" i="21"/>
  <c r="N42" i="21"/>
  <c r="N34" i="21"/>
  <c r="N26" i="21"/>
  <c r="N10" i="21"/>
  <c r="N225" i="21"/>
  <c r="N221" i="21"/>
  <c r="N217" i="21"/>
  <c r="N213" i="21"/>
  <c r="N209" i="21"/>
  <c r="N205" i="21"/>
  <c r="N201" i="21"/>
  <c r="N197" i="21"/>
  <c r="N193" i="21"/>
  <c r="N189" i="21"/>
  <c r="N185" i="21"/>
  <c r="N181" i="21"/>
  <c r="N177" i="21"/>
  <c r="N173" i="21"/>
  <c r="N169" i="21"/>
  <c r="N165" i="21"/>
  <c r="N161" i="21"/>
  <c r="N157" i="21"/>
  <c r="N153" i="21"/>
  <c r="N149" i="21"/>
  <c r="N145" i="21"/>
  <c r="N141" i="21"/>
  <c r="N137" i="21"/>
  <c r="N133" i="21"/>
  <c r="N129" i="21"/>
  <c r="N125" i="21"/>
  <c r="N121" i="21"/>
  <c r="N117" i="21"/>
  <c r="N113" i="21"/>
  <c r="N109" i="21"/>
  <c r="N105" i="21"/>
  <c r="N101" i="21"/>
  <c r="N97" i="21"/>
  <c r="N93" i="21"/>
  <c r="N89" i="21"/>
  <c r="N85" i="21"/>
  <c r="N81" i="21"/>
  <c r="N77" i="21"/>
  <c r="N73" i="21"/>
  <c r="N69" i="21"/>
  <c r="N65" i="21"/>
  <c r="N61" i="21"/>
  <c r="N57" i="21"/>
  <c r="N53" i="21"/>
  <c r="N49" i="21"/>
  <c r="N45" i="21"/>
  <c r="N41" i="21"/>
  <c r="N37" i="21"/>
  <c r="N33" i="21"/>
  <c r="N29" i="21"/>
  <c r="N25" i="21"/>
  <c r="N21" i="21"/>
  <c r="N17" i="21"/>
  <c r="N13" i="21"/>
  <c r="N9" i="21"/>
  <c r="N5" i="21"/>
  <c r="N110" i="21"/>
  <c r="N102" i="21"/>
  <c r="N94" i="21"/>
  <c r="N86" i="21"/>
  <c r="N78" i="21"/>
  <c r="N70" i="21"/>
  <c r="N62" i="21"/>
  <c r="N54" i="21"/>
  <c r="N46" i="21"/>
  <c r="N38" i="21"/>
  <c r="N30" i="21"/>
  <c r="N22" i="21"/>
  <c r="N14" i="21"/>
  <c r="N6" i="21"/>
  <c r="C2" i="21" l="1"/>
  <c r="T5" i="21" s="1"/>
  <c r="W162" i="21"/>
  <c r="W142" i="21"/>
  <c r="W94" i="21"/>
  <c r="W46" i="21"/>
  <c r="X220" i="21"/>
  <c r="X132" i="21"/>
  <c r="X116" i="21"/>
  <c r="X100" i="21"/>
  <c r="X84" i="21"/>
  <c r="X68" i="21"/>
  <c r="X52" i="21"/>
  <c r="X36" i="21"/>
  <c r="Y218" i="21"/>
  <c r="W218" i="21"/>
  <c r="W182" i="21"/>
  <c r="W138" i="21"/>
  <c r="W90" i="21"/>
  <c r="W42" i="21"/>
  <c r="X168" i="21"/>
  <c r="X136" i="21"/>
  <c r="W201" i="21"/>
  <c r="W169" i="21"/>
  <c r="W133" i="21"/>
  <c r="W105" i="21"/>
  <c r="W73" i="21"/>
  <c r="W212" i="21"/>
  <c r="W180" i="21"/>
  <c r="W148" i="21"/>
  <c r="W116" i="21"/>
  <c r="W84" i="21"/>
  <c r="W52" i="21"/>
  <c r="X222" i="21"/>
  <c r="W226" i="21"/>
  <c r="W190" i="21"/>
  <c r="W134" i="21"/>
  <c r="W86" i="21"/>
  <c r="W38" i="21"/>
  <c r="X192" i="21"/>
  <c r="X164" i="21"/>
  <c r="W6" i="21"/>
  <c r="C10" i="3" s="1"/>
  <c r="W197" i="21"/>
  <c r="W165" i="21"/>
  <c r="W137" i="21"/>
  <c r="W97" i="21"/>
  <c r="W65" i="21"/>
  <c r="W228" i="21"/>
  <c r="W200" i="21"/>
  <c r="W168" i="21"/>
  <c r="W136" i="21"/>
  <c r="W104" i="21"/>
  <c r="W72" i="21"/>
  <c r="W32" i="21"/>
  <c r="X202" i="21"/>
  <c r="Y198" i="21"/>
  <c r="Y182" i="21"/>
  <c r="Y166" i="21"/>
  <c r="Y150" i="21"/>
  <c r="Y134" i="21"/>
  <c r="Y118" i="21"/>
  <c r="Y102" i="21"/>
  <c r="Y86" i="21"/>
  <c r="Y70" i="21"/>
  <c r="Y54" i="21"/>
  <c r="Y38" i="21"/>
  <c r="Y22" i="21"/>
  <c r="D37" i="7" s="1"/>
  <c r="W37" i="21"/>
  <c r="X219" i="21"/>
  <c r="X203" i="21"/>
  <c r="X187" i="21"/>
  <c r="X171" i="21"/>
  <c r="X155" i="21"/>
  <c r="X139" i="21"/>
  <c r="X123" i="21"/>
  <c r="X107" i="21"/>
  <c r="X91" i="21"/>
  <c r="X75" i="21"/>
  <c r="X59" i="21"/>
  <c r="X43" i="21"/>
  <c r="Y225" i="21"/>
  <c r="Y209" i="21"/>
  <c r="Y193" i="21"/>
  <c r="Y177" i="21"/>
  <c r="Y161" i="21"/>
  <c r="Y145" i="21"/>
  <c r="X174" i="21"/>
  <c r="X130" i="21"/>
  <c r="X106" i="21"/>
  <c r="X90" i="21"/>
  <c r="X74" i="21"/>
  <c r="X58" i="21"/>
  <c r="X42" i="21"/>
  <c r="Y228" i="21"/>
  <c r="Y212" i="21"/>
  <c r="Y196" i="21"/>
  <c r="Y180" i="21"/>
  <c r="Y164" i="21"/>
  <c r="Y148" i="21"/>
  <c r="Y132" i="21"/>
  <c r="Y116" i="21"/>
  <c r="Y100" i="21"/>
  <c r="Y84" i="21"/>
  <c r="Y68" i="21"/>
  <c r="Y52" i="21"/>
  <c r="Y36" i="21"/>
  <c r="Y20" i="21"/>
  <c r="D33" i="7" s="1"/>
  <c r="X186" i="21"/>
  <c r="X154" i="21"/>
  <c r="X134" i="21"/>
  <c r="W223" i="21"/>
  <c r="W207" i="21"/>
  <c r="W191" i="21"/>
  <c r="W175" i="21"/>
  <c r="W158" i="21"/>
  <c r="W130" i="21"/>
  <c r="W82" i="21"/>
  <c r="W34" i="21"/>
  <c r="X216" i="21"/>
  <c r="X128" i="21"/>
  <c r="X112" i="21"/>
  <c r="X96" i="21"/>
  <c r="X80" i="21"/>
  <c r="X64" i="21"/>
  <c r="X48" i="21"/>
  <c r="X32" i="21"/>
  <c r="Y214" i="21"/>
  <c r="W206" i="21"/>
  <c r="W178" i="21"/>
  <c r="W126" i="21"/>
  <c r="W74" i="21"/>
  <c r="W30" i="21"/>
  <c r="X160" i="21"/>
  <c r="W225" i="21"/>
  <c r="W189" i="21"/>
  <c r="W161" i="21"/>
  <c r="W125" i="21"/>
  <c r="W101" i="21"/>
  <c r="W69" i="21"/>
  <c r="W204" i="21"/>
  <c r="W172" i="21"/>
  <c r="W140" i="21"/>
  <c r="W108" i="21"/>
  <c r="W76" i="21"/>
  <c r="W48" i="21"/>
  <c r="X210" i="21"/>
  <c r="W214" i="21"/>
  <c r="W186" i="21"/>
  <c r="W122" i="21"/>
  <c r="W78" i="21"/>
  <c r="X212" i="21"/>
  <c r="X188" i="21"/>
  <c r="X156" i="21"/>
  <c r="W221" i="21"/>
  <c r="W193" i="21"/>
  <c r="W157" i="21"/>
  <c r="W129" i="21"/>
  <c r="W93" i="21"/>
  <c r="W61" i="21"/>
  <c r="W224" i="21"/>
  <c r="W192" i="21"/>
  <c r="W160" i="21"/>
  <c r="W128" i="21"/>
  <c r="W96" i="21"/>
  <c r="W64" i="21"/>
  <c r="X226" i="21"/>
  <c r="Y210" i="21"/>
  <c r="Y194" i="21"/>
  <c r="Y178" i="21"/>
  <c r="Y162" i="21"/>
  <c r="Y146" i="21"/>
  <c r="Y130" i="21"/>
  <c r="Y114" i="21"/>
  <c r="Y98" i="21"/>
  <c r="Y82" i="21"/>
  <c r="Y66" i="21"/>
  <c r="Y50" i="21"/>
  <c r="Y34" i="21"/>
  <c r="Y18" i="21"/>
  <c r="D29" i="7" s="1"/>
  <c r="W33" i="21"/>
  <c r="X215" i="21"/>
  <c r="X199" i="21"/>
  <c r="X183" i="21"/>
  <c r="X167" i="21"/>
  <c r="X151" i="21"/>
  <c r="X135" i="21"/>
  <c r="X119" i="21"/>
  <c r="X103" i="21"/>
  <c r="X87" i="21"/>
  <c r="X71" i="21"/>
  <c r="X55" i="21"/>
  <c r="X39" i="21"/>
  <c r="Y221" i="21"/>
  <c r="Y205" i="21"/>
  <c r="Y189" i="21"/>
  <c r="Y173" i="21"/>
  <c r="Y157" i="21"/>
  <c r="Y141" i="21"/>
  <c r="X166" i="21"/>
  <c r="X122" i="21"/>
  <c r="X102" i="21"/>
  <c r="X86" i="21"/>
  <c r="X70" i="21"/>
  <c r="X54" i="21"/>
  <c r="X38" i="21"/>
  <c r="Y224" i="21"/>
  <c r="Y208" i="21"/>
  <c r="Y192" i="21"/>
  <c r="Y176" i="21"/>
  <c r="Y160" i="21"/>
  <c r="Y144" i="21"/>
  <c r="Y128" i="21"/>
  <c r="Y112" i="21"/>
  <c r="Y96" i="21"/>
  <c r="Y80" i="21"/>
  <c r="Y64" i="21"/>
  <c r="Y48" i="21"/>
  <c r="Y32" i="21"/>
  <c r="Y16" i="21"/>
  <c r="X178" i="21"/>
  <c r="X146" i="21"/>
  <c r="X126" i="21"/>
  <c r="W219" i="21"/>
  <c r="W203" i="21"/>
  <c r="W187" i="21"/>
  <c r="W171" i="21"/>
  <c r="W155" i="21"/>
  <c r="W139" i="21"/>
  <c r="W123" i="21"/>
  <c r="W107" i="21"/>
  <c r="W91" i="21"/>
  <c r="W75" i="21"/>
  <c r="W59" i="21"/>
  <c r="W43" i="21"/>
  <c r="X225" i="21"/>
  <c r="X209" i="21"/>
  <c r="W150" i="21"/>
  <c r="W118" i="21"/>
  <c r="W70" i="21"/>
  <c r="X228" i="21"/>
  <c r="X208" i="21"/>
  <c r="X124" i="21"/>
  <c r="X108" i="21"/>
  <c r="X92" i="21"/>
  <c r="X76" i="21"/>
  <c r="X60" i="21"/>
  <c r="X44" i="21"/>
  <c r="Y226" i="21"/>
  <c r="W45" i="21"/>
  <c r="W202" i="21"/>
  <c r="W170" i="21"/>
  <c r="W114" i="21"/>
  <c r="W62" i="21"/>
  <c r="X184" i="21"/>
  <c r="X152" i="21"/>
  <c r="W217" i="21"/>
  <c r="W185" i="21"/>
  <c r="W153" i="21"/>
  <c r="W121" i="21"/>
  <c r="W89" i="21"/>
  <c r="W57" i="21"/>
  <c r="W196" i="21"/>
  <c r="W164" i="21"/>
  <c r="W132" i="21"/>
  <c r="W100" i="21"/>
  <c r="W68" i="21"/>
  <c r="W44" i="21"/>
  <c r="X206" i="21"/>
  <c r="W210" i="21"/>
  <c r="W174" i="21"/>
  <c r="W110" i="21"/>
  <c r="W66" i="21"/>
  <c r="X204" i="21"/>
  <c r="X180" i="21"/>
  <c r="X148" i="21"/>
  <c r="W213" i="21"/>
  <c r="W181" i="21"/>
  <c r="W149" i="21"/>
  <c r="W117" i="21"/>
  <c r="W85" i="21"/>
  <c r="W53" i="21"/>
  <c r="W216" i="21"/>
  <c r="W184" i="21"/>
  <c r="W152" i="21"/>
  <c r="W120" i="21"/>
  <c r="W88" i="21"/>
  <c r="W56" i="21"/>
  <c r="X218" i="21"/>
  <c r="Y206" i="21"/>
  <c r="Y190" i="21"/>
  <c r="Y174" i="21"/>
  <c r="Y158" i="21"/>
  <c r="Y142" i="21"/>
  <c r="Y126" i="21"/>
  <c r="Y110" i="21"/>
  <c r="Y94" i="21"/>
  <c r="Y78" i="21"/>
  <c r="Y62" i="21"/>
  <c r="Y46" i="21"/>
  <c r="Y30" i="21"/>
  <c r="Y14" i="21"/>
  <c r="D21" i="7" s="1"/>
  <c r="X227" i="21"/>
  <c r="X211" i="21"/>
  <c r="X195" i="21"/>
  <c r="X179" i="21"/>
  <c r="X163" i="21"/>
  <c r="X147" i="21"/>
  <c r="X131" i="21"/>
  <c r="X115" i="21"/>
  <c r="X99" i="21"/>
  <c r="X83" i="21"/>
  <c r="X67" i="21"/>
  <c r="X51" i="21"/>
  <c r="X35" i="21"/>
  <c r="Y217" i="21"/>
  <c r="Y201" i="21"/>
  <c r="Y185" i="21"/>
  <c r="Y169" i="21"/>
  <c r="Y153" i="21"/>
  <c r="X190" i="21"/>
  <c r="X158" i="21"/>
  <c r="W146" i="21"/>
  <c r="X196" i="21"/>
  <c r="X72" i="21"/>
  <c r="W222" i="21"/>
  <c r="W50" i="21"/>
  <c r="W177" i="21"/>
  <c r="W220" i="21"/>
  <c r="W92" i="21"/>
  <c r="W198" i="21"/>
  <c r="X200" i="21"/>
  <c r="W173" i="21"/>
  <c r="W49" i="21"/>
  <c r="W112" i="21"/>
  <c r="Y202" i="21"/>
  <c r="Y138" i="21"/>
  <c r="Y74" i="21"/>
  <c r="W41" i="21"/>
  <c r="X175" i="21"/>
  <c r="X111" i="21"/>
  <c r="X47" i="21"/>
  <c r="Y181" i="21"/>
  <c r="X150" i="21"/>
  <c r="X94" i="21"/>
  <c r="X62" i="21"/>
  <c r="X30" i="21"/>
  <c r="Y200" i="21"/>
  <c r="Y168" i="21"/>
  <c r="Y136" i="21"/>
  <c r="Y104" i="21"/>
  <c r="Y72" i="21"/>
  <c r="Y40" i="21"/>
  <c r="X194" i="21"/>
  <c r="X138" i="21"/>
  <c r="W211" i="21"/>
  <c r="W179" i="21"/>
  <c r="W151" i="21"/>
  <c r="W131" i="21"/>
  <c r="W111" i="21"/>
  <c r="W87" i="21"/>
  <c r="W67" i="21"/>
  <c r="W47" i="21"/>
  <c r="X221" i="21"/>
  <c r="X201" i="21"/>
  <c r="X185" i="21"/>
  <c r="X169" i="21"/>
  <c r="X153" i="21"/>
  <c r="Y129" i="21"/>
  <c r="Y113" i="21"/>
  <c r="Y97" i="21"/>
  <c r="Y81" i="21"/>
  <c r="Y65" i="21"/>
  <c r="Y49" i="21"/>
  <c r="Y33" i="21"/>
  <c r="Y17" i="21"/>
  <c r="D27" i="7" s="1"/>
  <c r="X137" i="21"/>
  <c r="X121" i="21"/>
  <c r="X105" i="21"/>
  <c r="X89" i="21"/>
  <c r="X73" i="21"/>
  <c r="X57" i="21"/>
  <c r="X41" i="21"/>
  <c r="Y227" i="21"/>
  <c r="Y211" i="21"/>
  <c r="Y195" i="21"/>
  <c r="Y179" i="21"/>
  <c r="Y163" i="21"/>
  <c r="Y147" i="21"/>
  <c r="Y131" i="21"/>
  <c r="Y115" i="21"/>
  <c r="Y99" i="21"/>
  <c r="Y83" i="21"/>
  <c r="Y67" i="21"/>
  <c r="Y51" i="21"/>
  <c r="Y35" i="21"/>
  <c r="Y19" i="21"/>
  <c r="D31" i="7" s="1"/>
  <c r="W22" i="21"/>
  <c r="C122" i="3" s="1"/>
  <c r="X22" i="21"/>
  <c r="D190" i="2" s="1"/>
  <c r="X27" i="21"/>
  <c r="W20" i="21"/>
  <c r="C108" i="3" s="1"/>
  <c r="X20" i="21"/>
  <c r="D168" i="2" s="1"/>
  <c r="W19" i="21"/>
  <c r="C101" i="3" s="1"/>
  <c r="X19" i="21"/>
  <c r="D157" i="2" s="1"/>
  <c r="W15" i="21"/>
  <c r="C73" i="3" s="1"/>
  <c r="W12" i="21"/>
  <c r="C52" i="3" s="1"/>
  <c r="X21" i="21"/>
  <c r="D179" i="2" s="1"/>
  <c r="W11" i="21"/>
  <c r="C45" i="3" s="1"/>
  <c r="W106" i="21"/>
  <c r="X120" i="21"/>
  <c r="X56" i="21"/>
  <c r="W194" i="21"/>
  <c r="X176" i="21"/>
  <c r="W141" i="21"/>
  <c r="W188" i="21"/>
  <c r="W60" i="21"/>
  <c r="W166" i="21"/>
  <c r="X172" i="21"/>
  <c r="W145" i="21"/>
  <c r="W208" i="21"/>
  <c r="W80" i="21"/>
  <c r="Y186" i="21"/>
  <c r="Y122" i="21"/>
  <c r="Y58" i="21"/>
  <c r="X223" i="21"/>
  <c r="X159" i="21"/>
  <c r="X95" i="21"/>
  <c r="X31" i="21"/>
  <c r="Y165" i="21"/>
  <c r="X114" i="21"/>
  <c r="X82" i="21"/>
  <c r="X50" i="21"/>
  <c r="Y220" i="21"/>
  <c r="Y188" i="21"/>
  <c r="Y156" i="21"/>
  <c r="Y124" i="21"/>
  <c r="Y92" i="21"/>
  <c r="Y60" i="21"/>
  <c r="Y28" i="21"/>
  <c r="D49" i="7" s="1"/>
  <c r="X170" i="21"/>
  <c r="X118" i="21"/>
  <c r="W199" i="21"/>
  <c r="W167" i="21"/>
  <c r="W147" i="21"/>
  <c r="W127" i="21"/>
  <c r="W103" i="21"/>
  <c r="W83" i="21"/>
  <c r="W63" i="21"/>
  <c r="W39" i="21"/>
  <c r="X217" i="21"/>
  <c r="X197" i="21"/>
  <c r="X181" i="21"/>
  <c r="X165" i="21"/>
  <c r="X149" i="21"/>
  <c r="Y125" i="21"/>
  <c r="Y109" i="21"/>
  <c r="Y93" i="21"/>
  <c r="Y77" i="21"/>
  <c r="Y61" i="21"/>
  <c r="Y45" i="21"/>
  <c r="Y29" i="21"/>
  <c r="X133" i="21"/>
  <c r="X117" i="21"/>
  <c r="X101" i="21"/>
  <c r="X85" i="21"/>
  <c r="X69" i="21"/>
  <c r="X53" i="21"/>
  <c r="X37" i="21"/>
  <c r="Y223" i="21"/>
  <c r="Y207" i="21"/>
  <c r="Y191" i="21"/>
  <c r="Y175" i="21"/>
  <c r="Y159" i="21"/>
  <c r="Y127" i="21"/>
  <c r="Y111" i="21"/>
  <c r="Y79" i="21"/>
  <c r="Y47" i="21"/>
  <c r="Y15" i="21"/>
  <c r="D23" i="7" s="1"/>
  <c r="W16" i="21"/>
  <c r="C80" i="3" s="1"/>
  <c r="X15" i="21"/>
  <c r="D113" i="2" s="1"/>
  <c r="X14" i="21"/>
  <c r="D102" i="2" s="1"/>
  <c r="X13" i="21"/>
  <c r="D91" i="2" s="1"/>
  <c r="X24" i="21"/>
  <c r="X23" i="21"/>
  <c r="D201" i="2" s="1"/>
  <c r="Y13" i="21"/>
  <c r="D19" i="7" s="1"/>
  <c r="Y143" i="21"/>
  <c r="Y95" i="21"/>
  <c r="Y63" i="21"/>
  <c r="Y31" i="21"/>
  <c r="X16" i="21"/>
  <c r="W14" i="21"/>
  <c r="C66" i="3" s="1"/>
  <c r="W13" i="21"/>
  <c r="C59" i="3" s="1"/>
  <c r="W9" i="21"/>
  <c r="C31" i="3" s="1"/>
  <c r="W29" i="21"/>
  <c r="C171" i="3" s="1"/>
  <c r="Y21" i="21"/>
  <c r="D35" i="7" s="1"/>
  <c r="X109" i="21"/>
  <c r="X93" i="21"/>
  <c r="X61" i="21"/>
  <c r="X45" i="21"/>
  <c r="Y215" i="21"/>
  <c r="Y199" i="21"/>
  <c r="Y183" i="21"/>
  <c r="Y151" i="21"/>
  <c r="Y135" i="21"/>
  <c r="Y103" i="21"/>
  <c r="Y71" i="21"/>
  <c r="Y39" i="21"/>
  <c r="W28" i="21"/>
  <c r="C164" i="3" s="1"/>
  <c r="W26" i="21"/>
  <c r="C150" i="3" s="1"/>
  <c r="W25" i="21"/>
  <c r="C143" i="3" s="1"/>
  <c r="W21" i="21"/>
  <c r="C115" i="3" s="1"/>
  <c r="X12" i="21"/>
  <c r="D80" i="2" s="1"/>
  <c r="X11" i="21"/>
  <c r="D69" i="2" s="1"/>
  <c r="W58" i="21"/>
  <c r="X104" i="21"/>
  <c r="X40" i="21"/>
  <c r="W154" i="21"/>
  <c r="X144" i="21"/>
  <c r="W113" i="21"/>
  <c r="W156" i="21"/>
  <c r="W36" i="21"/>
  <c r="W98" i="21"/>
  <c r="X140" i="21"/>
  <c r="W109" i="21"/>
  <c r="W176" i="21"/>
  <c r="W40" i="21"/>
  <c r="Y170" i="21"/>
  <c r="Y106" i="21"/>
  <c r="Y42" i="21"/>
  <c r="X207" i="21"/>
  <c r="X143" i="21"/>
  <c r="X79" i="21"/>
  <c r="Y213" i="21"/>
  <c r="Y149" i="21"/>
  <c r="X110" i="21"/>
  <c r="X78" i="21"/>
  <c r="X46" i="21"/>
  <c r="Y216" i="21"/>
  <c r="Y184" i="21"/>
  <c r="Y152" i="21"/>
  <c r="Y120" i="21"/>
  <c r="Y88" i="21"/>
  <c r="Y56" i="21"/>
  <c r="Y24" i="21"/>
  <c r="X162" i="21"/>
  <c r="W227" i="21"/>
  <c r="W195" i="21"/>
  <c r="W163" i="21"/>
  <c r="W143" i="21"/>
  <c r="W119" i="21"/>
  <c r="W99" i="21"/>
  <c r="W79" i="21"/>
  <c r="W55" i="21"/>
  <c r="W35" i="21"/>
  <c r="X213" i="21"/>
  <c r="X193" i="21"/>
  <c r="X177" i="21"/>
  <c r="X161" i="21"/>
  <c r="Y137" i="21"/>
  <c r="Y121" i="21"/>
  <c r="Y105" i="21"/>
  <c r="Y89" i="21"/>
  <c r="Y73" i="21"/>
  <c r="Y57" i="21"/>
  <c r="Y41" i="21"/>
  <c r="Y25" i="21"/>
  <c r="D43" i="7" s="1"/>
  <c r="X145" i="21"/>
  <c r="X129" i="21"/>
  <c r="X113" i="21"/>
  <c r="X97" i="21"/>
  <c r="X81" i="21"/>
  <c r="X65" i="21"/>
  <c r="X49" i="21"/>
  <c r="X33" i="21"/>
  <c r="Y219" i="21"/>
  <c r="Y203" i="21"/>
  <c r="Y187" i="21"/>
  <c r="Y171" i="21"/>
  <c r="Y155" i="21"/>
  <c r="Y139" i="21"/>
  <c r="Y123" i="21"/>
  <c r="Y107" i="21"/>
  <c r="Y91" i="21"/>
  <c r="Y75" i="21"/>
  <c r="Y59" i="21"/>
  <c r="Y43" i="21"/>
  <c r="Y27" i="21"/>
  <c r="Y11" i="21"/>
  <c r="D15" i="7" s="1"/>
  <c r="W10" i="21"/>
  <c r="C38" i="3" s="1"/>
  <c r="X10" i="21"/>
  <c r="D58" i="2" s="1"/>
  <c r="X9" i="21"/>
  <c r="D47" i="2" s="1"/>
  <c r="W8" i="21"/>
  <c r="C24" i="3" s="1"/>
  <c r="X8" i="21"/>
  <c r="D36" i="2" s="1"/>
  <c r="W7" i="21"/>
  <c r="C17" i="3" s="1"/>
  <c r="X7" i="21"/>
  <c r="D25" i="2" s="1"/>
  <c r="W24" i="21"/>
  <c r="C136" i="3" s="1"/>
  <c r="X18" i="21"/>
  <c r="D146" i="2" s="1"/>
  <c r="W23" i="21"/>
  <c r="C129" i="3" s="1"/>
  <c r="X17" i="21"/>
  <c r="D135" i="2" s="1"/>
  <c r="X224" i="21"/>
  <c r="X88" i="21"/>
  <c r="Y222" i="21"/>
  <c r="W102" i="21"/>
  <c r="W209" i="21"/>
  <c r="W81" i="21"/>
  <c r="W124" i="21"/>
  <c r="X198" i="21"/>
  <c r="W54" i="21"/>
  <c r="W205" i="21"/>
  <c r="W77" i="21"/>
  <c r="W144" i="21"/>
  <c r="X214" i="21"/>
  <c r="Y154" i="21"/>
  <c r="Y90" i="21"/>
  <c r="Y26" i="21"/>
  <c r="X191" i="21"/>
  <c r="X127" i="21"/>
  <c r="X63" i="21"/>
  <c r="Y197" i="21"/>
  <c r="X182" i="21"/>
  <c r="X98" i="21"/>
  <c r="X66" i="21"/>
  <c r="X34" i="21"/>
  <c r="Y204" i="21"/>
  <c r="Y172" i="21"/>
  <c r="Y140" i="21"/>
  <c r="Y108" i="21"/>
  <c r="Y76" i="21"/>
  <c r="Y44" i="21"/>
  <c r="Y12" i="21"/>
  <c r="D17" i="7" s="1"/>
  <c r="X142" i="21"/>
  <c r="W215" i="21"/>
  <c r="W183" i="21"/>
  <c r="W159" i="21"/>
  <c r="W135" i="21"/>
  <c r="W115" i="21"/>
  <c r="W95" i="21"/>
  <c r="W71" i="21"/>
  <c r="W51" i="21"/>
  <c r="W31" i="21"/>
  <c r="X205" i="21"/>
  <c r="X189" i="21"/>
  <c r="X173" i="21"/>
  <c r="X157" i="21"/>
  <c r="Y133" i="21"/>
  <c r="Y117" i="21"/>
  <c r="Y101" i="21"/>
  <c r="Y85" i="21"/>
  <c r="Y69" i="21"/>
  <c r="Y53" i="21"/>
  <c r="Y37" i="21"/>
  <c r="X141" i="21"/>
  <c r="X125" i="21"/>
  <c r="X77" i="21"/>
  <c r="X29" i="21"/>
  <c r="Y167" i="21"/>
  <c r="Y119" i="21"/>
  <c r="Y87" i="21"/>
  <c r="Y55" i="21"/>
  <c r="Y23" i="21"/>
  <c r="D39" i="7" s="1"/>
  <c r="X28" i="21"/>
  <c r="D256" i="2" s="1"/>
  <c r="W27" i="21"/>
  <c r="C157" i="3" s="1"/>
  <c r="X26" i="21"/>
  <c r="D234" i="2" s="1"/>
  <c r="X25" i="21"/>
  <c r="W18" i="21"/>
  <c r="C94" i="3" s="1"/>
  <c r="W17" i="21"/>
  <c r="C87" i="3" s="1"/>
  <c r="W5" i="21"/>
  <c r="C3" i="3" s="1"/>
  <c r="Y10" i="21"/>
  <c r="D13" i="7" s="1"/>
  <c r="Y7" i="21"/>
  <c r="D7" i="7" s="1"/>
  <c r="Y9" i="21"/>
  <c r="D11" i="7" s="1"/>
  <c r="X6" i="21"/>
  <c r="D14" i="2" s="1"/>
  <c r="Y6" i="21"/>
  <c r="Y8" i="21"/>
  <c r="D9" i="7" s="1"/>
  <c r="O227" i="21"/>
  <c r="O215" i="21"/>
  <c r="O211" i="21"/>
  <c r="O207" i="21"/>
  <c r="O199" i="21"/>
  <c r="O195" i="21"/>
  <c r="O179" i="21"/>
  <c r="O175" i="21"/>
  <c r="O167" i="21"/>
  <c r="O163" i="21"/>
  <c r="O159" i="21"/>
  <c r="O151" i="21"/>
  <c r="O147" i="21"/>
  <c r="O123" i="21"/>
  <c r="O115" i="21"/>
  <c r="O87" i="21"/>
  <c r="O47" i="21"/>
  <c r="O31" i="21"/>
  <c r="O27" i="21"/>
  <c r="O23" i="21"/>
  <c r="O177" i="21"/>
  <c r="O73" i="21"/>
  <c r="O216" i="21"/>
  <c r="O212" i="21"/>
  <c r="O200" i="21"/>
  <c r="O196" i="21"/>
  <c r="O184" i="21"/>
  <c r="O180" i="21"/>
  <c r="O176" i="21"/>
  <c r="O168" i="21"/>
  <c r="O148" i="21"/>
  <c r="O140" i="21"/>
  <c r="O132" i="21"/>
  <c r="O128" i="21"/>
  <c r="O124" i="21"/>
  <c r="O120" i="21"/>
  <c r="O116" i="21"/>
  <c r="O100" i="21"/>
  <c r="O80" i="21"/>
  <c r="O68" i="21"/>
  <c r="O64" i="21"/>
  <c r="O60" i="21"/>
  <c r="O56" i="21"/>
  <c r="O52" i="21"/>
  <c r="O198" i="21"/>
  <c r="O194" i="21"/>
  <c r="O190" i="21"/>
  <c r="O186" i="21"/>
  <c r="O174" i="21"/>
  <c r="O166" i="21"/>
  <c r="O158" i="21"/>
  <c r="O146" i="21"/>
  <c r="O126" i="21"/>
  <c r="O122" i="21"/>
  <c r="O114" i="21"/>
  <c r="O102" i="21"/>
  <c r="O98" i="21"/>
  <c r="O94" i="21"/>
  <c r="O78" i="21"/>
  <c r="O70" i="21"/>
  <c r="O50" i="21"/>
  <c r="O42" i="21"/>
  <c r="O30" i="21"/>
  <c r="O26" i="21"/>
  <c r="O22" i="21"/>
  <c r="O14" i="21"/>
  <c r="O10" i="21"/>
  <c r="O224" i="21"/>
  <c r="O208" i="21"/>
  <c r="O221" i="21"/>
  <c r="O213" i="21"/>
  <c r="O205" i="21"/>
  <c r="O189" i="21"/>
  <c r="O185" i="21"/>
  <c r="O181" i="21"/>
  <c r="O173" i="21"/>
  <c r="O153" i="21"/>
  <c r="O137" i="21"/>
  <c r="O133" i="21"/>
  <c r="O125" i="21"/>
  <c r="O117" i="21"/>
  <c r="O105" i="21"/>
  <c r="O85" i="21"/>
  <c r="O77" i="21"/>
  <c r="O65" i="21"/>
  <c r="O33" i="21"/>
  <c r="O25" i="21"/>
  <c r="O21" i="21"/>
  <c r="O17" i="21"/>
  <c r="O187" i="21"/>
  <c r="O171" i="21"/>
  <c r="O155" i="21"/>
  <c r="O107" i="21"/>
  <c r="O83" i="21"/>
  <c r="O19" i="21"/>
  <c r="O172" i="21"/>
  <c r="O67" i="21"/>
  <c r="O36" i="21"/>
  <c r="O39" i="21"/>
  <c r="O11" i="21"/>
  <c r="O5" i="21"/>
  <c r="O12" i="21"/>
  <c r="D51" i="7" l="1"/>
  <c r="D212" i="2"/>
  <c r="D124" i="2"/>
  <c r="D5" i="7"/>
  <c r="D223" i="2"/>
  <c r="D41" i="7"/>
  <c r="D245" i="2"/>
  <c r="D25" i="7"/>
  <c r="D45" i="7"/>
  <c r="D47" i="7"/>
  <c r="U5" i="21"/>
  <c r="X5" i="21" s="1"/>
  <c r="D3" i="2" s="1"/>
  <c r="V5" i="21"/>
  <c r="Y5" i="21" s="1"/>
  <c r="D3" i="7" s="1"/>
  <c r="O209" i="21"/>
  <c r="O18" i="21"/>
  <c r="O223" i="21"/>
  <c r="O61" i="21"/>
  <c r="O228" i="21"/>
  <c r="O92" i="21"/>
  <c r="O219" i="21"/>
  <c r="O191" i="21"/>
  <c r="O53" i="21"/>
  <c r="O222" i="21"/>
  <c r="O109" i="21"/>
  <c r="O160" i="21"/>
  <c r="O69" i="21"/>
  <c r="O99" i="21"/>
  <c r="O142" i="21"/>
  <c r="O156" i="21"/>
  <c r="O220" i="21"/>
  <c r="O217" i="21"/>
  <c r="O204" i="21"/>
  <c r="O37" i="21"/>
  <c r="O210" i="21"/>
  <c r="O110" i="21"/>
  <c r="O35" i="21"/>
  <c r="O62" i="21"/>
  <c r="O188" i="21"/>
  <c r="O202" i="21"/>
  <c r="O104" i="21"/>
  <c r="O218" i="21"/>
  <c r="O121" i="21"/>
  <c r="O32" i="21"/>
  <c r="O157" i="21"/>
  <c r="O201" i="21"/>
  <c r="O152" i="21"/>
  <c r="O49" i="21"/>
  <c r="O145" i="21"/>
  <c r="O183" i="21"/>
  <c r="O46" i="21"/>
  <c r="O90" i="21"/>
  <c r="O206" i="21"/>
  <c r="O44" i="21"/>
  <c r="O76" i="21"/>
  <c r="O108" i="21"/>
  <c r="O165" i="21"/>
  <c r="O43" i="21"/>
  <c r="O20" i="21"/>
  <c r="O131" i="21"/>
  <c r="O225" i="21"/>
  <c r="O89" i="21"/>
  <c r="O203" i="21"/>
  <c r="O8" i="21"/>
  <c r="O91" i="21"/>
  <c r="O136" i="21"/>
  <c r="O72" i="21"/>
  <c r="O88" i="21"/>
  <c r="O154" i="21"/>
  <c r="O138" i="21"/>
  <c r="O101" i="21"/>
  <c r="O149" i="21"/>
  <c r="O58" i="21"/>
  <c r="O139" i="21"/>
  <c r="O66" i="21"/>
  <c r="O141" i="21"/>
  <c r="O24" i="21"/>
  <c r="O193" i="21"/>
  <c r="O134" i="21"/>
  <c r="O34" i="21"/>
  <c r="O84" i="21"/>
  <c r="O45" i="21"/>
  <c r="O9" i="21"/>
  <c r="O82" i="21"/>
  <c r="O97" i="21"/>
  <c r="O192" i="21"/>
  <c r="O41" i="21"/>
  <c r="O113" i="21"/>
  <c r="O48" i="21"/>
  <c r="O96" i="21"/>
  <c r="O57" i="21"/>
  <c r="O93" i="21"/>
  <c r="O28" i="21"/>
  <c r="O129" i="21"/>
  <c r="O130" i="21"/>
  <c r="O162" i="21"/>
  <c r="O178" i="21"/>
  <c r="O226" i="21"/>
  <c r="O169" i="21"/>
  <c r="O197" i="21"/>
  <c r="O4" i="21"/>
  <c r="O112" i="21"/>
  <c r="O144" i="21"/>
  <c r="O164" i="21"/>
  <c r="O214" i="21"/>
  <c r="O161" i="21"/>
  <c r="O118" i="21"/>
  <c r="O15" i="21"/>
  <c r="O6" i="21"/>
  <c r="O182" i="21"/>
  <c r="O106" i="21"/>
  <c r="O86" i="21"/>
  <c r="O29" i="21"/>
  <c r="O54" i="21"/>
  <c r="O81" i="21"/>
  <c r="O13" i="21"/>
  <c r="O38" i="21"/>
  <c r="O16" i="21"/>
  <c r="O170" i="21"/>
  <c r="O74" i="21"/>
  <c r="O150" i="21"/>
  <c r="O119" i="21"/>
  <c r="O3" i="21"/>
  <c r="O135" i="21"/>
  <c r="O7" i="21"/>
  <c r="O79" i="21"/>
  <c r="O95" i="21"/>
  <c r="O127" i="21"/>
  <c r="O40" i="21"/>
  <c r="O63" i="21"/>
  <c r="O51" i="21"/>
  <c r="O71" i="21"/>
  <c r="O103" i="21"/>
  <c r="O55" i="21"/>
  <c r="O59" i="21"/>
  <c r="O75" i="21"/>
  <c r="O111" i="21"/>
  <c r="O143" i="21"/>
  <c r="AE14" i="21" l="1"/>
  <c r="B102" i="2" s="1"/>
  <c r="C102" i="2" s="1"/>
  <c r="AD14" i="21"/>
  <c r="B66" i="3" s="1"/>
  <c r="AE13" i="21"/>
  <c r="B91" i="2" s="1"/>
  <c r="C91" i="2" s="1"/>
  <c r="AD13" i="21"/>
  <c r="B59" i="3" s="1"/>
  <c r="AE12" i="21"/>
  <c r="B80" i="2" s="1"/>
  <c r="C80" i="2" s="1"/>
  <c r="AD12" i="21"/>
  <c r="B52" i="3" s="1"/>
  <c r="AE11" i="21"/>
  <c r="B69" i="2" s="1"/>
  <c r="C69" i="2" s="1"/>
  <c r="AD11" i="21"/>
  <c r="B45" i="3" s="1"/>
  <c r="AE10" i="21"/>
  <c r="B58" i="2" s="1"/>
  <c r="C58" i="2" s="1"/>
  <c r="AD10" i="21"/>
  <c r="B38" i="3" s="1"/>
  <c r="AE9" i="21"/>
  <c r="B47" i="2" s="1"/>
  <c r="C47" i="2" s="1"/>
  <c r="AD9" i="21"/>
  <c r="B31" i="3" s="1"/>
  <c r="AE8" i="21"/>
  <c r="B36" i="2" s="1"/>
  <c r="C36" i="2" s="1"/>
  <c r="AD8" i="21"/>
  <c r="B24" i="3" s="1"/>
  <c r="AE7" i="21"/>
  <c r="B25" i="2" s="1"/>
  <c r="C25" i="2" s="1"/>
  <c r="AD7" i="21"/>
  <c r="B17" i="3" s="1"/>
  <c r="AE6" i="21"/>
  <c r="B14" i="2" s="1"/>
  <c r="C14" i="2" s="1"/>
  <c r="AD6" i="21"/>
  <c r="B10" i="3" s="1"/>
  <c r="AE5" i="21"/>
  <c r="B3" i="3"/>
  <c r="B3" i="2" l="1"/>
  <c r="C3" i="2" s="1"/>
  <c r="N2" i="21" l="1"/>
  <c r="AF16" i="21" l="1"/>
  <c r="F25" i="7" s="1"/>
  <c r="AF20" i="21"/>
  <c r="AF24" i="21"/>
  <c r="AF28" i="21"/>
  <c r="AF32" i="21"/>
  <c r="AF36" i="21"/>
  <c r="AF40" i="21"/>
  <c r="AF44" i="21"/>
  <c r="AF48" i="21"/>
  <c r="AF52" i="21"/>
  <c r="AF56" i="21"/>
  <c r="AF17" i="21"/>
  <c r="F27" i="7" s="1"/>
  <c r="AF21" i="21"/>
  <c r="AF25" i="21"/>
  <c r="AF29" i="21"/>
  <c r="AF33" i="21"/>
  <c r="AF37" i="21"/>
  <c r="AF41" i="21"/>
  <c r="AF45" i="21"/>
  <c r="AF49" i="21"/>
  <c r="AF53" i="21"/>
  <c r="AF57" i="21"/>
  <c r="AF61" i="21"/>
  <c r="AF65" i="21"/>
  <c r="AF69" i="21"/>
  <c r="AF73" i="21"/>
  <c r="AF77" i="21"/>
  <c r="AF81" i="21"/>
  <c r="AF85" i="21"/>
  <c r="AF89" i="21"/>
  <c r="AF93" i="21"/>
  <c r="AF97" i="21"/>
  <c r="AF101" i="21"/>
  <c r="AF105" i="21"/>
  <c r="AF109" i="21"/>
  <c r="AF113" i="21"/>
  <c r="AF117" i="21"/>
  <c r="AF121" i="21"/>
  <c r="AF125" i="21"/>
  <c r="AF129" i="21"/>
  <c r="AF133" i="21"/>
  <c r="AF137" i="21"/>
  <c r="AF141" i="21"/>
  <c r="AF145" i="21"/>
  <c r="AF149" i="21"/>
  <c r="AF153" i="21"/>
  <c r="AF157" i="21"/>
  <c r="AF161" i="21"/>
  <c r="AF165" i="21"/>
  <c r="AF169" i="21"/>
  <c r="AF173" i="21"/>
  <c r="AF177" i="21"/>
  <c r="AF181" i="21"/>
  <c r="AF185" i="21"/>
  <c r="AF189" i="21"/>
  <c r="AF193" i="21"/>
  <c r="AF197" i="21"/>
  <c r="AF201" i="21"/>
  <c r="AF205" i="21"/>
  <c r="AF209" i="21"/>
  <c r="AF213" i="21"/>
  <c r="AF217" i="21"/>
  <c r="AF221" i="21"/>
  <c r="AF225" i="21"/>
  <c r="AF6" i="21"/>
  <c r="AF10" i="21"/>
  <c r="AF14" i="21"/>
  <c r="AF18" i="21"/>
  <c r="F29" i="7" s="1"/>
  <c r="AF22" i="21"/>
  <c r="AF26" i="21"/>
  <c r="AF30" i="21"/>
  <c r="AF34" i="21"/>
  <c r="AF38" i="21"/>
  <c r="AF42" i="21"/>
  <c r="AF46" i="21"/>
  <c r="AF50" i="21"/>
  <c r="AF54" i="21"/>
  <c r="AF58" i="21"/>
  <c r="AF62" i="21"/>
  <c r="AF66" i="21"/>
  <c r="AF70" i="21"/>
  <c r="AF74" i="21"/>
  <c r="AF78" i="21"/>
  <c r="AF82" i="21"/>
  <c r="AF86" i="21"/>
  <c r="AF90" i="21"/>
  <c r="AF94" i="21"/>
  <c r="AF98" i="21"/>
  <c r="AF102" i="21"/>
  <c r="AF106" i="21"/>
  <c r="AF110" i="21"/>
  <c r="AF114" i="21"/>
  <c r="AF118" i="21"/>
  <c r="AF122" i="21"/>
  <c r="AF126" i="21"/>
  <c r="AF130" i="21"/>
  <c r="AF15" i="21"/>
  <c r="F23" i="7" s="1"/>
  <c r="AF31" i="21"/>
  <c r="AF47" i="21"/>
  <c r="AF60" i="21"/>
  <c r="AF68" i="21"/>
  <c r="AF76" i="21"/>
  <c r="AF84" i="21"/>
  <c r="AF92" i="21"/>
  <c r="AF100" i="21"/>
  <c r="AF108" i="21"/>
  <c r="AF116" i="21"/>
  <c r="AF124" i="21"/>
  <c r="AF132" i="21"/>
  <c r="AF138" i="21"/>
  <c r="AF143" i="21"/>
  <c r="AF148" i="21"/>
  <c r="AF154" i="21"/>
  <c r="AF159" i="21"/>
  <c r="AF164" i="21"/>
  <c r="AF170" i="21"/>
  <c r="AF175" i="21"/>
  <c r="AF180" i="21"/>
  <c r="AF186" i="21"/>
  <c r="AF191" i="21"/>
  <c r="AF196" i="21"/>
  <c r="AF202" i="21"/>
  <c r="AF207" i="21"/>
  <c r="AF212" i="21"/>
  <c r="AF218" i="21"/>
  <c r="AF223" i="21"/>
  <c r="AF228" i="21"/>
  <c r="AF11" i="21"/>
  <c r="AF19" i="21"/>
  <c r="F31" i="7" s="1"/>
  <c r="AF35" i="21"/>
  <c r="AF51" i="21"/>
  <c r="AF63" i="21"/>
  <c r="AF71" i="21"/>
  <c r="AF79" i="21"/>
  <c r="AF87" i="21"/>
  <c r="AF95" i="21"/>
  <c r="AF103" i="21"/>
  <c r="AF111" i="21"/>
  <c r="AF119" i="21"/>
  <c r="AF127" i="21"/>
  <c r="AF134" i="21"/>
  <c r="AF139" i="21"/>
  <c r="AF144" i="21"/>
  <c r="AF150" i="21"/>
  <c r="AF155" i="21"/>
  <c r="AF160" i="21"/>
  <c r="AF166" i="21"/>
  <c r="AF171" i="21"/>
  <c r="AF176" i="21"/>
  <c r="AF182" i="21"/>
  <c r="AF187" i="21"/>
  <c r="AF192" i="21"/>
  <c r="AF198" i="21"/>
  <c r="AF203" i="21"/>
  <c r="AF208" i="21"/>
  <c r="AF214" i="21"/>
  <c r="AF219" i="21"/>
  <c r="AF224" i="21"/>
  <c r="AF7" i="21"/>
  <c r="AF12" i="21"/>
  <c r="F17" i="7" s="1"/>
  <c r="E17" i="7" s="1"/>
  <c r="AF23" i="21"/>
  <c r="AF39" i="21"/>
  <c r="AF55" i="21"/>
  <c r="AF64" i="21"/>
  <c r="AF72" i="21"/>
  <c r="AF80" i="21"/>
  <c r="AF88" i="21"/>
  <c r="AF96" i="21"/>
  <c r="AF104" i="21"/>
  <c r="AF112" i="21"/>
  <c r="AF120" i="21"/>
  <c r="AF128" i="21"/>
  <c r="AF135" i="21"/>
  <c r="AF140" i="21"/>
  <c r="AF146" i="21"/>
  <c r="AF151" i="21"/>
  <c r="AF156" i="21"/>
  <c r="AF162" i="21"/>
  <c r="AF167" i="21"/>
  <c r="AF172" i="21"/>
  <c r="AF178" i="21"/>
  <c r="AF27" i="21"/>
  <c r="AF75" i="21"/>
  <c r="AF107" i="21"/>
  <c r="AF136" i="21"/>
  <c r="AF158" i="21"/>
  <c r="AF179" i="21"/>
  <c r="AF190" i="21"/>
  <c r="AF200" i="21"/>
  <c r="AF211" i="21"/>
  <c r="AF222" i="21"/>
  <c r="AF9" i="21"/>
  <c r="AF43" i="21"/>
  <c r="AF83" i="21"/>
  <c r="AF115" i="21"/>
  <c r="AF142" i="21"/>
  <c r="AF163" i="21"/>
  <c r="AF183" i="21"/>
  <c r="AF194" i="21"/>
  <c r="AF204" i="21"/>
  <c r="AF215" i="21"/>
  <c r="AF226" i="21"/>
  <c r="AF13" i="21"/>
  <c r="AF59" i="21"/>
  <c r="AF91" i="21"/>
  <c r="AF123" i="21"/>
  <c r="AF147" i="21"/>
  <c r="AF168" i="21"/>
  <c r="AF184" i="21"/>
  <c r="AF195" i="21"/>
  <c r="AF206" i="21"/>
  <c r="AF216" i="21"/>
  <c r="AF227" i="21"/>
  <c r="AF67" i="21"/>
  <c r="AF99" i="21"/>
  <c r="AF131" i="21"/>
  <c r="AF152" i="21"/>
  <c r="AF174" i="21"/>
  <c r="AF188" i="21"/>
  <c r="AF199" i="21"/>
  <c r="AF210" i="21"/>
  <c r="AF220" i="21"/>
  <c r="AF8" i="21"/>
  <c r="F51" i="7" l="1"/>
  <c r="E51" i="7" s="1"/>
  <c r="C51" i="7" s="1"/>
  <c r="F47" i="7"/>
  <c r="E47" i="7" s="1"/>
  <c r="C47" i="7" s="1"/>
  <c r="F45" i="7"/>
  <c r="E45" i="7" s="1"/>
  <c r="C45" i="7" s="1"/>
  <c r="F43" i="7"/>
  <c r="E43" i="7" s="1"/>
  <c r="C43" i="7" s="1"/>
  <c r="F37" i="7"/>
  <c r="E37" i="7" s="1"/>
  <c r="C37" i="7" s="1"/>
  <c r="F35" i="7"/>
  <c r="E35" i="7" s="1"/>
  <c r="C35" i="7" s="1"/>
  <c r="B29" i="7"/>
  <c r="E29" i="7"/>
  <c r="C29" i="7" s="1"/>
  <c r="B27" i="7"/>
  <c r="E27" i="7"/>
  <c r="C27" i="7" s="1"/>
  <c r="F49" i="7"/>
  <c r="E49" i="7" s="1"/>
  <c r="C49" i="7" s="1"/>
  <c r="F41" i="7"/>
  <c r="E41" i="7" s="1"/>
  <c r="C41" i="7" s="1"/>
  <c r="F33" i="7"/>
  <c r="E33" i="7" s="1"/>
  <c r="C33" i="7" s="1"/>
  <c r="F39" i="7"/>
  <c r="E39" i="7" s="1"/>
  <c r="C39" i="7" s="1"/>
  <c r="B31" i="7"/>
  <c r="E31" i="7"/>
  <c r="C31" i="7" s="1"/>
  <c r="B23" i="7"/>
  <c r="E23" i="7"/>
  <c r="C23" i="7" s="1"/>
  <c r="B25" i="7"/>
  <c r="E25" i="7"/>
  <c r="C25" i="7" s="1"/>
  <c r="I31" i="7"/>
  <c r="T31" i="7"/>
  <c r="W31" i="7"/>
  <c r="I27" i="7"/>
  <c r="W27" i="7"/>
  <c r="T27" i="7"/>
  <c r="I29" i="7"/>
  <c r="T29" i="7"/>
  <c r="W29" i="7"/>
  <c r="I23" i="7"/>
  <c r="W23" i="7"/>
  <c r="T23" i="7"/>
  <c r="I25" i="7"/>
  <c r="T25" i="7"/>
  <c r="W25" i="7"/>
  <c r="F21" i="7"/>
  <c r="F7" i="7"/>
  <c r="F19" i="7"/>
  <c r="F13" i="7"/>
  <c r="F11" i="7"/>
  <c r="AF5" i="21"/>
  <c r="F3" i="7" s="1"/>
  <c r="F5" i="7"/>
  <c r="B17" i="7"/>
  <c r="F15" i="7"/>
  <c r="F9" i="7"/>
  <c r="T45" i="7" l="1"/>
  <c r="W47" i="7"/>
  <c r="T47" i="7"/>
  <c r="T35" i="7"/>
  <c r="W41" i="7"/>
  <c r="I51" i="7"/>
  <c r="W43" i="7"/>
  <c r="T37" i="7"/>
  <c r="W45" i="7"/>
  <c r="I49" i="7"/>
  <c r="T51" i="7"/>
  <c r="I45" i="7"/>
  <c r="W35" i="7"/>
  <c r="W51" i="7"/>
  <c r="I47" i="7"/>
  <c r="W49" i="7"/>
  <c r="T33" i="7"/>
  <c r="I43" i="7"/>
  <c r="T41" i="7"/>
  <c r="I33" i="7"/>
  <c r="I35" i="7"/>
  <c r="W33" i="7"/>
  <c r="T39" i="7"/>
  <c r="B33" i="7"/>
  <c r="I37" i="7"/>
  <c r="I39" i="7"/>
  <c r="I41" i="7"/>
  <c r="B49" i="7"/>
  <c r="B37" i="7"/>
  <c r="W37" i="7"/>
  <c r="T49" i="7"/>
  <c r="B47" i="7"/>
  <c r="B41" i="7"/>
  <c r="B35" i="7"/>
  <c r="B51" i="7"/>
  <c r="B21" i="7"/>
  <c r="E21" i="7"/>
  <c r="C21" i="7" s="1"/>
  <c r="B5" i="7"/>
  <c r="E5" i="7"/>
  <c r="C5" i="7" s="1"/>
  <c r="B11" i="7"/>
  <c r="E11" i="7"/>
  <c r="C11" i="7" s="1"/>
  <c r="B43" i="7"/>
  <c r="B3" i="7"/>
  <c r="E3" i="7"/>
  <c r="C3" i="7" s="1"/>
  <c r="B39" i="7"/>
  <c r="B13" i="7"/>
  <c r="E13" i="7"/>
  <c r="C13" i="7" s="1"/>
  <c r="T43" i="7"/>
  <c r="B19" i="7"/>
  <c r="E19" i="7"/>
  <c r="C19" i="7" s="1"/>
  <c r="B45" i="7"/>
  <c r="B15" i="7"/>
  <c r="E15" i="7"/>
  <c r="C15" i="7" s="1"/>
  <c r="B9" i="7"/>
  <c r="E9" i="7"/>
  <c r="C9" i="7" s="1"/>
  <c r="B7" i="7"/>
  <c r="E7" i="7"/>
  <c r="C7" i="7" s="1"/>
  <c r="W39" i="7"/>
  <c r="I5" i="7"/>
  <c r="I3" i="7"/>
  <c r="I7" i="7"/>
  <c r="I17" i="7"/>
  <c r="I13" i="7"/>
  <c r="I19" i="7"/>
  <c r="I9" i="7"/>
  <c r="I15" i="7"/>
  <c r="I11" i="7"/>
  <c r="I21" i="7"/>
  <c r="W15" i="7"/>
  <c r="T15" i="7"/>
  <c r="W21" i="7"/>
  <c r="T21" i="7"/>
  <c r="C17" i="7"/>
  <c r="W17" i="7"/>
  <c r="T17" i="7"/>
  <c r="T19" i="7"/>
  <c r="W19" i="7"/>
  <c r="W13" i="7"/>
  <c r="T13" i="7"/>
  <c r="T5" i="7"/>
  <c r="W5" i="7"/>
  <c r="W3" i="7"/>
  <c r="T3" i="7"/>
  <c r="W7" i="7"/>
  <c r="T7" i="7"/>
  <c r="T9" i="7"/>
  <c r="W9" i="7"/>
  <c r="W11" i="7"/>
  <c r="T11" i="7"/>
  <c r="A6" i="10"/>
  <c r="E5" i="11" l="1"/>
  <c r="E15" i="11"/>
  <c r="E29" i="11"/>
  <c r="E49" i="11"/>
  <c r="E31" i="11"/>
  <c r="E37" i="11"/>
  <c r="E51" i="11"/>
  <c r="E7" i="11"/>
  <c r="E33" i="11"/>
  <c r="E47" i="11"/>
  <c r="E9" i="11"/>
  <c r="E13" i="11"/>
  <c r="E43" i="11"/>
  <c r="E25" i="11"/>
  <c r="E39" i="11"/>
  <c r="E41" i="11"/>
  <c r="E45" i="11"/>
  <c r="E21" i="11"/>
  <c r="E23" i="11"/>
  <c r="E27" i="11"/>
  <c r="E11" i="11"/>
  <c r="E17" i="11"/>
  <c r="E35" i="11"/>
  <c r="E19" i="11"/>
  <c r="B6" i="10"/>
  <c r="C35" i="11" l="1"/>
  <c r="W35" i="11"/>
  <c r="C17" i="11"/>
  <c r="C25" i="11"/>
  <c r="W37" i="11"/>
  <c r="C37" i="11"/>
  <c r="W39" i="11"/>
  <c r="C39" i="11"/>
  <c r="W43" i="11"/>
  <c r="C43" i="11"/>
  <c r="C31" i="11"/>
  <c r="C51" i="11"/>
  <c r="W51" i="11"/>
  <c r="C27" i="11"/>
  <c r="C13" i="11"/>
  <c r="W49" i="11"/>
  <c r="C49" i="11"/>
  <c r="C11" i="11"/>
  <c r="C9" i="11"/>
  <c r="C29" i="11"/>
  <c r="C21" i="11"/>
  <c r="W47" i="11"/>
  <c r="C47" i="11"/>
  <c r="C15" i="11"/>
  <c r="C23" i="11"/>
  <c r="W45" i="11"/>
  <c r="C45" i="11"/>
  <c r="C33" i="11"/>
  <c r="W33" i="11"/>
  <c r="C5" i="11"/>
  <c r="C2" i="20"/>
  <c r="V5" i="20" s="1"/>
  <c r="Y5" i="20" s="1"/>
  <c r="D3" i="11" s="1"/>
  <c r="X5" i="20"/>
  <c r="D3" i="18" s="1"/>
  <c r="Y6" i="20"/>
  <c r="D5" i="11" s="1"/>
  <c r="X7" i="20"/>
  <c r="D25" i="18" s="1"/>
  <c r="X15" i="20"/>
  <c r="D113" i="18" s="1"/>
  <c r="X156" i="20"/>
  <c r="W156" i="20"/>
  <c r="X177" i="20"/>
  <c r="W216" i="20"/>
  <c r="X57" i="20"/>
  <c r="X160" i="20"/>
  <c r="X223" i="20"/>
  <c r="Y51" i="20"/>
  <c r="Y43" i="20"/>
  <c r="Y66" i="20"/>
  <c r="W112" i="20"/>
  <c r="W157" i="20"/>
  <c r="Y141" i="20"/>
  <c r="Y136" i="20"/>
  <c r="Y105" i="20"/>
  <c r="Y13" i="20"/>
  <c r="D19" i="11" s="1"/>
  <c r="Y99" i="20"/>
  <c r="Y98" i="20"/>
  <c r="Y151" i="20"/>
  <c r="X17" i="20"/>
  <c r="D135" i="18" s="1"/>
  <c r="W110" i="20"/>
  <c r="W163" i="20"/>
  <c r="W212" i="20"/>
  <c r="W143" i="20"/>
  <c r="W41" i="20"/>
  <c r="W176" i="20"/>
  <c r="W167" i="20"/>
  <c r="X48" i="20"/>
  <c r="W123" i="20"/>
  <c r="W53" i="20"/>
  <c r="X147" i="20"/>
  <c r="X22" i="20"/>
  <c r="D190" i="18" s="1"/>
  <c r="X134" i="20"/>
  <c r="Y25" i="20"/>
  <c r="D43" i="11" s="1"/>
  <c r="Y61" i="20"/>
  <c r="Y165" i="20"/>
  <c r="Y177" i="20"/>
  <c r="Y179" i="20"/>
  <c r="Y30" i="20"/>
  <c r="Y12" i="20"/>
  <c r="D17" i="11" s="1"/>
  <c r="W119" i="20"/>
  <c r="W94" i="20"/>
  <c r="X95" i="20"/>
  <c r="X198" i="20"/>
  <c r="X183" i="20"/>
  <c r="W168" i="20"/>
  <c r="Y161" i="20"/>
  <c r="Y126" i="20"/>
  <c r="Y34" i="20"/>
  <c r="Y38" i="20"/>
  <c r="W28" i="20"/>
  <c r="C72" i="19" s="1"/>
  <c r="W146" i="20"/>
  <c r="X73" i="20"/>
  <c r="X158" i="20"/>
  <c r="X40" i="20"/>
  <c r="X161" i="20"/>
  <c r="X72" i="20"/>
  <c r="W222" i="20"/>
  <c r="W125" i="20"/>
  <c r="W223" i="20"/>
  <c r="W178" i="20"/>
  <c r="X10" i="20"/>
  <c r="D58" i="18" s="1"/>
  <c r="X164" i="20"/>
  <c r="X45" i="20"/>
  <c r="W103" i="20"/>
  <c r="X71" i="20"/>
  <c r="X155" i="20"/>
  <c r="X77" i="20"/>
  <c r="W72" i="20"/>
  <c r="W155" i="20"/>
  <c r="X31" i="20"/>
  <c r="W145" i="20"/>
  <c r="X220" i="20"/>
  <c r="X124" i="20"/>
  <c r="W203" i="20"/>
  <c r="Y87" i="20"/>
  <c r="Y15" i="20"/>
  <c r="D23" i="11" s="1"/>
  <c r="Y62" i="20"/>
  <c r="Y44" i="20"/>
  <c r="W6" i="20"/>
  <c r="C6" i="19" s="1"/>
  <c r="W5" i="20"/>
  <c r="C3" i="19" s="1"/>
  <c r="X19" i="20"/>
  <c r="D157" i="18" s="1"/>
  <c r="W70" i="20"/>
  <c r="W162" i="20"/>
  <c r="W129" i="20"/>
  <c r="X175" i="20"/>
  <c r="W183" i="20"/>
  <c r="W121" i="20"/>
  <c r="W151" i="20"/>
  <c r="Y173" i="20"/>
  <c r="Y134" i="20"/>
  <c r="Y54" i="20"/>
  <c r="W204" i="20"/>
  <c r="X122" i="20"/>
  <c r="Y46" i="20"/>
  <c r="Y129" i="20"/>
  <c r="Y20" i="20"/>
  <c r="D33" i="11" s="1"/>
  <c r="Y23" i="20"/>
  <c r="D39" i="11" s="1"/>
  <c r="Y117" i="20"/>
  <c r="Y113" i="20"/>
  <c r="Y215" i="20"/>
  <c r="W7" i="20"/>
  <c r="C9" i="19" s="1"/>
  <c r="X227" i="20"/>
  <c r="X126" i="20"/>
  <c r="X199" i="20"/>
  <c r="X108" i="20"/>
  <c r="X219" i="20"/>
  <c r="W177" i="20"/>
  <c r="W80" i="20"/>
  <c r="X204" i="20"/>
  <c r="X87" i="20"/>
  <c r="W15" i="20"/>
  <c r="C33" i="19" s="1"/>
  <c r="X109" i="20"/>
  <c r="W186" i="20"/>
  <c r="X98" i="20"/>
  <c r="Y21" i="20"/>
  <c r="D35" i="11" s="1"/>
  <c r="Y226" i="20"/>
  <c r="Y80" i="20"/>
  <c r="Y217" i="20"/>
  <c r="Y168" i="20"/>
  <c r="Y180" i="20"/>
  <c r="Y188" i="20"/>
  <c r="X29" i="20"/>
  <c r="D267" i="18" s="1"/>
  <c r="X215" i="20"/>
  <c r="X28" i="20"/>
  <c r="D256" i="18" s="1"/>
  <c r="X110" i="20"/>
  <c r="X100" i="20"/>
  <c r="X136" i="20"/>
  <c r="Y187" i="20"/>
  <c r="Y41" i="20"/>
  <c r="Y22" i="20"/>
  <c r="D37" i="11" s="1"/>
  <c r="Y120" i="20"/>
  <c r="W152" i="20"/>
  <c r="W108" i="20"/>
  <c r="W30" i="20"/>
  <c r="X119" i="20"/>
  <c r="X226" i="20"/>
  <c r="X121" i="20"/>
  <c r="X179" i="20"/>
  <c r="X194" i="20"/>
  <c r="W77" i="20"/>
  <c r="W198" i="20"/>
  <c r="X114" i="20"/>
  <c r="W13" i="20"/>
  <c r="C27" i="19" s="1"/>
  <c r="X96" i="20"/>
  <c r="X221" i="20"/>
  <c r="W52" i="20"/>
  <c r="W221" i="20"/>
  <c r="X117" i="20"/>
  <c r="X36" i="20"/>
  <c r="W26" i="20"/>
  <c r="C66" i="19" s="1"/>
  <c r="W115" i="20"/>
  <c r="X205" i="20"/>
  <c r="W107" i="20"/>
  <c r="X193" i="20"/>
  <c r="W73" i="20"/>
  <c r="X6" i="20"/>
  <c r="D14" i="18" s="1"/>
  <c r="X11" i="20"/>
  <c r="D69" i="18" s="1"/>
  <c r="X14" i="20"/>
  <c r="D102" i="18" s="1"/>
  <c r="X213" i="20"/>
  <c r="W50" i="20"/>
  <c r="W69" i="20"/>
  <c r="X148" i="20"/>
  <c r="W135" i="20"/>
  <c r="W45" i="20"/>
  <c r="W117" i="20"/>
  <c r="Y153" i="20"/>
  <c r="Y174" i="20"/>
  <c r="Y91" i="20"/>
  <c r="W154" i="20"/>
  <c r="W71" i="20"/>
  <c r="Y42" i="20"/>
  <c r="Y71" i="20"/>
  <c r="Y148" i="20"/>
  <c r="Y157" i="20"/>
  <c r="Y32" i="20"/>
  <c r="Y142" i="20"/>
  <c r="Y45" i="20"/>
  <c r="W35" i="20"/>
  <c r="W173" i="20"/>
  <c r="W89" i="20"/>
  <c r="X176" i="20"/>
  <c r="X65" i="20"/>
  <c r="W191" i="20"/>
  <c r="X120" i="20"/>
  <c r="W160" i="20"/>
  <c r="X152" i="20"/>
  <c r="X37" i="20"/>
  <c r="W83" i="20"/>
  <c r="W74" i="20"/>
  <c r="W147" i="20"/>
  <c r="X74" i="20"/>
  <c r="Y205" i="20"/>
  <c r="Y109" i="20"/>
  <c r="Y127" i="20"/>
  <c r="Y100" i="20"/>
  <c r="Y81" i="20"/>
  <c r="Y103" i="20"/>
  <c r="Y140" i="20"/>
  <c r="X188" i="20"/>
  <c r="W164" i="20"/>
  <c r="X196" i="20"/>
  <c r="W219" i="20"/>
  <c r="X35" i="20"/>
  <c r="W48" i="20"/>
  <c r="Y192" i="20"/>
  <c r="Y212" i="20"/>
  <c r="Y189" i="20"/>
  <c r="Y197" i="20"/>
  <c r="X200" i="20"/>
  <c r="W62" i="20"/>
  <c r="W55" i="20"/>
  <c r="W86" i="20"/>
  <c r="X172" i="20"/>
  <c r="W88" i="20"/>
  <c r="X123" i="20"/>
  <c r="W166" i="20"/>
  <c r="X47" i="20"/>
  <c r="X170" i="20"/>
  <c r="X137" i="20"/>
  <c r="W8" i="20"/>
  <c r="C12" i="19" s="1"/>
  <c r="X185" i="20"/>
  <c r="W192" i="20"/>
  <c r="W136" i="20"/>
  <c r="X173" i="20"/>
  <c r="X68" i="20"/>
  <c r="W131" i="20"/>
  <c r="W59" i="20"/>
  <c r="X84" i="20"/>
  <c r="X150" i="20"/>
  <c r="X81" i="20"/>
  <c r="W165" i="20"/>
  <c r="X46" i="20"/>
  <c r="X165" i="20"/>
  <c r="Y193" i="20"/>
  <c r="Y64" i="20"/>
  <c r="Y75" i="20"/>
  <c r="Y104" i="20"/>
  <c r="X8" i="20"/>
  <c r="D36" i="18" s="1"/>
  <c r="W95" i="20"/>
  <c r="X143" i="20"/>
  <c r="W126" i="20"/>
  <c r="W44" i="20"/>
  <c r="X76" i="20"/>
  <c r="X75" i="20"/>
  <c r="X151" i="20"/>
  <c r="X49" i="20"/>
  <c r="Y181" i="20"/>
  <c r="Y73" i="20"/>
  <c r="W82" i="20"/>
  <c r="X214" i="20"/>
  <c r="Y28" i="20"/>
  <c r="Y203" i="20"/>
  <c r="Y111" i="20"/>
  <c r="Y209" i="20"/>
  <c r="Y163" i="20"/>
  <c r="Y52" i="20"/>
  <c r="Y33" i="20"/>
  <c r="W68" i="20"/>
  <c r="X140" i="20"/>
  <c r="W58" i="20"/>
  <c r="W149" i="20"/>
  <c r="X32" i="20"/>
  <c r="X149" i="20"/>
  <c r="X41" i="20"/>
  <c r="W210" i="20"/>
  <c r="W114" i="20"/>
  <c r="W225" i="20"/>
  <c r="W40" i="20"/>
  <c r="W218" i="20"/>
  <c r="W109" i="20"/>
  <c r="X34" i="20"/>
  <c r="Y89" i="20"/>
  <c r="Y150" i="20"/>
  <c r="Y191" i="20"/>
  <c r="Y14" i="20"/>
  <c r="D21" i="11" s="1"/>
  <c r="Y11" i="20"/>
  <c r="D15" i="11" s="1"/>
  <c r="Y112" i="20"/>
  <c r="W38" i="20"/>
  <c r="W81" i="20"/>
  <c r="X216" i="20"/>
  <c r="W170" i="20"/>
  <c r="W84" i="20"/>
  <c r="W193" i="20"/>
  <c r="Y139" i="20"/>
  <c r="Y95" i="20"/>
  <c r="Y82" i="20"/>
  <c r="Y154" i="20"/>
  <c r="W9" i="20"/>
  <c r="C15" i="19" s="1"/>
  <c r="X142" i="20"/>
  <c r="W17" i="20"/>
  <c r="C39" i="19" s="1"/>
  <c r="W16" i="20"/>
  <c r="C36" i="19" s="1"/>
  <c r="W37" i="20"/>
  <c r="W138" i="20"/>
  <c r="X56" i="20"/>
  <c r="W42" i="20"/>
  <c r="W139" i="20"/>
  <c r="X225" i="20"/>
  <c r="X128" i="20"/>
  <c r="X62" i="20"/>
  <c r="W11" i="20"/>
  <c r="C21" i="19" s="1"/>
  <c r="W85" i="20"/>
  <c r="W150" i="20"/>
  <c r="W224" i="20"/>
  <c r="W133" i="20"/>
  <c r="W25" i="20"/>
  <c r="C63" i="19" s="1"/>
  <c r="X208" i="20"/>
  <c r="W20" i="20"/>
  <c r="C48" i="19" s="1"/>
  <c r="X33" i="20"/>
  <c r="W113" i="20"/>
  <c r="X43" i="20"/>
  <c r="X138" i="20"/>
  <c r="X228" i="20"/>
  <c r="X127" i="20"/>
  <c r="Y164" i="20"/>
  <c r="Y49" i="20"/>
  <c r="Y144" i="20"/>
  <c r="Y145" i="20"/>
  <c r="W132" i="20"/>
  <c r="X104" i="20"/>
  <c r="W49" i="20"/>
  <c r="X153" i="20"/>
  <c r="X132" i="20"/>
  <c r="W47" i="20"/>
  <c r="X67" i="20"/>
  <c r="Y137" i="20"/>
  <c r="Y138" i="20"/>
  <c r="Y67" i="20"/>
  <c r="W29" i="20"/>
  <c r="C75" i="19" s="1"/>
  <c r="X144" i="20"/>
  <c r="Y106" i="20"/>
  <c r="Y35" i="20"/>
  <c r="Y101" i="20"/>
  <c r="Y97" i="20"/>
  <c r="Y227" i="20"/>
  <c r="Y176" i="20"/>
  <c r="Y172" i="20"/>
  <c r="W208" i="20"/>
  <c r="X102" i="20"/>
  <c r="W22" i="20"/>
  <c r="C54" i="19" s="1"/>
  <c r="X111" i="20"/>
  <c r="W217" i="20"/>
  <c r="X115" i="20"/>
  <c r="X157" i="20"/>
  <c r="X190" i="20"/>
  <c r="X69" i="20"/>
  <c r="W194" i="20"/>
  <c r="W128" i="20"/>
  <c r="W169" i="20"/>
  <c r="X64" i="20"/>
  <c r="Y225" i="20"/>
  <c r="Y85" i="20"/>
  <c r="Y190" i="20"/>
  <c r="Y77" i="20"/>
  <c r="Y132" i="20"/>
  <c r="Y178" i="20"/>
  <c r="Y26" i="20"/>
  <c r="D45" i="11" s="1"/>
  <c r="X9" i="20"/>
  <c r="D47" i="18" s="1"/>
  <c r="W76" i="20"/>
  <c r="W226" i="20"/>
  <c r="X130" i="20"/>
  <c r="X90" i="20"/>
  <c r="W209" i="20"/>
  <c r="X85" i="20"/>
  <c r="Y19" i="20"/>
  <c r="D31" i="11" s="1"/>
  <c r="Y122" i="20"/>
  <c r="Y118" i="20"/>
  <c r="Y156" i="20"/>
  <c r="Y8" i="20"/>
  <c r="D9" i="11" s="1"/>
  <c r="X54" i="20"/>
  <c r="W200" i="20"/>
  <c r="W100" i="20"/>
  <c r="W205" i="20"/>
  <c r="X101" i="20"/>
  <c r="W19" i="20"/>
  <c r="C45" i="19" s="1"/>
  <c r="W27" i="20"/>
  <c r="C69" i="19" s="1"/>
  <c r="W99" i="20"/>
  <c r="X171" i="20"/>
  <c r="X94" i="20"/>
  <c r="W213" i="20"/>
  <c r="X12" i="20"/>
  <c r="D80" i="18" s="1"/>
  <c r="X222" i="20"/>
  <c r="X116" i="20"/>
  <c r="X195" i="20"/>
  <c r="W92" i="20"/>
  <c r="X207" i="20"/>
  <c r="W171" i="20"/>
  <c r="W104" i="20"/>
  <c r="W181" i="20"/>
  <c r="W66" i="20"/>
  <c r="W31" i="20"/>
  <c r="W98" i="20"/>
  <c r="W174" i="20"/>
  <c r="X93" i="20"/>
  <c r="Y171" i="20"/>
  <c r="Y194" i="20"/>
  <c r="Y58" i="20"/>
  <c r="W10" i="20"/>
  <c r="C18" i="19" s="1"/>
  <c r="X168" i="20"/>
  <c r="W39" i="20"/>
  <c r="X60" i="20"/>
  <c r="X61" i="20"/>
  <c r="X178" i="20"/>
  <c r="W172" i="20"/>
  <c r="X224" i="20"/>
  <c r="Y40" i="20"/>
  <c r="Y147" i="20"/>
  <c r="Y135" i="20"/>
  <c r="X27" i="20"/>
  <c r="D245" i="18" s="1"/>
  <c r="W97" i="20"/>
  <c r="X79" i="20"/>
  <c r="Y201" i="20"/>
  <c r="Y182" i="20"/>
  <c r="Y175" i="20"/>
  <c r="Y36" i="20"/>
  <c r="Y17" i="20"/>
  <c r="D27" i="11" s="1"/>
  <c r="Y133" i="20"/>
  <c r="X20" i="20"/>
  <c r="D168" i="18" s="1"/>
  <c r="X18" i="20"/>
  <c r="D146" i="18" s="1"/>
  <c r="X113" i="20"/>
  <c r="W207" i="20"/>
  <c r="W32" i="20"/>
  <c r="W21" i="20"/>
  <c r="C51" i="19" s="1"/>
  <c r="X129" i="20"/>
  <c r="X44" i="20"/>
  <c r="W34" i="20"/>
  <c r="W122" i="20"/>
  <c r="W214" i="20"/>
  <c r="W118" i="20"/>
  <c r="X197" i="20"/>
  <c r="X89" i="20"/>
  <c r="W201" i="20"/>
  <c r="Y155" i="20"/>
  <c r="Y169" i="20"/>
  <c r="Y208" i="20"/>
  <c r="Y39" i="20"/>
  <c r="Y96" i="20"/>
  <c r="Y92" i="20"/>
  <c r="Y216" i="20"/>
  <c r="W87" i="20"/>
  <c r="X191" i="20"/>
  <c r="X106" i="20"/>
  <c r="W79" i="20"/>
  <c r="W142" i="20"/>
  <c r="W187" i="20"/>
  <c r="Y86" i="20"/>
  <c r="Y214" i="20"/>
  <c r="Y159" i="20"/>
  <c r="Y79" i="20"/>
  <c r="X16" i="20"/>
  <c r="D124" i="18" s="1"/>
  <c r="X53" i="20"/>
  <c r="W130" i="20"/>
  <c r="X203" i="20"/>
  <c r="X118" i="20"/>
  <c r="W227" i="20"/>
  <c r="X186" i="20"/>
  <c r="W60" i="20"/>
  <c r="X211" i="20"/>
  <c r="X99" i="20"/>
  <c r="W63" i="20"/>
  <c r="W189" i="20"/>
  <c r="W116" i="20"/>
  <c r="X135" i="20"/>
  <c r="W46" i="20"/>
  <c r="W140" i="20"/>
  <c r="X24" i="20"/>
  <c r="D212" i="18" s="1"/>
  <c r="X139" i="20"/>
  <c r="X25" i="20"/>
  <c r="D223" i="18" s="1"/>
  <c r="X202" i="20"/>
  <c r="X107" i="20"/>
  <c r="W215" i="20"/>
  <c r="W64" i="20"/>
  <c r="X210" i="20"/>
  <c r="X103" i="20"/>
  <c r="X26" i="20"/>
  <c r="D234" i="18" s="1"/>
  <c r="Y213" i="20"/>
  <c r="Y124" i="20"/>
  <c r="Y207" i="20"/>
  <c r="Y202" i="20"/>
  <c r="Y9" i="20"/>
  <c r="D11" i="11" s="1"/>
  <c r="X212" i="20"/>
  <c r="W159" i="20"/>
  <c r="W199" i="20"/>
  <c r="W36" i="20"/>
  <c r="X105" i="20"/>
  <c r="X189" i="20"/>
  <c r="W91" i="20"/>
  <c r="Y107" i="20"/>
  <c r="Y50" i="20"/>
  <c r="Y199" i="20"/>
  <c r="W24" i="20"/>
  <c r="C60" i="19" s="1"/>
  <c r="X30" i="20"/>
  <c r="X42" i="20"/>
  <c r="Y170" i="20"/>
  <c r="Y222" i="20"/>
  <c r="Y184" i="20"/>
  <c r="Y196" i="20"/>
  <c r="Y210" i="20"/>
  <c r="Y48" i="20"/>
  <c r="W14" i="20"/>
  <c r="C30" i="19" s="1"/>
  <c r="X209" i="20"/>
  <c r="W196" i="20"/>
  <c r="W120" i="20"/>
  <c r="W182" i="20"/>
  <c r="X88" i="20"/>
  <c r="W67" i="20"/>
  <c r="W43" i="20"/>
  <c r="X92" i="20"/>
  <c r="X162" i="20"/>
  <c r="X86" i="20"/>
  <c r="X174" i="20"/>
  <c r="W56" i="20"/>
  <c r="X182" i="20"/>
  <c r="Y114" i="20"/>
  <c r="Y149" i="20"/>
  <c r="Y55" i="20"/>
  <c r="Y125" i="20"/>
  <c r="Y10" i="20"/>
  <c r="D13" i="11" s="1"/>
  <c r="Y116" i="20"/>
  <c r="Y24" i="20"/>
  <c r="X66" i="20"/>
  <c r="X125" i="20"/>
  <c r="W211" i="20"/>
  <c r="W124" i="20"/>
  <c r="W202" i="20"/>
  <c r="X112" i="20"/>
  <c r="Y200" i="20"/>
  <c r="Y102" i="20"/>
  <c r="Y223" i="20"/>
  <c r="Y211" i="20"/>
  <c r="X13" i="20"/>
  <c r="D91" i="18" s="1"/>
  <c r="W185" i="20"/>
  <c r="X97" i="20"/>
  <c r="W184" i="20"/>
  <c r="X70" i="20"/>
  <c r="W195" i="20"/>
  <c r="X133" i="20"/>
  <c r="W144" i="20"/>
  <c r="X163" i="20"/>
  <c r="X50" i="20"/>
  <c r="X201" i="20"/>
  <c r="Y110" i="20"/>
  <c r="W228" i="20"/>
  <c r="W90" i="20"/>
  <c r="W23" i="20"/>
  <c r="C57" i="19" s="1"/>
  <c r="W101" i="20"/>
  <c r="X206" i="20"/>
  <c r="W102" i="20"/>
  <c r="W134" i="20"/>
  <c r="X181" i="20"/>
  <c r="X63" i="20"/>
  <c r="W190" i="20"/>
  <c r="W148" i="20"/>
  <c r="W158" i="20"/>
  <c r="W54" i="20"/>
  <c r="Y108" i="20"/>
  <c r="Y123" i="20"/>
  <c r="Y158" i="20"/>
  <c r="Y56" i="20"/>
  <c r="Y63" i="20"/>
  <c r="X38" i="20"/>
  <c r="Y130" i="20"/>
  <c r="X52" i="20"/>
  <c r="X154" i="20"/>
  <c r="Y115" i="20"/>
  <c r="X91" i="20"/>
  <c r="W179" i="20"/>
  <c r="W65" i="20"/>
  <c r="X187" i="20"/>
  <c r="W197" i="20"/>
  <c r="Y221" i="20"/>
  <c r="Y60" i="20"/>
  <c r="Y119" i="20"/>
  <c r="Y224" i="20"/>
  <c r="X217" i="20"/>
  <c r="Y204" i="20"/>
  <c r="Y128" i="20"/>
  <c r="Y16" i="20"/>
  <c r="D25" i="11" s="1"/>
  <c r="W75" i="20"/>
  <c r="W220" i="20"/>
  <c r="Y198" i="20"/>
  <c r="Y31" i="20"/>
  <c r="W180" i="20"/>
  <c r="W33" i="20"/>
  <c r="W105" i="20"/>
  <c r="W61" i="20"/>
  <c r="Y185" i="20"/>
  <c r="Y27" i="20"/>
  <c r="D47" i="11" s="1"/>
  <c r="Y90" i="20"/>
  <c r="Y228" i="20"/>
  <c r="X184" i="20"/>
  <c r="Y131" i="20"/>
  <c r="X159" i="20"/>
  <c r="Y53" i="20"/>
  <c r="Y121" i="20"/>
  <c r="W78" i="20"/>
  <c r="X131" i="20"/>
  <c r="Y167" i="20"/>
  <c r="Y162" i="20"/>
  <c r="W153" i="20"/>
  <c r="W188" i="20"/>
  <c r="Y219" i="20"/>
  <c r="Y78" i="20"/>
  <c r="Y146" i="20"/>
  <c r="Y59" i="20"/>
  <c r="X167" i="20"/>
  <c r="W93" i="20"/>
  <c r="Y76" i="20"/>
  <c r="X78" i="20"/>
  <c r="Y69" i="20"/>
  <c r="Y29" i="20"/>
  <c r="D51" i="11" s="1"/>
  <c r="X166" i="20"/>
  <c r="W18" i="20"/>
  <c r="C42" i="19" s="1"/>
  <c r="X218" i="20"/>
  <c r="Y37" i="20"/>
  <c r="X51" i="20"/>
  <c r="W51" i="20"/>
  <c r="X141" i="20"/>
  <c r="Y93" i="20"/>
  <c r="Y160" i="20"/>
  <c r="Y166" i="20"/>
  <c r="Y183" i="20"/>
  <c r="X145" i="20"/>
  <c r="Y83" i="20"/>
  <c r="Y57" i="20"/>
  <c r="X21" i="20"/>
  <c r="D179" i="18" s="1"/>
  <c r="Y68" i="20"/>
  <c r="Y206" i="20"/>
  <c r="X180" i="20"/>
  <c r="X83" i="20"/>
  <c r="Y88" i="20"/>
  <c r="Y94" i="20"/>
  <c r="X58" i="20"/>
  <c r="W106" i="20"/>
  <c r="Y7" i="20"/>
  <c r="D7" i="11" s="1"/>
  <c r="W161" i="20"/>
  <c r="Y84" i="20"/>
  <c r="W206" i="20"/>
  <c r="W12" i="20"/>
  <c r="C24" i="19" s="1"/>
  <c r="W57" i="20"/>
  <c r="X169" i="20"/>
  <c r="X55" i="20"/>
  <c r="Y186" i="20"/>
  <c r="Y195" i="20"/>
  <c r="Y218" i="20"/>
  <c r="X82" i="20"/>
  <c r="Y74" i="20"/>
  <c r="Y152" i="20"/>
  <c r="X80" i="20"/>
  <c r="W111" i="20"/>
  <c r="W127" i="20"/>
  <c r="W175" i="20"/>
  <c r="Y18" i="20"/>
  <c r="D29" i="11" s="1"/>
  <c r="X192" i="20"/>
  <c r="X39" i="20"/>
  <c r="Y65" i="20"/>
  <c r="X23" i="20"/>
  <c r="D201" i="18" s="1"/>
  <c r="X146" i="20"/>
  <c r="W137" i="20"/>
  <c r="X59" i="20"/>
  <c r="W141" i="20"/>
  <c r="Y143" i="20"/>
  <c r="Y72" i="20"/>
  <c r="Y47" i="20"/>
  <c r="Y220" i="20"/>
  <c r="W96" i="20"/>
  <c r="Y70" i="20"/>
  <c r="C19" i="11"/>
  <c r="W41" i="11"/>
  <c r="C41" i="11"/>
  <c r="C7" i="11"/>
  <c r="E3" i="11"/>
  <c r="C3" i="11" s="1"/>
  <c r="R11" i="18"/>
  <c r="Q77" i="19"/>
  <c r="Q76" i="19"/>
  <c r="Q75" i="19" s="1"/>
  <c r="Q74" i="19"/>
  <c r="Q73" i="19"/>
  <c r="Q72" i="19" s="1"/>
  <c r="Q71" i="19"/>
  <c r="Q70" i="19"/>
  <c r="Q69" i="19" s="1"/>
  <c r="Q68" i="19"/>
  <c r="Q67" i="19"/>
  <c r="Q66" i="19" s="1"/>
  <c r="Q65" i="19"/>
  <c r="Q64" i="19"/>
  <c r="Q63" i="19" s="1"/>
  <c r="Q61" i="19"/>
  <c r="Q60" i="19" s="1"/>
  <c r="Q59" i="19"/>
  <c r="Q58" i="19"/>
  <c r="Q57" i="19" s="1"/>
  <c r="Q56" i="19"/>
  <c r="Q55" i="19"/>
  <c r="Q54" i="19" s="1"/>
  <c r="Q53" i="19"/>
  <c r="Q50" i="19"/>
  <c r="Q49" i="19"/>
  <c r="Q48" i="19" s="1"/>
  <c r="Q47" i="19"/>
  <c r="Q46" i="19"/>
  <c r="Q45" i="19" s="1"/>
  <c r="Q44" i="19"/>
  <c r="Q43" i="19"/>
  <c r="Q42" i="19" s="1"/>
  <c r="Q41" i="19"/>
  <c r="Q40" i="19"/>
  <c r="Q39" i="19" s="1"/>
  <c r="Q38" i="19"/>
  <c r="Q37" i="19"/>
  <c r="Q36" i="19" s="1"/>
  <c r="Q35" i="19"/>
  <c r="Q34" i="19"/>
  <c r="Q33" i="19" s="1"/>
  <c r="Q31" i="19"/>
  <c r="Q30" i="19" s="1"/>
  <c r="Q19" i="19"/>
  <c r="Q18" i="19" s="1"/>
  <c r="Q17" i="19"/>
  <c r="Q16" i="19"/>
  <c r="Q15" i="19" s="1"/>
  <c r="Q14" i="19"/>
  <c r="Q13" i="19"/>
  <c r="Q12" i="19" s="1"/>
  <c r="Q11" i="19"/>
  <c r="Q10" i="19"/>
  <c r="Q9" i="19" s="1"/>
  <c r="Q8" i="19"/>
  <c r="Q7" i="19"/>
  <c r="Q6" i="19" s="1"/>
  <c r="Q5" i="19"/>
  <c r="Q4" i="19"/>
  <c r="Q3" i="19" s="1"/>
  <c r="D49" i="11" l="1"/>
  <c r="D41" i="11"/>
  <c r="S11" i="18"/>
  <c r="R8" i="18"/>
  <c r="W31" i="11" l="1"/>
  <c r="W27" i="11"/>
  <c r="W15" i="11"/>
  <c r="W25" i="11"/>
  <c r="W23" i="11"/>
  <c r="W17" i="11"/>
  <c r="W21" i="11"/>
  <c r="W29" i="11"/>
  <c r="W13" i="11"/>
  <c r="W1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tc={DC6724C9-93D7-49D7-934E-7A29B0443531}</author>
    <author>tc={9FF2CCA8-F5DD-4021-84C4-741BDD77077F}</author>
    <author>tc={4D18399D-A438-4F56-98C3-D774897CEBF9}</author>
  </authors>
  <commentList>
    <comment ref="B48" authorId="0" shapeId="0" xr:uid="{DC6724C9-93D7-49D7-934E-7A29B0443531}">
      <text>
        <r>
          <rPr>
            <sz val="11"/>
            <color rgb="FF000000"/>
            <rFont val="Calibri"/>
            <family val="2"/>
          </rPr>
          <t>[Threaded comment]
Your version of Excel allows you to read this threaded comment; however, any edits to it will get removed if the file is opened in a newer version of Excel. Learn more: https://go.microsoft.com/fwlink/?linkid=870924
Comment:
    Added text. Please review.</t>
        </r>
      </text>
    </comment>
    <comment ref="B57" authorId="1" shapeId="0" xr:uid="{9FF2CCA8-F5DD-4021-84C4-741BDD77077F}">
      <text>
        <r>
          <rPr>
            <sz val="11"/>
            <color rgb="FF000000"/>
            <rFont val="Calibri"/>
            <family val="2"/>
          </rPr>
          <t>[Threaded comment]
Your version of Excel allows you to read this threaded comment; however, any edits to it will get removed if the file is opened in a newer version of Excel. Learn more: https://go.microsoft.com/fwlink/?linkid=870924
Comment:
    Should these populate automatically now?</t>
        </r>
      </text>
    </comment>
    <comment ref="B67" authorId="2" shapeId="0" xr:uid="{4D18399D-A438-4F56-98C3-D774897CEBF9}">
      <text>
        <r>
          <rPr>
            <sz val="11"/>
            <color rgb="FF000000"/>
            <rFont val="Calibri"/>
            <family val="2"/>
          </rPr>
          <t>[Threaded comment]
Your version of Excel allows you to read this threaded comment; however, any edits to it will get removed if the file is opened in a newer version of Excel. Learn more: https://go.microsoft.com/fwlink/?linkid=870924
Comment:
    Populate automatically?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Billups, Adele E</author>
    <author>nmu</author>
  </authors>
  <commentList>
    <comment ref="B4" authorId="0" shapeId="0" xr:uid="{00000000-0006-0000-0800-000001000000}">
      <text>
        <r>
          <rPr>
            <b/>
            <sz val="9"/>
            <color indexed="81"/>
            <rFont val="Tahoma"/>
            <family val="2"/>
          </rPr>
          <t>Billups, Adele E:</t>
        </r>
        <r>
          <rPr>
            <sz val="9"/>
            <color indexed="81"/>
            <rFont val="Tahoma"/>
            <family val="2"/>
          </rPr>
          <t xml:space="preserve">
If formulas go missing below, just copy and paste this formula into the cell missing information. The double click the corner of the cell so that the formula will populate in all of the cells below.</t>
        </r>
      </text>
    </comment>
    <comment ref="B5" authorId="0" shapeId="0" xr:uid="{00000000-0006-0000-0800-000002000000}">
      <text>
        <r>
          <rPr>
            <b/>
            <sz val="9"/>
            <color indexed="81"/>
            <rFont val="Tahoma"/>
            <family val="2"/>
          </rPr>
          <t>Billups, Adele E:</t>
        </r>
        <r>
          <rPr>
            <sz val="9"/>
            <color indexed="81"/>
            <rFont val="Tahoma"/>
            <family val="2"/>
          </rPr>
          <t xml:space="preserve">
This row is a concatenate of column A and C in order to provide a unique reference point for the results column (column B) in the results tab.  This allows for the results column to autopopulate.</t>
        </r>
      </text>
    </comment>
    <comment ref="F6" authorId="0" shapeId="0" xr:uid="{00000000-0006-0000-0800-000003000000}">
      <text>
        <r>
          <rPr>
            <b/>
            <sz val="9"/>
            <color indexed="81"/>
            <rFont val="Tahoma"/>
            <family val="2"/>
          </rPr>
          <t>Billups, Adele E:</t>
        </r>
        <r>
          <rPr>
            <sz val="9"/>
            <color indexed="81"/>
            <rFont val="Tahoma"/>
            <family val="2"/>
          </rPr>
          <t xml:space="preserve">
If custom outcome coding is used remember to number each N/A chronologically, i.e., N/A1, N/A2, N/A3</t>
        </r>
      </text>
    </comment>
    <comment ref="J6" authorId="0" shapeId="0" xr:uid="{65B79837-2956-4D40-BDE1-880777A55798}">
      <text>
        <r>
          <rPr>
            <b/>
            <sz val="14"/>
            <color indexed="81"/>
            <rFont val="Tahoma"/>
            <family val="2"/>
          </rPr>
          <t>Billups, Adele E:</t>
        </r>
        <r>
          <rPr>
            <sz val="14"/>
            <color indexed="81"/>
            <rFont val="Tahoma"/>
            <family val="2"/>
          </rPr>
          <t xml:space="preserve">
if "other" is chosen, put the method of data collection in a comment bubble attached to the cell</t>
        </r>
      </text>
    </comment>
    <comment ref="B34" authorId="0" shapeId="0" xr:uid="{00000000-0006-0000-0800-000005000000}">
      <text>
        <r>
          <rPr>
            <b/>
            <sz val="9"/>
            <color indexed="81"/>
            <rFont val="Tahoma"/>
            <family val="2"/>
          </rPr>
          <t>Billups, Adele E:</t>
        </r>
        <r>
          <rPr>
            <sz val="9"/>
            <color indexed="81"/>
            <rFont val="Tahoma"/>
            <family val="2"/>
          </rPr>
          <t xml:space="preserve">
This row is a concatenate of column A and C in order to provide a unique reference point for the results column (column B) in the results tab.  This allows for the results column to autopopulate.</t>
        </r>
      </text>
    </comment>
    <comment ref="I35" authorId="1" shapeId="0" xr:uid="{00000000-0006-0000-0800-000006000000}">
      <text>
        <r>
          <rPr>
            <b/>
            <sz val="9"/>
            <color indexed="81"/>
            <rFont val="Tahoma"/>
            <family val="2"/>
          </rPr>
          <t>nmu:</t>
        </r>
        <r>
          <rPr>
            <sz val="9"/>
            <color indexed="81"/>
            <rFont val="Tahoma"/>
            <family val="2"/>
          </rPr>
          <t xml:space="preserve">
Next Year we have 4 Partners and in this 4 , one new partner involved so I choose 75%
</t>
        </r>
      </text>
    </comment>
    <comment ref="B63" authorId="0" shapeId="0" xr:uid="{00000000-0006-0000-0800-000007000000}">
      <text>
        <r>
          <rPr>
            <b/>
            <sz val="9"/>
            <color indexed="81"/>
            <rFont val="Tahoma"/>
            <family val="2"/>
          </rPr>
          <t>Billups, Adele E:</t>
        </r>
        <r>
          <rPr>
            <sz val="9"/>
            <color indexed="81"/>
            <rFont val="Tahoma"/>
            <family val="2"/>
          </rPr>
          <t xml:space="preserve">
This row is a concatenate of column A and C in order to provide a unique reference point for the results column (column B) in the results tab.  This allows for the results column to autopopulate.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Billups, Adele E</author>
  </authors>
  <commentList>
    <comment ref="I3" authorId="0" shapeId="0" xr:uid="{D50AD0C5-F364-4602-AB8C-D05B8EE6BC17}">
      <text>
        <r>
          <rPr>
            <b/>
            <sz val="14"/>
            <color indexed="81"/>
            <rFont val="Tahoma"/>
            <family val="2"/>
          </rPr>
          <t>Billups, Adele E:</t>
        </r>
        <r>
          <rPr>
            <sz val="14"/>
            <color indexed="81"/>
            <rFont val="Tahoma"/>
            <family val="2"/>
          </rPr>
          <t xml:space="preserve">
For monthly reporting, rename from "Targeted" to "Actual" for columns I-M</t>
        </r>
      </text>
    </comment>
    <comment ref="K4" authorId="0" shapeId="0" xr:uid="{7EC307EA-959A-42C2-A4AE-2E5C430388EE}">
      <text>
        <r>
          <rPr>
            <b/>
            <sz val="14"/>
            <color indexed="81"/>
            <rFont val="Tahoma"/>
            <family val="2"/>
          </rPr>
          <t>Billups, Adele E:</t>
        </r>
        <r>
          <rPr>
            <sz val="14"/>
            <color indexed="81"/>
            <rFont val="Tahoma"/>
            <family val="2"/>
          </rPr>
          <t xml:space="preserve">
review and make sure formula is summing columns I+J
For global indicators, erase formulas when totals have to be manually calculated.
For global indicators use formula =sum(cell x+ celly + cell etc.).
See bencounting example tabs for Nutrtition and WASH examples</t>
        </r>
      </text>
    </comment>
    <comment ref="N4" authorId="0" shapeId="0" xr:uid="{883144B4-9F21-485F-9B69-20ED35CC1C82}">
      <text>
        <r>
          <rPr>
            <b/>
            <sz val="14"/>
            <color indexed="81"/>
            <rFont val="Tahoma"/>
            <family val="2"/>
          </rPr>
          <t>Billups, Adele E:</t>
        </r>
        <r>
          <rPr>
            <sz val="14"/>
            <color indexed="81"/>
            <rFont val="Tahoma"/>
            <family val="2"/>
          </rPr>
          <t xml:space="preserve">
review and make sure formula is summing columns L+M</t>
        </r>
      </text>
    </comment>
    <comment ref="O4" authorId="0" shapeId="0" xr:uid="{86E0FE25-D73E-4953-A810-2B42CEE9330A}">
      <text>
        <r>
          <rPr>
            <b/>
            <sz val="14"/>
            <color indexed="81"/>
            <rFont val="Tahoma"/>
            <family val="2"/>
          </rPr>
          <t>Billups, Adele E:</t>
        </r>
        <r>
          <rPr>
            <sz val="14"/>
            <color indexed="81"/>
            <rFont val="Tahoma"/>
            <family val="2"/>
          </rPr>
          <t xml:space="preserve">
1. </t>
        </r>
        <r>
          <rPr>
            <b/>
            <sz val="14"/>
            <color indexed="81"/>
            <rFont val="Tahoma"/>
            <family val="2"/>
          </rPr>
          <t>Who</t>
        </r>
        <r>
          <rPr>
            <sz val="14"/>
            <color indexed="81"/>
            <rFont val="Tahoma"/>
            <family val="2"/>
          </rPr>
          <t xml:space="preserve"> is being counted</t>
        </r>
        <r>
          <rPr>
            <sz val="14"/>
            <color indexed="81"/>
            <rFont val="Tahoma"/>
            <family val="2"/>
          </rPr>
          <t xml:space="preserve">?
2. </t>
        </r>
        <r>
          <rPr>
            <b/>
            <sz val="14"/>
            <color indexed="81"/>
            <rFont val="Tahoma"/>
            <family val="2"/>
          </rPr>
          <t xml:space="preserve">For overlap </t>
        </r>
        <r>
          <rPr>
            <sz val="14"/>
            <color indexed="81"/>
            <rFont val="Tahoma"/>
            <family val="2"/>
          </rPr>
          <t>tell: 
   1)</t>
        </r>
        <r>
          <rPr>
            <b/>
            <sz val="14"/>
            <color indexed="81"/>
            <rFont val="Tahoma"/>
            <family val="2"/>
          </rPr>
          <t xml:space="preserve"> How many people</t>
        </r>
        <r>
          <rPr>
            <sz val="14"/>
            <color indexed="81"/>
            <rFont val="Tahoma"/>
            <family val="2"/>
          </rPr>
          <t xml:space="preserve"> overlapped?
   2) </t>
        </r>
        <r>
          <rPr>
            <b/>
            <sz val="14"/>
            <color indexed="81"/>
            <rFont val="Tahoma"/>
            <family val="2"/>
          </rPr>
          <t>Where?</t>
        </r>
        <r>
          <rPr>
            <sz val="14"/>
            <color indexed="81"/>
            <rFont val="Tahoma"/>
            <family val="2"/>
          </rPr>
          <t xml:space="preserve"> with which indicator(s)? </t>
        </r>
        <r>
          <rPr>
            <b/>
            <sz val="14"/>
            <color indexed="81"/>
            <rFont val="Tahoma"/>
            <family val="2"/>
          </rPr>
          <t>cite code(s) with
        overlap values</t>
        </r>
        <r>
          <rPr>
            <sz val="14"/>
            <color indexed="81"/>
            <rFont val="Tahoma"/>
            <family val="2"/>
          </rPr>
          <t>.
   3)</t>
        </r>
        <r>
          <rPr>
            <b/>
            <sz val="14"/>
            <color indexed="81"/>
            <rFont val="Tahoma"/>
            <family val="2"/>
          </rPr>
          <t xml:space="preserve"> For Globals </t>
        </r>
        <r>
          <rPr>
            <sz val="14"/>
            <color indexed="81"/>
            <rFont val="Tahoma"/>
            <family val="2"/>
          </rPr>
          <t xml:space="preserve">recommend: 
       a. Giving values for each gender
       b. Highlight cells that were used to determine 
          global indicator.
</t>
        </r>
      </text>
    </comment>
    <comment ref="L5" authorId="0" shapeId="0" xr:uid="{1AC34A16-849F-4667-9D54-EE84D9026AE7}">
      <text>
        <r>
          <rPr>
            <b/>
            <sz val="14"/>
            <color indexed="81"/>
            <rFont val="Tahoma"/>
            <family val="2"/>
          </rPr>
          <t>Billups, Adele E:</t>
        </r>
        <r>
          <rPr>
            <sz val="14"/>
            <color indexed="81"/>
            <rFont val="Tahoma"/>
            <family val="2"/>
          </rPr>
          <t xml:space="preserve">
For Female and Male values in columns L and M
For each subsequent sub-indicator, ask the following:
1. were the people in this activity already counted in an activity mentioned above?
1a. If yes subtract the number of beneficiaries already mentioned and put the remaining value (0 or greater).
1b. If no, the value should be equal to value reported for the sub-indicator in the activity section (column I)</t>
        </r>
      </text>
    </comment>
    <comment ref="L17" authorId="0" shapeId="0" xr:uid="{F452FE43-EC98-422C-898C-1697294F4B39}">
      <text>
        <r>
          <rPr>
            <b/>
            <sz val="14"/>
            <color indexed="81"/>
            <rFont val="Tahoma"/>
            <family val="2"/>
          </rPr>
          <t>Billups, Adele E:</t>
        </r>
        <r>
          <rPr>
            <sz val="14"/>
            <color indexed="81"/>
            <rFont val="Tahoma"/>
            <family val="2"/>
          </rPr>
          <t xml:space="preserve">
review and make sure that total is summing column L.</t>
        </r>
      </text>
    </comment>
    <comment ref="M17" authorId="0" shapeId="0" xr:uid="{B935EB60-B289-4B40-B8A7-910D5C1D1DF7}">
      <text>
        <r>
          <rPr>
            <b/>
            <sz val="14"/>
            <color indexed="81"/>
            <rFont val="Tahoma"/>
            <family val="2"/>
          </rPr>
          <t>Billups, Adele E:</t>
        </r>
        <r>
          <rPr>
            <sz val="14"/>
            <color indexed="81"/>
            <rFont val="Tahoma"/>
            <family val="2"/>
          </rPr>
          <t xml:space="preserve">
review and make sure that total is summing column M.</t>
        </r>
      </text>
    </comment>
    <comment ref="N18" authorId="0" shapeId="0" xr:uid="{6EA556B5-D6CF-438D-A14F-174A541AAD2F}">
      <text>
        <r>
          <rPr>
            <b/>
            <sz val="14"/>
            <color indexed="81"/>
            <rFont val="Tahoma"/>
            <family val="2"/>
          </rPr>
          <t>Billups, Adele E:</t>
        </r>
        <r>
          <rPr>
            <sz val="14"/>
            <color indexed="81"/>
            <rFont val="Tahoma"/>
            <family val="2"/>
          </rPr>
          <t xml:space="preserve">
Check to make sure this value matches the total in column N and matches the sum of column L + 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Billups, Adele E</author>
  </authors>
  <commentList>
    <comment ref="D3" authorId="0" shapeId="0" xr:uid="{70A348BD-77ED-4405-B121-AEBE021ECBF1}">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10" authorId="0" shapeId="0" xr:uid="{9ABDEADF-0AF2-40AF-8495-414E69F03B0C}">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17" authorId="0" shapeId="0" xr:uid="{910BAEA3-AD6B-4A36-B3A7-86C2BEC128CE}">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24" authorId="0" shapeId="0" xr:uid="{0D9EBB9D-B497-4EE7-9457-42FD96CE206E}">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31" authorId="0" shapeId="0" xr:uid="{4DE564E6-893F-4A62-BB92-4E1E08E86E34}">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38" authorId="0" shapeId="0" xr:uid="{6B58E06C-1A7F-46AF-93B4-2EF279AD0D2A}">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45" authorId="0" shapeId="0" xr:uid="{CC47323B-F96E-422F-9AA0-CC93F6D48D17}">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52" authorId="0" shapeId="0" xr:uid="{BB1BC239-2EBE-47B3-8C5B-F8547CC8D03F}">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59" authorId="0" shapeId="0" xr:uid="{958AA903-5613-4E7B-B901-2A4665BD214E}">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66" authorId="0" shapeId="0" xr:uid="{FF646832-337F-47C7-84EF-95A1AA9D9F14}">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73" authorId="0" shapeId="0" xr:uid="{1F431EE9-B3EB-4A22-9EF8-3037B42BAEFA}">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80" authorId="0" shapeId="0" xr:uid="{3ABCDC26-DDA7-41AB-920E-1687C44F1EF4}">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87" authorId="0" shapeId="0" xr:uid="{6D193D40-FBE5-4814-BBFA-0177FA6AA87C}">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94" authorId="0" shapeId="0" xr:uid="{60F5DBEC-9C5D-49FE-B984-17FCF379A8E4}">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101" authorId="0" shapeId="0" xr:uid="{EB43632B-C024-41A0-B205-D78203F1F00A}">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108" authorId="0" shapeId="0" xr:uid="{35E4DD13-4114-4536-835D-A6EFD1369D95}">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115" authorId="0" shapeId="0" xr:uid="{75986604-A67E-421F-91D0-C5AAF82390E1}">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122" authorId="0" shapeId="0" xr:uid="{5BDAE8C4-A4B9-4290-A53C-CE843977838F}">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129" authorId="0" shapeId="0" xr:uid="{A5F86B91-FE99-44AD-ACC9-4A76469B8F20}">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136" authorId="0" shapeId="0" xr:uid="{C1232B2F-025E-4D9C-ACD6-96178741E09B}">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143" authorId="0" shapeId="0" xr:uid="{A69D7C3B-0FCC-4863-ACBC-416EFD5950B4}">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150" authorId="0" shapeId="0" xr:uid="{11AEF6A1-F9DE-42B5-A0E8-6A8514B535FE}">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157" authorId="0" shapeId="0" xr:uid="{F9BC9687-3020-4192-8281-26B2DB9080CF}">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164" authorId="0" shapeId="0" xr:uid="{001BECC9-6113-4695-8020-DE349F26AE25}">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D171" authorId="0" shapeId="0" xr:uid="{4FCB0063-5EEB-4AB5-B2C2-9244D2EEB930}">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Billups, Adele E</author>
  </authors>
  <commentList>
    <comment ref="E2" authorId="0" shapeId="0" xr:uid="{515532D3-34A9-413C-8391-F02522F977CE}">
      <text>
        <r>
          <rPr>
            <b/>
            <sz val="9"/>
            <color indexed="81"/>
            <rFont val="Tahoma"/>
            <family val="2"/>
          </rPr>
          <t>Billups, Adele E:</t>
        </r>
        <r>
          <rPr>
            <sz val="9"/>
            <color indexed="81"/>
            <rFont val="Tahoma"/>
            <family val="2"/>
          </rPr>
          <t xml:space="preserve">
Recommendation:
Do not fill out targets for the first review of proposal season.  Only list them in the narrative. Put in targets for the second review of proposal season.
Reason- during 1st review feedback will be given by IHQ that may cause the logical flow of indicators in the logframe to change.  If the targets are manually entered, they will not shift to the new places once the logframe tab is refreshed and populates to other tabs.  This will cause a mistmatch between the previous targets and the refreshed indicators.</t>
        </r>
      </text>
    </comment>
    <comment ref="E3" authorId="0" shapeId="0" xr:uid="{00000000-0006-0000-0A00-000001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4" authorId="0" shapeId="0" xr:uid="{16763FE6-42AE-4363-A83A-D9D493CBF2E3}">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5" authorId="0" shapeId="0" xr:uid="{12FA6EDE-16AB-4545-8FC4-61AC6DD8AE5A}">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36" authorId="0" shapeId="0" xr:uid="{FC9B3FAB-C13F-471B-86A6-7F7F6B2BD766}">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47" authorId="0" shapeId="0" xr:uid="{141504F9-6275-4532-A2B7-C7C358DAF8D2}">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58" authorId="0" shapeId="0" xr:uid="{7E888386-4C61-48D1-B0EA-9C51F01DB931}">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69" authorId="0" shapeId="0" xr:uid="{0B6BB733-237B-4597-A49C-D374E0329799}">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80" authorId="0" shapeId="0" xr:uid="{69EAD8E6-50FF-4958-ACD2-A82FA05E1953}">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91" authorId="0" shapeId="0" xr:uid="{D2AA29F7-505A-46A4-BE46-6FB1B39C11FE}">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02" authorId="0" shapeId="0" xr:uid="{87086E39-DD47-428C-ADC9-F7889955B092}">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13" authorId="0" shapeId="0" xr:uid="{F019800E-C6D0-41C1-880F-9004704AB272}">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24" authorId="0" shapeId="0" xr:uid="{E571E96A-1289-43E2-8DC5-B1F1934FDA1C}">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35" authorId="0" shapeId="0" xr:uid="{DE38806B-A061-4157-87CF-2F58CEEDE24D}">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46" authorId="0" shapeId="0" xr:uid="{0BA78F87-B706-4C66-A1B0-E6613AC23543}">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57" authorId="0" shapeId="0" xr:uid="{1BB546CD-B0B3-4AE4-8754-EBFCB0A8E982}">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68" authorId="0" shapeId="0" xr:uid="{715B1ECC-F9FE-4973-8521-CD3281E6881E}">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79" authorId="0" shapeId="0" xr:uid="{29E08564-EF5E-4F34-BCE2-8FF5D834E26D}">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90" authorId="0" shapeId="0" xr:uid="{F69AA604-482D-4BD6-8A8D-C5FEE2B6A4A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01" authorId="0" shapeId="0" xr:uid="{4222AF3F-E575-4882-828A-007420DEA19B}">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12" authorId="0" shapeId="0" xr:uid="{72B2B342-3C3F-4135-9A54-AE66B793DAAC}">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23" authorId="0" shapeId="0" xr:uid="{BE0A6281-BBCE-4AAA-8F6B-1035D797153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34" authorId="0" shapeId="0" xr:uid="{6EC10D73-FA26-4E3A-A410-DF67C8A0DF4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45" authorId="0" shapeId="0" xr:uid="{C702AAB1-E60E-400C-BB26-70C0BB94BB8D}">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56" authorId="0" shapeId="0" xr:uid="{98D9D4E3-A787-46AA-860D-71C6FB800837}">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67" authorId="0" shapeId="0" xr:uid="{CAEABFA8-E261-4B30-A034-1F30AF63385A}">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78" authorId="0" shapeId="0" xr:uid="{1B8DB09A-D9D0-4F7A-A5F5-6025BA631B11}">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Billups, Adele E</author>
  </authors>
  <commentList>
    <comment ref="I2" authorId="0" shapeId="0" xr:uid="{00000000-0006-0000-0B00-000001000000}">
      <text>
        <r>
          <rPr>
            <b/>
            <sz val="9"/>
            <color indexed="81"/>
            <rFont val="Tahoma"/>
            <family val="2"/>
          </rPr>
          <t>Billups, Adele E:</t>
        </r>
        <r>
          <rPr>
            <sz val="9"/>
            <color indexed="81"/>
            <rFont val="Tahoma"/>
            <family val="2"/>
          </rPr>
          <t xml:space="preserve">
multi-year projects will have multiple benchmarks due to annual assessments.
Projects with quarterly assessment exercises such as Post-distribution Monitoring or gauging knowledge retention of Nutrition Care Group trainees may also have multiple benchmarks for a project.
If a project has a baseline and endline then only the Baseline and Total/Target would need to be filled out (these will auto populate from the logframe).
</t>
        </r>
      </text>
    </comment>
    <comment ref="B3" authorId="0" shapeId="0" xr:uid="{00000000-0006-0000-0B00-000002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E3" authorId="0" shapeId="0" xr:uid="{00000000-0006-0000-0B00-000003000000}">
      <text>
        <r>
          <rPr>
            <b/>
            <sz val="9"/>
            <color indexed="81"/>
            <rFont val="Tahoma"/>
            <family val="2"/>
          </rPr>
          <t>Billups, Adele E:</t>
        </r>
        <r>
          <rPr>
            <sz val="9"/>
            <color indexed="81"/>
            <rFont val="Tahoma"/>
            <family val="2"/>
          </rPr>
          <t xml:space="preserve">
reference for Result column (B).  Do not alter as it feeds from column B in the "Example Logframe tab"</t>
        </r>
      </text>
    </comment>
    <comment ref="B5" authorId="0" shapeId="0" xr:uid="{00000000-0006-0000-0B00-000004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7" authorId="0" shapeId="0" xr:uid="{00000000-0006-0000-0B00-000005000000}">
      <text>
        <r>
          <rPr>
            <b/>
            <sz val="9"/>
            <color indexed="81"/>
            <rFont val="Tahoma"/>
            <family val="2"/>
          </rPr>
          <t>Billups, Adele E:</t>
        </r>
        <r>
          <rPr>
            <sz val="9"/>
            <color indexed="81"/>
            <rFont val="Tahoma"/>
            <family val="2"/>
          </rPr>
          <t xml:space="preserve">
</t>
        </r>
        <r>
          <rPr>
            <b/>
            <sz val="9"/>
            <color indexed="81"/>
            <rFont val="Tahoma"/>
            <family val="2"/>
          </rPr>
          <t xml:space="preserve">
</t>
        </r>
        <r>
          <rPr>
            <sz val="9"/>
            <color indexed="81"/>
            <rFont val="Tahoma"/>
            <family val="2"/>
          </rPr>
          <t>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t>
        </r>
        <r>
          <rPr>
            <b/>
            <sz val="9"/>
            <color indexed="81"/>
            <rFont val="Tahoma"/>
            <family val="2"/>
          </rPr>
          <t xml:space="preserve">
</t>
        </r>
      </text>
    </comment>
    <comment ref="B9" authorId="0" shapeId="0" xr:uid="{00000000-0006-0000-0B00-000006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11" authorId="0" shapeId="0" xr:uid="{00000000-0006-0000-0B00-000007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13" authorId="0" shapeId="0" xr:uid="{00000000-0006-0000-0B00-000008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15" authorId="0" shapeId="0" xr:uid="{00000000-0006-0000-0B00-000009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17" authorId="0" shapeId="0" xr:uid="{00000000-0006-0000-0B00-00000A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19" authorId="0" shapeId="0" xr:uid="{00000000-0006-0000-0B00-00000B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21" authorId="0" shapeId="0" xr:uid="{00000000-0006-0000-0B00-00000C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23" authorId="0" shapeId="0" xr:uid="{00000000-0006-0000-0B00-00000D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25" authorId="0" shapeId="0" xr:uid="{00000000-0006-0000-0B00-00000E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27" authorId="0" shapeId="0" xr:uid="{00000000-0006-0000-0B00-00000F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29" authorId="0" shapeId="0" xr:uid="{00000000-0006-0000-0B00-000010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31" authorId="0" shapeId="0" xr:uid="{00000000-0006-0000-0B00-000011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33" authorId="0" shapeId="0" xr:uid="{00000000-0006-0000-0B00-000012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35" authorId="0" shapeId="0" xr:uid="{00000000-0006-0000-0B00-000013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37" authorId="0" shapeId="0" xr:uid="{00000000-0006-0000-0B00-000014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39" authorId="0" shapeId="0" xr:uid="{00000000-0006-0000-0B00-000015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41" authorId="0" shapeId="0" xr:uid="{00000000-0006-0000-0B00-000016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43" authorId="0" shapeId="0" xr:uid="{00000000-0006-0000-0B00-000017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45" authorId="0" shapeId="0" xr:uid="{00000000-0006-0000-0B00-000018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47" authorId="0" shapeId="0" xr:uid="{00000000-0006-0000-0B00-000019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49" authorId="0" shapeId="0" xr:uid="{00000000-0006-0000-0B00-00001A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51" authorId="0" shapeId="0" xr:uid="{00000000-0006-0000-0B00-00001B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Hagaman, Daniel C</author>
  </authors>
  <commentList>
    <comment ref="G18" authorId="0" shapeId="0" xr:uid="{00000000-0006-0000-0100-000001000000}">
      <text>
        <r>
          <rPr>
            <b/>
            <sz val="9"/>
            <color indexed="81"/>
            <rFont val="Tahoma"/>
            <family val="2"/>
          </rPr>
          <t>Hagaman, Daniel C:</t>
        </r>
        <r>
          <rPr>
            <sz val="9"/>
            <color indexed="81"/>
            <rFont val="Tahoma"/>
            <family val="2"/>
          </rPr>
          <t xml:space="preserve">
This cell was filled in manually </t>
        </r>
      </text>
    </comment>
    <comment ref="G24" authorId="0" shapeId="0" xr:uid="{00000000-0006-0000-0100-000002000000}">
      <text>
        <r>
          <rPr>
            <b/>
            <sz val="9"/>
            <color indexed="81"/>
            <rFont val="Tahoma"/>
            <family val="2"/>
          </rPr>
          <t>Hagaman, Daniel C:</t>
        </r>
        <r>
          <rPr>
            <sz val="9"/>
            <color indexed="81"/>
            <rFont val="Tahoma"/>
            <family val="2"/>
          </rPr>
          <t xml:space="preserve">
This cell was manually filled in.</t>
        </r>
      </text>
    </comment>
    <comment ref="G25" authorId="0" shapeId="0" xr:uid="{00000000-0006-0000-0100-000003000000}">
      <text>
        <r>
          <rPr>
            <b/>
            <sz val="9"/>
            <color indexed="81"/>
            <rFont val="Tahoma"/>
            <family val="2"/>
          </rPr>
          <t>Hagaman, Daniel C:</t>
        </r>
        <r>
          <rPr>
            <sz val="9"/>
            <color indexed="81"/>
            <rFont val="Tahoma"/>
            <family val="2"/>
          </rPr>
          <t xml:space="preserve">
This cell was manually filled in.</t>
        </r>
      </text>
    </comment>
    <comment ref="G41" authorId="0" shapeId="0" xr:uid="{00000000-0006-0000-0100-000004000000}">
      <text>
        <r>
          <rPr>
            <b/>
            <sz val="9"/>
            <color indexed="81"/>
            <rFont val="Tahoma"/>
            <family val="2"/>
          </rPr>
          <t>Hagaman, Daniel C:</t>
        </r>
        <r>
          <rPr>
            <sz val="9"/>
            <color indexed="81"/>
            <rFont val="Tahoma"/>
            <family val="2"/>
          </rPr>
          <t xml:space="preserve">
This cell was filled in manually on Adele's copy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Billups, Adele E</author>
  </authors>
  <commentList>
    <comment ref="C3" authorId="0" shapeId="0" xr:uid="{E58D97F9-C206-4E9B-944F-E3C0EE29910A}">
      <text>
        <r>
          <rPr>
            <b/>
            <sz val="14"/>
            <color indexed="81"/>
            <rFont val="Tahoma"/>
            <family val="2"/>
          </rPr>
          <t>Billups, Adele E:</t>
        </r>
        <r>
          <rPr>
            <sz val="14"/>
            <color indexed="81"/>
            <rFont val="Tahoma"/>
            <family val="2"/>
          </rPr>
          <t xml:space="preserve">
For proposal, this column title would say "Target" Female
During implementation, the title should read as "Actual" since the project would be generating numbers.</t>
        </r>
      </text>
    </comment>
    <comment ref="C4" authorId="0" shapeId="0" xr:uid="{B9BB750A-C387-4146-9338-C7DA766E18EB}">
      <text>
        <r>
          <rPr>
            <b/>
            <sz val="14"/>
            <color indexed="81"/>
            <rFont val="Tahoma"/>
            <family val="2"/>
          </rPr>
          <t>Billups, Adele E:</t>
        </r>
        <r>
          <rPr>
            <sz val="14"/>
            <color indexed="81"/>
            <rFont val="Tahoma"/>
            <family val="2"/>
          </rPr>
          <t xml:space="preserve">
For proposal, columns C and D would be estimations
During implementation, numbers from column C and D should be coming from beneficiary trackers, activity trackers or the MWB.</t>
        </r>
      </text>
    </comment>
    <comment ref="C17" authorId="0" shapeId="0" xr:uid="{A44B6362-C928-4186-9652-3A118AB29702}">
      <text>
        <r>
          <rPr>
            <b/>
            <sz val="14"/>
            <color indexed="81"/>
            <rFont val="Tahoma"/>
            <family val="2"/>
          </rPr>
          <t>Billups, Adele E:</t>
        </r>
        <r>
          <rPr>
            <sz val="14"/>
            <color indexed="81"/>
            <rFont val="Tahoma"/>
            <family val="2"/>
          </rPr>
          <t xml:space="preserve">
In this scenario, the largest yield sub was used to inform the global indicator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Billups, Adele E</author>
  </authors>
  <commentList>
    <comment ref="I1" authorId="0" shapeId="0" xr:uid="{00000000-0006-0000-0D00-000001000000}">
      <text>
        <r>
          <rPr>
            <b/>
            <sz val="9"/>
            <color indexed="81"/>
            <rFont val="Tahoma"/>
            <family val="2"/>
          </rPr>
          <t>Billups, Adele E:</t>
        </r>
        <r>
          <rPr>
            <sz val="9"/>
            <color indexed="81"/>
            <rFont val="Tahoma"/>
            <family val="2"/>
          </rPr>
          <t xml:space="preserve">
Please explain how you arrived at the unique number by activity for the project.
</t>
        </r>
        <r>
          <rPr>
            <b/>
            <sz val="9"/>
            <color indexed="81"/>
            <rFont val="Tahoma"/>
            <family val="2"/>
          </rPr>
          <t>Elements to include:</t>
        </r>
        <r>
          <rPr>
            <sz val="9"/>
            <color indexed="81"/>
            <rFont val="Tahoma"/>
            <family val="2"/>
          </rPr>
          <t xml:space="preserve">
1. total number of people.
2. sub-set of new people from total number.
3. calculation of how beneficiary numbers are estimated.
4. If beneficiaries have already been accounted for in terms of the project but not within a global indicator, elaborate (see cell R8) so that PMT can understand how the final number for the global indicator was derived.</t>
        </r>
      </text>
    </comment>
    <comment ref="C7" authorId="0" shapeId="0" xr:uid="{35F93DD0-C4C7-4C89-8E60-00F9F176253B}">
      <text>
        <r>
          <rPr>
            <b/>
            <sz val="9"/>
            <color indexed="81"/>
            <rFont val="Tahoma"/>
            <family val="2"/>
          </rPr>
          <t>Billups, Adele E:</t>
        </r>
        <r>
          <rPr>
            <sz val="9"/>
            <color indexed="81"/>
            <rFont val="Tahoma"/>
            <family val="2"/>
          </rPr>
          <t xml:space="preserve">
</t>
        </r>
        <r>
          <rPr>
            <b/>
            <sz val="9"/>
            <color indexed="81"/>
            <rFont val="Tahoma"/>
            <family val="2"/>
          </rPr>
          <t>To WASH TAs</t>
        </r>
        <r>
          <rPr>
            <sz val="9"/>
            <color indexed="81"/>
            <rFont val="Tahoma"/>
            <family val="2"/>
          </rPr>
          <t xml:space="preserve">
I used 51F/49M ratio for latrines and 50/50 for the water point above.
For WASH programming some of the indicators are based on crude estimates and some are based on beneficiary lists.
Do you apply gender ratios the same across the board or by indcator?
what would be the industry standard?</t>
        </r>
      </text>
    </comment>
    <comment ref="F8" authorId="0" shapeId="0" xr:uid="{00000000-0006-0000-0D00-000002000000}">
      <text>
        <r>
          <rPr>
            <b/>
            <sz val="9"/>
            <color indexed="81"/>
            <rFont val="Tahoma"/>
            <family val="2"/>
          </rPr>
          <t>Billups, Adele E:</t>
        </r>
        <r>
          <rPr>
            <sz val="9"/>
            <color indexed="81"/>
            <rFont val="Tahoma"/>
            <family val="2"/>
          </rPr>
          <t xml:space="preserve">
there are 50 beneficiaries (26F, 24M at a 51%/49% ratio) that were captured under sub-indicator (P030602) therefore don't put 50 (26F, 24M) here since this column calculates values toward the entire project.  Instead remember to apply the 50 only to the global indicator P030600 which is calculated independently of the total project number.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Billups, Adele E</author>
  </authors>
  <commentList>
    <comment ref="E3" authorId="0" shapeId="0" xr:uid="{00000000-0006-0000-0300-000001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4" authorId="0" shapeId="0" xr:uid="{00000000-0006-0000-0300-000002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5" authorId="0" shapeId="0" xr:uid="{00000000-0006-0000-0300-000003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36" authorId="0" shapeId="0" xr:uid="{00000000-0006-0000-0300-000004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47" authorId="0" shapeId="0" xr:uid="{00000000-0006-0000-0300-000005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58" authorId="0" shapeId="0" xr:uid="{00000000-0006-0000-0300-000006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69" authorId="0" shapeId="0" xr:uid="{00000000-0006-0000-0300-000007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80" authorId="0" shapeId="0" xr:uid="{00000000-0006-0000-0300-000008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91" authorId="0" shapeId="0" xr:uid="{00000000-0006-0000-0300-000009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02" authorId="0" shapeId="0" xr:uid="{00000000-0006-0000-0300-00000A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13" authorId="0" shapeId="0" xr:uid="{00000000-0006-0000-0300-00000B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24" authorId="0" shapeId="0" xr:uid="{00000000-0006-0000-0300-00000C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35" authorId="0" shapeId="0" xr:uid="{00000000-0006-0000-0300-00000D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46" authorId="0" shapeId="0" xr:uid="{00000000-0006-0000-0300-00000E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57" authorId="0" shapeId="0" xr:uid="{00000000-0006-0000-0300-00000F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68" authorId="0" shapeId="0" xr:uid="{00000000-0006-0000-0300-000010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79" authorId="0" shapeId="0" xr:uid="{00000000-0006-0000-0300-000011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190" authorId="0" shapeId="0" xr:uid="{00000000-0006-0000-0300-000012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01" authorId="0" shapeId="0" xr:uid="{00000000-0006-0000-0300-000013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12" authorId="0" shapeId="0" xr:uid="{00000000-0006-0000-0300-000014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23" authorId="0" shapeId="0" xr:uid="{00000000-0006-0000-0300-000015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34" authorId="0" shapeId="0" xr:uid="{00000000-0006-0000-0300-000016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45" authorId="0" shapeId="0" xr:uid="{00000000-0006-0000-0300-000017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56" authorId="0" shapeId="0" xr:uid="{00000000-0006-0000-0300-000018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E267" authorId="0" shapeId="0" xr:uid="{00000000-0006-0000-0300-000019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 ref="D278" authorId="0" shapeId="0" xr:uid="{00000000-0006-0000-0300-00001A000000}">
      <text>
        <r>
          <rPr>
            <b/>
            <sz val="9"/>
            <color indexed="81"/>
            <rFont val="Tahoma"/>
            <family val="2"/>
          </rPr>
          <t>Billups, Adele E:</t>
        </r>
        <r>
          <rPr>
            <sz val="9"/>
            <color indexed="81"/>
            <rFont val="Tahoma"/>
            <family val="2"/>
          </rPr>
          <t xml:space="preserve">
</t>
        </r>
      </text>
    </comment>
    <comment ref="E278" authorId="0" shapeId="0" xr:uid="{00000000-0006-0000-0300-00001B000000}">
      <text>
        <r>
          <rPr>
            <b/>
            <sz val="9"/>
            <color indexed="81"/>
            <rFont val="Tahoma"/>
            <family val="2"/>
          </rPr>
          <t>Billups, Adele E:</t>
        </r>
        <r>
          <rPr>
            <sz val="9"/>
            <color indexed="81"/>
            <rFont val="Tahoma"/>
            <family val="2"/>
          </rPr>
          <t xml:space="preserve">
Make sure all indicators codes are accounted for before putting in the targets.  If you find that you missed reporting an indicator in the logframe and insert a row (or delete) then columns B- D in this tab will update but columns F-Q are manual and therefore will not.  You must then make sure that target numbers reflect the updated indicator information.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Billups, Adele E</author>
  </authors>
  <commentList>
    <comment ref="AA3" authorId="0" shapeId="0" xr:uid="{00000000-0006-0000-0500-000001000000}">
      <text>
        <r>
          <rPr>
            <b/>
            <sz val="9"/>
            <color indexed="81"/>
            <rFont val="Tahoma"/>
            <family val="2"/>
          </rPr>
          <t>Billups, Adele E:</t>
        </r>
        <r>
          <rPr>
            <sz val="9"/>
            <color indexed="81"/>
            <rFont val="Tahoma"/>
            <family val="2"/>
          </rPr>
          <t xml:space="preserve">
If you find that the sorting may be off- for example, the numbers are not sorting right, e.g. 1,2,3,33,4,5,55,6, etc. I found that this is because although column B and Column C are live, it doesn't always translate to column O and P even after you press "refresh data".  I don't know why this is.
Anyway, when data is not listing in the same order as Columns H and I in Columns O and P try this:
1. select the first cell in column B (B2)
2. Double click that cell
3. repeat this step for column C-F this should refresh data that was not refreshed after pressing the "data refresh" button under the data tab.
4. click anywhere on the column O pivot table where there is data
5. go to Analyze tab
6. select "change data source"
7. change data source from column H2:H228 (Table26[B]) and change it to column B2:B228
8. press return
9. select ok
10 column O should reflect what is in column B but the sorting may be off because it will sort first alphabetically then numberically.
11. you will change data source column O pivot table back to its original source by clicking anywhere on column O where data is
12. go to Analyze tab
13. select "change data source"
14. change data source from column B2:B228 (Table13[B]) to column H2:H228 (Table26[B])
15. press return
16. select ok
17. check the numbers in column O to make sure they are in chronological order.
18. repeat steps 4-17 for columns P and Q
19. verify that all indicator codes are listed in order in the benefit, people and result tabs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Billups, Adele E</author>
  </authors>
  <commentList>
    <comment ref="AA3" authorId="0" shapeId="0" xr:uid="{00000000-0006-0000-0600-000001000000}">
      <text>
        <r>
          <rPr>
            <b/>
            <sz val="9"/>
            <color indexed="81"/>
            <rFont val="Tahoma"/>
            <family val="2"/>
          </rPr>
          <t>Billups, Adele E:</t>
        </r>
        <r>
          <rPr>
            <sz val="9"/>
            <color indexed="81"/>
            <rFont val="Tahoma"/>
            <family val="2"/>
          </rPr>
          <t xml:space="preserve">
If you find that the sorting may be off- for example, the numbers are not sorting right, e.g. 1,2,3,33,4,5,55,6, etc. I found that this is because although column B and Column C are live, it doesn't always translate to column O and P even after you press "refresh data".  I don't know why this is.
Anyway, when data is not listing in the same order as Columns H and I in Columns O and P try this:
1. select the first cell in column B (B2)
2. Double click that cell
3. repeat this step for column C-F this should refresh data that was not refreshed after pressing the "data refresh" button under the data tab.
4. click anywhere on the column O pivot table where there is data
5. go to Analyze tab
6. select "change data source"
7. change data source from column H2:H228 (Table26[B]) and change it to column B2:B228
8. press return
9. select ok
10 column O should reflect what is in column B but the sorting may be off because it will sort first alphabetically then numberically.
11. you will change data source column O pivot table back to its original source by clicking anywhere on column O where data is
12. go to Analyze tab
13. select "change data source"
14. change data source from column B2:B228 (Table13[B]) to column H2:H228 (Table26[B])
15. press return
16. select ok
17. check the numbers in column O to make sure they are in chronological order.
18. repeat steps 4-17 for columns P and Q
19. verify that all indicator codes are listed in order in the benefit, people and result tabs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Billups, Adele E</author>
  </authors>
  <commentList>
    <comment ref="I2" authorId="0" shapeId="0" xr:uid="{00000000-0006-0000-0400-000001000000}">
      <text>
        <r>
          <rPr>
            <b/>
            <sz val="9"/>
            <color indexed="81"/>
            <rFont val="Tahoma"/>
            <family val="2"/>
          </rPr>
          <t>Billups, Adele E:</t>
        </r>
        <r>
          <rPr>
            <sz val="9"/>
            <color indexed="81"/>
            <rFont val="Tahoma"/>
            <family val="2"/>
          </rPr>
          <t xml:space="preserve">
multi-year projects will have multiple benchmarks due to annual assessments.
Projects with quarterly assessment exercises such as Post-distribution Monitoring or gauging knowledge retention of Nutrition Care Group trainees may also have multiple benchmarks for a project.
If a project has a baseline and endline then only the Baseline and Total/Target would need to be filled out (these will auto populate from the logframe).
</t>
        </r>
      </text>
    </comment>
    <comment ref="B3" authorId="0" shapeId="0" xr:uid="{00000000-0006-0000-0400-000002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E3" authorId="0" shapeId="0" xr:uid="{00000000-0006-0000-0400-000003000000}">
      <text>
        <r>
          <rPr>
            <b/>
            <sz val="9"/>
            <color indexed="81"/>
            <rFont val="Tahoma"/>
            <family val="2"/>
          </rPr>
          <t>Billups, Adele E:</t>
        </r>
        <r>
          <rPr>
            <sz val="9"/>
            <color indexed="81"/>
            <rFont val="Tahoma"/>
            <family val="2"/>
          </rPr>
          <t xml:space="preserve">
reference for Result column (B).  Do not alter as it feeds from column B in the "Example Logframe tab"</t>
        </r>
      </text>
    </comment>
    <comment ref="U3" authorId="0" shapeId="0" xr:uid="{00000000-0006-0000-0400-000004000000}">
      <text>
        <r>
          <rPr>
            <b/>
            <sz val="9"/>
            <color indexed="81"/>
            <rFont val="Tahoma"/>
            <family val="2"/>
          </rPr>
          <t>Billups, Adele E:</t>
        </r>
        <r>
          <rPr>
            <sz val="9"/>
            <color indexed="81"/>
            <rFont val="Tahoma"/>
            <family val="2"/>
          </rPr>
          <t xml:space="preserve">
font is in red to show that this information had to be entered manually.</t>
        </r>
      </text>
    </comment>
    <comment ref="B5" authorId="0" shapeId="0" xr:uid="{00000000-0006-0000-0400-000005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7" authorId="0" shapeId="0" xr:uid="{00000000-0006-0000-0400-000006000000}">
      <text>
        <r>
          <rPr>
            <b/>
            <sz val="9"/>
            <color indexed="81"/>
            <rFont val="Tahoma"/>
            <family val="2"/>
          </rPr>
          <t>Billups, Adele E:</t>
        </r>
        <r>
          <rPr>
            <sz val="9"/>
            <color indexed="81"/>
            <rFont val="Tahoma"/>
            <family val="2"/>
          </rPr>
          <t xml:space="preserve">
</t>
        </r>
        <r>
          <rPr>
            <b/>
            <sz val="9"/>
            <color indexed="81"/>
            <rFont val="Tahoma"/>
            <family val="2"/>
          </rPr>
          <t xml:space="preserve">
</t>
        </r>
        <r>
          <rPr>
            <sz val="9"/>
            <color indexed="81"/>
            <rFont val="Tahoma"/>
            <family val="2"/>
          </rPr>
          <t>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t>
        </r>
        <r>
          <rPr>
            <b/>
            <sz val="9"/>
            <color indexed="81"/>
            <rFont val="Tahoma"/>
            <family val="2"/>
          </rPr>
          <t xml:space="preserve">
</t>
        </r>
      </text>
    </comment>
    <comment ref="B9" authorId="0" shapeId="0" xr:uid="{00000000-0006-0000-0400-000007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11" authorId="0" shapeId="0" xr:uid="{00000000-0006-0000-0400-000008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13" authorId="0" shapeId="0" xr:uid="{00000000-0006-0000-0400-000009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15" authorId="0" shapeId="0" xr:uid="{00000000-0006-0000-0400-00000A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17" authorId="0" shapeId="0" xr:uid="{00000000-0006-0000-0400-00000B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19" authorId="0" shapeId="0" xr:uid="{00000000-0006-0000-0400-00000C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21" authorId="0" shapeId="0" xr:uid="{00000000-0006-0000-0400-00000D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23" authorId="0" shapeId="0" xr:uid="{00000000-0006-0000-0400-00000E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25" authorId="0" shapeId="0" xr:uid="{00000000-0006-0000-0400-00000F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27" authorId="0" shapeId="0" xr:uid="{00000000-0006-0000-0400-000010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29" authorId="0" shapeId="0" xr:uid="{00000000-0006-0000-0400-000011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31" authorId="0" shapeId="0" xr:uid="{00000000-0006-0000-0400-000012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33" authorId="0" shapeId="0" xr:uid="{00000000-0006-0000-0400-000013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35" authorId="0" shapeId="0" xr:uid="{00000000-0006-0000-0400-000014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37" authorId="0" shapeId="0" xr:uid="{00000000-0006-0000-0400-000015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39" authorId="0" shapeId="0" xr:uid="{00000000-0006-0000-0400-000016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41" authorId="0" shapeId="0" xr:uid="{00000000-0006-0000-0400-000017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43" authorId="0" shapeId="0" xr:uid="{00000000-0006-0000-0400-000018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45" authorId="0" shapeId="0" xr:uid="{00000000-0006-0000-0400-000019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47" authorId="0" shapeId="0" xr:uid="{00000000-0006-0000-0400-00001A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49" authorId="0" shapeId="0" xr:uid="{00000000-0006-0000-0400-00001B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 ref="B51" authorId="0" shapeId="0" xr:uid="{00000000-0006-0000-0400-00001C000000}">
      <text>
        <r>
          <rPr>
            <b/>
            <sz val="9"/>
            <color indexed="81"/>
            <rFont val="Tahoma"/>
            <family val="2"/>
          </rPr>
          <t>Billups, Adele E:</t>
        </r>
        <r>
          <rPr>
            <sz val="9"/>
            <color indexed="81"/>
            <rFont val="Tahoma"/>
            <family val="2"/>
          </rPr>
          <t xml:space="preserve">
If the cell says "choose outcome" this means that the result indicator chosen has multiple option results options, i.e. the result indicator could be categorized as an "MTO" or "STO".  
Manually type in the desired outcome level.
If the cell comes up blank it is because it is a custom indicator (N/A). Manually type in the desired outcome level.
</t>
        </r>
      </text>
    </comment>
  </commentList>
</comments>
</file>

<file path=xl/sharedStrings.xml><?xml version="1.0" encoding="utf-8"?>
<sst xmlns="http://schemas.openxmlformats.org/spreadsheetml/2006/main" count="7730" uniqueCount="2226">
  <si>
    <t>Acronyms</t>
  </si>
  <si>
    <t>In order of appearance</t>
  </si>
  <si>
    <t>MTO</t>
  </si>
  <si>
    <t>Medium Term Outcomes</t>
  </si>
  <si>
    <t>STO</t>
  </si>
  <si>
    <t>Short Term Outcomes</t>
  </si>
  <si>
    <t>N/A</t>
  </si>
  <si>
    <t>Not Applicable. The user records this in the code and baseline columns when a custom outcome indicator is used or when baseline data is not applicable for the indicator.</t>
  </si>
  <si>
    <t>This code arises when the N/A is recorded.  #N/A means that the cell does not have the information needed to populate the cell (it doesn't recognize it). For custom indicators in the logframe simply type over in the field to remove the #N/A message.  For other tabs, the #N/A will disappear as tabs populate from logframe tab.</t>
  </si>
  <si>
    <t>I</t>
  </si>
  <si>
    <t>Individual- counting method which instructs implementers to count beneficiaries who are direct participants or who have directly received a benefit from SP.</t>
  </si>
  <si>
    <t>HH</t>
  </si>
  <si>
    <r>
      <t xml:space="preserve">Household - counting method which instructs implementers to count all members </t>
    </r>
    <r>
      <rPr>
        <i/>
        <sz val="11"/>
        <rFont val="Calibri"/>
        <family val="2"/>
      </rPr>
      <t>within</t>
    </r>
    <r>
      <rPr>
        <sz val="11"/>
        <rFont val="Calibri"/>
        <family val="2"/>
      </rPr>
      <t xml:space="preserve"> the household </t>
    </r>
    <r>
      <rPr>
        <i/>
        <sz val="11"/>
        <rFont val="Calibri"/>
        <family val="2"/>
      </rPr>
      <t>not</t>
    </r>
    <r>
      <rPr>
        <sz val="11"/>
        <rFont val="Calibri"/>
        <family val="2"/>
      </rPr>
      <t xml:space="preserve"> the household itself.</t>
    </r>
  </si>
  <si>
    <t>I/HH</t>
  </si>
  <si>
    <t>Individual or HH - applies to cases where an indicator can be counted in two different ways depending on the context. See activity indicator guidance for more information.</t>
  </si>
  <si>
    <t>Logframe</t>
  </si>
  <si>
    <r>
      <t xml:space="preserve">The logframe must be completed in conjunction with the monitoring tools. Please refer to the </t>
    </r>
    <r>
      <rPr>
        <u/>
        <sz val="11"/>
        <rFont val="Calibri"/>
        <family val="2"/>
      </rPr>
      <t>Logical Framework</t>
    </r>
    <r>
      <rPr>
        <sz val="11"/>
        <rFont val="Calibri"/>
        <family val="2"/>
      </rPr>
      <t xml:space="preserve"> section, located under </t>
    </r>
    <r>
      <rPr>
        <u/>
        <sz val="11"/>
        <rFont val="Calibri"/>
        <family val="2"/>
      </rPr>
      <t>Designing a Project in the PM FOG</t>
    </r>
    <r>
      <rPr>
        <sz val="11"/>
        <rFont val="Calibri"/>
        <family val="2"/>
      </rPr>
      <t xml:space="preserve">, for further instructions and details on how to construct a logframe.  </t>
    </r>
  </si>
  <si>
    <t xml:space="preserve">The outcome and activities in the logframe have been organized in a Results Chain structure. Outcome indicators and associated activities are grouped together by MTO to facilitate the flow of logic for each MTO.  </t>
  </si>
  <si>
    <t>Selected fields in the logframe will populate into the Benefit, People, and Result tabs if standard indicator coding is used. If custom indicator coding is used, the process of filling out this monitoring workbook will be more manual.</t>
  </si>
  <si>
    <t>Column C</t>
  </si>
  <si>
    <t>Impact</t>
  </si>
  <si>
    <t xml:space="preserve">This section state the impact indicators. Impact outcomes are long-term distal changes that occur in a population or condition over time.  </t>
  </si>
  <si>
    <t>SP project will not be responsible for impact indicators since such distal changes are often difficult to measure and cannot be attributed to a single program, therefore only the description is required for impact.</t>
  </si>
  <si>
    <t>Numbering</t>
  </si>
  <si>
    <t>In this column, it is recommended for the user to assign numbering to each indicator in order of logic.  For instance MTOs would be single digits 1, 2, or 3. STOs would follow 1.1, 2.1, or 3.1.  Finally Activities would be numbered 1.1.1, 2.1.1, or 3.1.1.  A group of indicators with each logic level such as MTO, STO, and activities would be numbered in the following way: 1 MTO, 1.1 (STO), 1.1.1, 1.1.2, 1.1.3, etc. (activities).</t>
  </si>
  <si>
    <t>Column D</t>
  </si>
  <si>
    <t>Column D is conditionally formatted with a drop list for MTOs, STOs, Activities, and Global Indicators. The drop list is provided to guard against spelling errors that would interfere with conditional formatting.</t>
  </si>
  <si>
    <r>
      <rPr>
        <sz val="11"/>
        <color rgb="FF000000"/>
        <rFont val="Calibri"/>
        <family val="2"/>
      </rPr>
      <t xml:space="preserve">The medium-term outcomes outline the change expected to occur logically once one or more short-term outcomes are achieved. They express a change in behavior or </t>
    </r>
    <r>
      <rPr>
        <i/>
        <sz val="11"/>
        <color rgb="FF000000"/>
        <rFont val="Calibri"/>
        <family val="2"/>
      </rPr>
      <t>adopted</t>
    </r>
    <r>
      <rPr>
        <sz val="11"/>
        <color rgb="FF000000"/>
        <rFont val="Calibri"/>
        <family val="2"/>
      </rPr>
      <t xml:space="preserve"> practice. Please note in most cases there should be one MTO per group. </t>
    </r>
  </si>
  <si>
    <t>If the indicator is an MTO, select "MTO" from the drop list. This column is conditionally formatted.  Once "MTO" is selected, the cell will turn blue so that the user can easily and quickly identify which indicator is an MTO.</t>
  </si>
  <si>
    <r>
      <t xml:space="preserve">This level outlines the immediate changes directly attributed to the completed activities of the project. They express a change in access, ability, or skills. Skills can include a </t>
    </r>
    <r>
      <rPr>
        <i/>
        <sz val="11"/>
        <color theme="1"/>
        <rFont val="Calibri"/>
        <family val="2"/>
      </rPr>
      <t xml:space="preserve">demonstration </t>
    </r>
    <r>
      <rPr>
        <sz val="11"/>
        <color theme="1"/>
        <rFont val="Calibri"/>
        <family val="2"/>
      </rPr>
      <t>of a desired practice but not the adoption of it. Please note that there may be more than one STO per group.  In the case of multiple STOs, please number according to the corresponding MTO.</t>
    </r>
  </si>
  <si>
    <t>If the indicator is an STO, select "STO" from the drop list. This column is conditionally formatted.  Once "STO" is selected, the cell will turn pale yellow so that the user can easily and quickly identify which indicator(s) are STOs.</t>
  </si>
  <si>
    <t xml:space="preserve">Activities </t>
  </si>
  <si>
    <t xml:space="preserve">The actual work that the project intends to undertake. Activities may include construction work, trainings, mobilization campaigns and any other actions planned as part of the project. </t>
  </si>
  <si>
    <t>If the indicator is an Activity, select "Activity" from the drop list. This column is conditionally formatted.  Once "Activity" is selected, the cell will turn purple so that the user can easily and quickly identify which indicator(s) are activities.</t>
  </si>
  <si>
    <t>Global Indicators</t>
  </si>
  <si>
    <r>
      <rPr>
        <b/>
        <sz val="12"/>
        <color rgb="FF000000"/>
        <rFont val="Calibri"/>
        <family val="2"/>
        <scheme val="minor"/>
      </rPr>
      <t xml:space="preserve">Global indicators (formerly referred to as cores) MUST be reported in Platform.  Reporting sub-indicators in Platform is optional </t>
    </r>
    <r>
      <rPr>
        <b/>
        <sz val="12"/>
        <color rgb="FF0000FF"/>
        <rFont val="Calibri"/>
        <family val="2"/>
        <scheme val="minor"/>
      </rPr>
      <t>to the field office, but may be required by the Regional Director</t>
    </r>
    <r>
      <rPr>
        <b/>
        <sz val="12"/>
        <color rgb="FF000000"/>
        <rFont val="Calibri"/>
        <family val="2"/>
        <scheme val="minor"/>
      </rPr>
      <t>.  Please pay attention to pairing of indicators.  If a benefit global indicator is chosen, verify if pairing is required in the notes/guidance section of the activity indicator table.</t>
    </r>
  </si>
  <si>
    <t>If sub-indicators and global indicators are used, global indicators do not need to be logically mapped into the logframe. Instead list them separately. Select "global indicators" from the drop list and then list the global indicators together in column E. In this scenario, global indicators do not need to be numbered since they not part of the logic.  Instead make sure that the adjacent cells in column C stay blank.  Columns Baseline Data, Targets, Data Collection Methods, and Assumptions do not need to be filled out when global indicators are presented with sub-indicators.</t>
  </si>
  <si>
    <t>If global indicators are reported alone without associated sub-indicators, then that indicator should be logically mapped into the logframe and the Assumptions column would still need to be filled out.</t>
  </si>
  <si>
    <t>Column E</t>
  </si>
  <si>
    <r>
      <rPr>
        <b/>
        <sz val="11"/>
        <rFont val="Calibri"/>
        <family val="2"/>
      </rPr>
      <t>Activities and Results-</t>
    </r>
    <r>
      <rPr>
        <sz val="11"/>
        <rFont val="Calibri"/>
        <family val="2"/>
      </rPr>
      <t xml:space="preserve"> In this column put the description of each indicator. If description is shared for multiple indicators for activity and global indicators, it is ok to merge the cells.  It will not affect the links in other tabs. </t>
    </r>
  </si>
  <si>
    <t>Column F</t>
  </si>
  <si>
    <t xml:space="preserve">Put SP coding when using standard activity and result indicators.  </t>
  </si>
  <si>
    <t>Outcome Codes</t>
  </si>
  <si>
    <r>
      <rPr>
        <b/>
        <sz val="11"/>
        <rFont val="Calibri"/>
        <family val="2"/>
        <scheme val="minor"/>
      </rPr>
      <t xml:space="preserve">Indicator code: </t>
    </r>
    <r>
      <rPr>
        <sz val="11"/>
        <rFont val="Calibri"/>
        <family val="2"/>
      </rPr>
      <t xml:space="preserve">This is an alpha-numerical code that has been assigned to enable ease of reference to each specific indicator. This code should be used when reporting data to IHQ through the results monitoring template. </t>
    </r>
    <r>
      <rPr>
        <b/>
        <sz val="11"/>
        <rFont val="Calibri"/>
        <family val="2"/>
      </rPr>
      <t xml:space="preserve">Please note while entering coding for result indicators, numbers should be 2 digits, AL01, AL02, FA03. </t>
    </r>
  </si>
  <si>
    <t>For custom result indicators, use N/A for coding followed by a number.  For example for the first custom outcome indicator, report code as N/A1, for the second outcome indicator, N/A2. It does not matter if the indicator is an MTO or STO.  Attaching a number to the N/A code, makes it unique which allows Excel to distinguish one custom code from another thus enabling N/A codes to populate in order into the results tab. See Example Logframe tab and Example Results tab for examples.</t>
  </si>
  <si>
    <t>Activity Codes</t>
  </si>
  <si>
    <r>
      <t xml:space="preserve">Indicator code- </t>
    </r>
    <r>
      <rPr>
        <sz val="11"/>
        <rFont val="Calibri"/>
        <family val="2"/>
        <scheme val="minor"/>
      </rPr>
      <t>a 7 digit alpha-numerical code that has been assigned to each activity; 1 letter either "B" or "P" and 6 numbers.</t>
    </r>
  </si>
  <si>
    <r>
      <rPr>
        <b/>
        <sz val="11"/>
        <rFont val="Calibri"/>
        <family val="2"/>
        <scheme val="minor"/>
      </rPr>
      <t>B= Benefit indicator-</t>
    </r>
    <r>
      <rPr>
        <sz val="11"/>
        <rFont val="Calibri"/>
        <family val="2"/>
        <scheme val="minor"/>
      </rPr>
      <t xml:space="preserve"> indicators that measure a benefit provided by SP by way of event, service, activity, item. Example: </t>
    </r>
    <r>
      <rPr>
        <b/>
        <sz val="11"/>
        <rFont val="Calibri"/>
        <family val="2"/>
        <scheme val="minor"/>
      </rPr>
      <t>B</t>
    </r>
    <r>
      <rPr>
        <sz val="11"/>
        <rFont val="Calibri"/>
        <family val="2"/>
        <scheme val="minor"/>
      </rPr>
      <t>010300</t>
    </r>
  </si>
  <si>
    <r>
      <rPr>
        <b/>
        <sz val="11"/>
        <rFont val="Calibri"/>
        <family val="2"/>
        <scheme val="minor"/>
      </rPr>
      <t>P= People indicator-</t>
    </r>
    <r>
      <rPr>
        <sz val="11"/>
        <rFont val="Calibri"/>
        <family val="2"/>
        <scheme val="minor"/>
      </rPr>
      <t xml:space="preserve"> indicators that measure people. Example: </t>
    </r>
    <r>
      <rPr>
        <b/>
        <sz val="11"/>
        <rFont val="Calibri"/>
        <family val="2"/>
        <scheme val="minor"/>
      </rPr>
      <t>P</t>
    </r>
    <r>
      <rPr>
        <sz val="11"/>
        <rFont val="Calibri"/>
        <family val="2"/>
        <scheme val="minor"/>
      </rPr>
      <t>010100</t>
    </r>
  </si>
  <si>
    <r>
      <rPr>
        <b/>
        <sz val="11"/>
        <rFont val="Calibri"/>
        <family val="2"/>
        <scheme val="minor"/>
      </rPr>
      <t xml:space="preserve">First two </t>
    </r>
    <r>
      <rPr>
        <sz val="11"/>
        <rFont val="Calibri"/>
        <family val="2"/>
        <scheme val="minor"/>
      </rPr>
      <t xml:space="preserve">numbers represent sectors 1-12 B or P </t>
    </r>
    <r>
      <rPr>
        <b/>
        <sz val="11"/>
        <rFont val="Calibri"/>
        <family val="2"/>
        <scheme val="minor"/>
      </rPr>
      <t>01</t>
    </r>
    <r>
      <rPr>
        <sz val="11"/>
        <rFont val="Calibri"/>
        <family val="2"/>
        <scheme val="minor"/>
      </rPr>
      <t xml:space="preserve"> 00 00</t>
    </r>
  </si>
  <si>
    <r>
      <rPr>
        <b/>
        <sz val="11"/>
        <rFont val="Calibri"/>
        <family val="2"/>
        <scheme val="minor"/>
      </rPr>
      <t xml:space="preserve">Second set </t>
    </r>
    <r>
      <rPr>
        <sz val="11"/>
        <rFont val="Calibri"/>
        <family val="2"/>
        <scheme val="minor"/>
      </rPr>
      <t xml:space="preserve">of numbers represent the global indicator series B or P 00 </t>
    </r>
    <r>
      <rPr>
        <b/>
        <sz val="11"/>
        <rFont val="Calibri"/>
        <family val="2"/>
        <scheme val="minor"/>
      </rPr>
      <t>03</t>
    </r>
    <r>
      <rPr>
        <sz val="11"/>
        <rFont val="Calibri"/>
        <family val="2"/>
        <scheme val="minor"/>
      </rPr>
      <t xml:space="preserve"> 00</t>
    </r>
  </si>
  <si>
    <r>
      <rPr>
        <b/>
        <sz val="11"/>
        <rFont val="Calibri"/>
        <family val="2"/>
        <scheme val="minor"/>
      </rPr>
      <t xml:space="preserve">Third set </t>
    </r>
    <r>
      <rPr>
        <sz val="11"/>
        <rFont val="Calibri"/>
        <family val="2"/>
        <scheme val="minor"/>
      </rPr>
      <t xml:space="preserve">of numbers represent the sub-indicator B or P 00 00 </t>
    </r>
    <r>
      <rPr>
        <b/>
        <sz val="11"/>
        <rFont val="Calibri"/>
        <family val="2"/>
        <scheme val="minor"/>
      </rPr>
      <t>01</t>
    </r>
  </si>
  <si>
    <t>Custom Activity Codes</t>
  </si>
  <si>
    <r>
      <rPr>
        <b/>
        <sz val="11"/>
        <color rgb="FF000000"/>
        <rFont val="Calibri"/>
        <family val="2"/>
        <scheme val="minor"/>
      </rPr>
      <t xml:space="preserve">B/Pxx999#: </t>
    </r>
    <r>
      <rPr>
        <sz val="11"/>
        <color rgb="FF000000"/>
        <rFont val="Calibri"/>
        <family val="2"/>
        <scheme val="minor"/>
      </rPr>
      <t>If an activity does not appear in the standard list, project specific indicators should be developed by using the B/Pxx999 coding followed by a number.  The Technical Advisor for that sector should then be informed and consulted.  
E</t>
    </r>
    <r>
      <rPr>
        <b/>
        <sz val="11"/>
        <color rgb="FF000000"/>
        <rFont val="Calibri"/>
        <family val="2"/>
        <scheme val="minor"/>
      </rPr>
      <t xml:space="preserve">xample 1 B129991                       Example 2 P089993                        Example 3 B139910                       Example 4 P999995
</t>
    </r>
    <r>
      <rPr>
        <sz val="11"/>
        <color rgb="FF000000"/>
        <rFont val="Calibri"/>
        <family val="2"/>
        <scheme val="minor"/>
      </rPr>
      <t>Where B= benefit indicator          Where P= people indicator           Where B= benefit indicator          Where P= people indicator
12= C&amp;V sector                               08= Shelter sector                          13= Outbreak sector                      99= custom sector
999= custom coding                      999= custom coding                       99= custom coding                         999= custom coding
1= first custom code                      3= third custom code                     10= 10th custom code                   5= fifth custom code</t>
    </r>
  </si>
  <si>
    <t xml:space="preserve"> 1. Use unit of measure of people regardless of how the beneficiary is specified in the wording of the indicator.</t>
  </si>
  <si>
    <r>
      <t xml:space="preserve"> 2. Identify the sector, by the first two numbers, e.g. P or B</t>
    </r>
    <r>
      <rPr>
        <b/>
        <sz val="11"/>
        <rFont val="Calibri"/>
        <family val="2"/>
        <scheme val="minor"/>
      </rPr>
      <t>01</t>
    </r>
    <r>
      <rPr>
        <sz val="11"/>
        <rFont val="Calibri"/>
        <family val="2"/>
        <scheme val="minor"/>
      </rPr>
      <t>999# for Agriculture, P or B</t>
    </r>
    <r>
      <rPr>
        <b/>
        <sz val="11"/>
        <rFont val="Calibri"/>
        <family val="2"/>
        <scheme val="minor"/>
      </rPr>
      <t>02</t>
    </r>
    <r>
      <rPr>
        <sz val="11"/>
        <rFont val="Calibri"/>
        <family val="2"/>
        <scheme val="minor"/>
      </rPr>
      <t>999# for Livelihoods, P or B</t>
    </r>
    <r>
      <rPr>
        <b/>
        <sz val="11"/>
        <rFont val="Calibri"/>
        <family val="2"/>
        <scheme val="minor"/>
      </rPr>
      <t>03</t>
    </r>
    <r>
      <rPr>
        <sz val="11"/>
        <rFont val="Calibri"/>
        <family val="2"/>
        <scheme val="minor"/>
      </rPr>
      <t>999#   for WASH etc. Use "99" to designate custom sector.</t>
    </r>
  </si>
  <si>
    <r>
      <t xml:space="preserve"> 3. Structure of indicator should be # of </t>
    </r>
    <r>
      <rPr>
        <u/>
        <sz val="11"/>
        <rFont val="Calibri"/>
        <family val="2"/>
        <scheme val="minor"/>
      </rPr>
      <t>UoM</t>
    </r>
    <r>
      <rPr>
        <sz val="11"/>
        <rFont val="Calibri"/>
        <family val="2"/>
        <scheme val="minor"/>
      </rPr>
      <t xml:space="preserve"> + </t>
    </r>
    <r>
      <rPr>
        <u/>
        <sz val="11"/>
        <rFont val="Calibri"/>
        <family val="2"/>
        <scheme val="minor"/>
      </rPr>
      <t>method of intervention</t>
    </r>
    <r>
      <rPr>
        <sz val="11"/>
        <rFont val="Calibri"/>
        <family val="2"/>
        <scheme val="minor"/>
      </rPr>
      <t xml:space="preserve"> + </t>
    </r>
    <r>
      <rPr>
        <u/>
        <sz val="11"/>
        <rFont val="Calibri"/>
        <family val="2"/>
        <scheme val="minor"/>
      </rPr>
      <t>qualifier</t>
    </r>
    <r>
      <rPr>
        <sz val="11"/>
        <rFont val="Calibri"/>
        <family val="2"/>
        <scheme val="minor"/>
      </rPr>
      <t xml:space="preserve"> (optional), E.g. # of water points constructed (refugees), # of trainings conducted on agronomic practices (youths)</t>
    </r>
  </si>
  <si>
    <r>
      <rPr>
        <b/>
        <sz val="11"/>
        <color rgb="FF000000"/>
        <rFont val="Calibri"/>
        <family val="2"/>
        <scheme val="minor"/>
      </rPr>
      <t>B/P00000#</t>
    </r>
    <r>
      <rPr>
        <sz val="11"/>
        <color rgb="FF000000"/>
        <rFont val="Calibri"/>
        <family val="2"/>
        <scheme val="minor"/>
      </rPr>
      <t>: If a management activity (i.e. number of staff meetings scheduled) is included in a project, management specific indicators should be developed by using the B/P0000# code.  DO NOT include the two digit sector designation because this will code such functional tasks to the Additional Section of the sector.  the structure of coding for functional tasks/ management activities are as follows:  B or P+ 0000+01, etc.</t>
    </r>
  </si>
  <si>
    <t>Column G</t>
  </si>
  <si>
    <r>
      <rPr>
        <b/>
        <sz val="11"/>
        <color rgb="FF000000"/>
        <rFont val="Calibri"/>
        <family val="2"/>
      </rPr>
      <t xml:space="preserve">Indicator- </t>
    </r>
    <r>
      <rPr>
        <sz val="11"/>
        <color rgb="FF000000"/>
        <rFont val="Calibri"/>
        <family val="2"/>
      </rPr>
      <t xml:space="preserve">Outcome and activity indicators will populate when standard SP codes are used in Column E, Code. If user wants to modify indicator wording, then user must erase formula and manually enter wording.  If customized coding (N/A+# for outcome indicators and B/P+2 digit sector number+ 999# for activities indicators) should be used, then the field in column F will remain blank leaving it up to the user to manually enter the wording for the indicator.    
</t>
    </r>
    <r>
      <rPr>
        <b/>
        <sz val="11"/>
        <color rgb="FF000000"/>
        <rFont val="Calibri"/>
        <family val="2"/>
      </rPr>
      <t xml:space="preserve">
In general, keep in mind:
</t>
    </r>
    <r>
      <rPr>
        <sz val="11"/>
        <color rgb="FF000000"/>
        <rFont val="Calibri"/>
        <family val="2"/>
      </rPr>
      <t xml:space="preserve">1. To help with flow of logic, consider numbering in column C to be attached to the indicator in column F based on activity or outcome level in the logframe.  If numbering is attached to the description in column D and there are multiple indicators associated with that description, it can make the logic messy and the numbering more complicated. 
2. Also note in this example that global indicators are not numbered so that they do not interfere with the logical flow of indicators from MTO to activities. 
3. </t>
    </r>
    <r>
      <rPr>
        <b/>
        <sz val="11"/>
        <color rgb="FF000000"/>
        <rFont val="Calibri"/>
        <family val="2"/>
      </rPr>
      <t>REMEMBER!</t>
    </r>
    <r>
      <rPr>
        <sz val="11"/>
        <color rgb="FF000000"/>
        <rFont val="Calibri"/>
        <family val="2"/>
      </rPr>
      <t xml:space="preserve"> That if only global indicators are used in the logframe then they would be mapped to the MTO and therefore numbered accordingly.
4. The series of numbering is dictated by the MTO. So all indicators logically flowing to the first MTO will start with “1” while all indicators logically flowing to the 2nd MTO will start with “2” and so on.</t>
    </r>
  </si>
  <si>
    <t>Column H</t>
  </si>
  <si>
    <r>
      <rPr>
        <b/>
        <sz val="11"/>
        <rFont val="Calibri"/>
        <family val="2"/>
      </rPr>
      <t xml:space="preserve">Baseline Data- </t>
    </r>
    <r>
      <rPr>
        <sz val="11"/>
        <rFont val="Calibri"/>
        <family val="2"/>
      </rPr>
      <t>Fill in baseline data for outcome indicators if available.  If baseline data is not applicable for the indicators report, "N/A".  If baseline will be conducted at a later date for the indicator, record "TBD".</t>
    </r>
  </si>
  <si>
    <t>Column I</t>
  </si>
  <si>
    <r>
      <rPr>
        <b/>
        <sz val="11"/>
        <rFont val="Calibri"/>
        <family val="2"/>
      </rPr>
      <t>Targets-</t>
    </r>
    <r>
      <rPr>
        <sz val="11"/>
        <rFont val="Calibri"/>
        <family val="2"/>
      </rPr>
      <t xml:space="preserve"> Please put the targets for outcome indicators to be achieved by the completion of the project. Targets do not have to be filled in the logframe tab since they will be entered in the Benefit and People Indicator tabs.</t>
    </r>
  </si>
  <si>
    <t>Column J</t>
  </si>
  <si>
    <t>this is no longer true we are asking for all</t>
  </si>
  <si>
    <t>Column K</t>
  </si>
  <si>
    <t>copy edit</t>
  </si>
  <si>
    <t>REFRESH WORKBOOK BUTTON</t>
  </si>
  <si>
    <t>As previously mentioned, the Benefit, People, and Result tabs are linked to the logframe.  Selected fields in the Logframe tab will populate to these tabs.  This link is not live (it does not happen automatically), therefore once modifications to the logframe are completed, the "REFRESH WORKBOOK" button must be pushed so that the linked tabs will reflect the most updated information.</t>
  </si>
  <si>
    <t>Benefit Indicator Tab</t>
  </si>
  <si>
    <r>
      <t xml:space="preserve">Report benefit indicators in this tab.  </t>
    </r>
    <r>
      <rPr>
        <b/>
        <sz val="11"/>
        <rFont val="Calibri"/>
        <family val="2"/>
        <scheme val="minor"/>
      </rPr>
      <t>Benefit indicators-</t>
    </r>
    <r>
      <rPr>
        <sz val="11"/>
        <rFont val="Calibri"/>
        <family val="2"/>
        <scheme val="minor"/>
      </rPr>
      <t xml:space="preserve"> measure a benefit provided by SP by way of event, service, activity, or items.  </t>
    </r>
    <r>
      <rPr>
        <b/>
        <sz val="11"/>
        <rFont val="Calibri"/>
        <family val="2"/>
        <scheme val="minor"/>
      </rPr>
      <t/>
    </r>
  </si>
  <si>
    <t>Column B, C</t>
  </si>
  <si>
    <t>Indicator codes and indicators will populate from logframe (columns C and D). No need to manually enter or copy data.</t>
  </si>
  <si>
    <r>
      <rPr>
        <b/>
        <sz val="11"/>
        <rFont val="Calibri"/>
        <family val="2"/>
      </rPr>
      <t xml:space="preserve">Data Types- Target and Actual. </t>
    </r>
    <r>
      <rPr>
        <sz val="11"/>
        <rFont val="Calibri"/>
        <family val="2"/>
      </rPr>
      <t>For benefit indicators these are the two data types with no disaggregation.</t>
    </r>
  </si>
  <si>
    <t>Column E-P</t>
  </si>
  <si>
    <t>Fill in target and actual numbers for data types manually for columns E-P. Targets for the year can be filled out at once at the onset of the project.</t>
  </si>
  <si>
    <t>Column Q</t>
  </si>
  <si>
    <t>Cumulative totals will calculated for % Achievement to Date and Target and Actual numbers.</t>
  </si>
  <si>
    <t>Column R</t>
  </si>
  <si>
    <t>Fill in methods of data collection for each activity.  Feel free to merge cells if the type of tool is the same for multiple activities.</t>
  </si>
  <si>
    <t>Column S</t>
  </si>
  <si>
    <t>Fill in the person responsible for each activity.  If a person is responsible for multiple activities, feel free to merge cells as needed.</t>
  </si>
  <si>
    <t>People Indicator Tab</t>
  </si>
  <si>
    <r>
      <t>Report people indicators in this tab.</t>
    </r>
    <r>
      <rPr>
        <b/>
        <sz val="11"/>
        <rFont val="Calibri"/>
        <family val="2"/>
        <scheme val="minor"/>
      </rPr>
      <t xml:space="preserve"> People indicator-</t>
    </r>
    <r>
      <rPr>
        <sz val="11"/>
        <rFont val="Calibri"/>
        <family val="2"/>
        <scheme val="minor"/>
      </rPr>
      <t xml:space="preserve"> indicators that measure people whether as individuals or as members within a household.</t>
    </r>
  </si>
  <si>
    <t xml:space="preserve">Column B-D </t>
  </si>
  <si>
    <t>Indicator codes, beneficiary counting methods and indicators will populate from Logframe tab (columns B,C and D). No need to manually enter or copy data.</t>
  </si>
  <si>
    <r>
      <rPr>
        <b/>
        <sz val="11"/>
        <rFont val="Calibri"/>
        <family val="2"/>
      </rPr>
      <t>Data Types- Target and Actual.</t>
    </r>
    <r>
      <rPr>
        <sz val="11"/>
        <rFont val="Calibri"/>
        <family val="2"/>
      </rPr>
      <t xml:space="preserve"> For people indicators target and actual data types are further disaggregated by gender, new and returning.</t>
    </r>
  </si>
  <si>
    <t>Disaggregation</t>
  </si>
  <si>
    <r>
      <rPr>
        <b/>
        <sz val="11"/>
        <rFont val="Calibri"/>
        <family val="2"/>
      </rPr>
      <t xml:space="preserve">New- </t>
    </r>
    <r>
      <rPr>
        <sz val="11"/>
        <rFont val="Calibri"/>
        <family val="2"/>
      </rPr>
      <t>new beneficiaries are people that have not yet participated in nor received services from SP within the life of a project to that date.</t>
    </r>
  </si>
  <si>
    <r>
      <rPr>
        <b/>
        <sz val="11"/>
        <rFont val="Calibri"/>
        <family val="2"/>
      </rPr>
      <t>Returning-</t>
    </r>
    <r>
      <rPr>
        <sz val="11"/>
        <rFont val="Calibri"/>
        <family val="2"/>
      </rPr>
      <t xml:space="preserve"> beneficiaries that have previously participated or have received services from SP within the project.</t>
    </r>
  </si>
  <si>
    <t>Column F-Q</t>
  </si>
  <si>
    <t>Fill in target and actual numbers for data types manually for columns F-Q. Targets for the year can be filled out at once at the onset of the project.</t>
  </si>
  <si>
    <t>Cumulative totals will calculate for % Achievement to Date and Target and Actual numbers for "New" disaggregation's only. This means that % Achievement to Date applies to progress of the project as a whole. It does not track month-to-month benchmarks.</t>
  </si>
  <si>
    <t>Fill in methods of data collection for each activity.  Feel free to merge cells if the type of tool is the same for multiple activities</t>
  </si>
  <si>
    <t>Column T</t>
  </si>
  <si>
    <t>Result Indicators Tab</t>
  </si>
  <si>
    <t>Column A</t>
  </si>
  <si>
    <r>
      <rPr>
        <b/>
        <sz val="11"/>
        <rFont val="Calibri"/>
        <family val="2"/>
      </rPr>
      <t xml:space="preserve">Result level- </t>
    </r>
    <r>
      <rPr>
        <sz val="11"/>
        <rFont val="Calibri"/>
        <family val="2"/>
      </rPr>
      <t>This column will populate from logframe if an SP standard code is populated from logframe into column E.</t>
    </r>
  </si>
  <si>
    <t>Codes will not populate for custom codes "N/As" nor indicators with choice of multiple outcomes, i.e. an indicator that can be coded as an MTO or STO.  In cases where outcomes do not populate, user must manually enter data.</t>
  </si>
  <si>
    <t>Column B,C,E</t>
  </si>
  <si>
    <r>
      <rPr>
        <b/>
        <sz val="11"/>
        <rFont val="Calibri"/>
        <family val="2"/>
      </rPr>
      <t xml:space="preserve">Results, Results Indicator, Indicator Code </t>
    </r>
    <r>
      <rPr>
        <sz val="11"/>
        <rFont val="Calibri"/>
        <family val="2"/>
      </rPr>
      <t>will populate from the logframe. No further action from user required.</t>
    </r>
  </si>
  <si>
    <r>
      <rPr>
        <b/>
        <sz val="11"/>
        <rFont val="Calibri"/>
        <family val="2"/>
      </rPr>
      <t xml:space="preserve">Data types </t>
    </r>
    <r>
      <rPr>
        <sz val="11"/>
        <rFont val="Calibri"/>
        <family val="2"/>
      </rPr>
      <t>for outcome indicators- only target and actual is required for this tab.  There may be methods of disaggregation required by donor but not required to be reported in this tab.</t>
    </r>
  </si>
  <si>
    <r>
      <rPr>
        <b/>
        <sz val="11"/>
        <rFont val="Calibri"/>
        <family val="2"/>
      </rPr>
      <t>Dates</t>
    </r>
    <r>
      <rPr>
        <sz val="11"/>
        <rFont val="Calibri"/>
        <family val="2"/>
      </rPr>
      <t xml:space="preserve"> for Baseline</t>
    </r>
  </si>
  <si>
    <r>
      <rPr>
        <b/>
        <sz val="11"/>
        <rFont val="Calibri"/>
        <family val="2"/>
      </rPr>
      <t>Baseline-</t>
    </r>
    <r>
      <rPr>
        <sz val="11"/>
        <rFont val="Calibri"/>
        <family val="2"/>
      </rPr>
      <t xml:space="preserve"> target numbers will populate from logframe. Actual numbers will have to be manually entered.</t>
    </r>
  </si>
  <si>
    <t>Column I-R</t>
  </si>
  <si>
    <r>
      <rPr>
        <b/>
        <sz val="11"/>
        <rFont val="Calibri"/>
        <family val="2"/>
      </rPr>
      <t>Dates of Benchmarks and Benchmarks 1-5.</t>
    </r>
    <r>
      <rPr>
        <sz val="11"/>
        <rFont val="Calibri"/>
        <family val="2"/>
      </rPr>
      <t xml:space="preserve"> Benchmark assessments may be multiple times a year or once a year for projects that span multiple years. If the project spans for one year and only one assessment is done, report endline numbers in "Total/ Target" (column T). Date columns proceed the Baseline or Benchmark columns allowing the field to plan and report the dates of assessments at the most appropriate time of year.  Note that columns are hidden between columns L &amp; Q.  </t>
    </r>
  </si>
  <si>
    <r>
      <rPr>
        <b/>
        <sz val="11"/>
        <rFont val="Calibri"/>
        <family val="2"/>
      </rPr>
      <t>Total targets are endline or final targets</t>
    </r>
    <r>
      <rPr>
        <sz val="11"/>
        <rFont val="Calibri"/>
        <family val="2"/>
      </rPr>
      <t xml:space="preserve"> will populate from logframe.  Actual numbers will have to be manually entered.</t>
    </r>
  </si>
  <si>
    <t>Column U</t>
  </si>
  <si>
    <r>
      <rPr>
        <b/>
        <sz val="11"/>
        <rFont val="Calibri"/>
        <family val="2"/>
      </rPr>
      <t xml:space="preserve">Definition of Key Vocabulary- </t>
    </r>
    <r>
      <rPr>
        <sz val="11"/>
        <rFont val="Calibri"/>
        <family val="2"/>
      </rPr>
      <t>this information can be found in the Results Indicator workbook for SP standard indicators.  For custom indicators please provide definitions for key vocabulary and jargon used within the indicator.</t>
    </r>
  </si>
  <si>
    <t>Column V</t>
  </si>
  <si>
    <r>
      <rPr>
        <b/>
        <sz val="11"/>
        <rFont val="Calibri"/>
        <family val="2"/>
      </rPr>
      <t>Indicator calculation-</t>
    </r>
    <r>
      <rPr>
        <sz val="11"/>
        <rFont val="Calibri"/>
        <family val="2"/>
      </rPr>
      <t xml:space="preserve"> this information can be found in the Results Indicator workbook for SP standard indicators.  For custom indicators please provide how this custom indicator should be calculated.</t>
    </r>
  </si>
  <si>
    <t>Column W</t>
  </si>
  <si>
    <r>
      <rPr>
        <b/>
        <sz val="11"/>
        <rFont val="Calibri"/>
        <family val="2"/>
      </rPr>
      <t>Method of data collection</t>
    </r>
    <r>
      <rPr>
        <sz val="11"/>
        <rFont val="Calibri"/>
        <family val="2"/>
      </rPr>
      <t xml:space="preserve"> will populate from "Logframe" tab. No further action required.</t>
    </r>
  </si>
  <si>
    <t>Column X</t>
  </si>
  <si>
    <r>
      <rPr>
        <b/>
        <sz val="11"/>
        <rFont val="Calibri"/>
        <family val="2"/>
      </rPr>
      <t>Respondent-</t>
    </r>
    <r>
      <rPr>
        <sz val="11"/>
        <rFont val="Calibri"/>
        <family val="2"/>
      </rPr>
      <t xml:space="preserve"> define the type of respondent intended to assessed by indicator.  Refer to Results indicator table for guidance.</t>
    </r>
  </si>
  <si>
    <t>Activities and Results</t>
  </si>
  <si>
    <t>Code</t>
  </si>
  <si>
    <t>Indicators</t>
  </si>
  <si>
    <t>Baseline Data</t>
  </si>
  <si>
    <t>Targets</t>
  </si>
  <si>
    <t>Method of Data Collection</t>
  </si>
  <si>
    <t>Assumptions</t>
  </si>
  <si>
    <t>Impact:</t>
  </si>
  <si>
    <t>MTO, STO, Activities</t>
  </si>
  <si>
    <t>Code and Unique Identifier</t>
  </si>
  <si>
    <t>Outcome Level</t>
  </si>
  <si>
    <t>Midline</t>
  </si>
  <si>
    <t>1.1.1</t>
  </si>
  <si>
    <t>Activity</t>
  </si>
  <si>
    <t xml:space="preserve"> </t>
  </si>
  <si>
    <t>2.1.1</t>
  </si>
  <si>
    <t>Global Indicator</t>
  </si>
  <si>
    <t xml:space="preserve">Fill out the most recent code for each indicator.  </t>
  </si>
  <si>
    <t>2024 code2</t>
  </si>
  <si>
    <t>2019 code</t>
  </si>
  <si>
    <t>2020 code</t>
  </si>
  <si>
    <t>2021 code</t>
  </si>
  <si>
    <t>2022 code</t>
  </si>
  <si>
    <t>2023 code</t>
  </si>
  <si>
    <t>2024 code</t>
  </si>
  <si>
    <r>
      <rPr>
        <b/>
        <sz val="14"/>
        <color rgb="FFFFFF00"/>
        <rFont val="Calibri"/>
        <family val="2"/>
        <scheme val="minor"/>
      </rPr>
      <t>Targeted</t>
    </r>
    <r>
      <rPr>
        <b/>
        <sz val="14"/>
        <color theme="1"/>
        <rFont val="Calibri"/>
        <family val="2"/>
        <scheme val="minor"/>
      </rPr>
      <t xml:space="preserve"> </t>
    </r>
    <r>
      <rPr>
        <b/>
        <sz val="14"/>
        <color rgb="FFFFFF00"/>
        <rFont val="Calibri"/>
        <family val="2"/>
        <scheme val="minor"/>
      </rPr>
      <t>FEMALE</t>
    </r>
    <r>
      <rPr>
        <b/>
        <sz val="14"/>
        <color theme="1"/>
        <rFont val="Calibri"/>
        <family val="2"/>
        <scheme val="minor"/>
      </rPr>
      <t xml:space="preserve"> unique beneficiaries per </t>
    </r>
    <r>
      <rPr>
        <b/>
        <sz val="14"/>
        <color rgb="FFFFFF00"/>
        <rFont val="Calibri"/>
        <family val="2"/>
        <scheme val="minor"/>
      </rPr>
      <t>activity</t>
    </r>
  </si>
  <si>
    <r>
      <rPr>
        <b/>
        <sz val="14"/>
        <color rgb="FFFFFF00"/>
        <rFont val="Calibri"/>
        <family val="2"/>
        <scheme val="minor"/>
      </rPr>
      <t>Targeted MALE</t>
    </r>
    <r>
      <rPr>
        <b/>
        <sz val="14"/>
        <color theme="1"/>
        <rFont val="Calibri"/>
        <family val="2"/>
        <scheme val="minor"/>
      </rPr>
      <t xml:space="preserve"> unique beneficiaries per </t>
    </r>
    <r>
      <rPr>
        <b/>
        <sz val="14"/>
        <color rgb="FFFFFF00"/>
        <rFont val="Calibri"/>
        <family val="2"/>
        <scheme val="minor"/>
      </rPr>
      <t>activity</t>
    </r>
  </si>
  <si>
    <r>
      <rPr>
        <b/>
        <sz val="14"/>
        <color rgb="FF00FFFF"/>
        <rFont val="Calibri"/>
        <family val="2"/>
        <scheme val="minor"/>
      </rPr>
      <t>TOTAL</t>
    </r>
    <r>
      <rPr>
        <b/>
        <sz val="14"/>
        <color theme="1"/>
        <rFont val="Calibri"/>
        <family val="2"/>
        <scheme val="minor"/>
      </rPr>
      <t xml:space="preserve"> unique beneficiaries per </t>
    </r>
    <r>
      <rPr>
        <b/>
        <sz val="14"/>
        <color rgb="FF00FFFF"/>
        <rFont val="Calibri"/>
        <family val="2"/>
        <scheme val="minor"/>
      </rPr>
      <t>activity</t>
    </r>
  </si>
  <si>
    <r>
      <rPr>
        <b/>
        <sz val="14"/>
        <color rgb="FFFFFF00"/>
        <rFont val="Calibri"/>
        <family val="2"/>
        <scheme val="minor"/>
      </rPr>
      <t xml:space="preserve">Targeted </t>
    </r>
    <r>
      <rPr>
        <b/>
        <sz val="14"/>
        <color theme="1"/>
        <rFont val="Calibri"/>
        <family val="2"/>
        <scheme val="minor"/>
      </rPr>
      <t xml:space="preserve">unique </t>
    </r>
    <r>
      <rPr>
        <b/>
        <sz val="14"/>
        <color rgb="FFFFFF00"/>
        <rFont val="Calibri"/>
        <family val="2"/>
        <scheme val="minor"/>
      </rPr>
      <t>FEMALE</t>
    </r>
    <r>
      <rPr>
        <b/>
        <sz val="14"/>
        <color theme="1"/>
        <rFont val="Calibri"/>
        <family val="2"/>
        <scheme val="minor"/>
      </rPr>
      <t xml:space="preserve"> beneficiares per </t>
    </r>
    <r>
      <rPr>
        <b/>
        <sz val="14"/>
        <color rgb="FFFFFF00"/>
        <rFont val="Calibri"/>
        <family val="2"/>
        <scheme val="minor"/>
      </rPr>
      <t>project</t>
    </r>
  </si>
  <si>
    <r>
      <rPr>
        <b/>
        <sz val="14"/>
        <color rgb="FFFFFF00"/>
        <rFont val="Calibri"/>
        <family val="2"/>
        <scheme val="minor"/>
      </rPr>
      <t>Targeted</t>
    </r>
    <r>
      <rPr>
        <b/>
        <sz val="14"/>
        <color theme="1"/>
        <rFont val="Calibri"/>
        <family val="2"/>
        <scheme val="minor"/>
      </rPr>
      <t xml:space="preserve"> unique </t>
    </r>
    <r>
      <rPr>
        <b/>
        <sz val="14"/>
        <color rgb="FFFFFF00"/>
        <rFont val="Calibri"/>
        <family val="2"/>
        <scheme val="minor"/>
      </rPr>
      <t>MALE</t>
    </r>
    <r>
      <rPr>
        <b/>
        <sz val="14"/>
        <color theme="1"/>
        <rFont val="Calibri"/>
        <family val="2"/>
        <scheme val="minor"/>
      </rPr>
      <t xml:space="preserve"> beneficiares per </t>
    </r>
    <r>
      <rPr>
        <b/>
        <sz val="14"/>
        <color rgb="FFFFFF00"/>
        <rFont val="Calibri"/>
        <family val="2"/>
        <scheme val="minor"/>
      </rPr>
      <t>project</t>
    </r>
  </si>
  <si>
    <r>
      <rPr>
        <b/>
        <sz val="14"/>
        <color rgb="FF00FFFF"/>
        <rFont val="Calibri"/>
        <family val="2"/>
        <scheme val="minor"/>
      </rPr>
      <t>TOTAL</t>
    </r>
    <r>
      <rPr>
        <b/>
        <sz val="14"/>
        <color theme="1"/>
        <rFont val="Calibri"/>
        <family val="2"/>
        <scheme val="minor"/>
      </rPr>
      <t xml:space="preserve"> unique beneficiaries per </t>
    </r>
    <r>
      <rPr>
        <b/>
        <sz val="14"/>
        <color rgb="FF00FFFF"/>
        <rFont val="Calibri"/>
        <family val="2"/>
        <scheme val="minor"/>
      </rPr>
      <t>PROJECT</t>
    </r>
  </si>
  <si>
    <t xml:space="preserve">Explanation </t>
  </si>
  <si>
    <t>Total Project Unique Beneficiaries</t>
  </si>
  <si>
    <t>Gantt Chart</t>
  </si>
  <si>
    <t xml:space="preserve">Project Staff </t>
  </si>
  <si>
    <t>M&amp;E staff</t>
  </si>
  <si>
    <t>Jan</t>
  </si>
  <si>
    <t>Feb</t>
  </si>
  <si>
    <t>Mar</t>
  </si>
  <si>
    <t>Apr</t>
  </si>
  <si>
    <t>May</t>
  </si>
  <si>
    <t>Jun</t>
  </si>
  <si>
    <t>Jul</t>
  </si>
  <si>
    <t>Aug</t>
  </si>
  <si>
    <t>Sep</t>
  </si>
  <si>
    <t>Oct</t>
  </si>
  <si>
    <t>Nov</t>
  </si>
  <si>
    <t>Dec</t>
  </si>
  <si>
    <t>Responsible Staff Member 
(put name and title)</t>
  </si>
  <si>
    <t>ACTIVITY MONITORING- BENEFIT</t>
  </si>
  <si>
    <t>#</t>
  </si>
  <si>
    <t>Indicator Code</t>
  </si>
  <si>
    <t>Activity Indicator</t>
  </si>
  <si>
    <t>Data Type</t>
  </si>
  <si>
    <t>Cumulative</t>
  </si>
  <si>
    <t>Person Responsible</t>
  </si>
  <si>
    <t>Total Target Benefit</t>
  </si>
  <si>
    <t xml:space="preserve"> Target New</t>
  </si>
  <si>
    <t>Target Returning</t>
  </si>
  <si>
    <t>% Achievement to Date</t>
  </si>
  <si>
    <t>Total Actual Benefit</t>
  </si>
  <si>
    <t>Actual New</t>
  </si>
  <si>
    <t>Actual Returning</t>
  </si>
  <si>
    <t>ACTIVITY MONITORING- PEOPLE</t>
  </si>
  <si>
    <t>Counting Method</t>
  </si>
  <si>
    <t xml:space="preserve">Total People Targeted </t>
  </si>
  <si>
    <t>Male New</t>
  </si>
  <si>
    <t>Female New</t>
  </si>
  <si>
    <t>Male Returning</t>
  </si>
  <si>
    <t>Female Returning</t>
  </si>
  <si>
    <t>Gender Achievement to Date</t>
  </si>
  <si>
    <t xml:space="preserve">Total  Actual People </t>
  </si>
  <si>
    <t xml:space="preserve"> Male New</t>
  </si>
  <si>
    <t xml:space="preserve"> Female New</t>
  </si>
  <si>
    <t xml:space="preserve"> Male Returning</t>
  </si>
  <si>
    <t xml:space="preserve"> Female Returning</t>
  </si>
  <si>
    <t>male 0-&lt;5</t>
  </si>
  <si>
    <t>male 5-14</t>
  </si>
  <si>
    <t>male 15-49</t>
  </si>
  <si>
    <t>male &gt;50</t>
  </si>
  <si>
    <t>female 0-&lt;5</t>
  </si>
  <si>
    <t>female 5-14</t>
  </si>
  <si>
    <t>female 15-49</t>
  </si>
  <si>
    <t>female &gt;50</t>
  </si>
  <si>
    <t>RESULTS MONITORING</t>
  </si>
  <si>
    <t>Result level</t>
  </si>
  <si>
    <t>Result 
(from logframe)</t>
  </si>
  <si>
    <t>Result indicator 
(from logframe)</t>
  </si>
  <si>
    <t>REFERENCE COLUMN</t>
  </si>
  <si>
    <t>Indicator code</t>
  </si>
  <si>
    <t>Date</t>
  </si>
  <si>
    <t>Baseline</t>
  </si>
  <si>
    <t>Benchmark 1</t>
  </si>
  <si>
    <t>Benchmark 2</t>
  </si>
  <si>
    <t>Benchmark 3</t>
  </si>
  <si>
    <t>Benchmark 4</t>
  </si>
  <si>
    <t>Benchmark 5</t>
  </si>
  <si>
    <t>Total/Target</t>
  </si>
  <si>
    <t>Definitions of Key Vocabulary</t>
  </si>
  <si>
    <t>Indicator Calculation 
(N and D if %)</t>
  </si>
  <si>
    <t>Method of data collection</t>
  </si>
  <si>
    <t>Respondent</t>
  </si>
  <si>
    <t>Target</t>
  </si>
  <si>
    <t>Actual</t>
  </si>
  <si>
    <t>Severity</t>
  </si>
  <si>
    <t>Topic</t>
  </si>
  <si>
    <t>Issue</t>
  </si>
  <si>
    <t>Revision</t>
  </si>
  <si>
    <t>Recommendation for field</t>
  </si>
  <si>
    <t>low</t>
  </si>
  <si>
    <t>pick list</t>
  </si>
  <si>
    <t>Pick list in Logframe tab, column D "outcomes" feeds from column W cells 6-10.  Anytime rows 6-10 are added or deleted the pick list is modified.</t>
  </si>
  <si>
    <t>Pick list was moved to another sheet so that it can't be modified.</t>
  </si>
  <si>
    <t xml:space="preserve">Option 1: avoid adding or deleting rows 6-10
Option 2: use workbook versions dated 9/10/2020 on
</t>
  </si>
  <si>
    <t>dates</t>
  </si>
  <si>
    <t>Row 2: year says 2020 instead of 2021 for next year in benefit tab</t>
  </si>
  <si>
    <t>updated tab to say 2021</t>
  </si>
  <si>
    <t>Field can update row 2 in the benefits tab manually.</t>
  </si>
  <si>
    <t>custom coding</t>
  </si>
  <si>
    <t>Guidance for custom coding only included "how to" instructions for custom coding in established sectors.  Guidance did not elaborate on how to write coding for activity indicators in "custom sectors."  Guidance tab in monitoring workbook and activity indicator workbook must be updated to reflect this guidance.  Fortunately this guidance is included in Platform rollout content.</t>
  </si>
  <si>
    <r>
      <rPr>
        <b/>
        <sz val="11"/>
        <color rgb="FF000000"/>
        <rFont val="Calibri"/>
        <family val="2"/>
      </rPr>
      <t>Expanded guidance on custom coding in rows 43 and 45</t>
    </r>
    <r>
      <rPr>
        <sz val="11"/>
        <color rgb="FF000000"/>
        <rFont val="Calibri"/>
        <family val="2"/>
      </rPr>
      <t xml:space="preserve"> of the guidance document. PMT must bring this to the attention of each field office during the 2021 proposal reviews.</t>
    </r>
  </si>
  <si>
    <t>read guidance tab</t>
  </si>
  <si>
    <t>medium</t>
  </si>
  <si>
    <t>indicators</t>
  </si>
  <si>
    <t>Some benefit indicators require new/ returning disaggregation when tracking support given to the same entity through a project's life span.</t>
  </si>
  <si>
    <t>1) added new and returning disaggregation to benefit tab in monitoring workbook. 2) identify which benefit indictors require new/ returning disaggregation in the notes and guidance. 3) have a summary tab of disaggregated benefit indicators. 4) work with developer to make changes in Platform.</t>
  </si>
  <si>
    <t>this was communicated to the field via webinar 8/31/2021 and 9/1/2021</t>
  </si>
  <si>
    <t>2022 indicators replaced 2021 activity indicators so that coding will reflect the most recent version of indicators when entered in column F of the logframe</t>
  </si>
  <si>
    <t>high</t>
  </si>
  <si>
    <t>formulas</t>
  </si>
  <si>
    <t>formulas were updated so that coding from logframe tab would read from the correct columns of the indicator list</t>
  </si>
  <si>
    <t>no action required</t>
  </si>
  <si>
    <t>drop list in global indicator section was blank</t>
  </si>
  <si>
    <t>corrected pick list now reads all options</t>
  </si>
  <si>
    <t>guidance tab</t>
  </si>
  <si>
    <r>
      <t>update wording per SMT to read</t>
    </r>
    <r>
      <rPr>
        <i/>
        <sz val="11"/>
        <color rgb="FF000000"/>
        <rFont val="Calibri"/>
        <family val="2"/>
      </rPr>
      <t xml:space="preserve"> "Global indicators (formerly referred to as cores) MUST be reported in Platform.  Reporting sub-indicators in Platform </t>
    </r>
    <r>
      <rPr>
        <i/>
        <sz val="11"/>
        <color rgb="FF0000FF"/>
        <rFont val="Calibri"/>
        <family val="2"/>
      </rPr>
      <t>is optional to the field office, but may be required by the Regional Director</t>
    </r>
    <r>
      <rPr>
        <i/>
        <sz val="11"/>
        <color rgb="FF000000"/>
        <rFont val="Calibri"/>
        <family val="2"/>
      </rPr>
      <t>."</t>
    </r>
  </si>
  <si>
    <t>indicator picklist was missing codes for Health P060400 series.  Some other indicators still had old wording in other sectors</t>
  </si>
  <si>
    <t>updated picklist tab to reflect the coding and wording.</t>
  </si>
  <si>
    <t>There are WASH codes with multiple result indicators attached to them.  Indicator code to indicator being measured should be a 1:1 ratio to avoid confusion.</t>
  </si>
  <si>
    <r>
      <t xml:space="preserve">updated WASH codes with multiple result indicators to say </t>
    </r>
    <r>
      <rPr>
        <i/>
        <sz val="11"/>
        <color rgb="FF000000"/>
        <rFont val="Calibri"/>
        <family val="2"/>
      </rPr>
      <t>"CHOOSE 1 indicator and manually type in" For WS06, 10, 11, 13, 21, 28</t>
    </r>
  </si>
  <si>
    <t>The field will have to expand the height of the row to see all of the imformation in the cell.  Field is to manually type in only 1 indicator per instruction</t>
  </si>
  <si>
    <t>BenCountTemplate</t>
  </si>
  <si>
    <t>columns headers for indicator code was outdated</t>
  </si>
  <si>
    <t>Added columns for 2021, 2022, 2023</t>
  </si>
  <si>
    <t>Fill out the most recent code for each indicator.  Optional: for programmatic purposes, a project may find it adventageous to document changes in indicators over time.</t>
  </si>
  <si>
    <t>for 2023 proposal season, IHQ has requested that the field fill out the BenCountTemplate to get info on beneficiary targets since the beneficiary and People tab are left blank and there is only one review.</t>
  </si>
  <si>
    <t>Actual was revised to say targeted</t>
  </si>
  <si>
    <t>Field to put planned or best estimate of targeted beneficiary numbers.</t>
  </si>
  <si>
    <t>Guidance tab read version 4 when it should be version 8</t>
  </si>
  <si>
    <t>updated to say "8"</t>
  </si>
  <si>
    <t>People indicator for protection # of migrants served was categorized as a "B" indicator instead of a "P" indicator</t>
  </si>
  <si>
    <t>update coding to reflect P100700 series in indicator workbook and monitoring workbook</t>
  </si>
  <si>
    <t>error in NFI coding for B081200 series # of NFIs distributed.  There was a click and drag error where the code for B081200 was a continuation from the series before B081100.</t>
  </si>
  <si>
    <t>Updated coding to B081200 # of NFIs distributed.</t>
  </si>
  <si>
    <t>picklist for column D in logframe was reading from the wrong area so picklist was showing blank</t>
  </si>
  <si>
    <t>updated the picklist to pull from the right location</t>
  </si>
  <si>
    <t>Improve the nutritional status and economic capacity beneficiaries and reduce the prevalence of GBV in targeted communities of Wakanda County through organic nutrition sensitive agriculture and GBV awareness and prevention training  activities</t>
  </si>
  <si>
    <t>Beneficiaries reached targeted income from organic agricultural activities/production</t>
  </si>
  <si>
    <t>AL04</t>
  </si>
  <si>
    <t>TBD</t>
  </si>
  <si>
    <t xml:space="preserve"> final evaluations</t>
  </si>
  <si>
    <t>HHs willingness to work harder, market and environmental conditions remain stable</t>
  </si>
  <si>
    <t>Targeted HHs have increased capacity for livelihood activities</t>
  </si>
  <si>
    <t>AL11</t>
  </si>
  <si>
    <t>final evaluation; PM follow up checklist</t>
  </si>
  <si>
    <t xml:space="preserve">Willingness, ability and commitment of HHs in practicing organic, sustainable vegetable garden </t>
  </si>
  <si>
    <t>Conduct training on improved agriculture technologies/practices</t>
  </si>
  <si>
    <t>P010101</t>
  </si>
  <si>
    <t>Beneficiaries willingness to participate in trainings and their ability to comprehend the training deliverables</t>
  </si>
  <si>
    <t>1.1.2</t>
  </si>
  <si>
    <t>Conduct training on marketing skills</t>
  </si>
  <si>
    <t>P010107</t>
  </si>
  <si>
    <t>1.1.3</t>
  </si>
  <si>
    <t>Conduct training on financial management</t>
  </si>
  <si>
    <t>P020107</t>
  </si>
  <si>
    <t>1.1.4</t>
  </si>
  <si>
    <t>Distribute agricultural inputs to targeted HHs</t>
  </si>
  <si>
    <t>B020201</t>
  </si>
  <si>
    <t>Agricultural tools and equipment are available in the market in the specified quality and road condition allow for their delivery to project sites</t>
  </si>
  <si>
    <t>P020301</t>
  </si>
  <si>
    <t>1.1.5</t>
  </si>
  <si>
    <t>B020204</t>
  </si>
  <si>
    <t>P020304</t>
  </si>
  <si>
    <t>1.1.6</t>
  </si>
  <si>
    <t>B020203</t>
  </si>
  <si>
    <t>P020303</t>
  </si>
  <si>
    <t>1.1.7</t>
  </si>
  <si>
    <t>Garden sites planted for vegetable production</t>
  </si>
  <si>
    <t>B010004</t>
  </si>
  <si>
    <r>
      <t>N/A</t>
    </r>
    <r>
      <rPr>
        <sz val="11"/>
        <color rgb="FF0000FF"/>
        <rFont val="Calibri"/>
        <family val="2"/>
        <scheme val="minor"/>
      </rPr>
      <t>1</t>
    </r>
  </si>
  <si>
    <t xml:space="preserve"> % of households who demonstrate productive beekeeping techniques</t>
  </si>
  <si>
    <t xml:space="preserve"> final evaluation; PM follow up checklist</t>
  </si>
  <si>
    <t>Willingness, ability and commitment of HHs to adopt improved agricultural techniques in beekeeping</t>
  </si>
  <si>
    <t>1.2.1</t>
  </si>
  <si>
    <t>Distribute Beehives to HHs</t>
  </si>
  <si>
    <t>B010307</t>
  </si>
  <si>
    <t>Beehives are available in the market in the specified quality and road condition allow for their delivery to project sites</t>
  </si>
  <si>
    <t>P010407</t>
  </si>
  <si>
    <t>1.2.2</t>
  </si>
  <si>
    <t>Distribute beekeeping toolkits</t>
  </si>
  <si>
    <t>Beekeeping tool kits are available in the market in the specified quality and road condition allow for their delivery to project sites</t>
  </si>
  <si>
    <t>1.2.3</t>
  </si>
  <si>
    <t>Conduct training on beekeeping</t>
  </si>
  <si>
    <t>P010108</t>
  </si>
  <si>
    <t>Beneficiaries and local carpenters willingness to participate in trainings and their ability to comprehend the training deliverables</t>
  </si>
  <si>
    <t>1.2.4</t>
  </si>
  <si>
    <t>Set up beehives to be colonized by wild bees</t>
  </si>
  <si>
    <r>
      <t>B01999</t>
    </r>
    <r>
      <rPr>
        <sz val="11"/>
        <color rgb="FF0000FF"/>
        <rFont val="Calibri"/>
        <family val="2"/>
        <scheme val="minor"/>
      </rPr>
      <t>1</t>
    </r>
  </si>
  <si>
    <t># of beehives set up successfully</t>
  </si>
  <si>
    <r>
      <t>P01999</t>
    </r>
    <r>
      <rPr>
        <sz val="11"/>
        <color rgb="FF0000FF"/>
        <rFont val="Calibri"/>
        <family val="2"/>
        <scheme val="minor"/>
      </rPr>
      <t>2</t>
    </r>
  </si>
  <si>
    <t># of people benefiting from beehives set up successfully</t>
  </si>
  <si>
    <t>P010100</t>
  </si>
  <si>
    <t>P020100</t>
  </si>
  <si>
    <t>Provide inputs to beneficiaries</t>
  </si>
  <si>
    <t>B020200</t>
  </si>
  <si>
    <t>P020300</t>
  </si>
  <si>
    <t>B010300</t>
  </si>
  <si>
    <t>P010400</t>
  </si>
  <si>
    <t>Targeted HHs practice improved nutrition behaviours</t>
  </si>
  <si>
    <t>FA05</t>
  </si>
  <si>
    <t>Baseline and final evaluations</t>
  </si>
  <si>
    <t>Targeted HHs improved understanding and access to basic essential nutrients required for improved diet</t>
  </si>
  <si>
    <r>
      <t>N/A</t>
    </r>
    <r>
      <rPr>
        <sz val="11"/>
        <color rgb="FF0000FF"/>
        <rFont val="Calibri"/>
        <family val="2"/>
        <scheme val="minor"/>
      </rPr>
      <t>2</t>
    </r>
  </si>
  <si>
    <t xml:space="preserve"> % of HHs that can list at least 3 health benefits of eating vegetables </t>
  </si>
  <si>
    <t xml:space="preserve">
HHs attend dietary diversity training consistently to understand and identify food groups. </t>
  </si>
  <si>
    <t>Conduct training on dietary diversity</t>
  </si>
  <si>
    <t>P040204</t>
  </si>
  <si>
    <t xml:space="preserve">Targeted household heads are willing to consistently commit to the project training requirements. </t>
  </si>
  <si>
    <t>2.1.2</t>
  </si>
  <si>
    <t>Conduct cooking demonstrations</t>
  </si>
  <si>
    <t>B040001</t>
  </si>
  <si>
    <t>Available space, inputs for cooking demonstrations and willingness of participants to attend and be involved</t>
  </si>
  <si>
    <t>P040200</t>
  </si>
  <si>
    <t>a30103</t>
  </si>
  <si>
    <t>P040103</t>
  </si>
  <si>
    <t># of children with moderate acute malnutrition (MAM) that were new admissions to the targeted supplementary feeding program (TSFP)</t>
  </si>
  <si>
    <t>a30105</t>
  </si>
  <si>
    <t>P040105</t>
  </si>
  <si>
    <t># of children that received  blanket supplementary feeding (BSF) to prevent acute malnutrition</t>
  </si>
  <si>
    <t>P050202</t>
  </si>
  <si>
    <t># of people provided with nutritional commodities</t>
  </si>
  <si>
    <t>a30100</t>
  </si>
  <si>
    <t>P040100</t>
  </si>
  <si>
    <t>a30207</t>
  </si>
  <si>
    <t>P040201</t>
  </si>
  <si>
    <t># of people trained on Infant and Young Child Feeding (IYCF)</t>
  </si>
  <si>
    <t>a30210</t>
  </si>
  <si>
    <t># of people trained on home gardening and/or dietary diversity</t>
  </si>
  <si>
    <t>a30618</t>
  </si>
  <si>
    <t>P040209</t>
  </si>
  <si>
    <t># of beneficiaries given lactation support</t>
  </si>
  <si>
    <t>a30200</t>
  </si>
  <si>
    <t># of people trained on nutritional practices</t>
  </si>
  <si>
    <t>a30501</t>
  </si>
  <si>
    <t>P040501</t>
  </si>
  <si>
    <t># of children that received Vitamin A</t>
  </si>
  <si>
    <t>15,000 received Vitamin A during a mass vaccination campaign of which 2500 children were already captured under the BSFP program</t>
  </si>
  <si>
    <t>a30602</t>
  </si>
  <si>
    <t>P040508</t>
  </si>
  <si>
    <t xml:space="preserve"> # of children and/or PLW that received deworming medication </t>
  </si>
  <si>
    <t>Children who received Vitamin A also received deworming medication.  100 PLWs also received deworming medication</t>
  </si>
  <si>
    <t>a30500</t>
  </si>
  <si>
    <t>P040500</t>
  </si>
  <si>
    <t># of children and/or women that received micronutrient supplements</t>
  </si>
  <si>
    <t>a60000</t>
  </si>
  <si>
    <t>P070100</t>
  </si>
  <si>
    <t># of beneficiaries presented with the Gospel</t>
  </si>
  <si>
    <t>3,750 from global indicator P040100, 6 from global indicator P040200, 12,600 from global indicator P040500</t>
  </si>
  <si>
    <t>Column1</t>
  </si>
  <si>
    <t>P030201</t>
  </si>
  <si>
    <t>P030208</t>
  </si>
  <si>
    <t>P030204</t>
  </si>
  <si>
    <t>P030200</t>
  </si>
  <si>
    <t xml:space="preserve"># of people accessing potable water from constructed/ installed/ rehabilitated water supply points </t>
  </si>
  <si>
    <t>P030601</t>
  </si>
  <si>
    <t xml:space="preserve"># of people with access to  household latrines (including pour flush latrines) constructed </t>
  </si>
  <si>
    <t>P030602</t>
  </si>
  <si>
    <t xml:space="preserve"># of people with access to  institutional/communal latrines constructed </t>
  </si>
  <si>
    <t># of people with access to  institutional/communal latrines constructed for outpatient treatment center</t>
  </si>
  <si>
    <t xml:space="preserve">50  people/ communal latrine. 1 communal latrine was built in Village C for outpatient treatment center. </t>
  </si>
  <si>
    <t>P030600</t>
  </si>
  <si>
    <t xml:space="preserve"># of people with access to  latrines </t>
  </si>
  <si>
    <t>10,000 beneficiaries (P030601), 50 beneficiaries from village B (P030602), 50 people from village C (P030602)</t>
  </si>
  <si>
    <t>a20408</t>
  </si>
  <si>
    <t>P030702</t>
  </si>
  <si>
    <t># of people trained as hygiene educators (TOT of hygiene committees, etc.)</t>
  </si>
  <si>
    <t>15 people trained have already been captured under global indicator P030200</t>
  </si>
  <si>
    <t>a20403</t>
  </si>
  <si>
    <t>P030703</t>
  </si>
  <si>
    <t># of people educated on hygiene/sanitation (not including TOT or hygiene committees)</t>
  </si>
  <si>
    <t>7,500 already captured under previous global indicator P030200</t>
  </si>
  <si>
    <t>a20400</t>
  </si>
  <si>
    <t>P030700</t>
  </si>
  <si>
    <t># of people trained on water, sanitation &amp; hygiene (WASH)</t>
  </si>
  <si>
    <t>Malnutrition Program</t>
  </si>
  <si>
    <t>Project Launch Meeting</t>
  </si>
  <si>
    <t>Project Manager</t>
  </si>
  <si>
    <t>Meeting with external stakeholders</t>
  </si>
  <si>
    <t>Agricultural training groups selection and registration</t>
  </si>
  <si>
    <t>Project coordinator</t>
  </si>
  <si>
    <t>Preparation for agricultural training groups</t>
  </si>
  <si>
    <t>Ag./Livelihood trainer 1</t>
  </si>
  <si>
    <t>Ag./Livelihood trainer 2</t>
  </si>
  <si>
    <t>Ag./Livelihood trainer 1 &amp; 2</t>
  </si>
  <si>
    <t>Beehive training group selection and registration</t>
  </si>
  <si>
    <t>Preparation for beehive training groups</t>
  </si>
  <si>
    <t>Ag./Livelihood trainer 3</t>
  </si>
  <si>
    <t>Nutrition Officer</t>
  </si>
  <si>
    <t>Project baseline assessment</t>
  </si>
  <si>
    <t>M&amp;E Officer</t>
  </si>
  <si>
    <t>Post-training monitoring by M&amp;E team</t>
  </si>
  <si>
    <t>Post-distribution monitoring by M&amp;E team</t>
  </si>
  <si>
    <t>Project end line assessment</t>
  </si>
  <si>
    <t>Distribution lists</t>
  </si>
  <si>
    <t>Project Coordinator, Khalid Muhammed</t>
  </si>
  <si>
    <t xml:space="preserve"> Target Benefit</t>
  </si>
  <si>
    <t xml:space="preserve"> Actual Benefit</t>
  </si>
  <si>
    <t>Training lists</t>
  </si>
  <si>
    <t>Project Coordinator, Sarah Jamilah</t>
  </si>
  <si>
    <t>Project Coordinator, Eric Kimeni</t>
  </si>
  <si>
    <t>Notes of radio messages, formal documents of radio schedule for aired messages</t>
  </si>
  <si>
    <t>Program Manager, Adam Gambella</t>
  </si>
  <si>
    <t xml:space="preserve">Training schedule with topics, signed by trainers when completed. </t>
  </si>
  <si>
    <t>Attendance sheets</t>
  </si>
  <si>
    <t>Individual</t>
  </si>
  <si>
    <t>Example of how to modify template to include disaggregated information.</t>
  </si>
  <si>
    <t>INDEX of Example 'Example Logframe' Column F</t>
  </si>
  <si>
    <t>Unique Identifier</t>
  </si>
  <si>
    <t>INDEX of Example Logframe Column B</t>
  </si>
  <si>
    <t>B</t>
  </si>
  <si>
    <t>P</t>
  </si>
  <si>
    <t>Indicator Code (4 Characters</t>
  </si>
  <si>
    <t>Indicator Code (3 Characters)</t>
  </si>
  <si>
    <t>Indicator Code (5 Characters)</t>
  </si>
  <si>
    <t>Combined List</t>
  </si>
  <si>
    <t>this table is live</t>
  </si>
  <si>
    <t>Reference to Other Table</t>
  </si>
  <si>
    <t>Be sure that if something changes, you have to review the 'Example 'Example Logframe''.</t>
  </si>
  <si>
    <t>In order for indicators to be listed in the same order as the logframe they have to be assigned a unique ID (column A) in ascending order.  This way the pivot table will go by the number instead alphabetizing the indicator itself.</t>
  </si>
  <si>
    <t>B Unique Identifier</t>
  </si>
  <si>
    <t>P Unique Indentifier</t>
  </si>
  <si>
    <t>B Indicator Description</t>
  </si>
  <si>
    <t>P Indicator Description</t>
  </si>
  <si>
    <t>Row Labels</t>
  </si>
  <si>
    <t>if pivot table do not refresh, check to make sure that it is pulling information from the right data source (the adjacent table)</t>
  </si>
  <si>
    <r>
      <t xml:space="preserve">these (columns O-Q) are </t>
    </r>
    <r>
      <rPr>
        <b/>
        <sz val="11"/>
        <color rgb="FFFF0000"/>
        <rFont val="Calibri"/>
        <family val="2"/>
      </rPr>
      <t>3 pivots tables that are not live</t>
    </r>
    <r>
      <rPr>
        <sz val="11"/>
        <color rgb="FFFF0000"/>
        <rFont val="Calibri"/>
        <family val="2"/>
      </rPr>
      <t xml:space="preserve"> and will not update unless 1) feeding right source 2) manually refreshed.</t>
    </r>
  </si>
  <si>
    <t>0.06B020201</t>
  </si>
  <si>
    <t>0.03P010101</t>
  </si>
  <si>
    <t>0.01AL04</t>
  </si>
  <si>
    <t>0.08B020204</t>
  </si>
  <si>
    <t>0.04P010107</t>
  </si>
  <si>
    <t>0.02AL11</t>
  </si>
  <si>
    <t>Ensure pivot table source so that it refreshes from the correct table</t>
  </si>
  <si>
    <t>0.11B020203</t>
  </si>
  <si>
    <t>0.05P020107</t>
  </si>
  <si>
    <t>0.14N/A1</t>
  </si>
  <si>
    <t>Step 1</t>
  </si>
  <si>
    <t>pivot table on desired row</t>
  </si>
  <si>
    <t>0.13B010004</t>
  </si>
  <si>
    <t>0.07P020301</t>
  </si>
  <si>
    <t>0.38FA05</t>
  </si>
  <si>
    <t>step 2</t>
  </si>
  <si>
    <t>Analyze tab</t>
  </si>
  <si>
    <t>0.15B010307</t>
  </si>
  <si>
    <t>0.09P020304</t>
  </si>
  <si>
    <t>0.39N/A2</t>
  </si>
  <si>
    <t>step 3</t>
  </si>
  <si>
    <t>change source data</t>
  </si>
  <si>
    <t>0.17B020201</t>
  </si>
  <si>
    <t>0.12P020303</t>
  </si>
  <si>
    <t>step 4</t>
  </si>
  <si>
    <t>make sure table range is feeding from the right table</t>
  </si>
  <si>
    <t>0.21B019991</t>
  </si>
  <si>
    <t>0.16P010407</t>
  </si>
  <si>
    <t>0.33B020200</t>
  </si>
  <si>
    <t>0.18P020301</t>
  </si>
  <si>
    <t>Creating or altering a macro button</t>
  </si>
  <si>
    <t>0.35B010300</t>
  </si>
  <si>
    <t>0.19P010108</t>
  </si>
  <si>
    <t>step 1</t>
  </si>
  <si>
    <t>create a button icon to your liking from the "insert" tab</t>
  </si>
  <si>
    <t>0.42B040001</t>
  </si>
  <si>
    <t>0.22P019992</t>
  </si>
  <si>
    <t>go to developer tab and select "record macro"</t>
  </si>
  <si>
    <t>0.31P010100</t>
  </si>
  <si>
    <t xml:space="preserve">step 3 </t>
  </si>
  <si>
    <t>fill in desired fields</t>
  </si>
  <si>
    <t>0.32P020100</t>
  </si>
  <si>
    <t>press "record macro"</t>
  </si>
  <si>
    <t>0.34P020300</t>
  </si>
  <si>
    <t>step 5</t>
  </si>
  <si>
    <t>conduct desired steps</t>
  </si>
  <si>
    <t>0.36P010400</t>
  </si>
  <si>
    <t xml:space="preserve">step 6 </t>
  </si>
  <si>
    <t>press "stop recording" [macro]</t>
  </si>
  <si>
    <t>0.41P040204</t>
  </si>
  <si>
    <t>step 7</t>
  </si>
  <si>
    <t>assign macro to button</t>
  </si>
  <si>
    <t>0.58P040200</t>
  </si>
  <si>
    <t>step 8</t>
  </si>
  <si>
    <t>To assign macro to button, follow this link https://www.youtube.com/watch?v=XmOk1QW6T0g</t>
  </si>
  <si>
    <t>INDEX of Logframe Column F</t>
  </si>
  <si>
    <t>INDEX of Logframe Column B</t>
  </si>
  <si>
    <t>Be sure that if something changes, you have to review the logframe.</t>
  </si>
  <si>
    <t>Method of Data collection</t>
  </si>
  <si>
    <t>Attendance lists</t>
  </si>
  <si>
    <t>Concatenate</t>
  </si>
  <si>
    <t>Outcome Clarifier</t>
  </si>
  <si>
    <t>AL01</t>
  </si>
  <si>
    <t>% of households with an annual food gap of less than X months (x=lean season for particular region or country)</t>
  </si>
  <si>
    <t>Distribution records</t>
  </si>
  <si>
    <t>2024 Code</t>
  </si>
  <si>
    <t>2019 Code</t>
  </si>
  <si>
    <t>2020 Code</t>
  </si>
  <si>
    <t>2021 Code</t>
  </si>
  <si>
    <t>2023 Code</t>
  </si>
  <si>
    <t>Agriculture/ Livestock Activity Indicators</t>
  </si>
  <si>
    <t>FA01</t>
  </si>
  <si>
    <t xml:space="preserve">% of households with poor Food Consumption Score (FCS) </t>
  </si>
  <si>
    <t>Drilling logs</t>
  </si>
  <si>
    <t>a10100</t>
  </si>
  <si>
    <t># of people trained on improved agriculture technologies/practices</t>
  </si>
  <si>
    <t>FA06</t>
  </si>
  <si>
    <t>Food Expenditure Share</t>
  </si>
  <si>
    <t>Endline</t>
  </si>
  <si>
    <t>a10101</t>
  </si>
  <si>
    <t># of people trained on agronomic practices</t>
  </si>
  <si>
    <t>AL03</t>
  </si>
  <si>
    <t>% of households consuming food obtained from livestock production</t>
  </si>
  <si>
    <t>Final Evaluation</t>
  </si>
  <si>
    <t>P010102</t>
  </si>
  <si>
    <t>a10103</t>
  </si>
  <si>
    <t># of people trained on crop value addition</t>
  </si>
  <si>
    <t>% of participants reaching target income from agricultural activities/production</t>
  </si>
  <si>
    <t>GPS measurements</t>
  </si>
  <si>
    <t>P010103</t>
  </si>
  <si>
    <t>a10107</t>
  </si>
  <si>
    <t># of people trained on marketing skills</t>
  </si>
  <si>
    <t>AL05</t>
  </si>
  <si>
    <t>% of households demonstrating productive livestock rearing techniques</t>
  </si>
  <si>
    <t>Market assessment</t>
  </si>
  <si>
    <t>P010104</t>
  </si>
  <si>
    <t>a10108</t>
  </si>
  <si>
    <t># of people trained on pest control</t>
  </si>
  <si>
    <t>AL06</t>
  </si>
  <si>
    <t>% of households who understand productive livestock rearing</t>
  </si>
  <si>
    <t>P010105</t>
  </si>
  <si>
    <t>a10109</t>
  </si>
  <si>
    <t># of people trained on post-harvest handling</t>
  </si>
  <si>
    <t>AL07</t>
  </si>
  <si>
    <t>% of households with "productive" livestock</t>
  </si>
  <si>
    <t>Needs Assessment</t>
  </si>
  <si>
    <t>P010106</t>
  </si>
  <si>
    <t>a10111</t>
  </si>
  <si>
    <t># of people trained on accounting/finances/bookkeeping</t>
  </si>
  <si>
    <t>AL08</t>
  </si>
  <si>
    <t>% of households utilizing public/private/community extension services</t>
  </si>
  <si>
    <t>Observation/physical verification</t>
  </si>
  <si>
    <t>a10112</t>
  </si>
  <si>
    <t># of people trained on food hygiene and security</t>
  </si>
  <si>
    <t>AL09</t>
  </si>
  <si>
    <t>% of households who pay for treatment for their livestock when sick</t>
  </si>
  <si>
    <t>PDMs</t>
  </si>
  <si>
    <t>a10113</t>
  </si>
  <si>
    <t># of people trained on productive livestock rearing</t>
  </si>
  <si>
    <t>AL10</t>
  </si>
  <si>
    <t>% of farmers(households) adopting improved agricultural technologies</t>
  </si>
  <si>
    <t>Pre/post test</t>
  </si>
  <si>
    <t>P010109</t>
  </si>
  <si>
    <t>a10114</t>
  </si>
  <si>
    <t># of  people trained on irrigation methods and techniques</t>
  </si>
  <si>
    <t xml:space="preserve">% of households with intensive vegetable crops production   </t>
  </si>
  <si>
    <t>Site visit checklist/ log</t>
  </si>
  <si>
    <t>P010110</t>
  </si>
  <si>
    <t>a10513</t>
  </si>
  <si>
    <t># of community animal health workers (CAHWs) trained</t>
  </si>
  <si>
    <t>AL12</t>
  </si>
  <si>
    <t>Average acreage of cultivated land per household</t>
  </si>
  <si>
    <t>SP Well Data Collector</t>
  </si>
  <si>
    <t>P010111</t>
  </si>
  <si>
    <t>a10503</t>
  </si>
  <si>
    <t># of people participating in internal/external exchange visits or experience sharing visits</t>
  </si>
  <si>
    <t>AL13</t>
  </si>
  <si>
    <t>Seedling/sapling survival rate</t>
  </si>
  <si>
    <t>Water meters</t>
  </si>
  <si>
    <t>P010112</t>
  </si>
  <si>
    <t>a10110</t>
  </si>
  <si>
    <t># of people trained on other agricultural topics</t>
  </si>
  <si>
    <t>AL14</t>
  </si>
  <si>
    <t>% of farmers who are purchasing the recommended inputs</t>
  </si>
  <si>
    <t>Water samples</t>
  </si>
  <si>
    <t>B010200</t>
  </si>
  <si>
    <t># of hectares with improved irrigation access</t>
  </si>
  <si>
    <t>AL15</t>
  </si>
  <si>
    <t>% of cultivated land irrigated</t>
  </si>
  <si>
    <t>Other</t>
  </si>
  <si>
    <t>P010300</t>
  </si>
  <si>
    <t># of people benefiting from hectares with improved irrigation access</t>
  </si>
  <si>
    <t>AL16</t>
  </si>
  <si>
    <t xml:space="preserve">% of households using adequate grain and seed storage facilities
</t>
  </si>
  <si>
    <t>B010400</t>
  </si>
  <si>
    <t>new</t>
  </si>
  <si>
    <t># of agriculture groups receiving support for improved livelihoods</t>
  </si>
  <si>
    <t>AL17</t>
  </si>
  <si>
    <t>% of farmers/farmer groups linked to agricultural markets</t>
  </si>
  <si>
    <t>B010401</t>
  </si>
  <si>
    <t>a10501</t>
  </si>
  <si>
    <t>B010201</t>
  </si>
  <si>
    <t># of farmer field schools (FFS) established</t>
  </si>
  <si>
    <t>WS01</t>
  </si>
  <si>
    <t>Incidence rates of WASH-related diseases in the target population</t>
  </si>
  <si>
    <t>B010402</t>
  </si>
  <si>
    <t>a10509</t>
  </si>
  <si>
    <t>B010202</t>
  </si>
  <si>
    <t># of market groups formed</t>
  </si>
  <si>
    <t>HL08</t>
  </si>
  <si>
    <t>Rates of diarrheal disease: % of children 0-59 months experiencing an episode of diarrhea in the preceding two weeks</t>
  </si>
  <si>
    <t>B010403</t>
  </si>
  <si>
    <t>a10511</t>
  </si>
  <si>
    <t>B010203</t>
  </si>
  <si>
    <t># of cooperatives/associations established</t>
  </si>
  <si>
    <t>WS02</t>
  </si>
  <si>
    <t>Average yearly attendance of children (or girls) at primary or secondary school (modify as needed)</t>
  </si>
  <si>
    <t>B010404</t>
  </si>
  <si>
    <t>B010204</t>
  </si>
  <si>
    <t># of irrigation groups or associations trained in water management</t>
  </si>
  <si>
    <t>NT01</t>
  </si>
  <si>
    <t>Stunting:  % of children 0 to 59 months of age that are stunted (Height for Age &lt; -2 Z-scores)</t>
  </si>
  <si>
    <t>B010405</t>
  </si>
  <si>
    <t>a90303</t>
  </si>
  <si>
    <t>B010205</t>
  </si>
  <si>
    <t># of small businesses provided with capital for business start-up and/or upgrade</t>
  </si>
  <si>
    <t>WS03</t>
  </si>
  <si>
    <t xml:space="preserve">Average water usage of the target population (for drinking, cooking and personal hygiene) in liters per person per day
</t>
  </si>
  <si>
    <t>B010500</t>
  </si>
  <si>
    <t>a10300</t>
  </si>
  <si>
    <t># of animals distributed</t>
  </si>
  <si>
    <t>WS04</t>
  </si>
  <si>
    <t>% of the target population with a water point less than 500m (or nationally recommended distance) from origin (e.g. community/household,  school, facility, etc.) (Disaggregated by improved and unimproved sources)</t>
  </si>
  <si>
    <t>B010501</t>
  </si>
  <si>
    <t>a10301</t>
  </si>
  <si>
    <t>B010301</t>
  </si>
  <si>
    <t># of goats distributed</t>
  </si>
  <si>
    <t>WS05</t>
  </si>
  <si>
    <t xml:space="preserve">% of household with average round trip time to collect water &lt;30 min
</t>
  </si>
  <si>
    <t>B010502</t>
  </si>
  <si>
    <t>a10302</t>
  </si>
  <si>
    <t>B010302</t>
  </si>
  <si>
    <t># of pigs distributed</t>
  </si>
  <si>
    <t>WS06</t>
  </si>
  <si>
    <t>CHOOSE 1 indicator and manually type in
% of target population using water from an improved water source. (Disaggregated by year round access vs. seasonal access, where appropriate)
For schools:  % of schools with an improved source on or near premises and water points accessible to all users during school hours.
For health facilities/institutions: % of health facilities or institutions with an improved source on premises and water points accessible to all users at all times.</t>
  </si>
  <si>
    <t>B010503</t>
  </si>
  <si>
    <t>a10303</t>
  </si>
  <si>
    <t>B010303</t>
  </si>
  <si>
    <t># of cows distributed</t>
  </si>
  <si>
    <t>WS36</t>
  </si>
  <si>
    <t>% of target population with access on premises</t>
  </si>
  <si>
    <t>B010504</t>
  </si>
  <si>
    <t>a10304</t>
  </si>
  <si>
    <t>B010304</t>
  </si>
  <si>
    <t># of sheep distributed</t>
  </si>
  <si>
    <t>WS07</t>
  </si>
  <si>
    <t>% of target population  whose water quality meets WHO (and/or country regulatory) guideline values for E.coli, fluoride and arsenic .</t>
  </si>
  <si>
    <t>B010505</t>
  </si>
  <si>
    <t>a10305</t>
  </si>
  <si>
    <t>B010305</t>
  </si>
  <si>
    <t># of fish distributed</t>
  </si>
  <si>
    <t>WS08</t>
  </si>
  <si>
    <t xml:space="preserve">% of target population practicing effective water treatment
</t>
  </si>
  <si>
    <t>B010506</t>
  </si>
  <si>
    <t>a10315</t>
  </si>
  <si>
    <t>B010306</t>
  </si>
  <si>
    <t># of chickens distributed</t>
  </si>
  <si>
    <t>WS37</t>
  </si>
  <si>
    <t>% of target population with FRC&gt;0.2 mg/l</t>
  </si>
  <si>
    <t>B010507</t>
  </si>
  <si>
    <t>a10320</t>
  </si>
  <si>
    <t># of other animals distributed</t>
  </si>
  <si>
    <t>WS09</t>
  </si>
  <si>
    <t>% of target population demonstrating correct water storage</t>
  </si>
  <si>
    <t>P010600</t>
  </si>
  <si>
    <t># of people provided with animals</t>
  </si>
  <si>
    <t>All HH members</t>
  </si>
  <si>
    <t>WS10</t>
  </si>
  <si>
    <t>CHOOSE 1 indicator and manually type in
% of water user committees (or equivalent) still active and maintaining water points after  6 months (or defined interval) (and monitored every 6 months afterwards) 
For Schools: % of schools with active school WASH facility management after 6 months (or defined interval) (and monitored every 6 months afterwards)</t>
  </si>
  <si>
    <t>P010601</t>
  </si>
  <si>
    <t>P010401</t>
  </si>
  <si>
    <t># of people provided with goats</t>
  </si>
  <si>
    <t>WS11</t>
  </si>
  <si>
    <t>CHOOSE 1 indicator and manually type in  
% of water points or water systems functioning 6 months (or defined interval) after completion  (and monitored every 6 months afterwards)  
or
% of days/year (or defined interval) that water point or water system are not functioning.</t>
  </si>
  <si>
    <t>P010602</t>
  </si>
  <si>
    <t>P010402</t>
  </si>
  <si>
    <t xml:space="preserve"># of people provided with pigs </t>
  </si>
  <si>
    <t>WS12</t>
  </si>
  <si>
    <t>% of recurrent costs for water supply services provided by community/service users</t>
  </si>
  <si>
    <t>P010603</t>
  </si>
  <si>
    <t>P010403</t>
  </si>
  <si>
    <t># of people provided with cows</t>
  </si>
  <si>
    <t>WS38</t>
  </si>
  <si>
    <t xml:space="preserve">SDG  6.1.1 Indicator: "Proportion of population using safely managed drinking water services"* </t>
  </si>
  <si>
    <t>P010604</t>
  </si>
  <si>
    <t>P010404</t>
  </si>
  <si>
    <t xml:space="preserve"># of people provided with sheep </t>
  </si>
  <si>
    <t>WS13</t>
  </si>
  <si>
    <t>CHOOSE 1 indicator and manually type in 
% of the target population who can identify appropriate hand washing practices
For Schools: % of students who can identify two critical hand washing behaviors (must include hand washing after defecating and before eating)</t>
  </si>
  <si>
    <t>P010605</t>
  </si>
  <si>
    <t>P010405</t>
  </si>
  <si>
    <t xml:space="preserve"># of people provided with fish </t>
  </si>
  <si>
    <t>WS14</t>
  </si>
  <si>
    <t xml:space="preserve">% of the target population who can identify at least two ways to prevent diarrhea
</t>
  </si>
  <si>
    <t>P010606</t>
  </si>
  <si>
    <t>P010406</t>
  </si>
  <si>
    <t xml:space="preserve"># of people provided with chickens </t>
  </si>
  <si>
    <t>WS15</t>
  </si>
  <si>
    <t xml:space="preserve">% of the target population who can demonstrate good hand washing practice
</t>
  </si>
  <si>
    <t>P010607</t>
  </si>
  <si>
    <t># of people provided with other animals</t>
  </si>
  <si>
    <t>WS16</t>
  </si>
  <si>
    <t xml:space="preserve">% of target population with ‘basic’ hand washing facilities with soap and water at home or institution (e.g. home, school, clinic, etc.).
</t>
  </si>
  <si>
    <t>B010001</t>
  </si>
  <si>
    <t>a10502</t>
  </si>
  <si>
    <t># of demonstration plots established</t>
  </si>
  <si>
    <t>WS17</t>
  </si>
  <si>
    <t>% or # of respondents (e.g.. girls, boys, women, men, teachers) with improved knowledge and attitudes regarding MHM</t>
  </si>
  <si>
    <t>P010002</t>
  </si>
  <si>
    <t>a10515</t>
  </si>
  <si>
    <t># of people participating in breeding fairs</t>
  </si>
  <si>
    <t>WS18</t>
  </si>
  <si>
    <t xml:space="preserve">% of target population who practice appropriate menstrual hygiene management 
</t>
  </si>
  <si>
    <t>B010003</t>
  </si>
  <si>
    <t>a10521</t>
  </si>
  <si>
    <t># of animals receiving animal health services by species (including vaccinations)</t>
  </si>
  <si>
    <t>WS29</t>
  </si>
  <si>
    <t xml:space="preserve">
% of women/girls accessing affordable menstrual hygiene products 
</t>
  </si>
  <si>
    <t>a10524</t>
  </si>
  <si>
    <t># of kitchen gardens established</t>
  </si>
  <si>
    <t>WS19</t>
  </si>
  <si>
    <t>% of disabled people with full access to WASH facilities (i.e. latrines, constructed water points, bath houses, etc. please specify)</t>
  </si>
  <si>
    <t>a90308</t>
  </si>
  <si>
    <t># of people trained in livelihood topics</t>
  </si>
  <si>
    <t>WS20</t>
  </si>
  <si>
    <t xml:space="preserve">% of schools have an active hygiene training program (such as a hygiene club or hygiene classes)
</t>
  </si>
  <si>
    <t>P020101</t>
  </si>
  <si>
    <t>a90302</t>
  </si>
  <si>
    <t xml:space="preserve"># of people trained on micro-enterprise management </t>
  </si>
  <si>
    <t>WS21</t>
  </si>
  <si>
    <t xml:space="preserve">CHOOSE 1 indicator and manually type in 
% of the target population using an improved sanitation facility.
For Schools: % of schools with basic separated sanitation facilities for males and females on or near premises 
For Institutions: % of institutions with basic separated sanitation facilities for males and females on or near premises 
</t>
  </si>
  <si>
    <t>P020102</t>
  </si>
  <si>
    <t>a90305</t>
  </si>
  <si>
    <t xml:space="preserve"># of people participating in literacy and/or numeracy classes  </t>
  </si>
  <si>
    <t>WS22</t>
  </si>
  <si>
    <t>% of target population who practice open defecation</t>
  </si>
  <si>
    <t>P020103</t>
  </si>
  <si>
    <t>a90306</t>
  </si>
  <si>
    <t xml:space="preserve"># of people trained on microfinance </t>
  </si>
  <si>
    <t>WS39</t>
  </si>
  <si>
    <t xml:space="preserve">% of households with no evidence of feces in the living area. </t>
  </si>
  <si>
    <t>P020104</t>
  </si>
  <si>
    <t>a90320</t>
  </si>
  <si>
    <t xml:space="preserve"># of people trained on construction </t>
  </si>
  <si>
    <t>WS23</t>
  </si>
  <si>
    <t xml:space="preserve">Average number of people using each improved sanitary facility (e.g. latrine/toilet). 
</t>
  </si>
  <si>
    <t>P020105</t>
  </si>
  <si>
    <t>a90321</t>
  </si>
  <si>
    <t># of people receiving vocational training</t>
  </si>
  <si>
    <t>WS24</t>
  </si>
  <si>
    <t>% of target population with basic separated sanitation facilities for females that provide privacy; soap, water and space for washing hands, private parts and clothes; and places for changing and disposing of materials used for managing menstruation.</t>
  </si>
  <si>
    <t>P020106</t>
  </si>
  <si>
    <t>a90307</t>
  </si>
  <si>
    <t># of people trained on savings schemes</t>
  </si>
  <si>
    <t>WS25</t>
  </si>
  <si>
    <t>% of sanitation systems being managed appropriately.</t>
  </si>
  <si>
    <t>a90322</t>
  </si>
  <si>
    <t># of people trained in other (specify) livelihood trainings</t>
  </si>
  <si>
    <t>WS26</t>
  </si>
  <si>
    <t xml:space="preserve">% of latrines completed that are clean and in use after 6 months (or defined interval) </t>
  </si>
  <si>
    <t>a10400</t>
  </si>
  <si>
    <t xml:space="preserve"># of livelihood inputs/ assets provided </t>
  </si>
  <si>
    <t>WS40</t>
  </si>
  <si>
    <t>% of target population with sanitation facilities due to sanitation marketing</t>
  </si>
  <si>
    <t>a10401</t>
  </si>
  <si>
    <t># of tools distributed</t>
  </si>
  <si>
    <t>SDG Indicator 6.2.1: "Proportion of population using safely managed sanitation services, including a hand-washing facility with soap and water"**</t>
  </si>
  <si>
    <t>B020202</t>
  </si>
  <si>
    <t>a10403</t>
  </si>
  <si>
    <t># of fishing kits distributed</t>
  </si>
  <si>
    <t>WS27</t>
  </si>
  <si>
    <t>% of target population managing wastewater disposal properly</t>
  </si>
  <si>
    <t>a10406</t>
  </si>
  <si>
    <t># of trees/saplings/seedlings distributed</t>
  </si>
  <si>
    <t>WS28</t>
  </si>
  <si>
    <t xml:space="preserve">CHOOSE 1 indicator and manually type in 
% of the target population appropriately disposing of rubbish (i.e. garbage/solid waste)
% of schools with access to, and active use of, a solid waste disposal site
% of health facilities with access to, and active use of, a solid waste disposal site
</t>
  </si>
  <si>
    <t>a10407</t>
  </si>
  <si>
    <t># of improved "seed packages" distributed</t>
  </si>
  <si>
    <t>WS30</t>
  </si>
  <si>
    <t>% of localities (define) that have good governance structures for WASH.</t>
  </si>
  <si>
    <t>B020205</t>
  </si>
  <si>
    <t>a10418</t>
  </si>
  <si>
    <t># of biogas digesters installed</t>
  </si>
  <si>
    <t>PR16</t>
  </si>
  <si>
    <t>% of households where the compound/living area provides a healthy environment where children can play.</t>
  </si>
  <si>
    <t>B020206</t>
  </si>
  <si>
    <t>a10410</t>
  </si>
  <si>
    <t xml:space="preserve"># of grain store houses constructed </t>
  </si>
  <si>
    <t>WS32</t>
  </si>
  <si>
    <t>% of target population (girls/women) that feel safe collecting water.</t>
  </si>
  <si>
    <t>B020207</t>
  </si>
  <si>
    <t>a10413</t>
  </si>
  <si>
    <t># of processing centers built (specify type)</t>
  </si>
  <si>
    <t>WS33</t>
  </si>
  <si>
    <t>% of target population (girls/women) that feel safe going out to defecate.</t>
  </si>
  <si>
    <t>B020208</t>
  </si>
  <si>
    <t>a10415</t>
  </si>
  <si>
    <t># of livestock watering points constructed/rehabilitated</t>
  </si>
  <si>
    <t>WS34</t>
  </si>
  <si>
    <t>% of target committees (e.g. hygiene promoters, WUCs, etc.) that are comprised of at least 50% women.</t>
  </si>
  <si>
    <t>B020209</t>
  </si>
  <si>
    <t>a10416</t>
  </si>
  <si>
    <t># of HH-level storage equipment provided</t>
  </si>
  <si>
    <t>WS35</t>
  </si>
  <si>
    <t>% of women on the target committee that have meaningful involvement</t>
  </si>
  <si>
    <t>B020210</t>
  </si>
  <si>
    <t>a90310</t>
  </si>
  <si>
    <t># of energy-saving stoves installed</t>
  </si>
  <si>
    <t>Stunting: % of children 0 to 59 months of age that are stunted (Height for Age &lt; -2 Z-scores)</t>
  </si>
  <si>
    <t>B020211</t>
  </si>
  <si>
    <t>a10417</t>
  </si>
  <si>
    <t># of other productive assets (specify) distributed</t>
  </si>
  <si>
    <t>NT02</t>
  </si>
  <si>
    <t>Underweight: % of children 0 to 59 months of age that are underweight (weight-for-age &lt;-2 Z-scores)</t>
  </si>
  <si>
    <t>B020212</t>
  </si>
  <si>
    <t>a10411</t>
  </si>
  <si>
    <t># of other (specify type) ag/livestock shelters constructed</t>
  </si>
  <si>
    <t>NT03</t>
  </si>
  <si>
    <t>Wasting: % of children 0 to 59 months of age that are wasted (weight-for-height &lt;-2 Z-scores), or MUAC&lt;12.5 cm</t>
  </si>
  <si>
    <t>a90309</t>
  </si>
  <si>
    <t># of people provided with Livelihood inputs/ assets</t>
  </si>
  <si>
    <t>Individual, All HH members</t>
  </si>
  <si>
    <t>NT04</t>
  </si>
  <si>
    <t>Severe Acute Malnutrition:  % of children 0 to 59 months of age with severe acute malnutrition (weight-for-height &lt;-3 Z-scores, bilateral pitting edema, or MUAC&lt;11.5 cm</t>
  </si>
  <si>
    <t xml:space="preserve"># of people provided with tools </t>
  </si>
  <si>
    <t>NT05</t>
  </si>
  <si>
    <t>% of pregnant and lactating women who have a MUAC &lt; 21cm</t>
  </si>
  <si>
    <t>P020302</t>
  </si>
  <si>
    <t xml:space="preserve"># of people provided with fishing kits </t>
  </si>
  <si>
    <t>NT06</t>
  </si>
  <si>
    <t>% of children born in the last 24 months who were put to the breast within one hour of birth</t>
  </si>
  <si>
    <t xml:space="preserve"># of people provided with trees/saplings/seedlings </t>
  </si>
  <si>
    <t>NT07</t>
  </si>
  <si>
    <t xml:space="preserve">% of children 0-23 months of age who received a pre-lacteal feeding </t>
  </si>
  <si>
    <t xml:space="preserve"># of people provided with improved "seed packages" </t>
  </si>
  <si>
    <t>NT08</t>
  </si>
  <si>
    <t>% of infants who are fed exclusively with breast milk for the first six months</t>
  </si>
  <si>
    <t>P020305</t>
  </si>
  <si>
    <t xml:space="preserve"># of people provided with biogas digesters </t>
  </si>
  <si>
    <t>NT09</t>
  </si>
  <si>
    <t>% of children 12-15 months of age who are fed breast milk</t>
  </si>
  <si>
    <t>P020306</t>
  </si>
  <si>
    <t xml:space="preserve"># of people provided with constructed grain store houses </t>
  </si>
  <si>
    <t>NT10</t>
  </si>
  <si>
    <t xml:space="preserve">% of infants 6-8 months of age who receive solid, semi-solid or soft foods </t>
  </si>
  <si>
    <t>P020307</t>
  </si>
  <si>
    <t># of people provided with constructed processing centers  (specify type)</t>
  </si>
  <si>
    <t>NT11</t>
  </si>
  <si>
    <t>% of breastfed and non-breastfed children 6-23 months of age who receive solid, semi-solid or soft foods the minimum number of times or more</t>
  </si>
  <si>
    <t>P020308</t>
  </si>
  <si>
    <t xml:space="preserve"># of people provided with constructed/ rehabilitated livestock watering points </t>
  </si>
  <si>
    <t>NT12</t>
  </si>
  <si>
    <t>% of children 6-23 months of age who receive foods from four or more food groups</t>
  </si>
  <si>
    <t>P020309</t>
  </si>
  <si>
    <t># of people provided with HH-level storage equipment</t>
  </si>
  <si>
    <t>NT13</t>
  </si>
  <si>
    <t>% of children 6-23 months who receive a minimum acceptable diet</t>
  </si>
  <si>
    <t>P020310</t>
  </si>
  <si>
    <t xml:space="preserve"># of people provided with energy-saving stoves </t>
  </si>
  <si>
    <t>NT14</t>
  </si>
  <si>
    <t>% of children 6–23 months of 
age who receive an iron-rich food or iron-fortified food that is specially designed for infants 
and young children, or that is fortified in the home.</t>
  </si>
  <si>
    <t>P020311</t>
  </si>
  <si>
    <t xml:space="preserve"># of people provided with other productive assets (specify) </t>
  </si>
  <si>
    <t>NT15</t>
  </si>
  <si>
    <t>% of children 0-23 months of age with diarrhea in the last 2 weeks who were offered more fluids during the illness (note:  fluid is breast milk only in children under 6 months of age)</t>
  </si>
  <si>
    <t>P020312</t>
  </si>
  <si>
    <t xml:space="preserve"># of people provided with other (specify type) ag/livestock shelters </t>
  </si>
  <si>
    <t>NT16</t>
  </si>
  <si>
    <t>% of children 6-23 months of age with diarrhea in the last 2 weeks who were offered the same amount or more food during the illness</t>
  </si>
  <si>
    <t>B030100</t>
  </si>
  <si>
    <t>a20100</t>
  </si>
  <si>
    <t># of water supply points constructed/installed/rehabilitated</t>
  </si>
  <si>
    <t>NT17</t>
  </si>
  <si>
    <t>% of newborns with low birth weight (&lt;2,500 grams)
Alternate indicator:  % of newborns with low birth weight (mother's report of baby being "very small at birth")</t>
  </si>
  <si>
    <t>B030101</t>
  </si>
  <si>
    <t>a20101</t>
  </si>
  <si>
    <t># of boreholes installed</t>
  </si>
  <si>
    <t>NT18</t>
  </si>
  <si>
    <t>% of non-pregnant women of reproductive age (15-49 years of age) with low BMI (&lt;18.5 kg/m²)</t>
  </si>
  <si>
    <t>B030102</t>
  </si>
  <si>
    <t>a20102</t>
  </si>
  <si>
    <t># of boreholes rehabilitated</t>
  </si>
  <si>
    <t>NT19</t>
  </si>
  <si>
    <t>% of women of reproductive age (15-49 years of age) with Vitamin A deficiency (serum retinol values &lt;0.70µmol/l)
Alternate indicator:  % of mothers of children 0-23 months of age reporting night blindness during last pregnancy</t>
  </si>
  <si>
    <t>B030103</t>
  </si>
  <si>
    <t>a20103</t>
  </si>
  <si>
    <t># of shallow/hand dug wells installed</t>
  </si>
  <si>
    <t>NT20</t>
  </si>
  <si>
    <t>% of women of reproductive age (15-49 years of age) with anemia (Hb&lt;11g/dl for pregnant women; &lt;12 g/dl for non pregnant women)</t>
  </si>
  <si>
    <t>B030104</t>
  </si>
  <si>
    <t>a20104</t>
  </si>
  <si>
    <t># of shallow/hand dug wells rehabilitated</t>
  </si>
  <si>
    <t>NT21</t>
  </si>
  <si>
    <t>% of mothers of children 0-23 months of age who bought or received iron/folic acid supplements while pregnant with youngest child</t>
  </si>
  <si>
    <t>B030105</t>
  </si>
  <si>
    <t>a20105</t>
  </si>
  <si>
    <t># of springs capped</t>
  </si>
  <si>
    <t>NT22</t>
  </si>
  <si>
    <t>% of households consuming adequately iodized salt (20-40 ppm)</t>
  </si>
  <si>
    <t>B030106</t>
  </si>
  <si>
    <t>a20115</t>
  </si>
  <si>
    <t># of spring catchments rehabilitated</t>
  </si>
  <si>
    <t>NT23</t>
  </si>
  <si>
    <t>% of children 6-59 months of age with vitamin A deficiency (serum retinol values &lt;0.70µmol/l)
Alternate indicator:  % of children 24-71 months of age with night blindness</t>
  </si>
  <si>
    <t>B030107</t>
  </si>
  <si>
    <t>a20116</t>
  </si>
  <si>
    <t xml:space="preserve"># of rainwater catchment tanks installed/distributed </t>
  </si>
  <si>
    <t>NT24</t>
  </si>
  <si>
    <t>% of children 6-59 months of age with anemia (Hb&lt;11g/dl)</t>
  </si>
  <si>
    <t>B030108</t>
  </si>
  <si>
    <t>a20111</t>
  </si>
  <si>
    <t># of pipe network extensions constructed to (communities, schools, camps, clinics, market, households, etc.)</t>
  </si>
  <si>
    <t>NT25</t>
  </si>
  <si>
    <t>Median urinary iodine concentration in children 0-59 months years of age (µg/l)</t>
  </si>
  <si>
    <t>B030109</t>
  </si>
  <si>
    <t>a20112</t>
  </si>
  <si>
    <t># of water yards/ tap stands constructed from new or existing water points</t>
  </si>
  <si>
    <t>NT26</t>
  </si>
  <si>
    <t>% of children 6-59 months of age who received a vitamin A supplement in the previous 6 months</t>
  </si>
  <si>
    <t>B030110</t>
  </si>
  <si>
    <t>a20114</t>
  </si>
  <si>
    <t># of other water points constructed (please specify type)</t>
  </si>
  <si>
    <t>NT27</t>
  </si>
  <si>
    <t>% of children 6-23 months of age receiving iron supplements or micronutrient powders yesterday</t>
  </si>
  <si>
    <t>B030111</t>
  </si>
  <si>
    <t xml:space="preserve"># of other water points/ water systems repaired/ rehabilitated (please specify type) </t>
  </si>
  <si>
    <t>NT28</t>
  </si>
  <si>
    <t xml:space="preserve">% of households consuming adequately iodized salt (20-40 ppm)   </t>
  </si>
  <si>
    <t xml:space="preserve"># of people with access to water from constructed/installed/rehabilitated water supply points </t>
  </si>
  <si>
    <t>NT29</t>
  </si>
  <si>
    <t>% of children 12-59 months of age who received deworming medication in the previous 6 months</t>
  </si>
  <si>
    <t># of people with access to water from boreholes installed</t>
  </si>
  <si>
    <t>NT30</t>
  </si>
  <si>
    <t>% death rate in Stabilization Center</t>
  </si>
  <si>
    <t>P030202</t>
  </si>
  <si>
    <t># of people with access to water from boreholes rehabilitated</t>
  </si>
  <si>
    <t>NT31</t>
  </si>
  <si>
    <t>% recovery rate in Stabilization Center</t>
  </si>
  <si>
    <t>P030203</t>
  </si>
  <si>
    <t># of people with access to water from shallow/hand dug wells installed</t>
  </si>
  <si>
    <t>NT32</t>
  </si>
  <si>
    <t>% default rate in Stabilization Center</t>
  </si>
  <si>
    <t># of people with access to water from shallow/hand dug wells rehabilitated</t>
  </si>
  <si>
    <t>NT33</t>
  </si>
  <si>
    <t>% coverage of Stabilization Center</t>
  </si>
  <si>
    <t>P030205</t>
  </si>
  <si>
    <t># of people with access to water from springs capped</t>
  </si>
  <si>
    <t>NT34</t>
  </si>
  <si>
    <t>% death rate in Outpatient Therapeutic Program</t>
  </si>
  <si>
    <t>P030206</t>
  </si>
  <si>
    <t># of people with access to water from spring catchments rehabilitated</t>
  </si>
  <si>
    <t>NT35</t>
  </si>
  <si>
    <t>% recovery rate in Outpatient Therapeutic Program</t>
  </si>
  <si>
    <t>P030207</t>
  </si>
  <si>
    <t xml:space="preserve"># of people with access to water from rainwater catchment tanks installed/distributed </t>
  </si>
  <si>
    <t>NT36</t>
  </si>
  <si>
    <t>% default rate in Outpatient Therapeutic Program</t>
  </si>
  <si>
    <t># of people with access to water from pipe network extensions constructed (to communities, schools, camps, clinics, market, households, etc.)</t>
  </si>
  <si>
    <t>NT37</t>
  </si>
  <si>
    <t>% coverage of Outpatient Therapeutic Program</t>
  </si>
  <si>
    <t>P030209</t>
  </si>
  <si>
    <t># of people with access to water from water yards/tap stands constructed from new or existing water points</t>
  </si>
  <si>
    <t>NT38</t>
  </si>
  <si>
    <t>% death rate in Supplementary Feeding Program</t>
  </si>
  <si>
    <t>P030210</t>
  </si>
  <si>
    <t># of people with access to water from other water points constructed (please specify type)</t>
  </si>
  <si>
    <t>NT39</t>
  </si>
  <si>
    <t>% recovery rate in Supplementary Feeding Program</t>
  </si>
  <si>
    <t>P030211</t>
  </si>
  <si>
    <t xml:space="preserve"># of of people with access to water from other water points/water systems repaired/rehabilitated (please specify type) </t>
  </si>
  <si>
    <t>NT40</t>
  </si>
  <si>
    <t>% default rate in Supplementary Feeding Program</t>
  </si>
  <si>
    <t>B030300</t>
  </si>
  <si>
    <t>a20200</t>
  </si>
  <si>
    <t xml:space="preserve"># of water treatment technologies installed/distributed  </t>
  </si>
  <si>
    <t>NT41</t>
  </si>
  <si>
    <t>% coverage of Supplementary Feeding Program</t>
  </si>
  <si>
    <t>B030301</t>
  </si>
  <si>
    <t>a20201</t>
  </si>
  <si>
    <t># of household biosand filters (BSFs) installed</t>
  </si>
  <si>
    <t>NT42</t>
  </si>
  <si>
    <t>Number of Ministry of Health staff who received passing scores on post-test following the nutrition training</t>
  </si>
  <si>
    <t>B030302</t>
  </si>
  <si>
    <t>a20204</t>
  </si>
  <si>
    <t># of other household point-of-use filters installed or distributed (not BSF or Sawyer - please specify)</t>
  </si>
  <si>
    <t>FA02</t>
  </si>
  <si>
    <t>% of households with moderate to severe hunger (Household Hunger Scale)</t>
  </si>
  <si>
    <t>B030303</t>
  </si>
  <si>
    <t>a20206</t>
  </si>
  <si>
    <t># of hollow fiber membrane filters installed or distributed</t>
  </si>
  <si>
    <t>FA03</t>
  </si>
  <si>
    <t>% of households with moderate to severe food insecurity (HFIAS)</t>
  </si>
  <si>
    <t>B030304</t>
  </si>
  <si>
    <t>a20207</t>
  </si>
  <si>
    <t># of institutional/communal water filtration technologies installed  (please specify)</t>
  </si>
  <si>
    <t>FA04</t>
  </si>
  <si>
    <t>Average coping strategies index score  (rCSI = Reduced Coping Strategies Index)</t>
  </si>
  <si>
    <t>P030400</t>
  </si>
  <si>
    <t xml:space="preserve"># of people with access to potable water from installed/distributed water treatment technologies </t>
  </si>
  <si>
    <t>Average Household Dietary Diversity Score</t>
  </si>
  <si>
    <t>P030401</t>
  </si>
  <si>
    <t># of people with access to water from household biosand filters (BSFs) installed</t>
  </si>
  <si>
    <t>P030402</t>
  </si>
  <si>
    <t># of people with access to water from other household point-of-use filters installed or distributed (not BSF or Sawyer - please specify)</t>
  </si>
  <si>
    <t>FA07</t>
  </si>
  <si>
    <t>Average Household Dietary Diversity-Women Score</t>
  </si>
  <si>
    <t>P030403</t>
  </si>
  <si>
    <t># of people with access to water from hollow fiber membrane filters installed or distributed</t>
  </si>
  <si>
    <t>HL01</t>
  </si>
  <si>
    <t xml:space="preserve">Health System Performance regarding Immunization services: % of children aged 12-23m who have been fully immunized according to country immunization requirements. Best verified by vaccination card. </t>
  </si>
  <si>
    <t>P030404</t>
  </si>
  <si>
    <t># of people with access to water from other institutional/communal water filtration technologies installed (please specify)</t>
  </si>
  <si>
    <t xml:space="preserve">Individual </t>
  </si>
  <si>
    <t>HL02</t>
  </si>
  <si>
    <t xml:space="preserve">Maternal and TT Vaccination: Percentage of mothers with children aged 0-23m who received at least two Tetanus toxoid immunizations before the birth of their youngest child </t>
  </si>
  <si>
    <t>B030500</t>
  </si>
  <si>
    <t>a20300</t>
  </si>
  <si>
    <t># of latrines constructed/installed/rehabilitated</t>
  </si>
  <si>
    <t>HL03</t>
  </si>
  <si>
    <t xml:space="preserve">Measles vaccination: % of children 12-23 months who have received their measles vaccination: card verified </t>
  </si>
  <si>
    <t>B030501</t>
  </si>
  <si>
    <t>a20301</t>
  </si>
  <si>
    <t># of household latrines (including pour flush latrines) constructed (count by stance)</t>
  </si>
  <si>
    <t>HL04</t>
  </si>
  <si>
    <t>Deworming: % of children aged 6-23 months given de-worming medication in the previous 6 months</t>
  </si>
  <si>
    <t>B030502</t>
  </si>
  <si>
    <t>a20302</t>
  </si>
  <si>
    <t># of institutional/communal latrines constructed (count by stance)</t>
  </si>
  <si>
    <t>HL05</t>
  </si>
  <si>
    <t xml:space="preserve">Deworming: % of children 24 - 59 months of age  given de-worming medication in the previous 6 months  </t>
  </si>
  <si>
    <t>B030503</t>
  </si>
  <si>
    <t># of household latrines (including pour flush latrines) rehabilitated (count by stance)</t>
  </si>
  <si>
    <t>HL06</t>
  </si>
  <si>
    <t>Zinc supplementation use: % of children 6-23 months with diarrhea in the last two weeks who were treated with Zinc supplements</t>
  </si>
  <si>
    <t>B030504</t>
  </si>
  <si>
    <t># of institutional/communal latrines rehabilitated (count by stance)</t>
  </si>
  <si>
    <t>HL07</t>
  </si>
  <si>
    <t>Zinc supplementation use: % of children 24 – 59 months with diarrhea in the last two weeks who were treated with Zinc supplements (after age 5, Zinc is not recommended)</t>
  </si>
  <si>
    <t>HL33</t>
  </si>
  <si>
    <t>Oral Rehydration use:  %of children 0-23 months with diarrhea in the last two weeks who were treated with ORS.</t>
  </si>
  <si>
    <t xml:space="preserve"># of  people with access to  institutional/communal latrines constructed </t>
  </si>
  <si>
    <t>HL34</t>
  </si>
  <si>
    <t>Oral Rehydration use:  %of children 24-59 months with diarrhea in the last two weeks who were treated with ORS.</t>
  </si>
  <si>
    <t>P030603</t>
  </si>
  <si>
    <t># of people with access to household latrines (including pour flush latrines) rehabilitated</t>
  </si>
  <si>
    <t>HL35</t>
  </si>
  <si>
    <t>Care Seeking for Diarrheal disease:  % of children 0-59 months experiencing an episode of diarrhea in the preceding two weeks who were taken to an appropriate health care provider</t>
  </si>
  <si>
    <t>P030604</t>
  </si>
  <si>
    <t># of people with access to institutional/communal latrines rehabilitated</t>
  </si>
  <si>
    <t>HL09</t>
  </si>
  <si>
    <t>Care Seeking for Pneumonia: % of children 0-23 months with cough or fast/difficult breathing in the last two weeks who were taken to an appropriate health provider</t>
  </si>
  <si>
    <t>HL10</t>
  </si>
  <si>
    <t>Care Seeking for Pneumonia: % of children 24 – 59 months with cough or fast/difficult breathing in the last two weeks who were taken to an appropriate health provider</t>
  </si>
  <si>
    <t>P030701</t>
  </si>
  <si>
    <t>a20407</t>
  </si>
  <si>
    <t># of people trained as water user committee (or equivalent) members</t>
  </si>
  <si>
    <t>HL11</t>
  </si>
  <si>
    <t>Care Seeking for Pneumonia: % of people, age 5 years and older, with cough or fast/difficult breathing in the last two weeks who were taken to an appropriate health provider</t>
  </si>
  <si>
    <t>HL12</t>
  </si>
  <si>
    <t>Treatment of Pneumonia: % of children 0-23 months with confirmed pneumonia that completed a course of country-approved antibiotics</t>
  </si>
  <si>
    <t># of people educated on hygiene/ sanitation by SP-trained trainers or hygiene committees</t>
  </si>
  <si>
    <t>HL13</t>
  </si>
  <si>
    <t>Treatment of Pneumonia: % of children 24 – 59 months with confirmed pneumonia that complete a course of country-approved antibiotics</t>
  </si>
  <si>
    <t>P030704</t>
  </si>
  <si>
    <t>a20505</t>
  </si>
  <si>
    <t># of people trained on water point repair and/or  maintenance</t>
  </si>
  <si>
    <t>HL14</t>
  </si>
  <si>
    <t xml:space="preserve">Treatment of Pneumonia: % of people, age 5 years and older, with confirmed pneumonia that complete a course of country-approved antibiotics </t>
  </si>
  <si>
    <t>P030705</t>
  </si>
  <si>
    <t>a20406</t>
  </si>
  <si>
    <t># of people trained in school hygiene/sanitation club</t>
  </si>
  <si>
    <t>HL15</t>
  </si>
  <si>
    <t>ITN use:  % of children 0-23 months who slept under an Insecticide Treated Net (ITN) the previous night</t>
  </si>
  <si>
    <t>P030706</t>
  </si>
  <si>
    <t>a20404</t>
  </si>
  <si>
    <t># of people trained on menstrual hygiene (school, community, clinic or camp)</t>
  </si>
  <si>
    <t>HL16</t>
  </si>
  <si>
    <t>ITN use:  % of children 24 – 59 months who slept under an Insecticide Treated Net (ITN) the previous night</t>
  </si>
  <si>
    <t>B030800</t>
  </si>
  <si>
    <t>a70400</t>
  </si>
  <si>
    <t># of WASH Non-Food Items (NFIs) distributed</t>
  </si>
  <si>
    <t>HL17</t>
  </si>
  <si>
    <t>ITN use: % of people, age 5 years and older, who slept under an Insecticide Treated Net (ITN) the previous night</t>
  </si>
  <si>
    <t>B030801</t>
  </si>
  <si>
    <t>a70402</t>
  </si>
  <si>
    <t># of jerry cans distributed (specify size)</t>
  </si>
  <si>
    <t>HL18</t>
  </si>
  <si>
    <t>Treatment of Fever in Malarial Zones : % of children 0-23 months with malaria confirmed via RDT (rapid diagnostic test) or lab analysis who were treated with an effective anti-malarial drug within 24 hrs. of diagnosis</t>
  </si>
  <si>
    <t>B030802</t>
  </si>
  <si>
    <t>a70403</t>
  </si>
  <si>
    <t># of buckets distributed (specify size)</t>
  </si>
  <si>
    <t>HL36</t>
  </si>
  <si>
    <t>Antimalarial treatment: % of children under 5 years old with fever in the previous two weeks for whom advice or treatment was sought</t>
  </si>
  <si>
    <t>B030803</t>
  </si>
  <si>
    <t>a70405</t>
  </si>
  <si>
    <t># of insecticide treated nets (ITNs) distributed (specify size)</t>
  </si>
  <si>
    <t>HL37</t>
  </si>
  <si>
    <t>Antimalarial treatment: % receiving first line antimalarial treatment among those children with fever in the last two weeks</t>
  </si>
  <si>
    <t>B030804</t>
  </si>
  <si>
    <t>a70600</t>
  </si>
  <si>
    <t xml:space="preserve"># of hygiene kits distributed </t>
  </si>
  <si>
    <t>HL19</t>
  </si>
  <si>
    <t xml:space="preserve">Rates of malaria: % of children 0-59 months experiencing an episode of malaria in the preceding two weeks </t>
  </si>
  <si>
    <t>P030900</t>
  </si>
  <si>
    <t># of people provided with  WASH Non-Food Items (NFI)</t>
  </si>
  <si>
    <t>HL20</t>
  </si>
  <si>
    <t xml:space="preserve">Sick Child: % of caregivers of children 0-23 months who can state at least two danger signs of childhood illness that indicate the need for treatment </t>
  </si>
  <si>
    <t>P030901</t>
  </si>
  <si>
    <t># of people provided with jerry cans (specify size)</t>
  </si>
  <si>
    <t>HL38</t>
  </si>
  <si>
    <t>Thermal/newborn care: % of newborns who received positive care practices</t>
  </si>
  <si>
    <t>P030902</t>
  </si>
  <si>
    <t># of people provided with buckets (specify size)</t>
  </si>
  <si>
    <t>HL21</t>
  </si>
  <si>
    <t>Antenatal Care: % of mothers of children 0-23 months who had eight or more antenatal visits during their last pregnancy</t>
  </si>
  <si>
    <t>P030903</t>
  </si>
  <si>
    <t># of people provided with insecticide treated nets (ITNs) (specify size)</t>
  </si>
  <si>
    <t>HL22</t>
  </si>
  <si>
    <t>Skilled Birth Attendant: % of children 0-23 months whose births were attended by a skilled health personnel</t>
  </si>
  <si>
    <t>P030904</t>
  </si>
  <si>
    <t># of people provided with hygiene kits</t>
  </si>
  <si>
    <t>HL23</t>
  </si>
  <si>
    <t xml:space="preserve">Post-natal visit to check on newborn within the first 2 days after birth: % of mothers with children aged 0-23m who received a post-natal visit from a CHW trained in antenatal, postnatal and perinatal care within two days of the birth of their youngest child </t>
  </si>
  <si>
    <t>B030001</t>
  </si>
  <si>
    <t>a20601</t>
  </si>
  <si>
    <t># of liters of water delivered (trucked, bladder/tap stand, filtration system, etc.-specify duration)</t>
  </si>
  <si>
    <t>HL24</t>
  </si>
  <si>
    <t>ITN use during pregnancy: % of pregnant women who slept under an ITN the previous night</t>
  </si>
  <si>
    <t>P030002</t>
  </si>
  <si>
    <t>P030003</t>
  </si>
  <si>
    <t>P030004</t>
  </si>
  <si>
    <t># of people with access to water delivered by SP</t>
  </si>
  <si>
    <t>HL25</t>
  </si>
  <si>
    <t>Child Spacing: % of children 0-23 months who were born at least 24 months after the delivery of mother's most previous child</t>
  </si>
  <si>
    <t>B030003</t>
  </si>
  <si>
    <t>a20604</t>
  </si>
  <si>
    <t># of chlorination products distributed (please specify)</t>
  </si>
  <si>
    <t>HL26</t>
  </si>
  <si>
    <t xml:space="preserve">Access to health services: % of HHs that have access to CHWs that have been trained in C/HH or clinical IMCI or iCCM. </t>
  </si>
  <si>
    <t>B030004</t>
  </si>
  <si>
    <t>a20414</t>
  </si>
  <si>
    <t># of community-led total sanitation (CLTS) triggering meetings conducted</t>
  </si>
  <si>
    <t>HL27</t>
  </si>
  <si>
    <t>Access to health services: % of pregnant women with access to transportation to the nearest health facility that provides emergency obstetric care</t>
  </si>
  <si>
    <t>B030005</t>
  </si>
  <si>
    <t>a20412</t>
  </si>
  <si>
    <t># of mass outreaches conducted (please specify)</t>
  </si>
  <si>
    <t>HL39</t>
  </si>
  <si>
    <t>Access to health services: % of target population with access to  the nearest health facility that provides medical care for non-communicable disease &amp;/or chronic condition.</t>
  </si>
  <si>
    <t>B030006</t>
  </si>
  <si>
    <t>a20413</t>
  </si>
  <si>
    <t># of mass messaging materials distributed/displayed</t>
  </si>
  <si>
    <t>HL28</t>
  </si>
  <si>
    <t>Identification of Tuberculosis:  % of people who can identify at least 3 danger signs which may indicate Tuberculosis</t>
  </si>
  <si>
    <t>B030007</t>
  </si>
  <si>
    <t>a20702</t>
  </si>
  <si>
    <t># of hand washing stations constructed (count by tap)</t>
  </si>
  <si>
    <t>HL29</t>
  </si>
  <si>
    <t>Treatment of Tuberculosis: % of people who complete recommended treatment for Tuberculosis</t>
  </si>
  <si>
    <t>P030008</t>
  </si>
  <si>
    <t># of people with access to handwashing stations constructed</t>
  </si>
  <si>
    <t>HL30</t>
  </si>
  <si>
    <t>Sensitization: % of people who can identify at least three behaviors to reduce risk of exposure to HIV</t>
  </si>
  <si>
    <t>B030009</t>
  </si>
  <si>
    <t>a20703</t>
  </si>
  <si>
    <t># of bath houses/ bathing shelters constructed</t>
  </si>
  <si>
    <t>HL31</t>
  </si>
  <si>
    <t>Voluntary Counseling and Testing: % of people who are referred for Voluntary Counseling and Testing for HIV</t>
  </si>
  <si>
    <t>P030010</t>
  </si>
  <si>
    <t># of people with access to bathing shelters constructed</t>
  </si>
  <si>
    <t>HL32</t>
  </si>
  <si>
    <t>Referral for Treatment: % of people with HIV referred for Antiretroviral Therapy</t>
  </si>
  <si>
    <r>
      <t xml:space="preserve"># of beneficiaries of acute malnutrition </t>
    </r>
    <r>
      <rPr>
        <b/>
        <sz val="11"/>
        <color rgb="FF0000FF"/>
        <rFont val="Calibri"/>
        <family val="2"/>
        <scheme val="minor"/>
      </rPr>
      <t>services</t>
    </r>
  </si>
  <si>
    <t>HL40</t>
  </si>
  <si>
    <t>Knowledge of danger signs: % of women who know at least 3 key danger signs during pregnancy, labor &amp; delivery, &amp; postpartum. Please specify pregnancy, labor &amp; delivery or postpartum.</t>
  </si>
  <si>
    <t>P040101</t>
  </si>
  <si>
    <t>a30101</t>
  </si>
  <si>
    <r>
      <t># of children with severe acute malnutrition (SAM) with complications that were</t>
    </r>
    <r>
      <rPr>
        <b/>
        <sz val="11"/>
        <color theme="1"/>
        <rFont val="Calibri"/>
        <family val="2"/>
        <scheme val="minor"/>
      </rPr>
      <t xml:space="preserve"> new</t>
    </r>
    <r>
      <rPr>
        <sz val="11"/>
        <color theme="1"/>
        <rFont val="Calibri"/>
        <family val="2"/>
        <scheme val="minor"/>
      </rPr>
      <t xml:space="preserve"> admissions to the inpatient treatment facility (ex. stabilization center--SC) </t>
    </r>
  </si>
  <si>
    <t>HL41</t>
  </si>
  <si>
    <t>Knowledge of key danger signs: % of women who know at least 3 key danger signs in the newborn</t>
  </si>
  <si>
    <t>P040102</t>
  </si>
  <si>
    <t>a30102</t>
  </si>
  <si>
    <r>
      <t xml:space="preserve"># of children with severe acute malnutrition (SAM) that were </t>
    </r>
    <r>
      <rPr>
        <b/>
        <sz val="11"/>
        <color theme="1"/>
        <rFont val="Calibri"/>
        <family val="2"/>
        <scheme val="minor"/>
      </rPr>
      <t xml:space="preserve">new </t>
    </r>
    <r>
      <rPr>
        <sz val="11"/>
        <color theme="1"/>
        <rFont val="Calibri"/>
        <family val="2"/>
        <scheme val="minor"/>
      </rPr>
      <t xml:space="preserve">admissions to the outpatient treatment program (ex. outpatient therapeutic program--OTP) </t>
    </r>
  </si>
  <si>
    <t>HL42</t>
  </si>
  <si>
    <t>Service use: % of women who gave birth with a skilled birth attendant</t>
  </si>
  <si>
    <r>
      <t xml:space="preserve"># of children with moderate acute malnutrition (MAM) that were </t>
    </r>
    <r>
      <rPr>
        <b/>
        <sz val="11"/>
        <color theme="1"/>
        <rFont val="Calibri"/>
        <family val="2"/>
        <scheme val="minor"/>
      </rPr>
      <t xml:space="preserve">new </t>
    </r>
    <r>
      <rPr>
        <sz val="11"/>
        <color theme="1"/>
        <rFont val="Calibri"/>
        <family val="2"/>
        <scheme val="minor"/>
      </rPr>
      <t>admissions to the targeted supplementary feeding program (TSFP)</t>
    </r>
  </si>
  <si>
    <t>HL43</t>
  </si>
  <si>
    <t>Service use &amp; planning actions: Intentions &amp; behaviors: % of women who had or have a plan for Basic Emergency Obstetric and Newborn Care (BEmONC) which contains at least three components</t>
  </si>
  <si>
    <t>P040104</t>
  </si>
  <si>
    <t>a30104</t>
  </si>
  <si>
    <r>
      <t xml:space="preserve"># of PLWs with moderate acute malnutrition (MAM) that were </t>
    </r>
    <r>
      <rPr>
        <b/>
        <sz val="11"/>
        <color theme="1"/>
        <rFont val="Calibri"/>
        <family val="2"/>
        <scheme val="minor"/>
      </rPr>
      <t xml:space="preserve">new </t>
    </r>
    <r>
      <rPr>
        <sz val="11"/>
        <color theme="1"/>
        <rFont val="Calibri"/>
        <family val="2"/>
        <scheme val="minor"/>
      </rPr>
      <t>admissions to the targeted supplementary feeding program (TSFP)</t>
    </r>
  </si>
  <si>
    <t>HL44</t>
  </si>
  <si>
    <t>Access to Emergency obstetric care Number of women who effectively reached a health facility for emergency obstetric care.</t>
  </si>
  <si>
    <t>HL45</t>
  </si>
  <si>
    <t xml:space="preserve">Post-natal visit to check on mother within the first 2 days after birth: % of mothers with children aged 0-11.99 m who received a post-natal visit from a CHW trained in antenatal, postnatal and perinatal care within two days of the birth of their youngest child </t>
  </si>
  <si>
    <t>P040106</t>
  </si>
  <si>
    <t>a30106</t>
  </si>
  <si>
    <t># of pregnant and lactating women (PLW) that received blanket supplementary feeding (BSF) to prevent acute malnutrition</t>
  </si>
  <si>
    <t>HL46</t>
  </si>
  <si>
    <t xml:space="preserve">% of [select: women aged 15-19 / 15-24 / 15-49; husbands] who can state two benefits of waiting at least two years after the last live birth before attempting the next pregnancy </t>
  </si>
  <si>
    <t>P040107</t>
  </si>
  <si>
    <t>a30601</t>
  </si>
  <si>
    <t># of children screened for malnutrition</t>
  </si>
  <si>
    <t>HL47</t>
  </si>
  <si>
    <t>% of mothers with children aged 0-23 months using (or whose partner uses) a modern contraceptive method</t>
  </si>
  <si>
    <t>P040108</t>
  </si>
  <si>
    <t># of PLWs screened for malnutrition</t>
  </si>
  <si>
    <t>MN01</t>
  </si>
  <si>
    <t>% of people who heard the gospel who can articulate the four essential components of Salvation (i.e.. God’s love; ii. Our sin/ separation from God; iii. Jesus’ death &amp; resurrection; iv. Repentance &amp; faith)</t>
  </si>
  <si>
    <t>P040109</t>
  </si>
  <si>
    <t>a30609</t>
  </si>
  <si>
    <t># of infants 0-12 months screened for breastfeeding support</t>
  </si>
  <si>
    <t>MN02</t>
  </si>
  <si>
    <t>% of beneficiaries who begin attending a local church</t>
  </si>
  <si>
    <t>P040110</t>
  </si>
  <si>
    <t># of people provided with cash intended to achieve nutritional outcomes</t>
  </si>
  <si>
    <t>MN03</t>
  </si>
  <si>
    <t>% of beneficiaries who receive a Bible who are reading it on a regular basis</t>
  </si>
  <si>
    <t>P040111</t>
  </si>
  <si>
    <t># of people provided with vouchers intended to achieve nutritional outcomes</t>
  </si>
  <si>
    <t>MN04</t>
  </si>
  <si>
    <t xml:space="preserve"> % of people who made a profession of faith who begin attending a local church</t>
  </si>
  <si>
    <t>P040112</t>
  </si>
  <si>
    <t># of people provided with specialized nutritious foods</t>
  </si>
  <si>
    <t>MN06</t>
  </si>
  <si>
    <t>% of the population who have a positive view of the local church.</t>
  </si>
  <si>
    <t>MN07</t>
  </si>
  <si>
    <t>Average church attendance</t>
  </si>
  <si>
    <t>MN08</t>
  </si>
  <si>
    <t># of churches active in practical service to their community</t>
  </si>
  <si>
    <t>P040202</t>
  </si>
  <si>
    <t>a30208</t>
  </si>
  <si>
    <t xml:space="preserve"># of husbands and/or male church leaders educated on nutrition </t>
  </si>
  <si>
    <t>MN09</t>
  </si>
  <si>
    <t># of churches active in evangelism in their community</t>
  </si>
  <si>
    <t>P040203</t>
  </si>
  <si>
    <t>a30209</t>
  </si>
  <si>
    <t># of people trained on maternal nutrition</t>
  </si>
  <si>
    <t>MN10</t>
  </si>
  <si>
    <t># of church leaders assuming positions of influence in the community</t>
  </si>
  <si>
    <t>MN11</t>
  </si>
  <si>
    <t>% of beneficiaries who understand X number of foundational biblical values</t>
  </si>
  <si>
    <t>P040205</t>
  </si>
  <si>
    <t>a30211</t>
  </si>
  <si>
    <t xml:space="preserve"># of people trained on micronutrient supplementation </t>
  </si>
  <si>
    <t>MN12</t>
  </si>
  <si>
    <t>Prevalence of specific harmful local practices (e.g. % of women reporting domestic violence, etc.)</t>
  </si>
  <si>
    <t>P040206</t>
  </si>
  <si>
    <t>a30212</t>
  </si>
  <si>
    <t># of people trained on deworming</t>
  </si>
  <si>
    <t>MN14</t>
  </si>
  <si>
    <t>% of beneficiaries who hold a biblical worldview</t>
  </si>
  <si>
    <t>P040207</t>
  </si>
  <si>
    <t>a30604</t>
  </si>
  <si>
    <t># of children who received growth monitoring and promotion services</t>
  </si>
  <si>
    <t>MN13</t>
  </si>
  <si>
    <t>% of staff who can share the Gospel effectively</t>
  </si>
  <si>
    <t>P040208</t>
  </si>
  <si>
    <t>a30606</t>
  </si>
  <si>
    <t># of people who participated in Positive Deviance/Hearth program</t>
  </si>
  <si>
    <t>SH01</t>
  </si>
  <si>
    <t>% of self-constructed/rehabilitated shelters incorporating hazard mitigation measures</t>
  </si>
  <si>
    <t>SH02</t>
  </si>
  <si>
    <t>% of shelters reconstructed that meet adequate shelter standards</t>
  </si>
  <si>
    <t>B040300</t>
  </si>
  <si>
    <t>a30300</t>
  </si>
  <si>
    <t xml:space="preserve"># of IYCF groups (including Mother-to-Mother Support Groups or Care Groups) trained on nutrition </t>
  </si>
  <si>
    <t>PR01</t>
  </si>
  <si>
    <t>% decrease in the number of sexual and gender based violence or female genital cutting in the targeted area</t>
  </si>
  <si>
    <t>B040301</t>
  </si>
  <si>
    <t>a30302</t>
  </si>
  <si>
    <t># of Mother-to-Mother Support Groups that received training and/or follow-up</t>
  </si>
  <si>
    <t>PR02</t>
  </si>
  <si>
    <t>% of women who strongly agree the church is a resource when faced with difficulties of SGBV or FGC</t>
  </si>
  <si>
    <t>P040400</t>
  </si>
  <si>
    <t>a30400</t>
  </si>
  <si>
    <t># of health professionals and community volunteers trained on nutrition</t>
  </si>
  <si>
    <t>PR03</t>
  </si>
  <si>
    <t>% of trainees on protection issues who are offering SGBV or FGC support in their communities</t>
  </si>
  <si>
    <t>P040401</t>
  </si>
  <si>
    <t>a30401</t>
  </si>
  <si>
    <t># of community volunteers trained on nutrition</t>
  </si>
  <si>
    <t>PR04</t>
  </si>
  <si>
    <t>% of men and women who believe that SGBV or FGC are wrong (normalization of violence challenged) (change in knowledge)</t>
  </si>
  <si>
    <t>P040402</t>
  </si>
  <si>
    <t>a30402</t>
  </si>
  <si>
    <t># of health professionals trained on nutrition</t>
  </si>
  <si>
    <t>PR05</t>
  </si>
  <si>
    <t>% of trainees using a referral system to ensure victims of SGBV or FGC receive support</t>
  </si>
  <si>
    <t>PR06</t>
  </si>
  <si>
    <t>% decrease in the number of trafficked individuals in the targeted area</t>
  </si>
  <si>
    <t>PR07</t>
  </si>
  <si>
    <t>% of vulnerable group members who can identify at least 3 safer migration behaviors</t>
  </si>
  <si>
    <t>P040502</t>
  </si>
  <si>
    <t>a30502</t>
  </si>
  <si>
    <t># of children that received micronutrient powders</t>
  </si>
  <si>
    <t>PR08</t>
  </si>
  <si>
    <t xml:space="preserve">% increase in community members who believe the community can help prevent human trafficking </t>
  </si>
  <si>
    <t>P040503</t>
  </si>
  <si>
    <t>a30503</t>
  </si>
  <si>
    <t># of children that received zinc supplements</t>
  </si>
  <si>
    <t>PR09</t>
  </si>
  <si>
    <t>% of negative perceptions/attitudes towards trafficking victims</t>
  </si>
  <si>
    <t>P040504</t>
  </si>
  <si>
    <t>a30504</t>
  </si>
  <si>
    <t># of pregnant women that received iron/folic acid supplements</t>
  </si>
  <si>
    <t>PR10</t>
  </si>
  <si>
    <t>% of trainees' knowledge regarding safe migration and trafficking</t>
  </si>
  <si>
    <t>P040505</t>
  </si>
  <si>
    <t>a30505</t>
  </si>
  <si>
    <t># of pregnant women that received iodized salt</t>
  </si>
  <si>
    <t>PR11</t>
  </si>
  <si>
    <t>% of survivors reporting access to community support structures</t>
  </si>
  <si>
    <t>P040506</t>
  </si>
  <si>
    <t>a30506</t>
  </si>
  <si>
    <t># of PLW that received micronutrient powders</t>
  </si>
  <si>
    <t>PR12</t>
  </si>
  <si>
    <t xml:space="preserve"> % returnees with access to viable livelihoods</t>
  </si>
  <si>
    <t>P040507</t>
  </si>
  <si>
    <t>a30507</t>
  </si>
  <si>
    <t># of women of reproductive age that received Vitamin A supplements</t>
  </si>
  <si>
    <t>PR13</t>
  </si>
  <si>
    <t>% returnees provided referral information on available services</t>
  </si>
  <si>
    <t>PR14</t>
  </si>
  <si>
    <t>% of identified children who are accessing protection services</t>
  </si>
  <si>
    <t>a30619</t>
  </si>
  <si>
    <t># of cooking demonstrations conducted</t>
  </si>
  <si>
    <t>PR15</t>
  </si>
  <si>
    <t>% of children under 18 that are married</t>
  </si>
  <si>
    <t>B040002</t>
  </si>
  <si>
    <t>a30605</t>
  </si>
  <si>
    <t># of child health/nutrition fairs conducted</t>
  </si>
  <si>
    <t>B040003</t>
  </si>
  <si>
    <t>a30608</t>
  </si>
  <si>
    <t xml:space="preserve"># of baby friendly spaces and/or baby friendly community health facilities established </t>
  </si>
  <si>
    <t>ED01</t>
  </si>
  <si>
    <t>% of primary school aged children enrolled in primary schools</t>
  </si>
  <si>
    <t>B040004</t>
  </si>
  <si>
    <t>a30611</t>
  </si>
  <si>
    <t># of acute malnutrition (SC, OTP, and/ or TSFP) facilities(y) supervised</t>
  </si>
  <si>
    <t>ED02</t>
  </si>
  <si>
    <t>% of children enrolled in secondary schools</t>
  </si>
  <si>
    <t>P040005</t>
  </si>
  <si>
    <t xml:space="preserve">Number of children under five (0-59 months) reached with nutrition-specific interventions </t>
  </si>
  <si>
    <t>ED03</t>
  </si>
  <si>
    <t>Ratio of girls enrolled in school</t>
  </si>
  <si>
    <t>P040006</t>
  </si>
  <si>
    <t xml:space="preserve">Number of pregnant women reached with nutrition-specific interventions </t>
  </si>
  <si>
    <t>ED04</t>
  </si>
  <si>
    <t>% of children who live within 1 kilometer to a school</t>
  </si>
  <si>
    <t>B050100</t>
  </si>
  <si>
    <t>a40200</t>
  </si>
  <si>
    <t># of metric tons of food commodities distributed</t>
  </si>
  <si>
    <t>ED05</t>
  </si>
  <si>
    <t>% of adult population that are literate</t>
  </si>
  <si>
    <t>B050101</t>
  </si>
  <si>
    <t>a40201</t>
  </si>
  <si>
    <t># of metric tons of general rations distributed</t>
  </si>
  <si>
    <t>ED06</t>
  </si>
  <si>
    <t>% of students by the end of Grade 2 can read and understand a simple sentence</t>
  </si>
  <si>
    <t>B050102</t>
  </si>
  <si>
    <t>a40206</t>
  </si>
  <si>
    <t># of metric tons of nutritional commodity distributed</t>
  </si>
  <si>
    <t>ED07</t>
  </si>
  <si>
    <t>% of teachers who receive professional development training</t>
  </si>
  <si>
    <t>B050103</t>
  </si>
  <si>
    <t>a40203</t>
  </si>
  <si>
    <t># of metric tons of FFW/FFA food distributed</t>
  </si>
  <si>
    <t>ED08</t>
  </si>
  <si>
    <t>% of classrooms stocked with grade appropriate curriculum/textbooks for the current school year</t>
  </si>
  <si>
    <t>B050104</t>
  </si>
  <si>
    <t>a40204</t>
  </si>
  <si>
    <t># of metric tons of FFT food distributed</t>
  </si>
  <si>
    <t>ED09</t>
  </si>
  <si>
    <t>% of classrooms equipped with desks/benches and chairs for each student</t>
  </si>
  <si>
    <t>B050105</t>
  </si>
  <si>
    <t>a40205</t>
  </si>
  <si>
    <t># of metric tons of school feeding food distributed</t>
  </si>
  <si>
    <t>ED10</t>
  </si>
  <si>
    <t>% of students that feel their school is a safe place to learn</t>
  </si>
  <si>
    <t>B050106</t>
  </si>
  <si>
    <t># of metric tons of ready-to-eat rations (RTE)</t>
  </si>
  <si>
    <t>ED11</t>
  </si>
  <si>
    <t>% of parents that believe it is important for their children to attend school</t>
  </si>
  <si>
    <t>P050200</t>
  </si>
  <si>
    <t xml:space="preserve"># of people provided with food commodities </t>
  </si>
  <si>
    <t>ED12</t>
  </si>
  <si>
    <t>% of schools with trained and functioning PTAs</t>
  </si>
  <si>
    <t>P050201</t>
  </si>
  <si>
    <t># of people provided with general rations</t>
  </si>
  <si>
    <t>ED13</t>
  </si>
  <si>
    <t>% of parents who have regular contact with their child's teacher/school</t>
  </si>
  <si>
    <t>ED14</t>
  </si>
  <si>
    <t>% of students completing primary school</t>
  </si>
  <si>
    <t>P050203</t>
  </si>
  <si>
    <r>
      <t># of metric tons of FFW</t>
    </r>
    <r>
      <rPr>
        <sz val="11"/>
        <color theme="1"/>
        <rFont val="Calibri"/>
        <family val="2"/>
        <scheme val="minor"/>
      </rPr>
      <t xml:space="preserve">/ FFA  </t>
    </r>
    <r>
      <rPr>
        <sz val="11"/>
        <color theme="1"/>
        <rFont val="Calibri"/>
        <family val="2"/>
      </rPr>
      <t>food distributed</t>
    </r>
  </si>
  <si>
    <t>ED15</t>
  </si>
  <si>
    <t>% of students graduating from secondary school</t>
  </si>
  <si>
    <t>P050204</t>
  </si>
  <si>
    <t># of people provided with FFT food</t>
  </si>
  <si>
    <t>ED16</t>
  </si>
  <si>
    <t>% of youth aged 15 or older who have received character/life skills training</t>
  </si>
  <si>
    <t>P050205</t>
  </si>
  <si>
    <t># of people provided with school feedings</t>
  </si>
  <si>
    <t>ED17</t>
  </si>
  <si>
    <t>% of youth aged 15 or older who have received vocational training</t>
  </si>
  <si>
    <t>P050206</t>
  </si>
  <si>
    <t># of people provided with ready-to-eat rations  (RTE)</t>
  </si>
  <si>
    <t>CV01</t>
  </si>
  <si>
    <t>Increased Dignity</t>
  </si>
  <si>
    <t>B050001</t>
  </si>
  <si>
    <t># of hot meals served</t>
  </si>
  <si>
    <t>CV02</t>
  </si>
  <si>
    <t>Increased in individual savings/assets</t>
  </si>
  <si>
    <t>P050002</t>
  </si>
  <si>
    <t># of people provided with hot meals</t>
  </si>
  <si>
    <t>P060100</t>
  </si>
  <si>
    <t>a50100</t>
  </si>
  <si>
    <t># of health care staff trained</t>
  </si>
  <si>
    <t>P060101</t>
  </si>
  <si>
    <t>a50101</t>
  </si>
  <si>
    <t># of doctors trained</t>
  </si>
  <si>
    <t>P060102</t>
  </si>
  <si>
    <t>a50102</t>
  </si>
  <si>
    <t># of nurses trained</t>
  </si>
  <si>
    <t>P060103</t>
  </si>
  <si>
    <t>a50103</t>
  </si>
  <si>
    <t># of midwives and/or other birth attendants trained</t>
  </si>
  <si>
    <t>P060104</t>
  </si>
  <si>
    <t>a50104</t>
  </si>
  <si>
    <t># of village/community health workers trained</t>
  </si>
  <si>
    <t>P060105</t>
  </si>
  <si>
    <t>a50105</t>
  </si>
  <si>
    <t># of other personnel trained</t>
  </si>
  <si>
    <t>P060106</t>
  </si>
  <si>
    <t>a50106</t>
  </si>
  <si>
    <t># of leader mothers/support group leaders trained</t>
  </si>
  <si>
    <t>B060200</t>
  </si>
  <si>
    <t># of health facilities supported</t>
  </si>
  <si>
    <t>B060201</t>
  </si>
  <si>
    <t># of health facilities rehabilitated</t>
  </si>
  <si>
    <t>B060202</t>
  </si>
  <si>
    <t xml:space="preserve"># of facilities receiving pharmaceuticals </t>
  </si>
  <si>
    <t>B060203</t>
  </si>
  <si>
    <t xml:space="preserve"> # of facilities receiving supplies</t>
  </si>
  <si>
    <t>B060204</t>
  </si>
  <si>
    <t># of facilities receiving monetary support to staff</t>
  </si>
  <si>
    <t>B060300</t>
  </si>
  <si>
    <t>a50600</t>
  </si>
  <si>
    <t># of outpatient consultations</t>
  </si>
  <si>
    <t>B060301</t>
  </si>
  <si>
    <t xml:space="preserve"># of outpatient antenatal consultations </t>
  </si>
  <si>
    <t>B060302</t>
  </si>
  <si>
    <t># of outpatient newborn consultations within three days of birth</t>
  </si>
  <si>
    <t>B060303</t>
  </si>
  <si>
    <t># of outpatient consultations for treatment of definitive TB diagnosis</t>
  </si>
  <si>
    <t>B060304</t>
  </si>
  <si>
    <t># of outpatient communicable disease consultations</t>
  </si>
  <si>
    <t>B060305</t>
  </si>
  <si>
    <t># of outpatient consultations for delivery provided by skilled health personnel</t>
  </si>
  <si>
    <t>B060306</t>
  </si>
  <si>
    <t># of outpatient consultations for noncommunicable diseases</t>
  </si>
  <si>
    <t>B060307</t>
  </si>
  <si>
    <t># of outpatient consultations for any mental health condition</t>
  </si>
  <si>
    <t>B060308</t>
  </si>
  <si>
    <t># of outpatient consultations for trauma-related injuries</t>
  </si>
  <si>
    <t>B060309</t>
  </si>
  <si>
    <t># of outpatient consultations for non-traumatic medical presentation</t>
  </si>
  <si>
    <t>B060310</t>
  </si>
  <si>
    <t># of outpatient cases of sexual violence treated medically</t>
  </si>
  <si>
    <t>B060311</t>
  </si>
  <si>
    <t># of outpatient consultations for other (specify) diseases/ conditions</t>
  </si>
  <si>
    <t>P060400</t>
  </si>
  <si>
    <t xml:space="preserve"># of people who received outpatient consultations </t>
  </si>
  <si>
    <t>P060401</t>
  </si>
  <si>
    <t xml:space="preserve"># of people provided with outpatient antenatal consultations </t>
  </si>
  <si>
    <t>P060402</t>
  </si>
  <si>
    <t># of people provided with outpatient newborn consultations within three days of birth</t>
  </si>
  <si>
    <t>P060403</t>
  </si>
  <si>
    <t># of people provided with outpatient consultations for treatment of definitive TB diagnosis</t>
  </si>
  <si>
    <t>P060404</t>
  </si>
  <si>
    <t># of people provided with outpatientcommunicable disease consultations</t>
  </si>
  <si>
    <t>P060405</t>
  </si>
  <si>
    <t># of people provided with outpatient consultations for delivery provided by skilled health personnel</t>
  </si>
  <si>
    <t>P060406</t>
  </si>
  <si>
    <t># of people provided with outpatient consultations for noncommunicable diseases</t>
  </si>
  <si>
    <t>P060407</t>
  </si>
  <si>
    <t># of people provided with outpatient consultations for any mental health condition</t>
  </si>
  <si>
    <t>P060408</t>
  </si>
  <si>
    <t># of people provided with outpatient consultations for trauma-related injuries</t>
  </si>
  <si>
    <t>P060409</t>
  </si>
  <si>
    <t># of people provided with outpatient consultations for non-traumatic medical presentation</t>
  </si>
  <si>
    <t>P060410</t>
  </si>
  <si>
    <t># of people provided with outpatient case support for sexual violence that was treated medically</t>
  </si>
  <si>
    <t>P060411</t>
  </si>
  <si>
    <t># of people provided with outpatient consultations for other (specify) diseases/ conditions</t>
  </si>
  <si>
    <t>B060500</t>
  </si>
  <si>
    <t># of community health consultations</t>
  </si>
  <si>
    <t>B060501</t>
  </si>
  <si>
    <t># of consultations of children under five years of age for community-based treatment for common childhood illnesses</t>
  </si>
  <si>
    <t>B060502</t>
  </si>
  <si>
    <t># of community-based newborn consultations within three days of birth</t>
  </si>
  <si>
    <t>B060503</t>
  </si>
  <si>
    <t xml:space="preserve"># of community-based antenatal consultations </t>
  </si>
  <si>
    <t>B060504</t>
  </si>
  <si>
    <t># of community-based consultations for treatment of definitive TB diagnosis</t>
  </si>
  <si>
    <t>B060505</t>
  </si>
  <si>
    <t># of community-based communicable disease consultations</t>
  </si>
  <si>
    <t>B060506</t>
  </si>
  <si>
    <t># of community-based consultations for delivery provided by skilled health personnel</t>
  </si>
  <si>
    <t>B060507</t>
  </si>
  <si>
    <t># of community-based consultations for noncommunicable diseases</t>
  </si>
  <si>
    <t>B060508</t>
  </si>
  <si>
    <t># of community-based consultations for any mental health condition</t>
  </si>
  <si>
    <t>B060509</t>
  </si>
  <si>
    <t># of community-based  consultations for trauma-related injuries</t>
  </si>
  <si>
    <t>B060510</t>
  </si>
  <si>
    <t># of community-based consultations for non-traumatic medical presentation</t>
  </si>
  <si>
    <t>B060511</t>
  </si>
  <si>
    <t># of community-based  cases of sexual violence treated medically</t>
  </si>
  <si>
    <t>B06512</t>
  </si>
  <si>
    <t># of community-based consultations for other (specify) diseases/ conditions</t>
  </si>
  <si>
    <t>P060600</t>
  </si>
  <si>
    <t># of people provided with community health consultations</t>
  </si>
  <si>
    <t>P060601</t>
  </si>
  <si>
    <t># of children under five years of age provided with community-based treatment for common childhood illnesses</t>
  </si>
  <si>
    <t>P060602</t>
  </si>
  <si>
    <t># of people provided with community-based newborn consultations within three days of birth</t>
  </si>
  <si>
    <t>P060603</t>
  </si>
  <si>
    <t xml:space="preserve"># of people provided with community-based antenatal consultations </t>
  </si>
  <si>
    <t>P060604</t>
  </si>
  <si>
    <t># of people provided with community-based consultations for treatment of definitive TB diagnosis</t>
  </si>
  <si>
    <t>P060605</t>
  </si>
  <si>
    <t># of people provided with community-based communicable disease consultations</t>
  </si>
  <si>
    <t>P060606</t>
  </si>
  <si>
    <t># of people provided with community-based consultations for delivery provided by skilled health personnel</t>
  </si>
  <si>
    <t>P060607</t>
  </si>
  <si>
    <t># of people provided with community-based consultations for noncommunicable diseases</t>
  </si>
  <si>
    <t>P060608</t>
  </si>
  <si>
    <t># of people provided with community-based consultations for any mental health condition</t>
  </si>
  <si>
    <t>P060609</t>
  </si>
  <si>
    <t># of people provided with community-based consultations for trauma-related injuries</t>
  </si>
  <si>
    <t>P060610</t>
  </si>
  <si>
    <t># of people provided with community-based consultations for non-traumatic medical presentation</t>
  </si>
  <si>
    <t>P060611</t>
  </si>
  <si>
    <t># of people provided with community-based case support for sexual violence that was treated medically</t>
  </si>
  <si>
    <t>P060612</t>
  </si>
  <si>
    <t># of people provided with community-based consultations for other (specify) diseases/ conditions</t>
  </si>
  <si>
    <t>B060700</t>
  </si>
  <si>
    <t># of individual vaccinations administered</t>
  </si>
  <si>
    <t>P060800</t>
  </si>
  <si>
    <t># of people who received individual vaccinations</t>
  </si>
  <si>
    <t>P060900</t>
  </si>
  <si>
    <t>a50300</t>
  </si>
  <si>
    <t># of lay people trained on health practices/behaviors</t>
  </si>
  <si>
    <t>P060901</t>
  </si>
  <si>
    <t>a50301</t>
  </si>
  <si>
    <t># of lay people trained on recognition of danger signs and prevention of childhood illness</t>
  </si>
  <si>
    <t>P060902</t>
  </si>
  <si>
    <t>a50302</t>
  </si>
  <si>
    <t># of lay people trained on importance of treatment of childhood illness</t>
  </si>
  <si>
    <t>P060903</t>
  </si>
  <si>
    <t>a50303</t>
  </si>
  <si>
    <t># of lay people trained on need for childhood immunizations</t>
  </si>
  <si>
    <t>P060904</t>
  </si>
  <si>
    <t>a50304</t>
  </si>
  <si>
    <t># of lay people trained on HIV</t>
  </si>
  <si>
    <t>P060905</t>
  </si>
  <si>
    <t>a50305</t>
  </si>
  <si>
    <t># of lay people trained on diarrheal diseases</t>
  </si>
  <si>
    <t>P060906</t>
  </si>
  <si>
    <t>a50306</t>
  </si>
  <si>
    <t xml:space="preserve"># of lay people trained on malaria </t>
  </si>
  <si>
    <t>P060907</t>
  </si>
  <si>
    <t>a50307</t>
  </si>
  <si>
    <t># of lay people trained on ARI recognition and need for treatment</t>
  </si>
  <si>
    <t>P060908</t>
  </si>
  <si>
    <t>a50308</t>
  </si>
  <si>
    <t># of lay people benefiting from trainings on maternal health</t>
  </si>
  <si>
    <t>P060909</t>
  </si>
  <si>
    <t>a50309</t>
  </si>
  <si>
    <t># of lay people trained on  birth spacing</t>
  </si>
  <si>
    <t>P060910</t>
  </si>
  <si>
    <t>a50310</t>
  </si>
  <si>
    <t># of lay people benefiting from Care Group module trainings</t>
  </si>
  <si>
    <t>P060911</t>
  </si>
  <si>
    <t>a50311</t>
  </si>
  <si>
    <t># of lay people trained on prevention of non-communicable diseases (NCDs)</t>
  </si>
  <si>
    <t>P060912</t>
  </si>
  <si>
    <t>a50312</t>
  </si>
  <si>
    <t># of lay people trained on other health topics (be specific)</t>
  </si>
  <si>
    <t>P060913</t>
  </si>
  <si>
    <t>a50313</t>
  </si>
  <si>
    <t># of lay people trained on the recognition and prevention of TB</t>
  </si>
  <si>
    <t>P060914</t>
  </si>
  <si>
    <t>a50314</t>
  </si>
  <si>
    <t># of lay people trained on disease specific to an outbreak</t>
  </si>
  <si>
    <t>B061000</t>
  </si>
  <si>
    <t>a50500</t>
  </si>
  <si>
    <t xml:space="preserve"># of inpatient consultations (hospitalizations) </t>
  </si>
  <si>
    <t>B061001</t>
  </si>
  <si>
    <t xml:space="preserve"># of inpatient antenatal consultations </t>
  </si>
  <si>
    <t>B061002</t>
  </si>
  <si>
    <t># of inpatient newborn consultations within three days of birth</t>
  </si>
  <si>
    <t>B061003</t>
  </si>
  <si>
    <t># of inpatient consultations for treatment of definitive TB diagnosis</t>
  </si>
  <si>
    <t>B061004</t>
  </si>
  <si>
    <t># of inpatient communicable disease consultations</t>
  </si>
  <si>
    <t>B061005</t>
  </si>
  <si>
    <t># of inpatient consultations for delivery provided by skilled health personnel</t>
  </si>
  <si>
    <t>B061006</t>
  </si>
  <si>
    <t># of inpatient consultations for noncommunicable diseases</t>
  </si>
  <si>
    <t>B061007</t>
  </si>
  <si>
    <t># of inpatient consultations for any mental health condition</t>
  </si>
  <si>
    <t>B061008</t>
  </si>
  <si>
    <t># of inpatient consultations for trauma-related injuries</t>
  </si>
  <si>
    <t>B061009</t>
  </si>
  <si>
    <t># of inpatient consultations for non-traumatic medical presentation</t>
  </si>
  <si>
    <t>B061010</t>
  </si>
  <si>
    <t># of inpatient cases of sexual violence treated medically</t>
  </si>
  <si>
    <t>B061011</t>
  </si>
  <si>
    <t># of inpatient consultations for other (specify) diseases/ conditions</t>
  </si>
  <si>
    <t>P061100</t>
  </si>
  <si>
    <t># of people provided with inpatient consultations</t>
  </si>
  <si>
    <t>P061101</t>
  </si>
  <si>
    <t xml:space="preserve"># of people provided with inpatient antenatal consultations </t>
  </si>
  <si>
    <t>P061102</t>
  </si>
  <si>
    <t># of people provided with inpatient newborn consultations within three days of birth</t>
  </si>
  <si>
    <t>P061103</t>
  </si>
  <si>
    <t># of people provided with inpatient consultations for treatment of definitive TB diagnosis</t>
  </si>
  <si>
    <t>P061104</t>
  </si>
  <si>
    <t># of people provided with inpatient communicable disease consultations</t>
  </si>
  <si>
    <t>P061105</t>
  </si>
  <si>
    <t># of people provided with inpatient consultations for delivery provided by skilled health personnel</t>
  </si>
  <si>
    <t>P061106</t>
  </si>
  <si>
    <t># of people provided with inpatient consultations for noncommunicable diseases</t>
  </si>
  <si>
    <t>P061107</t>
  </si>
  <si>
    <t># of people provided with inpatient consultations for any mental health condition</t>
  </si>
  <si>
    <t>P061108</t>
  </si>
  <si>
    <t># of people provided with inpatient consultations for trauma-related injuries</t>
  </si>
  <si>
    <t>P061109</t>
  </si>
  <si>
    <t># of people provided with inpatient consultations for non-traumatic medical presentation</t>
  </si>
  <si>
    <t>P061110</t>
  </si>
  <si>
    <t># of people provided with inpatient case support for sexual violence that was treated medically</t>
  </si>
  <si>
    <t>P061111</t>
  </si>
  <si>
    <t># of people provided with inpatient consultations for other (specify) diseases/ conditions</t>
  </si>
  <si>
    <t>B061200</t>
  </si>
  <si>
    <t xml:space="preserve"># of surgeries performed </t>
  </si>
  <si>
    <t>B061201</t>
  </si>
  <si>
    <t># of surgeries performed inside of the OR</t>
  </si>
  <si>
    <t>B061202</t>
  </si>
  <si>
    <t># of surgeries performed outside of the OR</t>
  </si>
  <si>
    <t>P061300</t>
  </si>
  <si>
    <t># of people who have received surgeries</t>
  </si>
  <si>
    <t>P061301</t>
  </si>
  <si>
    <t># of people who have received surgeries performed inside of the OR</t>
  </si>
  <si>
    <t>P061302</t>
  </si>
  <si>
    <t># of people who have received surgeries performed outside of the OR</t>
  </si>
  <si>
    <t>P060001</t>
  </si>
  <si>
    <t># of pregnant women in their third trimester who received a clean delivery kit</t>
  </si>
  <si>
    <t># of people presented with the Gospel</t>
  </si>
  <si>
    <t>P070101</t>
  </si>
  <si>
    <t>a60001</t>
  </si>
  <si>
    <t># people who have attended screenings of the ‘Gospel Film’</t>
  </si>
  <si>
    <t>P070102</t>
  </si>
  <si>
    <t>a60004</t>
  </si>
  <si>
    <t># of people presented with the gospel through sports outreach (disaggregated by the specific demographic group)</t>
  </si>
  <si>
    <t>P070103</t>
  </si>
  <si>
    <t>a60005</t>
  </si>
  <si>
    <t># of people presented with the gospel through pastoral counseling</t>
  </si>
  <si>
    <t>P070200</t>
  </si>
  <si>
    <t>a60200</t>
  </si>
  <si>
    <t># of church leaders/volunteers provided with training (trainer of trainers)</t>
  </si>
  <si>
    <t>P070201</t>
  </si>
  <si>
    <t>a60202</t>
  </si>
  <si>
    <t># of church leaders trained</t>
  </si>
  <si>
    <t>P070202</t>
  </si>
  <si>
    <t>a60204</t>
  </si>
  <si>
    <t># of adult volunteers trained</t>
  </si>
  <si>
    <t>P070203</t>
  </si>
  <si>
    <t>a60205</t>
  </si>
  <si>
    <t># of children and youth trained (18 and under)</t>
  </si>
  <si>
    <t>B070300</t>
  </si>
  <si>
    <t>a60400</t>
  </si>
  <si>
    <t># of churches built or renovated</t>
  </si>
  <si>
    <t>P070400</t>
  </si>
  <si>
    <t># of people benefiting from church build or renovation</t>
  </si>
  <si>
    <t>B070500</t>
  </si>
  <si>
    <t>a60603</t>
  </si>
  <si>
    <t># of churches served/engaged in the project</t>
  </si>
  <si>
    <t>P070600</t>
  </si>
  <si>
    <t># of people engaged through ministry outreach events</t>
  </si>
  <si>
    <t>B070700</t>
  </si>
  <si>
    <t># of ministry visits</t>
  </si>
  <si>
    <t>P070800</t>
  </si>
  <si>
    <t># of people reached through ministry visits</t>
  </si>
  <si>
    <t>B070900</t>
  </si>
  <si>
    <t>a60700</t>
  </si>
  <si>
    <t>B070800</t>
  </si>
  <si>
    <t xml:space="preserve"># of sectorial training sessions conducted integrating foundational biblical principles </t>
  </si>
  <si>
    <t>P071000</t>
  </si>
  <si>
    <t>P070900</t>
  </si>
  <si>
    <t xml:space="preserve"># of people participating in sectorial training sessions with at least one foundational biblical message/principle integrated in to the content </t>
  </si>
  <si>
    <t>P070001</t>
  </si>
  <si>
    <t>a60500</t>
  </si>
  <si>
    <t># of people who have received evangelistic/discipleship materials</t>
  </si>
  <si>
    <t>B070002</t>
  </si>
  <si>
    <t># of Bibles distributed</t>
  </si>
  <si>
    <t>P070003</t>
  </si>
  <si>
    <t>a60501</t>
  </si>
  <si>
    <t># of people who have received a bible distributed by SP</t>
  </si>
  <si>
    <t>B070004</t>
  </si>
  <si>
    <t># of disciple groups created</t>
  </si>
  <si>
    <t>P070005</t>
  </si>
  <si>
    <t>a60601</t>
  </si>
  <si>
    <t># of people attending discipleship groups (specify adult/children, etc.)</t>
  </si>
  <si>
    <t>P070006</t>
  </si>
  <si>
    <t>a60602</t>
  </si>
  <si>
    <t># of children attending Sunday school/discipleship classes</t>
  </si>
  <si>
    <t>B080100</t>
  </si>
  <si>
    <t>a70100</t>
  </si>
  <si>
    <t># of tarpaulins distributed</t>
  </si>
  <si>
    <t>B080101</t>
  </si>
  <si>
    <t>a70101</t>
  </si>
  <si>
    <t># of tarps distributed to HH</t>
  </si>
  <si>
    <t>B080102</t>
  </si>
  <si>
    <t>a70102</t>
  </si>
  <si>
    <t># of tarps distributed to churches</t>
  </si>
  <si>
    <t>B080103</t>
  </si>
  <si>
    <t>a70103</t>
  </si>
  <si>
    <t># of tarps distributed to public institutions</t>
  </si>
  <si>
    <t>P080200</t>
  </si>
  <si>
    <t># of people provided with tarps distributed</t>
  </si>
  <si>
    <t>P080201</t>
  </si>
  <si>
    <t># of people benefiting from tarps distributed to HHs</t>
  </si>
  <si>
    <t>P080202</t>
  </si>
  <si>
    <t># of people benefiting from tarps distributed to churches</t>
  </si>
  <si>
    <t>individual</t>
  </si>
  <si>
    <t>P080203</t>
  </si>
  <si>
    <t># of people benefiting from tarps distributed to public institutions</t>
  </si>
  <si>
    <t>B080300</t>
  </si>
  <si>
    <t>a70300</t>
  </si>
  <si>
    <t># of tool kits distributed (specify type of tool kit)</t>
  </si>
  <si>
    <t>P080400</t>
  </si>
  <si>
    <t># of people provided with tool kit assistance</t>
  </si>
  <si>
    <t>B080500</t>
  </si>
  <si>
    <t>a70700</t>
  </si>
  <si>
    <t># of tents distributed</t>
  </si>
  <si>
    <t>P080600</t>
  </si>
  <si>
    <t xml:space="preserve"># of people provided with a tent </t>
  </si>
  <si>
    <t>B080700</t>
  </si>
  <si>
    <t xml:space="preserve"># of transitional/temporary shelter solutions provided </t>
  </si>
  <si>
    <t>P080800</t>
  </si>
  <si>
    <t># of people provided with temporary or transitional housing support</t>
  </si>
  <si>
    <t>P080900</t>
  </si>
  <si>
    <t># of people provided with emergency shelter assistance</t>
  </si>
  <si>
    <t>P080901</t>
  </si>
  <si>
    <t># of people provided with emergency collective accommodations</t>
  </si>
  <si>
    <t>B081000</t>
  </si>
  <si>
    <t xml:space="preserve"># of permanent housing solutions provided </t>
  </si>
  <si>
    <t>B081001</t>
  </si>
  <si>
    <t># of new permanent houses built</t>
  </si>
  <si>
    <t>B081002</t>
  </si>
  <si>
    <t># of permanent houses renovated/ repaired</t>
  </si>
  <si>
    <t>B081003</t>
  </si>
  <si>
    <t># of permanent houses that received muck and gut support</t>
  </si>
  <si>
    <t>P081100</t>
  </si>
  <si>
    <t># of people provided with permanent housing support</t>
  </si>
  <si>
    <t>P081101</t>
  </si>
  <si>
    <t># of people provided with new permanent houses built</t>
  </si>
  <si>
    <t>P081102</t>
  </si>
  <si>
    <t># of people provided with permanent houses renovated/ repaired</t>
  </si>
  <si>
    <t>P081103</t>
  </si>
  <si>
    <t># of people provided with permanent houses that received muck and gut support</t>
  </si>
  <si>
    <t>B081200</t>
  </si>
  <si>
    <t># of Non-Food Items (NFIs) distributed</t>
  </si>
  <si>
    <t>B081201</t>
  </si>
  <si>
    <t>a70407</t>
  </si>
  <si>
    <t># of blankets distributed</t>
  </si>
  <si>
    <t>B081202</t>
  </si>
  <si>
    <t>a70408</t>
  </si>
  <si>
    <t># of sleeping mats distributed</t>
  </si>
  <si>
    <t>B081203</t>
  </si>
  <si>
    <t>a70500</t>
  </si>
  <si>
    <t># of kitchen kits distributed</t>
  </si>
  <si>
    <t>B081204</t>
  </si>
  <si>
    <t>a70900</t>
  </si>
  <si>
    <t># of clothing kits distributed</t>
  </si>
  <si>
    <t>B081205</t>
  </si>
  <si>
    <t># of solar lights distributed</t>
  </si>
  <si>
    <t>B081206</t>
  </si>
  <si>
    <t>a70406</t>
  </si>
  <si>
    <t># of other (specify) NFI items distributed</t>
  </si>
  <si>
    <t>P081300</t>
  </si>
  <si>
    <t># of people provided with Non-Food Items (NFIs)</t>
  </si>
  <si>
    <t>P081301</t>
  </si>
  <si>
    <t># of people provided with blankets</t>
  </si>
  <si>
    <t>P081302</t>
  </si>
  <si>
    <t># of people provided with sleeping mats</t>
  </si>
  <si>
    <t>P081303</t>
  </si>
  <si>
    <t># of people provided with clothing kits</t>
  </si>
  <si>
    <t>P081304</t>
  </si>
  <si>
    <t># of people provided with kitchen kits</t>
  </si>
  <si>
    <t>P081305</t>
  </si>
  <si>
    <t># of people provided with solar lights</t>
  </si>
  <si>
    <t>P081306</t>
  </si>
  <si>
    <t># of people provided with other NFIs (specify)</t>
  </si>
  <si>
    <t>P081400</t>
  </si>
  <si>
    <t>B100700</t>
  </si>
  <si>
    <t># of basic kits distributed</t>
  </si>
  <si>
    <t>B081500</t>
  </si>
  <si>
    <t>P100800</t>
  </si>
  <si>
    <t xml:space="preserve"># of people provided with a ‘basic kit’ </t>
  </si>
  <si>
    <t>P081600</t>
  </si>
  <si>
    <t># of people provided with energy assistance</t>
  </si>
  <si>
    <t>P081601</t>
  </si>
  <si>
    <t>P081402</t>
  </si>
  <si>
    <t># of people provided with a heating/cooking solution</t>
  </si>
  <si>
    <t>P081602</t>
  </si>
  <si>
    <t>P081403</t>
  </si>
  <si>
    <t xml:space="preserve"># of people provided with fuel assistance </t>
  </si>
  <si>
    <t>B081700</t>
  </si>
  <si>
    <r>
      <t xml:space="preserve"># of </t>
    </r>
    <r>
      <rPr>
        <b/>
        <sz val="11"/>
        <color rgb="FF0000FF"/>
        <rFont val="Calibri"/>
        <family val="2"/>
        <scheme val="minor"/>
      </rPr>
      <t xml:space="preserve">permanent structures </t>
    </r>
    <r>
      <rPr>
        <b/>
        <sz val="11"/>
        <rFont val="Calibri"/>
        <family val="2"/>
        <scheme val="minor"/>
      </rPr>
      <t xml:space="preserve">receiving infrastructure support </t>
    </r>
  </si>
  <si>
    <t>B081701</t>
  </si>
  <si>
    <t>a90421</t>
  </si>
  <si>
    <t>B081501</t>
  </si>
  <si>
    <r>
      <t xml:space="preserve"># of </t>
    </r>
    <r>
      <rPr>
        <sz val="11"/>
        <color rgb="FF3333FF"/>
        <rFont val="Calibri"/>
        <family val="2"/>
      </rPr>
      <t xml:space="preserve">permanent structures that received </t>
    </r>
    <r>
      <rPr>
        <sz val="11"/>
        <rFont val="Calibri"/>
        <family val="2"/>
      </rPr>
      <t>renovations/repairs completed (disaggregate by type of building)</t>
    </r>
  </si>
  <si>
    <t>B081702</t>
  </si>
  <si>
    <r>
      <t xml:space="preserve"># of </t>
    </r>
    <r>
      <rPr>
        <sz val="11"/>
        <color rgb="FF0000FF"/>
        <rFont val="Calibri"/>
        <family val="2"/>
        <scheme val="minor"/>
      </rPr>
      <t>new permanent structures</t>
    </r>
    <r>
      <rPr>
        <sz val="11"/>
        <rFont val="Calibri"/>
        <family val="2"/>
        <scheme val="minor"/>
      </rPr>
      <t xml:space="preserve"> completed (disaggregate by type of building)</t>
    </r>
  </si>
  <si>
    <t>B081703</t>
  </si>
  <si>
    <r>
      <t># of</t>
    </r>
    <r>
      <rPr>
        <sz val="11"/>
        <color rgb="FF000000"/>
        <rFont val="Calibri"/>
        <family val="2"/>
      </rPr>
      <t xml:space="preserve"> </t>
    </r>
    <r>
      <rPr>
        <sz val="11"/>
        <color rgb="FF0000FF"/>
        <rFont val="Calibri"/>
        <family val="2"/>
        <scheme val="minor"/>
      </rPr>
      <t>schools that received r</t>
    </r>
    <r>
      <rPr>
        <sz val="11"/>
        <rFont val="Calibri"/>
        <family val="2"/>
        <scheme val="minor"/>
      </rPr>
      <t xml:space="preserve">enovations/repairs </t>
    </r>
  </si>
  <si>
    <t>B081704</t>
  </si>
  <si>
    <r>
      <t xml:space="preserve"># of </t>
    </r>
    <r>
      <rPr>
        <sz val="11"/>
        <color rgb="FF0000FF"/>
        <rFont val="Calibri"/>
        <family val="2"/>
        <scheme val="minor"/>
      </rPr>
      <t>new schools constructed</t>
    </r>
  </si>
  <si>
    <t>P081800</t>
  </si>
  <si>
    <r>
      <t xml:space="preserve"># of people benefiting from </t>
    </r>
    <r>
      <rPr>
        <b/>
        <sz val="11"/>
        <color rgb="FF0000FF"/>
        <rFont val="Calibri"/>
        <family val="2"/>
        <scheme val="minor"/>
      </rPr>
      <t>permanent structures</t>
    </r>
    <r>
      <rPr>
        <b/>
        <sz val="11"/>
        <rFont val="Calibri"/>
        <family val="2"/>
        <scheme val="minor"/>
      </rPr>
      <t xml:space="preserve"> receiving infrastructure support </t>
    </r>
  </si>
  <si>
    <t>P081801</t>
  </si>
  <si>
    <r>
      <t># of people benefiting from c</t>
    </r>
    <r>
      <rPr>
        <sz val="11"/>
        <color rgb="FF0000FF"/>
        <rFont val="Calibri"/>
        <family val="2"/>
        <scheme val="minor"/>
      </rPr>
      <t>ompleted</t>
    </r>
    <r>
      <rPr>
        <sz val="11"/>
        <rFont val="Calibri"/>
        <family val="2"/>
        <scheme val="minor"/>
      </rPr>
      <t xml:space="preserve"> renovations/repairs </t>
    </r>
    <r>
      <rPr>
        <sz val="11"/>
        <color rgb="FF0000FF"/>
        <rFont val="Calibri"/>
        <family val="2"/>
        <scheme val="minor"/>
      </rPr>
      <t>of permanent structures</t>
    </r>
    <r>
      <rPr>
        <sz val="11"/>
        <rFont val="Calibri"/>
        <family val="2"/>
        <scheme val="minor"/>
      </rPr>
      <t xml:space="preserve"> (disaggregate by type of building)</t>
    </r>
  </si>
  <si>
    <t>B081802</t>
  </si>
  <si>
    <t># of people benefiting from new construction of permanent structures completed (disaggregate by type of building)</t>
  </si>
  <si>
    <t>B081803</t>
  </si>
  <si>
    <t xml:space="preserve"># of people benefiting from schools that received renovations/repairs </t>
  </si>
  <si>
    <t>B081804</t>
  </si>
  <si>
    <t># of people benefiting from new schools constructed</t>
  </si>
  <si>
    <t>P080001</t>
  </si>
  <si>
    <t># of people trained on non-food item, or energy (disaggregate by training type)</t>
  </si>
  <si>
    <t>P090100</t>
  </si>
  <si>
    <t>a90501</t>
  </si>
  <si>
    <t># of children screened</t>
  </si>
  <si>
    <t>P090200</t>
  </si>
  <si>
    <t>a90502</t>
  </si>
  <si>
    <t># of children enrolled into CHP</t>
  </si>
  <si>
    <t>P090201</t>
  </si>
  <si>
    <t># of children waitlisted for surgery</t>
  </si>
  <si>
    <t>P090202</t>
  </si>
  <si>
    <t>a90507</t>
  </si>
  <si>
    <t># of children attending Heart Camp</t>
  </si>
  <si>
    <t>P090300</t>
  </si>
  <si>
    <t>a90503</t>
  </si>
  <si>
    <t># of children receiving surgery</t>
  </si>
  <si>
    <t>P100100</t>
  </si>
  <si>
    <t>a91100</t>
  </si>
  <si>
    <t># of people trained on GBV prevention &amp; response</t>
  </si>
  <si>
    <t>P100101</t>
  </si>
  <si>
    <t>a91101</t>
  </si>
  <si>
    <t># of people trained in GBV prevention</t>
  </si>
  <si>
    <t>P100102</t>
  </si>
  <si>
    <t>a91102</t>
  </si>
  <si>
    <t># of people trained in GBV aftercare</t>
  </si>
  <si>
    <t>P100103</t>
  </si>
  <si>
    <t>a91300</t>
  </si>
  <si>
    <t xml:space="preserve"># of people who are trained in child GBV </t>
  </si>
  <si>
    <t>P100104</t>
  </si>
  <si>
    <t>a91303</t>
  </si>
  <si>
    <t># of people trained on protection services for children</t>
  </si>
  <si>
    <t>P100105</t>
  </si>
  <si>
    <t>a91601</t>
  </si>
  <si>
    <t># of people participating in rehabilitation programming  for GBV</t>
  </si>
  <si>
    <t>P100106</t>
  </si>
  <si>
    <t>a91802</t>
  </si>
  <si>
    <t># of GBV survivors supported with Income Generating Activity (IGA)</t>
  </si>
  <si>
    <t>P100107</t>
  </si>
  <si>
    <t>a91500</t>
  </si>
  <si>
    <t># of people trained as a support group member for GBV</t>
  </si>
  <si>
    <t>P100200</t>
  </si>
  <si>
    <t>a91200</t>
  </si>
  <si>
    <t># of people trained on safe migration and trafficking awareness &amp; prevention</t>
  </si>
  <si>
    <t>P100201</t>
  </si>
  <si>
    <t>a91201</t>
  </si>
  <si>
    <t># of people trained in safe migration and trafficking prevention</t>
  </si>
  <si>
    <t>P100202</t>
  </si>
  <si>
    <t>a91202</t>
  </si>
  <si>
    <t># of people trained in trafficking aftercare</t>
  </si>
  <si>
    <t>P100203</t>
  </si>
  <si>
    <t># of people participating in rehabilitation programming  for  trafficking</t>
  </si>
  <si>
    <t>P100204</t>
  </si>
  <si>
    <t>a91804</t>
  </si>
  <si>
    <t># of trafficked survivors supported with Income Generating Activity (IGA)</t>
  </si>
  <si>
    <t>P100205</t>
  </si>
  <si>
    <t># of people trained as a support group member for counter trafficking</t>
  </si>
  <si>
    <t>P100300</t>
  </si>
  <si>
    <t>a91800</t>
  </si>
  <si>
    <t># of people provided with psychosocial support  services (PSS)</t>
  </si>
  <si>
    <t>P100301</t>
  </si>
  <si>
    <t>a91801</t>
  </si>
  <si>
    <t xml:space="preserve"># of GBV survivors provided with Psychosocial Support (PSS) </t>
  </si>
  <si>
    <t>P100302</t>
  </si>
  <si>
    <t>a91803</t>
  </si>
  <si>
    <t xml:space="preserve"># of trafficking survivors provided with Psychosocial Support (PSS) </t>
  </si>
  <si>
    <t>P100303</t>
  </si>
  <si>
    <t># of sexual violence victims served with Psychosocial Support (PSS)</t>
  </si>
  <si>
    <t>P100304</t>
  </si>
  <si>
    <t xml:space="preserve"> # of people referred for comprehensive care, within a given time period</t>
  </si>
  <si>
    <t>P100400</t>
  </si>
  <si>
    <t># of people trained in psychosocial support services (PSS)</t>
  </si>
  <si>
    <t>P100401</t>
  </si>
  <si>
    <t xml:space="preserve"># of people trained on providing Psychological First Aid </t>
  </si>
  <si>
    <t>P100402</t>
  </si>
  <si>
    <t># of people trained in lay counseling support</t>
  </si>
  <si>
    <t>P100403</t>
  </si>
  <si>
    <t># of people trained in other psychosocial support methods</t>
  </si>
  <si>
    <t>B100500</t>
  </si>
  <si>
    <t># of daily meals/ emergency food parcels served/ distributed to migrants</t>
  </si>
  <si>
    <t>P100600</t>
  </si>
  <si>
    <t xml:space="preserve"># of people provided with a daily meal or emergency food parcels </t>
  </si>
  <si>
    <t>P100900</t>
  </si>
  <si>
    <t xml:space="preserve"># of migrants served </t>
  </si>
  <si>
    <t>B100701</t>
  </si>
  <si>
    <t>P100901</t>
  </si>
  <si>
    <t xml:space="preserve"># of people provided with safe transportation </t>
  </si>
  <si>
    <t>B100702</t>
  </si>
  <si>
    <t>P100902</t>
  </si>
  <si>
    <t># of people provided with "other" (please specify) migrant services</t>
  </si>
  <si>
    <t>B100800</t>
  </si>
  <si>
    <t>a91400</t>
  </si>
  <si>
    <t>B101000</t>
  </si>
  <si>
    <t># of awareness materials distributed</t>
  </si>
  <si>
    <t>P101100</t>
  </si>
  <si>
    <t xml:space="preserve"># of people who received awareness materials </t>
  </si>
  <si>
    <t>B100001</t>
  </si>
  <si>
    <t>a91619</t>
  </si>
  <si>
    <t># of awareness/sensitization campaigns conducted</t>
  </si>
  <si>
    <t>B100002</t>
  </si>
  <si>
    <t># of self help/support groups (SH/SG) formed</t>
  </si>
  <si>
    <t>P100003</t>
  </si>
  <si>
    <t># of people referred to case management services</t>
  </si>
  <si>
    <t>B100004</t>
  </si>
  <si>
    <t># of operational safe spaces (by type)</t>
  </si>
  <si>
    <t>P100005</t>
  </si>
  <si>
    <t># of people served through operational safe spaces</t>
  </si>
  <si>
    <t>P110100</t>
  </si>
  <si>
    <t>a92100</t>
  </si>
  <si>
    <t># people trained on education practices</t>
  </si>
  <si>
    <t>P110101</t>
  </si>
  <si>
    <t>a92101</t>
  </si>
  <si>
    <t># of people trained on the importance of education (not including PTA committees)</t>
  </si>
  <si>
    <t>P110102</t>
  </si>
  <si>
    <t>a92105</t>
  </si>
  <si>
    <t xml:space="preserve"># of people trained on character/life skills </t>
  </si>
  <si>
    <t>P110103</t>
  </si>
  <si>
    <t>a92109</t>
  </si>
  <si>
    <t># of people trained in other (specify) education trainings</t>
  </si>
  <si>
    <t>B110200</t>
  </si>
  <si>
    <t>a92300</t>
  </si>
  <si>
    <t>$ of school fees distributed</t>
  </si>
  <si>
    <t>B120100</t>
  </si>
  <si>
    <t>a99100</t>
  </si>
  <si>
    <t>$ amount of cash distributed</t>
  </si>
  <si>
    <t>B120101</t>
  </si>
  <si>
    <t xml:space="preserve">$ amount of conditional restrictive cash distributed </t>
  </si>
  <si>
    <t>B120102</t>
  </si>
  <si>
    <t xml:space="preserve">$ amount of conditional unrestrictive cash distributed </t>
  </si>
  <si>
    <t>B120103</t>
  </si>
  <si>
    <t xml:space="preserve">$ amount of unconditional restrictive cash distributed </t>
  </si>
  <si>
    <t>B120104</t>
  </si>
  <si>
    <t xml:space="preserve">$ amount of unconditional unrestrictive cash distributed </t>
  </si>
  <si>
    <t>B120105</t>
  </si>
  <si>
    <t>a90304</t>
  </si>
  <si>
    <t>$ amount of capital provided for start-up and/or business upgrade</t>
  </si>
  <si>
    <t>P120200</t>
  </si>
  <si>
    <t>New</t>
  </si>
  <si>
    <t># of people assisted through cash disbursement</t>
  </si>
  <si>
    <t>P120201</t>
  </si>
  <si>
    <t xml:space="preserve"># of people assisted through conditional restrictive cash distribursements </t>
  </si>
  <si>
    <t>P120202</t>
  </si>
  <si>
    <t># of people assisted through conditional unrestrictive cash disbursements</t>
  </si>
  <si>
    <t>P120203</t>
  </si>
  <si>
    <t># of people assisted through unconditional restrictive cash distribursements</t>
  </si>
  <si>
    <t>P120204</t>
  </si>
  <si>
    <t xml:space="preserve"># of people assisted through unconditional unrestrictive cash distribursements </t>
  </si>
  <si>
    <t>P120205</t>
  </si>
  <si>
    <t># of people assisted through capital provided for start-up and/or business upgrade</t>
  </si>
  <si>
    <t>B120300</t>
  </si>
  <si>
    <t>$ amount of vouchers distributed</t>
  </si>
  <si>
    <t>B120301</t>
  </si>
  <si>
    <t xml:space="preserve">$ amount of conditional restrictive vouchers distributed </t>
  </si>
  <si>
    <t>B120302</t>
  </si>
  <si>
    <t xml:space="preserve">$ amount of conditional unrestrictive voucher distributed </t>
  </si>
  <si>
    <t>B120303</t>
  </si>
  <si>
    <t xml:space="preserve">$ amount of unconditional restrictive voucher distributed </t>
  </si>
  <si>
    <t>B120304</t>
  </si>
  <si>
    <t xml:space="preserve">$ amount of unconditional unrestrictive voucher distributed </t>
  </si>
  <si>
    <t>B120305</t>
  </si>
  <si>
    <t>B120306</t>
  </si>
  <si>
    <t>$ amount of Ag/livestock vouchers distributed (i.e. seeds, tools, livestock, etc.)</t>
  </si>
  <si>
    <t>P120400</t>
  </si>
  <si>
    <t># of people assisted through vouchers</t>
  </si>
  <si>
    <t>P120401</t>
  </si>
  <si>
    <t xml:space="preserve"># of people assisted through conditional restrictive voucher distribursements </t>
  </si>
  <si>
    <t>P120402</t>
  </si>
  <si>
    <t># of people assisted through conditional unrestrictive voucher disbursements</t>
  </si>
  <si>
    <t>P120403</t>
  </si>
  <si>
    <t># of people assisted through unconditional restrictive voucher distribursements</t>
  </si>
  <si>
    <t>P120404</t>
  </si>
  <si>
    <t xml:space="preserve"># of people assisted through unconditional unrestrictive voucher distribursements </t>
  </si>
  <si>
    <t>P120405</t>
  </si>
  <si>
    <t xml:space="preserve"># of people assisted through food vouchers </t>
  </si>
  <si>
    <t>P120406</t>
  </si>
  <si>
    <t># of people assisted through Ag/livestock vouchers  (i.e. seeds, tools, livestock, etc.)</t>
  </si>
  <si>
    <t>B130100</t>
  </si>
  <si>
    <t># of health facilities supported during outbreak</t>
  </si>
  <si>
    <t>B130200</t>
  </si>
  <si>
    <t># of outpatient (specify outbreak) consultations</t>
  </si>
  <si>
    <t>P130300</t>
  </si>
  <si>
    <t># of people provided with outpatient (specify outbreak) consultations</t>
  </si>
  <si>
    <t>B130400</t>
  </si>
  <si>
    <t># of community-based (specify outbreak) consultations</t>
  </si>
  <si>
    <t>P130500</t>
  </si>
  <si>
    <t># of people provided with community-based (specify outbreak) consultations</t>
  </si>
  <si>
    <t>B130600</t>
  </si>
  <si>
    <t># of inpatient (specify outbreak) consultations</t>
  </si>
  <si>
    <t>P130700</t>
  </si>
  <si>
    <t># of people provided with inpatient (specify outbreak) consultations</t>
  </si>
  <si>
    <t>P130800</t>
  </si>
  <si>
    <t># of health care staff  trained on outbreak measures</t>
  </si>
  <si>
    <t>P130801</t>
  </si>
  <si>
    <t># of doctors trained on outbreak measures</t>
  </si>
  <si>
    <t>P130802</t>
  </si>
  <si>
    <t># of nurses trained on outbreak measures</t>
  </si>
  <si>
    <t>P130803</t>
  </si>
  <si>
    <t># of midwives and/or other birth attendants trained on outbreak measures</t>
  </si>
  <si>
    <t>P130804</t>
  </si>
  <si>
    <t># of village/community health workers trained on outbreak measures</t>
  </si>
  <si>
    <t>P130805</t>
  </si>
  <si>
    <t># of other personnel trained on outbreak measures</t>
  </si>
  <si>
    <t>P130806</t>
  </si>
  <si>
    <t># of leader mothers/support group leaders trained on outbreak measures</t>
  </si>
  <si>
    <t>P130807</t>
  </si>
  <si>
    <t># of home caregivers trained on outbreak measures</t>
  </si>
  <si>
    <t>P130001</t>
  </si>
  <si>
    <t># of promoters educated on (specify outbreak) protective behavior</t>
  </si>
  <si>
    <t>B130002</t>
  </si>
  <si>
    <t># of follow-ups conducted with primary promoters on (specify outbreak) protective behaviors</t>
  </si>
  <si>
    <t>P130003</t>
  </si>
  <si>
    <t xml:space="preserve"># of people reached through risk communication activities by channel </t>
  </si>
  <si>
    <t>B130004</t>
  </si>
  <si>
    <t># of national surveillance teams supported in active case finding and event-based surveillance</t>
  </si>
  <si>
    <t>P130005</t>
  </si>
  <si>
    <t># of contacts traced (disaggregate by identified and confirmed)</t>
  </si>
  <si>
    <t>B130006</t>
  </si>
  <si>
    <t xml:space="preserve"># of home care guidance materials distributed </t>
  </si>
  <si>
    <t>B130007</t>
  </si>
  <si>
    <t># of PPE supplies distributed</t>
  </si>
  <si>
    <t>P130008</t>
  </si>
  <si>
    <t># of individuals screened at supported health facilities</t>
  </si>
  <si>
    <t>B130900</t>
  </si>
  <si>
    <t>P131000</t>
  </si>
  <si>
    <t>B131100</t>
  </si>
  <si>
    <t>P131200</t>
  </si>
  <si>
    <t xml:space="preserve"># of people accessing potable water from installed/ distributed water treatment technologies </t>
  </si>
  <si>
    <t>B131300</t>
  </si>
  <si>
    <t>P131400</t>
  </si>
  <si>
    <t>P131500</t>
  </si>
  <si>
    <t># of people trained on water, sanitation &amp; hygiene (WASH) outbreak measures</t>
  </si>
  <si>
    <t>B131600</t>
  </si>
  <si>
    <t>B131601</t>
  </si>
  <si>
    <t>B131602</t>
  </si>
  <si>
    <t>B131603</t>
  </si>
  <si>
    <t>B131604</t>
  </si>
  <si>
    <t>P131700</t>
  </si>
  <si>
    <t>P131701</t>
  </si>
  <si>
    <t>P131702</t>
  </si>
  <si>
    <t>P131703</t>
  </si>
  <si>
    <t>P131704</t>
  </si>
  <si>
    <t>B130008</t>
  </si>
  <si>
    <t>P130009</t>
  </si>
  <si>
    <t># of people accessing water delivered by vehicle</t>
  </si>
  <si>
    <t>B130010</t>
  </si>
  <si>
    <t>B130011</t>
  </si>
  <si>
    <t># of mass outreaches for (specify outbreak) conducted (please specify)</t>
  </si>
  <si>
    <t>B130012</t>
  </si>
  <si>
    <t>B130013</t>
  </si>
  <si>
    <t>P130014</t>
  </si>
  <si>
    <t># of people benefiting from hand washing stations constructed</t>
  </si>
  <si>
    <t>B130015</t>
  </si>
  <si>
    <t># of waste management structures installed/ constructed</t>
  </si>
  <si>
    <t>P130016</t>
  </si>
  <si>
    <t># of people benefiting from waste management structures installed/ constructed</t>
  </si>
  <si>
    <t>P131800</t>
  </si>
  <si>
    <t>P131900</t>
  </si>
  <si>
    <t>P131901</t>
  </si>
  <si>
    <t>P131902</t>
  </si>
  <si>
    <t>P132000</t>
  </si>
  <si>
    <t>B132100</t>
  </si>
  <si>
    <t>P132200</t>
  </si>
  <si>
    <t>B132300</t>
  </si>
  <si>
    <t># of food parcels/baskets distributed</t>
  </si>
  <si>
    <t>P132400</t>
  </si>
  <si>
    <t># of people provided with food parcels/baskets</t>
  </si>
  <si>
    <r>
      <t xml:space="preserve"># of people provided with solar </t>
    </r>
    <r>
      <rPr>
        <sz val="11"/>
        <color rgb="FF0000FF"/>
        <rFont val="Calibri"/>
        <family val="2"/>
        <scheme val="minor"/>
      </rPr>
      <t>lights</t>
    </r>
  </si>
  <si>
    <t>P100700</t>
  </si>
  <si>
    <t>P100701</t>
  </si>
  <si>
    <t>P100702</t>
  </si>
  <si>
    <t>With IGA projects the target should be the following: 
4. In the very rare circumstance where we will provide an IGA for those proverbial ‘ultra poor’ people who live under the WB standard of 1.25USD a day then the IGA provides profit incomes double that level for one person in the family.
Participants could be farmers or others</t>
  </si>
  <si>
    <t xml:space="preserve">N = # of farmers meeting income target. 
D = Total # of farmers targeted. </t>
  </si>
  <si>
    <t>Farmer beneficiaries</t>
  </si>
  <si>
    <t xml:space="preserve">organic vegetable production refers to Organic farming system avoids or largely excludes the use of synthetically compounded fertilizers, pesticides, growth regulators, includes: FAITH gardens, keyhole gardens, kitchen gardens etc.  </t>
  </si>
  <si>
    <t>N = # of households with organic vegetable production. 
D = Total # of households targeted</t>
  </si>
  <si>
    <t>Farmer (vegetable) beneficiaries</t>
  </si>
  <si>
    <t xml:space="preserve">Productive beekeeping techniques should include: maintenance of bee colonies, keeping clean apiary, use of KTB and comb foundation, use of beekeeping kits
The number and specific techniques to be assessed for each project/beneficiary group should be determined at the start of the project. </t>
  </si>
  <si>
    <t xml:space="preserve">N = # of targeted households demonstrating the use of all ( x number of) productive beekeeping rearing techniques. 
D = Total # of households targeted. </t>
  </si>
  <si>
    <t>Farmer (bee keepers) beneficiaries</t>
  </si>
  <si>
    <t xml:space="preserve">HH that can identify at least 3 health benefits of eating vegetables . </t>
  </si>
  <si>
    <t>N = number of HH heads who can identify at least 3 benefits of eating vegetable / D= total number of HH heads surveyed</t>
  </si>
  <si>
    <t>Project participants</t>
  </si>
  <si>
    <t>HDDS = Household Dietary Diversity Scale. See indicator guide</t>
  </si>
  <si>
    <t>N = sum of all household HDDS scores. D = Total # of target households</t>
  </si>
  <si>
    <t>Head of household with a preference for the female head of household</t>
  </si>
  <si>
    <r>
      <rPr>
        <b/>
        <sz val="14"/>
        <color rgb="FFFFFF00"/>
        <rFont val="Calibri"/>
        <family val="2"/>
        <scheme val="minor"/>
      </rPr>
      <t>Actual FEMALE</t>
    </r>
    <r>
      <rPr>
        <b/>
        <sz val="14"/>
        <color theme="1"/>
        <rFont val="Calibri"/>
        <family val="2"/>
        <scheme val="minor"/>
      </rPr>
      <t xml:space="preserve"> unique beneficiaries per </t>
    </r>
    <r>
      <rPr>
        <b/>
        <sz val="14"/>
        <color rgb="FFFFFF00"/>
        <rFont val="Calibri"/>
        <family val="2"/>
        <scheme val="minor"/>
      </rPr>
      <t>activity</t>
    </r>
  </si>
  <si>
    <r>
      <rPr>
        <b/>
        <sz val="14"/>
        <color rgb="FFFFFF00"/>
        <rFont val="Calibri"/>
        <family val="2"/>
        <scheme val="minor"/>
      </rPr>
      <t xml:space="preserve">Actual FEMALE </t>
    </r>
    <r>
      <rPr>
        <b/>
        <sz val="14"/>
        <color theme="1"/>
        <rFont val="Calibri"/>
        <family val="2"/>
        <scheme val="minor"/>
      </rPr>
      <t xml:space="preserve">unique beneficiares per </t>
    </r>
    <r>
      <rPr>
        <b/>
        <sz val="14"/>
        <color rgb="FFFFFF00"/>
        <rFont val="Calibri"/>
        <family val="2"/>
        <scheme val="minor"/>
      </rPr>
      <t>project</t>
    </r>
  </si>
  <si>
    <r>
      <t xml:space="preserve">Actual </t>
    </r>
    <r>
      <rPr>
        <b/>
        <sz val="14"/>
        <color rgb="FFFFFF00"/>
        <rFont val="Calibri"/>
        <family val="2"/>
        <scheme val="minor"/>
      </rPr>
      <t>MALE</t>
    </r>
    <r>
      <rPr>
        <b/>
        <sz val="14"/>
        <color theme="1"/>
        <rFont val="Calibri"/>
        <family val="2"/>
        <scheme val="minor"/>
      </rPr>
      <t xml:space="preserve"> unique beneficiaries per </t>
    </r>
    <r>
      <rPr>
        <b/>
        <sz val="14"/>
        <color rgb="FFFFFF00"/>
        <rFont val="Calibri"/>
        <family val="2"/>
        <scheme val="minor"/>
      </rPr>
      <t>project</t>
    </r>
  </si>
  <si>
    <t>950 children U2 were admitted into the TSFP for the project</t>
  </si>
  <si>
    <r>
      <t xml:space="preserve">Actual </t>
    </r>
    <r>
      <rPr>
        <b/>
        <sz val="14"/>
        <color rgb="FFFFFF00"/>
        <rFont val="Calibri"/>
        <family val="2"/>
        <scheme val="minor"/>
      </rPr>
      <t xml:space="preserve">MALE </t>
    </r>
    <r>
      <rPr>
        <b/>
        <sz val="14"/>
        <color theme="1"/>
        <rFont val="Calibri"/>
        <family val="2"/>
        <scheme val="minor"/>
      </rPr>
      <t xml:space="preserve">unique beneficiaries per </t>
    </r>
    <r>
      <rPr>
        <b/>
        <sz val="14"/>
        <color rgb="FFFFFF00"/>
        <rFont val="Calibri"/>
        <family val="2"/>
        <scheme val="minor"/>
      </rPr>
      <t>activity</t>
    </r>
  </si>
  <si>
    <t>Total (7,750 F, 7,350M) gender breakdown for global</t>
  </si>
  <si>
    <r>
      <t xml:space="preserve">Already captured under previous global indicator </t>
    </r>
    <r>
      <rPr>
        <sz val="11"/>
        <color rgb="FF3333FF"/>
        <rFont val="Calibri"/>
        <family val="2"/>
      </rPr>
      <t>P040500 gospel was shared during deworming campaign in each village.</t>
    </r>
  </si>
  <si>
    <t>Total Project Unique Beneficiaries (GENDER)</t>
  </si>
  <si>
    <r>
      <t xml:space="preserve">Actual </t>
    </r>
    <r>
      <rPr>
        <b/>
        <sz val="14"/>
        <color rgb="FFFFFF00"/>
        <rFont val="Calibri"/>
        <family val="2"/>
        <scheme val="minor"/>
      </rPr>
      <t>MALE</t>
    </r>
    <r>
      <rPr>
        <b/>
        <sz val="14"/>
        <color theme="1"/>
        <rFont val="Calibri"/>
        <family val="2"/>
        <scheme val="minor"/>
      </rPr>
      <t xml:space="preserve"> unique beneficiaries per </t>
    </r>
    <r>
      <rPr>
        <b/>
        <sz val="14"/>
        <color rgb="FFFFFF00"/>
        <rFont val="Calibri"/>
        <family val="2"/>
        <scheme val="minor"/>
      </rPr>
      <t>activity</t>
    </r>
  </si>
  <si>
    <r>
      <rPr>
        <b/>
        <sz val="14"/>
        <color rgb="FFFFFF00"/>
        <rFont val="Calibri"/>
        <family val="2"/>
        <scheme val="minor"/>
      </rPr>
      <t xml:space="preserve">Actual FEMALE </t>
    </r>
    <r>
      <rPr>
        <b/>
        <sz val="14"/>
        <color theme="1"/>
        <rFont val="Calibri"/>
        <family val="2"/>
        <scheme val="minor"/>
      </rPr>
      <t xml:space="preserve">unique beneficiaries per </t>
    </r>
    <r>
      <rPr>
        <b/>
        <sz val="14"/>
        <color rgb="FFFFFF00"/>
        <rFont val="Calibri"/>
        <family val="2"/>
        <scheme val="minor"/>
      </rPr>
      <t>project</t>
    </r>
  </si>
  <si>
    <t># of people with access to water from pipe network extensions constructed to (communities, schools, camps, clinics, market, households, etc.)</t>
  </si>
  <si>
    <r>
      <t xml:space="preserve">Total (8,250 F, 8,250M) </t>
    </r>
    <r>
      <rPr>
        <sz val="11"/>
        <color rgb="FF3333FF"/>
        <rFont val="Calibri"/>
        <family val="2"/>
        <scheme val="minor"/>
      </rPr>
      <t>gender breakdown for global</t>
    </r>
  </si>
  <si>
    <r>
      <t xml:space="preserve">7,500 people were provided potable water  in </t>
    </r>
    <r>
      <rPr>
        <b/>
        <sz val="11"/>
        <color rgb="FF000000"/>
        <rFont val="Calibri"/>
        <family val="2"/>
        <scheme val="minor"/>
      </rPr>
      <t>Village A</t>
    </r>
    <r>
      <rPr>
        <sz val="11"/>
        <color rgb="FF000000"/>
        <rFont val="Calibri"/>
        <family val="2"/>
      </rPr>
      <t xml:space="preserve"> </t>
    </r>
    <r>
      <rPr>
        <sz val="11"/>
        <color rgb="FF0000FF"/>
        <rFont val="Calibri"/>
        <family val="2"/>
      </rPr>
      <t>from 15 boreholes</t>
    </r>
  </si>
  <si>
    <r>
      <rPr>
        <sz val="11"/>
        <color rgb="FF0000FF"/>
        <rFont val="Calibri"/>
        <family val="2"/>
      </rPr>
      <t xml:space="preserve">Later we </t>
    </r>
    <r>
      <rPr>
        <sz val="11"/>
        <color rgb="FF000000"/>
        <rFont val="Calibri"/>
        <family val="2"/>
      </rPr>
      <t>installed pipe extensions with tap stands serve 15,000 beneficiaries of which 7,500 are previously accounted for under P030201</t>
    </r>
  </si>
  <si>
    <r>
      <t xml:space="preserve">3 hand dug wells were rehabilitated in </t>
    </r>
    <r>
      <rPr>
        <b/>
        <sz val="11"/>
        <color rgb="FF000000"/>
        <rFont val="Calibri"/>
        <family val="2"/>
        <scheme val="minor"/>
      </rPr>
      <t>Village B</t>
    </r>
    <r>
      <rPr>
        <sz val="11"/>
        <color rgb="FF000000"/>
        <rFont val="Calibri"/>
        <family val="2"/>
      </rPr>
      <t xml:space="preserve"> providing water to 1,500 beneficiaries</t>
    </r>
  </si>
  <si>
    <t xml:space="preserve"># of people with access to potable water from constructed/ installed/ rehabilitated water supply points </t>
  </si>
  <si>
    <r>
      <t xml:space="preserve">20 people/ shared latrine.  
500 shared latrines were built serving 9,000 beneficiaries in Village A and 1,000 in Village B (20 </t>
    </r>
    <r>
      <rPr>
        <sz val="11"/>
        <color rgb="FF0000FF"/>
        <rFont val="Calibri"/>
        <family val="2"/>
      </rPr>
      <t>ppl</t>
    </r>
    <r>
      <rPr>
        <sz val="11"/>
        <color rgb="FF000000"/>
        <rFont val="Calibri"/>
        <family val="2"/>
      </rPr>
      <t xml:space="preserve"> X 500 </t>
    </r>
    <r>
      <rPr>
        <sz val="11"/>
        <color rgb="FF0000FF"/>
        <rFont val="Calibri"/>
        <family val="2"/>
      </rPr>
      <t>latrines</t>
    </r>
    <r>
      <rPr>
        <sz val="11"/>
        <color rgb="FF000000"/>
        <rFont val="Calibri"/>
        <family val="2"/>
      </rPr>
      <t xml:space="preserve">= 10,000 </t>
    </r>
    <r>
      <rPr>
        <sz val="11"/>
        <color rgb="FF0000FF"/>
        <rFont val="Calibri"/>
        <family val="2"/>
      </rPr>
      <t>ppl in 2 villages)</t>
    </r>
    <r>
      <rPr>
        <sz val="11"/>
        <color rgb="FF000000"/>
        <rFont val="Calibri"/>
        <family val="2"/>
      </rPr>
      <t>. Village A and B beneficiaries are already captured under global indicator P030200.</t>
    </r>
  </si>
  <si>
    <r>
      <t xml:space="preserve">● 50 people/ communal latrine. 8 communal latrines were built.  
● Zero (0) has been recorded because 400 beneficiaries have been captured for the project from village A and village B under global indicator series P030200.          
● With respect to this global series (P030600), </t>
    </r>
    <r>
      <rPr>
        <sz val="11"/>
        <color rgb="FFFF0000"/>
        <rFont val="Calibri"/>
        <family val="2"/>
      </rPr>
      <t>50 beneficiaries from village B are captured in the 400 under indicator P030602:</t>
    </r>
    <r>
      <rPr>
        <sz val="11"/>
        <color theme="1"/>
        <rFont val="Calibri"/>
        <family val="2"/>
      </rPr>
      <t xml:space="preserve"> # of people with access to institutional/communal latrines constructed, </t>
    </r>
    <r>
      <rPr>
        <i/>
        <sz val="11"/>
        <color rgb="FFFF0000"/>
        <rFont val="Calibri"/>
        <family val="2"/>
      </rPr>
      <t>but are not captured</t>
    </r>
    <r>
      <rPr>
        <sz val="11"/>
        <color rgb="FFFF0000"/>
        <rFont val="Calibri"/>
        <family val="2"/>
      </rPr>
      <t xml:space="preserve"> under the above activity P030601</t>
    </r>
    <r>
      <rPr>
        <sz val="11"/>
        <color theme="1"/>
        <rFont val="Calibri"/>
        <family val="2"/>
      </rPr>
      <t xml:space="preserve"> (# of people with access to HH latrines constructed).    
● Therefore 50 additional people will be applied to global indicator P030600 # of people with access to latrines, while avoiding recording 50 in the "Actual unique beneficiaries per project" column to prevent double counting when calculating the total value for the project.
</t>
    </r>
  </si>
  <si>
    <r>
      <t xml:space="preserve">Total (3,750 F, 3,750M) </t>
    </r>
    <r>
      <rPr>
        <sz val="11"/>
        <color rgb="FF3333FF"/>
        <rFont val="Calibri"/>
        <family val="2"/>
        <scheme val="minor"/>
      </rPr>
      <t>gender breakdown for global</t>
    </r>
  </si>
  <si>
    <t>already captured under previous global indicators</t>
  </si>
  <si>
    <t xml:space="preserve">Total Project Unique Beneficiaries (GENDER) </t>
  </si>
  <si>
    <t>950 of the 2500 children receiving BSF were previously captured under TSFP</t>
  </si>
  <si>
    <r>
      <t xml:space="preserve"># of PLWs with moderate acute malnutrition (MAM) that were </t>
    </r>
    <r>
      <rPr>
        <b/>
        <sz val="11"/>
        <color rgb="FF3333FF"/>
        <rFont val="Calibri"/>
        <family val="2"/>
      </rPr>
      <t xml:space="preserve">new </t>
    </r>
    <r>
      <rPr>
        <sz val="11"/>
        <color rgb="FF3333FF"/>
        <rFont val="Calibri"/>
        <family val="2"/>
      </rPr>
      <t>admissions to the targeted supplementary feeding program (TSFP)</t>
    </r>
  </si>
  <si>
    <t>PLWs were not captured under in U2 TSFP under indicator P040103</t>
  </si>
  <si>
    <t>475 PLW were already accounted for under TSFP indicator P040104</t>
  </si>
  <si>
    <r>
      <t xml:space="preserve">Total (2,750 F, 1,000 M) </t>
    </r>
    <r>
      <rPr>
        <sz val="14"/>
        <color rgb="FF3333FF"/>
        <rFont val="Calibri"/>
        <family val="2"/>
        <scheme val="minor"/>
      </rPr>
      <t>gender breakdown for global</t>
    </r>
  </si>
  <si>
    <t>Total (1,256 F, 0 M) gender breakdown for global</t>
  </si>
  <si>
    <r>
      <rPr>
        <b/>
        <sz val="20"/>
        <color rgb="FF000000"/>
        <rFont val="Calibri"/>
        <family val="2"/>
        <scheme val="minor"/>
      </rPr>
      <t xml:space="preserve">Samaritan's Purse Monitoring Tools: Version </t>
    </r>
    <r>
      <rPr>
        <b/>
        <sz val="20"/>
        <color rgb="FF0000FF"/>
        <rFont val="Calibri"/>
        <family val="2"/>
        <scheme val="minor"/>
      </rPr>
      <t xml:space="preserve">9
</t>
    </r>
    <r>
      <rPr>
        <b/>
        <sz val="16"/>
        <color rgb="FF000000"/>
        <rFont val="Calibri"/>
        <family val="2"/>
        <scheme val="minor"/>
      </rPr>
      <t>Guidance for using these tools</t>
    </r>
  </si>
  <si>
    <r>
      <rPr>
        <b/>
        <sz val="11"/>
        <color rgb="FF000000"/>
        <rFont val="Calibri"/>
        <family val="2"/>
        <scheme val="minor"/>
      </rPr>
      <t xml:space="preserve">Purpose of these tools: </t>
    </r>
    <r>
      <rPr>
        <sz val="11"/>
        <color rgb="FF000000"/>
        <rFont val="Calibri"/>
        <family val="2"/>
        <scheme val="minor"/>
      </rPr>
      <t xml:space="preserve">These monitoring tools are designed to assist in the design and management of projects in our field offices and with partners. They provide standard templates to be used by individual projects but also allow for aggregation of data across the ministry of Samaritan's Purse. </t>
    </r>
    <r>
      <rPr>
        <sz val="11"/>
        <color rgb="FF0000FF"/>
        <rFont val="Calibri"/>
        <family val="2"/>
        <scheme val="minor"/>
      </rPr>
      <t>The Logframe and Beneficiary Counting tabs must be completed prior to IHQ review. The Gantt Chart is optional, and field offices are welcome to use their own template if preferred. Beneficiary Indicator and People Indicator tabs must be filled out after IHQ review and final copy sent to AMT for filing.</t>
    </r>
  </si>
  <si>
    <r>
      <t>revised language to include updates for proposal season and alignment with Policy changes "</t>
    </r>
    <r>
      <rPr>
        <i/>
        <sz val="11"/>
        <color rgb="FF000000"/>
        <rFont val="Calibri"/>
        <family val="2"/>
      </rPr>
      <t>The Logframe and Beneficiary Counting tabs must be completed prior to IHQ review. The Gantt Chart is optional, and field offices are welcome to use their own template if preferred. Beneficiary Indicator and People Indicator tabs must be filled out after IHQ review and final copy sent to AMT for filing."</t>
    </r>
  </si>
  <si>
    <t>review changes in blue font.</t>
  </si>
  <si>
    <t>moved instruction from guidance tab into the tab of interest.  Text was place in text box so that instructions are seen before the user engages with the worksheet.</t>
  </si>
  <si>
    <t>These are the PLWs who are  are already captured under P040106 PLWs received BSFP</t>
  </si>
  <si>
    <r>
      <t xml:space="preserve">6 </t>
    </r>
    <r>
      <rPr>
        <sz val="11"/>
        <color rgb="FFFF0000"/>
        <rFont val="Calibri"/>
        <family val="2"/>
        <scheme val="minor"/>
      </rPr>
      <t xml:space="preserve">new </t>
    </r>
    <r>
      <rPr>
        <sz val="11"/>
        <color rgb="FF000000"/>
        <rFont val="Calibri"/>
        <family val="2"/>
      </rPr>
      <t>mothers</t>
    </r>
    <r>
      <rPr>
        <sz val="11"/>
        <color rgb="FF3333FF"/>
        <rFont val="Calibri"/>
        <family val="2"/>
      </rPr>
      <t xml:space="preserve"> recieving</t>
    </r>
    <r>
      <rPr>
        <sz val="11"/>
        <color rgb="FF000000"/>
        <rFont val="Calibri"/>
        <family val="2"/>
      </rPr>
      <t xml:space="preserve"> lactation support</t>
    </r>
  </si>
  <si>
    <t># of beneficiaries of acute malnutrition services</t>
  </si>
  <si>
    <t>copy edit changes made, reworded sections to be more concise, grammar edits, etc.</t>
  </si>
  <si>
    <r>
      <rPr>
        <b/>
        <sz val="11"/>
        <color rgb="FF000000"/>
        <rFont val="Calibri"/>
        <family val="2"/>
      </rPr>
      <t>Method of data collection-</t>
    </r>
    <r>
      <rPr>
        <sz val="11"/>
        <color rgb="FF000000"/>
        <rFont val="Calibri"/>
        <family val="2"/>
      </rPr>
      <t xml:space="preserve"> What data collection tools (i.e., site visit templates per positions, attendance sheets, beneficiary lists, schedule tracker, Detailed Implementation Plan [DIP], coverage calculator, activity budget, water point tracker, Beneficiary Feedback Mechanism, etc.) will you be employing to measure outcomes and activities? For your own internal design process, consider mapping out what tools are associated with activities in the Gantt chart to ensure effective and efficient activity implementation. If you find gaps in tools needed, consider updating your Gantt chart to account for creation of said tools.</t>
    </r>
  </si>
  <si>
    <r>
      <rPr>
        <b/>
        <sz val="11"/>
        <color rgb="FF000000"/>
        <rFont val="Calibri"/>
        <family val="2"/>
      </rPr>
      <t xml:space="preserve">Assumptions- </t>
    </r>
    <r>
      <rPr>
        <sz val="11"/>
        <color rgb="FF000000"/>
        <rFont val="Calibri"/>
        <family val="2"/>
      </rPr>
      <t xml:space="preserve">Please put assumptions which are conditions or resources that are outside the direct control of the project management, but nevertheless must be met for progress to be made toward the eventual achievement of the long-term goal. If multiple activity indicators share the same assumption, feel free to merge cells. </t>
    </r>
  </si>
  <si>
    <t>logframe tab</t>
  </si>
  <si>
    <t>added multi-picklist feature to method of data collection column J</t>
  </si>
  <si>
    <t>Benefit tab</t>
  </si>
  <si>
    <t>Method of data collection column R was updated to populate from the lograme tab</t>
  </si>
  <si>
    <t>no action required, FYI only</t>
  </si>
  <si>
    <t>People tab</t>
  </si>
  <si>
    <t>Method of data collection column T was updated to populate from the lograme tab</t>
  </si>
  <si>
    <t># of bathing shelters constructed</t>
  </si>
  <si>
    <r>
      <t xml:space="preserve"># of </t>
    </r>
    <r>
      <rPr>
        <sz val="11"/>
        <color rgb="FFFF0000"/>
        <rFont val="Calibri"/>
        <family val="2"/>
      </rPr>
      <t>of</t>
    </r>
    <r>
      <rPr>
        <sz val="11"/>
        <color theme="1"/>
        <rFont val="Calibri"/>
        <family val="2"/>
      </rPr>
      <t xml:space="preserve"> people with access to water from other water points/water systems repaired/rehabilitated (please specify type) </t>
    </r>
  </si>
  <si>
    <t># of people provided with FFW food</t>
  </si>
  <si>
    <t># of permanent structures that recieved renovations/repairs (disaggregate by type of building)</t>
  </si>
  <si>
    <t># of people that received micronutrient supplements</t>
  </si>
  <si>
    <t>B081400</t>
  </si>
  <si>
    <t>P081500</t>
  </si>
  <si>
    <t>P081802</t>
  </si>
  <si>
    <t>P081803</t>
  </si>
  <si>
    <t>P081804</t>
  </si>
  <si>
    <t>B060512</t>
  </si>
  <si>
    <t># of people provided with outpatient communicable disease consultations</t>
  </si>
  <si>
    <t xml:space="preserve"># of people assisted through conditional restrictive voucher disbursements </t>
  </si>
  <si>
    <t># of people assisted through unconditional restrictive voucher disbursements</t>
  </si>
  <si>
    <t xml:space="preserve"># of people assisted through unconditional unrestrictive voucher disbursements </t>
  </si>
  <si>
    <t>Activity Description</t>
  </si>
  <si>
    <t>Activity Code</t>
  </si>
  <si>
    <t>Project Start Date:</t>
  </si>
  <si>
    <t>Activity Level</t>
  </si>
  <si>
    <t>Days</t>
  </si>
  <si>
    <t>Main Activity</t>
  </si>
  <si>
    <t>Sub Activity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</si>
</sst>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yyyy"/>
    <numFmt numFmtId="165" formatCode="mmm"/>
  </numFmts>
  <fonts count="103"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rgb="FF000000"/>
      <name val="Calibri"/>
      <family val="2"/>
    </font>
    <font>
      <sz val="10"/>
      <color rgb="FF000000"/>
      <name val="Calibri"/>
      <family val="2"/>
    </font>
    <font>
      <sz val="10"/>
      <color rgb="FFFF0000"/>
      <name val="Calibri"/>
      <family val="2"/>
    </font>
    <font>
      <sz val="9"/>
      <color indexed="81"/>
      <name val="Tahoma"/>
      <family val="2"/>
    </font>
    <font>
      <b/>
      <sz val="9"/>
      <color indexed="81"/>
      <name val="Tahoma"/>
      <family val="2"/>
    </font>
    <font>
      <sz val="10"/>
      <color theme="1"/>
      <name val="Calibri"/>
      <family val="2"/>
    </font>
    <font>
      <b/>
      <sz val="11"/>
      <color rgb="FF000000"/>
      <name val="Calibri"/>
      <family val="2"/>
    </font>
    <font>
      <sz val="11"/>
      <color rgb="FF000000"/>
      <name val="Calibri"/>
      <family val="2"/>
    </font>
    <font>
      <b/>
      <sz val="11"/>
      <color theme="1"/>
      <name val="Calibri"/>
      <family val="2"/>
    </font>
    <font>
      <b/>
      <sz val="14"/>
      <name val="Calibri"/>
      <family val="2"/>
    </font>
    <font>
      <sz val="11"/>
      <color rgb="FF000000"/>
      <name val="Calibri"/>
      <family val="2"/>
    </font>
    <font>
      <b/>
      <sz val="11"/>
      <color theme="1"/>
      <name val="Calibri"/>
      <family val="2"/>
      <scheme val="minor"/>
    </font>
    <font>
      <sz val="11"/>
      <color theme="1"/>
      <name val="Calibri"/>
      <family val="2"/>
    </font>
    <font>
      <sz val="11"/>
      <name val="Calibri"/>
      <family val="2"/>
      <scheme val="minor"/>
    </font>
    <font>
      <b/>
      <sz val="11"/>
      <name val="Calibri"/>
      <family val="2"/>
      <scheme val="minor"/>
    </font>
    <font>
      <b/>
      <sz val="11"/>
      <color rgb="FF0000FF"/>
      <name val="Calibri"/>
      <family val="2"/>
      <scheme val="minor"/>
    </font>
    <font>
      <sz val="11"/>
      <color rgb="FF0000FF"/>
      <name val="Calibri"/>
      <family val="2"/>
      <scheme val="minor"/>
    </font>
    <font>
      <b/>
      <sz val="9"/>
      <color theme="1"/>
      <name val="Arial"/>
      <family val="2"/>
    </font>
    <font>
      <sz val="10"/>
      <name val="Arial"/>
      <family val="2"/>
    </font>
    <font>
      <b/>
      <i/>
      <sz val="9"/>
      <color theme="1"/>
      <name val="Arial"/>
      <family val="2"/>
    </font>
    <font>
      <sz val="9"/>
      <color theme="1"/>
      <name val="Calibri"/>
      <family val="2"/>
      <scheme val="minor"/>
    </font>
    <font>
      <sz val="9"/>
      <color rgb="FF000000"/>
      <name val="Calibri"/>
      <family val="2"/>
    </font>
    <font>
      <sz val="9"/>
      <color theme="1"/>
      <name val="Arial"/>
      <family val="2"/>
    </font>
    <font>
      <b/>
      <sz val="9"/>
      <color theme="1"/>
      <name val="Calibri"/>
      <family val="2"/>
      <scheme val="minor"/>
    </font>
    <font>
      <b/>
      <sz val="9"/>
      <name val="Calibri"/>
      <family val="2"/>
      <scheme val="minor"/>
    </font>
    <font>
      <b/>
      <sz val="11"/>
      <color rgb="FF000000"/>
      <name val="Calibri"/>
      <family val="2"/>
      <scheme val="minor"/>
    </font>
    <font>
      <sz val="11"/>
      <color rgb="FF000000"/>
      <name val="Calibri"/>
      <family val="2"/>
      <scheme val="minor"/>
    </font>
    <font>
      <sz val="11"/>
      <color rgb="FF000000"/>
      <name val="Calibri"/>
      <family val="2"/>
    </font>
    <font>
      <sz val="11"/>
      <color rgb="FF006100"/>
      <name val="Calibri"/>
      <family val="2"/>
      <scheme val="minor"/>
    </font>
    <font>
      <sz val="11"/>
      <color rgb="FFFF0000"/>
      <name val="Calibri"/>
      <family val="2"/>
      <scheme val="minor"/>
    </font>
    <font>
      <b/>
      <sz val="11"/>
      <color rgb="FFFF0000"/>
      <name val="Calibri"/>
      <family val="2"/>
      <scheme val="minor"/>
    </font>
    <font>
      <i/>
      <sz val="11"/>
      <color theme="1"/>
      <name val="Calibri"/>
      <family val="2"/>
      <scheme val="minor"/>
    </font>
    <font>
      <sz val="11"/>
      <color rgb="FF00B050"/>
      <name val="Calibri"/>
      <family val="2"/>
      <scheme val="minor"/>
    </font>
    <font>
      <b/>
      <sz val="11"/>
      <color rgb="FF00B050"/>
      <name val="Calibri"/>
      <family val="2"/>
      <scheme val="minor"/>
    </font>
    <font>
      <b/>
      <sz val="11"/>
      <color rgb="FF3333FF"/>
      <name val="Calibri"/>
      <family val="2"/>
      <scheme val="minor"/>
    </font>
    <font>
      <sz val="11"/>
      <color rgb="FF3333FF"/>
      <name val="Calibri"/>
      <family val="2"/>
      <scheme val="minor"/>
    </font>
    <font>
      <b/>
      <strike/>
      <sz val="11"/>
      <color rgb="FF0000FF"/>
      <name val="Calibri"/>
      <family val="2"/>
      <scheme val="minor"/>
    </font>
    <font>
      <strike/>
      <sz val="11"/>
      <color theme="1"/>
      <name val="Calibri"/>
      <family val="2"/>
      <scheme val="minor"/>
    </font>
    <font>
      <sz val="10"/>
      <color theme="1"/>
      <name val="Calibri"/>
      <family val="2"/>
      <scheme val="minor"/>
    </font>
    <font>
      <sz val="10"/>
      <color rgb="FFFF0000"/>
      <name val="Calibri"/>
      <family val="2"/>
      <scheme val="minor"/>
    </font>
    <font>
      <sz val="9"/>
      <color rgb="FFFF0000"/>
      <name val="Calibri"/>
      <family val="2"/>
    </font>
    <font>
      <b/>
      <sz val="16"/>
      <color theme="1"/>
      <name val="Calibri"/>
      <family val="2"/>
      <scheme val="minor"/>
    </font>
    <font>
      <sz val="9"/>
      <color theme="1"/>
      <name val="Calibri"/>
      <family val="2"/>
    </font>
    <font>
      <i/>
      <sz val="11"/>
      <color rgb="FFFF0000"/>
      <name val="Calibri"/>
      <family val="2"/>
    </font>
    <font>
      <u/>
      <sz val="11"/>
      <name val="Calibri"/>
      <family val="2"/>
      <scheme val="minor"/>
    </font>
    <font>
      <sz val="11"/>
      <color rgb="FFFF0000"/>
      <name val="Calibri"/>
      <family val="2"/>
    </font>
    <font>
      <b/>
      <sz val="11"/>
      <color rgb="FFFF0000"/>
      <name val="Calibri"/>
      <family val="2"/>
    </font>
    <font>
      <b/>
      <sz val="16"/>
      <name val="Calibri"/>
      <family val="2"/>
      <scheme val="minor"/>
    </font>
    <font>
      <sz val="11"/>
      <name val="Calibri"/>
      <family val="2"/>
    </font>
    <font>
      <b/>
      <sz val="11"/>
      <name val="Calibri"/>
      <family val="2"/>
    </font>
    <font>
      <i/>
      <sz val="11"/>
      <name val="Calibri"/>
      <family val="2"/>
    </font>
    <font>
      <u/>
      <sz val="11"/>
      <name val="Calibri"/>
      <family val="2"/>
    </font>
    <font>
      <i/>
      <sz val="11"/>
      <color rgb="FFFF0000"/>
      <name val="Calibri"/>
      <family val="2"/>
      <scheme val="minor"/>
    </font>
    <font>
      <sz val="11"/>
      <color theme="0"/>
      <name val="Calibri"/>
      <family val="2"/>
      <scheme val="minor"/>
    </font>
    <font>
      <b/>
      <sz val="14"/>
      <color rgb="FF000000"/>
      <name val="Calibri"/>
      <family val="2"/>
      <scheme val="minor"/>
    </font>
    <font>
      <b/>
      <sz val="14"/>
      <color theme="1"/>
      <name val="Calibri"/>
      <family val="2"/>
      <scheme val="minor"/>
    </font>
    <font>
      <b/>
      <sz val="14"/>
      <color rgb="FFFFFF00"/>
      <name val="Calibri"/>
      <family val="2"/>
      <scheme val="minor"/>
    </font>
    <font>
      <b/>
      <sz val="14"/>
      <name val="Calibri"/>
      <family val="2"/>
      <scheme val="minor"/>
    </font>
    <font>
      <sz val="14"/>
      <color theme="1"/>
      <name val="Calibri"/>
      <family val="2"/>
      <scheme val="minor"/>
    </font>
    <font>
      <i/>
      <sz val="11"/>
      <color theme="1"/>
      <name val="Calibri"/>
      <family val="2"/>
    </font>
    <font>
      <b/>
      <sz val="12"/>
      <color theme="1"/>
      <name val="Calibri"/>
      <family val="2"/>
      <scheme val="minor"/>
    </font>
    <font>
      <sz val="8"/>
      <color rgb="FF000000"/>
      <name val="Times New Roman"/>
      <family val="1"/>
    </font>
    <font>
      <i/>
      <sz val="10"/>
      <color rgb="FFFF0000"/>
      <name val="Calibri"/>
      <family val="2"/>
    </font>
    <font>
      <b/>
      <sz val="11"/>
      <color rgb="FFFFFF00"/>
      <name val="Calibri"/>
      <family val="2"/>
    </font>
    <font>
      <i/>
      <sz val="11"/>
      <color rgb="FF0000FF"/>
      <name val="Calibri"/>
      <family val="2"/>
    </font>
    <font>
      <i/>
      <sz val="11"/>
      <color rgb="FF000000"/>
      <name val="Calibri"/>
      <family val="2"/>
    </font>
    <font>
      <sz val="14"/>
      <name val="Calibri"/>
      <family val="2"/>
      <scheme val="minor"/>
    </font>
    <font>
      <sz val="11"/>
      <color rgb="FF0000FF"/>
      <name val="Calibri"/>
      <family val="2"/>
    </font>
    <font>
      <sz val="11"/>
      <color rgb="FF3333FF"/>
      <name val="Calibri"/>
      <family val="2"/>
    </font>
    <font>
      <sz val="12"/>
      <name val="Calibri"/>
      <family val="2"/>
      <scheme val="minor"/>
    </font>
    <font>
      <sz val="16"/>
      <name val="Calibri"/>
      <family val="2"/>
      <scheme val="minor"/>
    </font>
    <font>
      <b/>
      <sz val="12"/>
      <name val="Calibri"/>
      <family val="2"/>
      <scheme val="minor"/>
    </font>
    <font>
      <b/>
      <sz val="14"/>
      <color rgb="FF00FFFF"/>
      <name val="Calibri"/>
      <family val="2"/>
      <scheme val="minor"/>
    </font>
    <font>
      <b/>
      <sz val="16"/>
      <color rgb="FF3333FF"/>
      <name val="Calibri"/>
      <family val="2"/>
      <scheme val="minor"/>
    </font>
    <font>
      <b/>
      <sz val="20"/>
      <color rgb="FF000000"/>
      <name val="Calibri"/>
      <family val="2"/>
      <scheme val="minor"/>
    </font>
    <font>
      <b/>
      <sz val="20"/>
      <color rgb="FF0000FF"/>
      <name val="Calibri"/>
      <family val="2"/>
      <scheme val="minor"/>
    </font>
    <font>
      <b/>
      <sz val="16"/>
      <color rgb="FF000000"/>
      <name val="Calibri"/>
      <family val="2"/>
      <scheme val="minor"/>
    </font>
    <font>
      <b/>
      <sz val="12"/>
      <color rgb="FF000000"/>
      <name val="Calibri"/>
      <family val="2"/>
      <scheme val="minor"/>
    </font>
    <font>
      <b/>
      <sz val="12"/>
      <color rgb="FF0000FF"/>
      <name val="Calibri"/>
      <family val="2"/>
      <scheme val="minor"/>
    </font>
    <font>
      <b/>
      <sz val="12"/>
      <color theme="1"/>
      <name val="Calibri"/>
      <family val="2"/>
      <scheme val="minor"/>
    </font>
    <font>
      <b/>
      <sz val="11"/>
      <color rgb="FF000000"/>
      <name val="Calibri"/>
      <family val="2"/>
      <scheme val="minor"/>
    </font>
    <font>
      <sz val="11"/>
      <color rgb="FF000000"/>
      <name val="Calibri"/>
      <family val="2"/>
      <scheme val="minor"/>
    </font>
    <font>
      <b/>
      <sz val="11"/>
      <color rgb="FF000000"/>
      <name val="Calibri"/>
      <family val="2"/>
    </font>
    <font>
      <b/>
      <sz val="14"/>
      <color rgb="FF3333FF"/>
      <name val="Calibri"/>
      <family val="2"/>
      <scheme val="minor"/>
    </font>
    <font>
      <b/>
      <sz val="14"/>
      <color rgb="FF0000FF"/>
      <name val="Calibri"/>
      <family val="2"/>
      <scheme val="minor"/>
    </font>
    <font>
      <sz val="14"/>
      <color indexed="81"/>
      <name val="Tahoma"/>
      <family val="2"/>
    </font>
    <font>
      <b/>
      <sz val="14"/>
      <color theme="8"/>
      <name val="Calibri"/>
      <family val="2"/>
      <scheme val="minor"/>
    </font>
    <font>
      <sz val="11"/>
      <color theme="8" tint="0.59999389629810485"/>
      <name val="Calibri"/>
      <family val="2"/>
    </font>
    <font>
      <sz val="11"/>
      <color theme="8" tint="0.79998168889431442"/>
      <name val="Calibri"/>
      <family val="2"/>
    </font>
    <font>
      <b/>
      <sz val="14"/>
      <color indexed="81"/>
      <name val="Tahoma"/>
      <family val="2"/>
    </font>
    <font>
      <sz val="12"/>
      <color rgb="FF0000FF"/>
      <name val="Calibri"/>
      <family val="2"/>
      <scheme val="minor"/>
    </font>
    <font>
      <b/>
      <sz val="11"/>
      <color rgb="FF3333FF"/>
      <name val="Calibri"/>
      <family val="2"/>
    </font>
    <font>
      <sz val="14"/>
      <color rgb="FF3333FF"/>
      <name val="Calibri"/>
      <family val="2"/>
      <scheme val="minor"/>
    </font>
    <font>
      <i/>
      <sz val="16"/>
      <color theme="1" tint="0.499984740745262"/>
      <name val="Calibri"/>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4" tint="0.79998168889431442"/>
        <bgColor rgb="FFD6E3BC"/>
      </patternFill>
    </fill>
    <fill>
      <patternFill patternType="solid">
        <fgColor theme="1"/>
        <bgColor indexed="64"/>
      </patternFill>
    </fill>
    <fill>
      <patternFill patternType="solid">
        <fgColor rgb="FFC6EFCE"/>
      </patternFill>
    </fill>
    <fill>
      <patternFill patternType="solid">
        <fgColor rgb="FFFFFF00"/>
        <bgColor indexed="64"/>
      </patternFill>
    </fill>
    <fill>
      <patternFill patternType="solid">
        <fgColor theme="0"/>
        <bgColor indexed="64"/>
      </patternFill>
    </fill>
    <fill>
      <patternFill patternType="solid">
        <fgColor theme="7" tint="-0.249977111117893"/>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FAB7"/>
        <bgColor indexed="64"/>
      </patternFill>
    </fill>
    <fill>
      <patternFill patternType="solid">
        <fgColor rgb="FFD9D9D9"/>
        <bgColor indexed="64"/>
      </patternFill>
    </fill>
    <fill>
      <patternFill patternType="solid">
        <fgColor theme="8" tint="0.79998168889431442"/>
        <bgColor indexed="64"/>
      </patternFill>
    </fill>
    <fill>
      <patternFill patternType="solid">
        <fgColor theme="8"/>
        <bgColor theme="8"/>
      </patternFill>
    </fill>
    <fill>
      <patternFill patternType="solid">
        <fgColor theme="4"/>
        <bgColor indexed="64"/>
      </patternFill>
    </fill>
    <fill>
      <patternFill patternType="solid">
        <fgColor theme="9"/>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rgb="FFD4F5F4"/>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2" tint="-9.9978637043366805E-2"/>
        <bgColor indexed="64"/>
      </patternFill>
    </fill>
  </fills>
  <borders count="201">
    <border>
      <left/>
      <right/>
      <top/>
      <bottom/>
      <diagonal/>
    </border>
    <border>
      <left/>
      <right/>
      <top style="medium">
        <color rgb="FF000000"/>
      </top>
      <bottom style="medium">
        <color rgb="FF000000"/>
      </bottom>
      <diagonal/>
    </border>
    <border>
      <left/>
      <right/>
      <top/>
      <bottom/>
      <diagonal/>
    </border>
    <border>
      <left/>
      <right/>
      <top style="medium">
        <color rgb="FF000000"/>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rgb="FF000000"/>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medium">
        <color indexed="64"/>
      </left>
      <right style="thin">
        <color theme="0" tint="-0.499984740745262"/>
      </right>
      <top style="thin">
        <color indexed="64"/>
      </top>
      <bottom/>
      <diagonal/>
    </border>
    <border>
      <left style="medium">
        <color indexed="64"/>
      </left>
      <right style="thin">
        <color theme="0" tint="-0.499984740745262"/>
      </right>
      <top/>
      <bottom style="medium">
        <color indexed="64"/>
      </bottom>
      <diagonal/>
    </border>
    <border>
      <left style="medium">
        <color indexed="64"/>
      </left>
      <right style="thin">
        <color theme="0" tint="-0.499984740745262"/>
      </right>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indexed="64"/>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style="medium">
        <color indexed="64"/>
      </right>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right style="medium">
        <color indexed="64"/>
      </right>
      <top style="thin">
        <color theme="0" tint="-0.499984740745262"/>
      </top>
      <bottom style="thin">
        <color theme="0" tint="-0.499984740745262"/>
      </bottom>
      <diagonal/>
    </border>
    <border>
      <left style="thin">
        <color indexed="64"/>
      </left>
      <right style="medium">
        <color indexed="64"/>
      </right>
      <top style="thin">
        <color theme="0" tint="-0.499984740745262"/>
      </top>
      <bottom style="thin">
        <color theme="0" tint="-0.499984740745262"/>
      </bottom>
      <diagonal/>
    </border>
    <border>
      <left style="thin">
        <color indexed="64"/>
      </left>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theme="1"/>
      </bottom>
      <diagonal/>
    </border>
    <border>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right style="medium">
        <color indexed="64"/>
      </right>
      <top style="thin">
        <color theme="0" tint="-0.499984740745262"/>
      </top>
      <bottom style="medium">
        <color theme="1"/>
      </bottom>
      <diagonal/>
    </border>
    <border>
      <left style="medium">
        <color indexed="64"/>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right style="medium">
        <color indexed="64"/>
      </right>
      <top style="thin">
        <color theme="0" tint="-0.499984740745262"/>
      </top>
      <bottom/>
      <diagonal/>
    </border>
    <border>
      <left style="thin">
        <color indexed="64"/>
      </left>
      <right style="thin">
        <color indexed="64"/>
      </right>
      <top style="medium">
        <color theme="1"/>
      </top>
      <bottom/>
      <diagonal/>
    </border>
    <border>
      <left style="medium">
        <color theme="1"/>
      </left>
      <right style="thin">
        <color indexed="64"/>
      </right>
      <top/>
      <bottom/>
      <diagonal/>
    </border>
    <border>
      <left style="medium">
        <color theme="1"/>
      </left>
      <right style="thin">
        <color indexed="64"/>
      </right>
      <top/>
      <bottom style="medium">
        <color theme="1"/>
      </bottom>
      <diagonal/>
    </border>
    <border>
      <left style="thin">
        <color indexed="64"/>
      </left>
      <right style="thin">
        <color indexed="64"/>
      </right>
      <top/>
      <bottom style="medium">
        <color theme="1"/>
      </bottom>
      <diagonal/>
    </border>
    <border>
      <left/>
      <right/>
      <top/>
      <bottom style="medium">
        <color theme="1"/>
      </bottom>
      <diagonal/>
    </border>
    <border>
      <left style="medium">
        <color indexed="64"/>
      </left>
      <right/>
      <top style="medium">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theme="1"/>
      </top>
      <bottom style="thin">
        <color theme="0" tint="-0.499984740745262"/>
      </bottom>
      <diagonal/>
    </border>
    <border>
      <left/>
      <right/>
      <top style="thin">
        <color theme="1"/>
      </top>
      <bottom style="thin">
        <color theme="0" tint="-0.499984740745262"/>
      </bottom>
      <diagonal/>
    </border>
    <border>
      <left/>
      <right style="medium">
        <color indexed="64"/>
      </right>
      <top style="thin">
        <color theme="1"/>
      </top>
      <bottom style="thin">
        <color theme="0" tint="-0.499984740745262"/>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theme="0" tint="-0.499984740745262"/>
      </bottom>
      <diagonal/>
    </border>
    <border>
      <left/>
      <right/>
      <top/>
      <bottom style="thin">
        <color theme="0" tint="-0.499984740745262"/>
      </bottom>
      <diagonal/>
    </border>
    <border>
      <left style="medium">
        <color indexed="64"/>
      </left>
      <right/>
      <top style="medium">
        <color indexed="64"/>
      </top>
      <bottom style="medium">
        <color indexed="64"/>
      </bottom>
      <diagonal/>
    </border>
    <border>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indexed="64"/>
      </left>
      <right style="medium">
        <color indexed="64"/>
      </right>
      <top style="medium">
        <color indexed="64"/>
      </top>
      <bottom/>
      <diagonal/>
    </border>
    <border>
      <left style="medium">
        <color theme="1"/>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theme="1"/>
      </bottom>
      <diagonal/>
    </border>
    <border>
      <left style="thin">
        <color indexed="64"/>
      </left>
      <right/>
      <top style="medium">
        <color rgb="FF000000"/>
      </top>
      <bottom style="medium">
        <color indexed="64"/>
      </bottom>
      <diagonal/>
    </border>
    <border>
      <left style="thin">
        <color indexed="64"/>
      </left>
      <right style="medium">
        <color indexed="64"/>
      </right>
      <top style="medium">
        <color rgb="FF000000"/>
      </top>
      <bottom style="medium">
        <color indexed="64"/>
      </bottom>
      <diagonal/>
    </border>
    <border>
      <left style="medium">
        <color indexed="64"/>
      </left>
      <right style="thin">
        <color indexed="64"/>
      </right>
      <top/>
      <bottom style="medium">
        <color indexed="64"/>
      </bottom>
      <diagonal/>
    </border>
    <border>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theme="1"/>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medium">
        <color theme="1"/>
      </top>
      <bottom style="thin">
        <color indexed="64"/>
      </bottom>
      <diagonal/>
    </border>
    <border>
      <left style="thin">
        <color theme="1"/>
      </left>
      <right style="thin">
        <color theme="1"/>
      </right>
      <top style="thin">
        <color theme="1"/>
      </top>
      <bottom/>
      <diagonal/>
    </border>
    <border>
      <left style="thin">
        <color indexed="64"/>
      </left>
      <right/>
      <top style="thin">
        <color indexed="64"/>
      </top>
      <bottom style="medium">
        <color indexed="64"/>
      </bottom>
      <diagonal/>
    </border>
    <border>
      <left style="medium">
        <color indexed="64"/>
      </left>
      <right style="thin">
        <color indexed="64"/>
      </right>
      <top style="medium">
        <color theme="1"/>
      </top>
      <bottom/>
      <diagonal/>
    </border>
    <border>
      <left style="thin">
        <color indexed="64"/>
      </left>
      <right style="thin">
        <color indexed="64"/>
      </right>
      <top style="thin">
        <color indexed="64"/>
      </top>
      <bottom style="medium">
        <color theme="1"/>
      </bottom>
      <diagonal/>
    </border>
    <border>
      <left/>
      <right style="thin">
        <color indexed="64"/>
      </right>
      <top style="medium">
        <color indexed="64"/>
      </top>
      <bottom style="medium">
        <color indexed="64"/>
      </bottom>
      <diagonal/>
    </border>
    <border>
      <left style="thin">
        <color indexed="64"/>
      </left>
      <right style="thin">
        <color indexed="64"/>
      </right>
      <top style="medium">
        <color theme="1"/>
      </top>
      <bottom style="medium">
        <color theme="1"/>
      </bottom>
      <diagonal/>
    </border>
    <border>
      <left/>
      <right style="medium">
        <color indexed="64"/>
      </right>
      <top/>
      <bottom style="thin">
        <color indexed="64"/>
      </bottom>
      <diagonal/>
    </border>
    <border>
      <left/>
      <right/>
      <top style="medium">
        <color theme="1"/>
      </top>
      <bottom/>
      <diagonal/>
    </border>
    <border>
      <left/>
      <right/>
      <top style="thin">
        <color theme="0" tint="-0.499984740745262"/>
      </top>
      <bottom style="thin">
        <color theme="0" tint="-0.499984740745262"/>
      </bottom>
      <diagonal/>
    </border>
    <border>
      <left style="medium">
        <color indexed="64"/>
      </left>
      <right style="medium">
        <color indexed="64"/>
      </right>
      <top style="medium">
        <color theme="1"/>
      </top>
      <bottom/>
      <diagonal/>
    </border>
    <border>
      <left style="medium">
        <color indexed="64"/>
      </left>
      <right style="medium">
        <color indexed="64"/>
      </right>
      <top/>
      <bottom style="medium">
        <color theme="1"/>
      </bottom>
      <diagonal/>
    </border>
    <border>
      <left style="medium">
        <color theme="1"/>
      </left>
      <right style="thin">
        <color indexed="64"/>
      </right>
      <top style="medium">
        <color indexed="64"/>
      </top>
      <bottom/>
      <diagonal/>
    </border>
    <border>
      <left style="medium">
        <color theme="1"/>
      </left>
      <right style="thin">
        <color indexed="64"/>
      </right>
      <top style="medium">
        <color theme="1"/>
      </top>
      <bottom/>
      <diagonal/>
    </border>
    <border>
      <left style="thin">
        <color theme="0"/>
      </left>
      <right style="thin">
        <color theme="0"/>
      </right>
      <top style="thin">
        <color theme="0"/>
      </top>
      <bottom style="thin">
        <color theme="0"/>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theme="1"/>
      </top>
      <bottom style="thin">
        <color indexed="64"/>
      </bottom>
      <diagonal/>
    </border>
    <border>
      <left style="thin">
        <color indexed="64"/>
      </left>
      <right/>
      <top style="medium">
        <color rgb="FF000000"/>
      </top>
      <bottom/>
      <diagonal/>
    </border>
    <border>
      <left style="thin">
        <color indexed="64"/>
      </left>
      <right style="medium">
        <color indexed="64"/>
      </right>
      <top style="medium">
        <color rgb="FF000000"/>
      </top>
      <bottom/>
      <diagonal/>
    </border>
    <border>
      <left/>
      <right style="thin">
        <color theme="4" tint="0.39997558519241921"/>
      </right>
      <top style="thin">
        <color theme="4" tint="0.39997558519241921"/>
      </top>
      <bottom style="thin">
        <color theme="4" tint="0.39997558519241921"/>
      </bottom>
      <diagonal/>
    </border>
    <border>
      <left style="medium">
        <color indexed="64"/>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theme="0" tint="-0.499984740745262"/>
      </left>
      <right style="thin">
        <color indexed="64"/>
      </right>
      <top style="medium">
        <color theme="0" tint="-0.499984740745262"/>
      </top>
      <bottom/>
      <diagonal/>
    </border>
    <border>
      <left style="thin">
        <color indexed="64"/>
      </left>
      <right style="thin">
        <color indexed="64"/>
      </right>
      <top style="medium">
        <color theme="0" tint="-0.499984740745262"/>
      </top>
      <bottom/>
      <diagonal/>
    </border>
    <border>
      <left style="thin">
        <color indexed="64"/>
      </left>
      <right/>
      <top style="medium">
        <color theme="0" tint="-0.499984740745262"/>
      </top>
      <bottom/>
      <diagonal/>
    </border>
    <border>
      <left style="medium">
        <color theme="0" tint="-0.499984740745262"/>
      </left>
      <right style="thin">
        <color indexed="64"/>
      </right>
      <top/>
      <bottom/>
      <diagonal/>
    </border>
    <border>
      <left style="medium">
        <color theme="0" tint="-0.499984740745262"/>
      </left>
      <right style="thin">
        <color indexed="64"/>
      </right>
      <top/>
      <bottom style="medium">
        <color theme="0" tint="-0.499984740745262"/>
      </bottom>
      <diagonal/>
    </border>
    <border>
      <left style="thin">
        <color indexed="64"/>
      </left>
      <right style="thin">
        <color indexed="64"/>
      </right>
      <top/>
      <bottom style="medium">
        <color theme="0" tint="-0.499984740745262"/>
      </bottom>
      <diagonal/>
    </border>
    <border>
      <left style="thin">
        <color indexed="64"/>
      </left>
      <right/>
      <top/>
      <bottom style="medium">
        <color theme="0" tint="-0.499984740745262"/>
      </bottom>
      <diagonal/>
    </border>
    <border>
      <left/>
      <right style="thin">
        <color indexed="64"/>
      </right>
      <top/>
      <bottom style="medium">
        <color theme="0" tint="-0.499984740745262"/>
      </bottom>
      <diagonal/>
    </border>
    <border>
      <left/>
      <right style="medium">
        <color indexed="64"/>
      </right>
      <top style="medium">
        <color indexed="64"/>
      </top>
      <bottom style="thin">
        <color indexed="64"/>
      </bottom>
      <diagonal/>
    </border>
    <border>
      <left style="thin">
        <color indexed="64"/>
      </left>
      <right/>
      <top/>
      <bottom style="thin">
        <color indexed="64"/>
      </bottom>
      <diagonal/>
    </border>
    <border>
      <left style="thin">
        <color theme="1"/>
      </left>
      <right style="thin">
        <color theme="1"/>
      </right>
      <top style="thin">
        <color indexed="64"/>
      </top>
      <bottom style="thin">
        <color indexed="64"/>
      </bottom>
      <diagonal/>
    </border>
    <border>
      <left style="medium">
        <color indexed="64"/>
      </left>
      <right style="thin">
        <color indexed="64"/>
      </right>
      <top style="thin">
        <color indexed="64"/>
      </top>
      <bottom style="medium">
        <color theme="1"/>
      </bottom>
      <diagonal/>
    </border>
    <border>
      <left style="medium">
        <color indexed="64"/>
      </left>
      <right style="thin">
        <color indexed="64"/>
      </right>
      <top style="medium">
        <color theme="1"/>
      </top>
      <bottom style="medium">
        <color theme="1"/>
      </bottom>
      <diagonal/>
    </border>
    <border>
      <left style="medium">
        <color indexed="64"/>
      </left>
      <right style="thin">
        <color theme="0" tint="-0.499984740745262"/>
      </right>
      <top style="thin">
        <color theme="0" tint="-0.499984740745262"/>
      </top>
      <bottom style="thin">
        <color indexed="64"/>
      </bottom>
      <diagonal/>
    </border>
    <border>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style="medium">
        <color indexed="64"/>
      </left>
      <right/>
      <top style="thin">
        <color theme="0" tint="-0.499984740745262"/>
      </top>
      <bottom style="thin">
        <color theme="0" tint="-0.499984740745262"/>
      </bottom>
      <diagonal/>
    </border>
    <border>
      <left style="medium">
        <color indexed="64"/>
      </left>
      <right/>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medium">
        <color indexed="64"/>
      </left>
      <right/>
      <top style="medium">
        <color indexed="64"/>
      </top>
      <bottom style="thin">
        <color theme="0" tint="-0.499984740745262"/>
      </bottom>
      <diagonal/>
    </border>
    <border>
      <left/>
      <right/>
      <top style="medium">
        <color indexed="64"/>
      </top>
      <bottom style="thin">
        <color theme="0" tint="-0.499984740745262"/>
      </bottom>
      <diagonal/>
    </border>
    <border>
      <left/>
      <right style="thin">
        <color theme="0" tint="-0.499984740745262"/>
      </right>
      <top style="medium">
        <color indexed="64"/>
      </top>
      <bottom/>
      <diagonal/>
    </border>
    <border>
      <left/>
      <right style="thin">
        <color theme="1"/>
      </right>
      <top/>
      <bottom style="thin">
        <color indexed="64"/>
      </bottom>
      <diagonal/>
    </border>
    <border>
      <left/>
      <right style="thin">
        <color theme="1"/>
      </right>
      <top style="thin">
        <color indexed="64"/>
      </top>
      <bottom style="thin">
        <color indexed="64"/>
      </bottom>
      <diagonal/>
    </border>
    <border>
      <left/>
      <right style="thin">
        <color theme="1"/>
      </right>
      <top/>
      <bottom style="thin">
        <color theme="1"/>
      </bottom>
      <diagonal/>
    </border>
    <border>
      <left/>
      <right style="thin">
        <color theme="1"/>
      </right>
      <top style="thin">
        <color theme="1"/>
      </top>
      <bottom style="thin">
        <color theme="1"/>
      </bottom>
      <diagonal/>
    </border>
    <border>
      <left style="medium">
        <color indexed="64"/>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thin">
        <color theme="0"/>
      </left>
      <right style="thin">
        <color theme="0"/>
      </right>
      <top style="medium">
        <color indexed="64"/>
      </top>
      <bottom style="thick">
        <color theme="0"/>
      </bottom>
      <diagonal/>
    </border>
    <border>
      <left style="thin">
        <color theme="0" tint="-0.499984740745262"/>
      </left>
      <right style="thick">
        <color theme="0" tint="-0.499984740745262"/>
      </right>
      <top style="thin">
        <color theme="0" tint="-0.499984740745262"/>
      </top>
      <bottom style="thin">
        <color indexed="64"/>
      </bottom>
      <diagonal/>
    </border>
    <border>
      <left style="thin">
        <color theme="0" tint="-0.499984740745262"/>
      </left>
      <right style="thick">
        <color theme="0" tint="-0.499984740745262"/>
      </right>
      <top style="thin">
        <color theme="0" tint="-0.499984740745262"/>
      </top>
      <bottom style="thin">
        <color theme="0" tint="-0.499984740745262"/>
      </bottom>
      <diagonal/>
    </border>
    <border>
      <left style="thin">
        <color theme="0" tint="-0.499984740745262"/>
      </left>
      <right style="thick">
        <color theme="0" tint="-0.499984740745262"/>
      </right>
      <top style="thin">
        <color theme="0" tint="-0.499984740745262"/>
      </top>
      <bottom style="medium">
        <color indexed="64"/>
      </bottom>
      <diagonal/>
    </border>
    <border>
      <left/>
      <right style="thin">
        <color theme="0" tint="-0.499984740745262"/>
      </right>
      <top style="thin">
        <color indexed="64"/>
      </top>
      <bottom/>
      <diagonal/>
    </border>
    <border>
      <left/>
      <right style="thin">
        <color theme="0" tint="-0.499984740745262"/>
      </right>
      <top/>
      <bottom style="thin">
        <color theme="0" tint="-0.499984740745262"/>
      </bottom>
      <diagonal/>
    </border>
    <border>
      <left/>
      <right style="thin">
        <color theme="0" tint="-0.499984740745262"/>
      </right>
      <top/>
      <bottom style="medium">
        <color indexed="64"/>
      </bottom>
      <diagonal/>
    </border>
    <border>
      <left style="thin">
        <color theme="0" tint="-0.499984740745262"/>
      </left>
      <right style="thick">
        <color theme="0" tint="-0.499984740745262"/>
      </right>
      <top style="thin">
        <color indexed="64"/>
      </top>
      <bottom/>
      <diagonal/>
    </border>
    <border>
      <left style="thin">
        <color theme="0" tint="-0.499984740745262"/>
      </left>
      <right style="thick">
        <color theme="0" tint="-0.499984740745262"/>
      </right>
      <top/>
      <bottom style="thin">
        <color theme="0" tint="-0.499984740745262"/>
      </bottom>
      <diagonal/>
    </border>
    <border>
      <left style="thin">
        <color theme="0" tint="-0.499984740745262"/>
      </left>
      <right style="thick">
        <color theme="0" tint="-0.499984740745262"/>
      </right>
      <top/>
      <bottom style="medium">
        <color indexed="64"/>
      </bottom>
      <diagonal/>
    </border>
    <border>
      <left/>
      <right style="thin">
        <color theme="0" tint="-0.499984740745262"/>
      </right>
      <top/>
      <bottom/>
      <diagonal/>
    </border>
    <border>
      <left style="thin">
        <color theme="0" tint="-0.499984740745262"/>
      </left>
      <right style="thick">
        <color theme="0" tint="-0.499984740745262"/>
      </right>
      <top style="thin">
        <color indexed="64"/>
      </top>
      <bottom style="thin">
        <color theme="0" tint="-0.499984740745262"/>
      </bottom>
      <diagonal/>
    </border>
    <border>
      <left style="thin">
        <color theme="0" tint="-0.499984740745262"/>
      </left>
      <right style="thick">
        <color theme="0" tint="-0.499984740745262"/>
      </right>
      <top/>
      <bottom/>
      <diagonal/>
    </border>
    <border>
      <left/>
      <right style="medium">
        <color theme="6"/>
      </right>
      <top/>
      <bottom style="medium">
        <color theme="6"/>
      </bottom>
      <diagonal/>
    </border>
    <border>
      <left style="medium">
        <color theme="6"/>
      </left>
      <right style="medium">
        <color theme="6"/>
      </right>
      <top/>
      <bottom style="medium">
        <color theme="6"/>
      </bottom>
      <diagonal/>
    </border>
    <border>
      <left style="medium">
        <color theme="6"/>
      </left>
      <right/>
      <top/>
      <bottom style="medium">
        <color theme="6"/>
      </bottom>
      <diagonal/>
    </border>
    <border>
      <left/>
      <right style="medium">
        <color theme="6"/>
      </right>
      <top style="medium">
        <color theme="6"/>
      </top>
      <bottom style="medium">
        <color theme="6"/>
      </bottom>
      <diagonal/>
    </border>
    <border>
      <left style="medium">
        <color theme="6"/>
      </left>
      <right style="medium">
        <color theme="6"/>
      </right>
      <top style="medium">
        <color theme="6"/>
      </top>
      <bottom style="medium">
        <color theme="6"/>
      </bottom>
      <diagonal/>
    </border>
    <border>
      <left style="medium">
        <color theme="6"/>
      </left>
      <right/>
      <top style="medium">
        <color theme="6"/>
      </top>
      <bottom style="medium">
        <color theme="6"/>
      </bottom>
      <diagonal/>
    </border>
    <border>
      <left/>
      <right style="medium">
        <color rgb="FF009999"/>
      </right>
      <top style="medium">
        <color rgb="FF009999"/>
      </top>
      <bottom style="medium">
        <color rgb="FF009999"/>
      </bottom>
      <diagonal/>
    </border>
    <border>
      <left/>
      <right style="thin">
        <color indexed="64"/>
      </right>
      <top/>
      <bottom style="thick">
        <color theme="6"/>
      </bottom>
      <diagonal/>
    </border>
    <border>
      <left/>
      <right/>
      <top/>
      <bottom style="thick">
        <color theme="6"/>
      </bottom>
      <diagonal/>
    </border>
    <border>
      <left/>
      <right style="medium">
        <color theme="6"/>
      </right>
      <top style="medium">
        <color theme="6"/>
      </top>
      <bottom style="thick">
        <color theme="6"/>
      </bottom>
      <diagonal/>
    </border>
    <border>
      <left style="medium">
        <color theme="6"/>
      </left>
      <right style="medium">
        <color theme="6"/>
      </right>
      <top style="medium">
        <color theme="6"/>
      </top>
      <bottom style="thick">
        <color theme="6"/>
      </bottom>
      <diagonal/>
    </border>
    <border>
      <left/>
      <right/>
      <top style="thick">
        <color theme="6"/>
      </top>
      <bottom/>
      <diagonal/>
    </border>
    <border>
      <left/>
      <right style="medium">
        <color theme="2"/>
      </right>
      <top style="medium">
        <color theme="2"/>
      </top>
      <bottom style="medium">
        <color theme="2"/>
      </bottom>
      <diagonal/>
    </border>
    <border>
      <left style="medium">
        <color theme="2"/>
      </left>
      <right style="medium">
        <color theme="2"/>
      </right>
      <top style="medium">
        <color theme="2"/>
      </top>
      <bottom style="medium">
        <color theme="2"/>
      </bottom>
      <diagonal/>
    </border>
    <border>
      <left/>
      <right/>
      <top/>
      <bottom style="medium">
        <color theme="2"/>
      </bottom>
      <diagonal/>
    </border>
    <border>
      <left style="medium">
        <color theme="2"/>
      </left>
      <right style="thick">
        <color theme="1" tint="0.34998626667073579"/>
      </right>
      <top style="medium">
        <color theme="2"/>
      </top>
      <bottom style="medium">
        <color theme="2"/>
      </bottom>
      <diagonal/>
    </border>
    <border>
      <left/>
      <right style="medium">
        <color theme="2"/>
      </right>
      <top style="medium">
        <color theme="2"/>
      </top>
      <bottom/>
      <diagonal/>
    </border>
    <border>
      <left style="medium">
        <color theme="2"/>
      </left>
      <right style="medium">
        <color theme="2"/>
      </right>
      <top style="medium">
        <color theme="2"/>
      </top>
      <bottom/>
      <diagonal/>
    </border>
    <border>
      <left style="medium">
        <color theme="2"/>
      </left>
      <right style="thick">
        <color theme="1" tint="0.34998626667073579"/>
      </right>
      <top style="medium">
        <color theme="2"/>
      </top>
      <bottom/>
      <diagonal/>
    </border>
  </borders>
  <cellStyleXfs count="7">
    <xf numFmtId="0" fontId="0" fillId="0" borderId="0"/>
    <xf numFmtId="9" fontId="19" fillId="0" borderId="0" applyFont="0" applyFill="0" applyBorder="0" applyAlignment="0" applyProtection="0"/>
    <xf numFmtId="0" fontId="27" fillId="0" borderId="2"/>
    <xf numFmtId="44" fontId="36" fillId="0" borderId="0" applyFont="0" applyFill="0" applyBorder="0" applyAlignment="0" applyProtection="0"/>
    <xf numFmtId="0" fontId="37" fillId="12" borderId="0" applyNumberFormat="0" applyBorder="0" applyAlignment="0" applyProtection="0"/>
    <xf numFmtId="0" fontId="7" fillId="0" borderId="2"/>
    <xf numFmtId="0" fontId="27" fillId="0" borderId="2"/>
  </cellStyleXfs>
  <cellXfs count="1366">
    <xf numFmtId="0" fontId="0" fillId="0" borderId="0" xfId="0" applyFont="1" applyAlignment="1"/>
    <xf numFmtId="0" fontId="10" fillId="0" borderId="0" xfId="0" applyFont="1" applyAlignment="1">
      <alignment horizontal="right"/>
    </xf>
    <xf numFmtId="0" fontId="0" fillId="0" borderId="2" xfId="0" applyFont="1" applyBorder="1" applyAlignment="1"/>
    <xf numFmtId="0" fontId="16" fillId="0" borderId="0" xfId="0" applyFont="1" applyAlignment="1"/>
    <xf numFmtId="0" fontId="10" fillId="0" borderId="0" xfId="0" applyFont="1" applyFill="1"/>
    <xf numFmtId="0" fontId="0" fillId="0" borderId="0" xfId="0" applyFont="1" applyFill="1" applyAlignment="1"/>
    <xf numFmtId="0" fontId="10" fillId="0" borderId="0" xfId="0" applyFont="1" applyFill="1" applyAlignment="1">
      <alignment horizontal="right" vertical="center"/>
    </xf>
    <xf numFmtId="0" fontId="16" fillId="0" borderId="0" xfId="0" applyFont="1" applyFill="1" applyAlignment="1"/>
    <xf numFmtId="0" fontId="10" fillId="0" borderId="0" xfId="0" applyFont="1" applyFill="1" applyAlignment="1">
      <alignment horizontal="right"/>
    </xf>
    <xf numFmtId="0" fontId="15" fillId="0" borderId="2" xfId="0" applyFont="1" applyFill="1" applyBorder="1" applyAlignment="1">
      <alignment horizontal="right" vertical="center" wrapText="1"/>
    </xf>
    <xf numFmtId="0" fontId="15" fillId="0" borderId="0" xfId="0" applyFont="1" applyAlignment="1"/>
    <xf numFmtId="17" fontId="9" fillId="0" borderId="7" xfId="0" applyNumberFormat="1" applyFont="1" applyFill="1" applyBorder="1" applyAlignment="1">
      <alignment horizontal="center" vertical="center" wrapText="1"/>
    </xf>
    <xf numFmtId="17" fontId="9" fillId="0" borderId="14" xfId="0" applyNumberFormat="1" applyFont="1" applyFill="1" applyBorder="1" applyAlignment="1">
      <alignment horizontal="center" vertical="center" wrapText="1"/>
    </xf>
    <xf numFmtId="0" fontId="9" fillId="0" borderId="0" xfId="0" applyFont="1" applyFill="1" applyAlignment="1">
      <alignment horizontal="right" vertical="center" wrapText="1"/>
    </xf>
    <xf numFmtId="0" fontId="0" fillId="0" borderId="0" xfId="0" applyFont="1" applyFill="1" applyAlignment="1">
      <alignment wrapText="1"/>
    </xf>
    <xf numFmtId="0" fontId="15" fillId="0" borderId="14" xfId="0" applyFont="1" applyBorder="1" applyAlignment="1">
      <alignment vertical="center" wrapText="1"/>
    </xf>
    <xf numFmtId="1" fontId="14" fillId="0" borderId="10" xfId="0" applyNumberFormat="1" applyFont="1" applyFill="1" applyBorder="1" applyAlignment="1">
      <alignment horizontal="center" vertical="center" wrapText="1"/>
    </xf>
    <xf numFmtId="0" fontId="10" fillId="0" borderId="0" xfId="0" applyFont="1" applyFill="1" applyAlignment="1">
      <alignment horizontal="center" vertical="center"/>
    </xf>
    <xf numFmtId="0" fontId="0" fillId="0" borderId="0" xfId="0" applyFont="1" applyFill="1" applyAlignment="1">
      <alignment horizontal="center" vertical="center"/>
    </xf>
    <xf numFmtId="0" fontId="22" fillId="0" borderId="28" xfId="0" applyFont="1" applyBorder="1" applyAlignment="1">
      <alignment horizontal="right" vertical="center"/>
    </xf>
    <xf numFmtId="0" fontId="22" fillId="0" borderId="42" xfId="0" applyFont="1" applyBorder="1" applyAlignment="1">
      <alignment horizontal="right" vertical="center"/>
    </xf>
    <xf numFmtId="0" fontId="22" fillId="0" borderId="42" xfId="0" applyFont="1" applyFill="1" applyBorder="1" applyAlignment="1">
      <alignment horizontal="right" vertical="center"/>
    </xf>
    <xf numFmtId="0" fontId="0" fillId="0" borderId="0" xfId="0"/>
    <xf numFmtId="1" fontId="14" fillId="0" borderId="45" xfId="0" applyNumberFormat="1" applyFont="1" applyFill="1" applyBorder="1" applyAlignment="1">
      <alignment horizontal="center" vertical="center" wrapText="1"/>
    </xf>
    <xf numFmtId="1" fontId="14" fillId="0" borderId="47" xfId="0" applyNumberFormat="1" applyFont="1" applyFill="1" applyBorder="1" applyAlignment="1">
      <alignment horizontal="center" vertical="center" wrapText="1"/>
    </xf>
    <xf numFmtId="1" fontId="14" fillId="4" borderId="46" xfId="0" applyNumberFormat="1" applyFont="1" applyFill="1" applyBorder="1" applyAlignment="1">
      <alignment horizontal="center" vertical="center" wrapText="1"/>
    </xf>
    <xf numFmtId="1" fontId="14" fillId="0" borderId="48" xfId="0" applyNumberFormat="1" applyFont="1" applyFill="1" applyBorder="1" applyAlignment="1">
      <alignment horizontal="center" vertical="center" wrapText="1"/>
    </xf>
    <xf numFmtId="1" fontId="14" fillId="0" borderId="49" xfId="0" applyNumberFormat="1" applyFont="1" applyFill="1" applyBorder="1" applyAlignment="1">
      <alignment horizontal="center" vertical="center" wrapText="1"/>
    </xf>
    <xf numFmtId="1" fontId="14" fillId="4" borderId="50" xfId="0" applyNumberFormat="1" applyFont="1" applyFill="1" applyBorder="1" applyAlignment="1">
      <alignment horizontal="center" vertical="center" wrapText="1"/>
    </xf>
    <xf numFmtId="1" fontId="14" fillId="0" borderId="53" xfId="0" applyNumberFormat="1" applyFont="1" applyFill="1" applyBorder="1" applyAlignment="1">
      <alignment horizontal="center" vertical="center" wrapText="1"/>
    </xf>
    <xf numFmtId="1" fontId="14" fillId="0" borderId="54" xfId="0" applyNumberFormat="1" applyFont="1" applyFill="1" applyBorder="1" applyAlignment="1">
      <alignment horizontal="center" vertical="center" wrapText="1"/>
    </xf>
    <xf numFmtId="1" fontId="14" fillId="0" borderId="55" xfId="0" applyNumberFormat="1" applyFont="1" applyFill="1" applyBorder="1" applyAlignment="1">
      <alignment horizontal="center" vertical="center" wrapText="1"/>
    </xf>
    <xf numFmtId="0" fontId="14" fillId="4" borderId="51" xfId="0" applyFont="1" applyFill="1" applyBorder="1" applyAlignment="1">
      <alignment horizontal="center" vertical="center" wrapText="1"/>
    </xf>
    <xf numFmtId="0" fontId="14" fillId="4" borderId="56" xfId="0" applyFont="1" applyFill="1" applyBorder="1" applyAlignment="1">
      <alignment horizontal="center" vertical="center" wrapText="1"/>
    </xf>
    <xf numFmtId="0" fontId="14" fillId="4" borderId="57" xfId="0" applyFont="1" applyFill="1" applyBorder="1" applyAlignment="1">
      <alignment horizontal="center" vertical="center" wrapText="1"/>
    </xf>
    <xf numFmtId="1" fontId="14" fillId="4" borderId="9" xfId="0" applyNumberFormat="1" applyFont="1" applyFill="1" applyBorder="1" applyAlignment="1">
      <alignment horizontal="center" vertical="center" wrapText="1"/>
    </xf>
    <xf numFmtId="0" fontId="10" fillId="0" borderId="58" xfId="0" applyFont="1" applyFill="1" applyBorder="1" applyAlignment="1">
      <alignment horizontal="right" vertical="center" wrapText="1"/>
    </xf>
    <xf numFmtId="0" fontId="10" fillId="4" borderId="58" xfId="0" applyFont="1" applyFill="1" applyBorder="1" applyAlignment="1">
      <alignment horizontal="right" vertical="center" wrapText="1"/>
    </xf>
    <xf numFmtId="0" fontId="15" fillId="4" borderId="59" xfId="0" applyFont="1" applyFill="1" applyBorder="1" applyAlignment="1">
      <alignment horizontal="right"/>
    </xf>
    <xf numFmtId="1" fontId="16" fillId="4" borderId="57" xfId="0" applyNumberFormat="1" applyFont="1" applyFill="1" applyBorder="1" applyAlignment="1">
      <alignment horizontal="right" vertical="center" wrapText="1"/>
    </xf>
    <xf numFmtId="1" fontId="16" fillId="4" borderId="56" xfId="0" applyNumberFormat="1" applyFont="1" applyFill="1" applyBorder="1" applyAlignment="1">
      <alignment horizontal="right" vertical="center" wrapText="1"/>
    </xf>
    <xf numFmtId="1" fontId="16" fillId="4" borderId="52" xfId="0" applyNumberFormat="1" applyFont="1" applyFill="1" applyBorder="1" applyAlignment="1">
      <alignment horizontal="right" vertical="center" wrapText="1"/>
    </xf>
    <xf numFmtId="1" fontId="16" fillId="4" borderId="51" xfId="0" applyNumberFormat="1" applyFont="1" applyFill="1" applyBorder="1" applyAlignment="1">
      <alignment horizontal="right" vertical="center" wrapText="1"/>
    </xf>
    <xf numFmtId="1" fontId="15" fillId="2" borderId="40" xfId="0" applyNumberFormat="1" applyFont="1" applyFill="1" applyBorder="1" applyAlignment="1">
      <alignment horizontal="center" vertical="center"/>
    </xf>
    <xf numFmtId="1" fontId="17" fillId="2" borderId="39" xfId="0" applyNumberFormat="1" applyFont="1" applyFill="1" applyBorder="1" applyAlignment="1">
      <alignment horizontal="center" vertical="center"/>
    </xf>
    <xf numFmtId="1" fontId="16" fillId="0" borderId="60" xfId="0" applyNumberFormat="1" applyFont="1" applyFill="1" applyBorder="1" applyAlignment="1"/>
    <xf numFmtId="1" fontId="16" fillId="0" borderId="61" xfId="0" applyNumberFormat="1" applyFont="1" applyFill="1" applyBorder="1" applyAlignment="1"/>
    <xf numFmtId="1" fontId="16" fillId="0" borderId="62" xfId="0" applyNumberFormat="1" applyFont="1" applyFill="1" applyBorder="1" applyAlignment="1"/>
    <xf numFmtId="1" fontId="16" fillId="0" borderId="63" xfId="0" applyNumberFormat="1" applyFont="1" applyFill="1" applyBorder="1" applyAlignment="1"/>
    <xf numFmtId="1" fontId="16" fillId="0" borderId="64" xfId="0" applyNumberFormat="1" applyFont="1" applyFill="1" applyBorder="1" applyAlignment="1"/>
    <xf numFmtId="1" fontId="16" fillId="0" borderId="65" xfId="0" applyNumberFormat="1" applyFont="1" applyFill="1" applyBorder="1" applyAlignment="1"/>
    <xf numFmtId="1" fontId="16" fillId="0" borderId="66" xfId="0" applyNumberFormat="1" applyFont="1" applyFill="1" applyBorder="1" applyAlignment="1"/>
    <xf numFmtId="1" fontId="16" fillId="0" borderId="67" xfId="0" applyNumberFormat="1" applyFont="1" applyFill="1" applyBorder="1" applyAlignment="1"/>
    <xf numFmtId="0" fontId="15" fillId="0" borderId="72" xfId="0" applyFont="1" applyFill="1" applyBorder="1" applyAlignment="1">
      <alignment horizontal="right" vertical="center" wrapText="1"/>
    </xf>
    <xf numFmtId="0" fontId="30" fillId="0" borderId="0" xfId="0" applyFont="1"/>
    <xf numFmtId="0" fontId="31" fillId="4" borderId="16" xfId="0" applyFont="1" applyFill="1" applyBorder="1" applyAlignment="1">
      <alignment horizontal="right" vertical="center" wrapText="1"/>
    </xf>
    <xf numFmtId="0" fontId="31" fillId="4" borderId="16" xfId="0" applyFont="1" applyFill="1" applyBorder="1" applyAlignment="1">
      <alignment horizontal="center" vertical="center" wrapText="1"/>
    </xf>
    <xf numFmtId="0" fontId="31" fillId="8" borderId="16" xfId="0" applyFont="1" applyFill="1" applyBorder="1" applyAlignment="1">
      <alignment horizontal="right" vertical="center" wrapText="1"/>
    </xf>
    <xf numFmtId="0" fontId="31" fillId="8" borderId="16" xfId="0" applyFont="1" applyFill="1" applyBorder="1" applyAlignment="1">
      <alignment horizontal="center" vertical="center" wrapText="1"/>
    </xf>
    <xf numFmtId="0" fontId="15" fillId="3" borderId="17" xfId="0" applyFont="1" applyFill="1" applyBorder="1" applyAlignment="1">
      <alignment horizontal="right"/>
    </xf>
    <xf numFmtId="1" fontId="15" fillId="3" borderId="73" xfId="0" applyNumberFormat="1" applyFont="1" applyFill="1" applyBorder="1" applyAlignment="1">
      <alignment horizontal="center" vertical="center" wrapText="1"/>
    </xf>
    <xf numFmtId="1" fontId="15" fillId="3" borderId="33" xfId="0" applyNumberFormat="1" applyFont="1" applyFill="1" applyBorder="1" applyAlignment="1">
      <alignment horizontal="center" vertical="center" wrapText="1"/>
    </xf>
    <xf numFmtId="0" fontId="15" fillId="2" borderId="25" xfId="0" applyFont="1" applyFill="1" applyBorder="1" applyAlignment="1">
      <alignment horizontal="right" vertical="center" wrapText="1"/>
    </xf>
    <xf numFmtId="0" fontId="10" fillId="0" borderId="75" xfId="0" applyFont="1" applyFill="1" applyBorder="1" applyAlignment="1">
      <alignment horizontal="right" vertical="center" wrapText="1"/>
    </xf>
    <xf numFmtId="0" fontId="10" fillId="4" borderId="74" xfId="0" applyFont="1" applyFill="1" applyBorder="1" applyAlignment="1">
      <alignment horizontal="right" vertical="center" wrapText="1"/>
    </xf>
    <xf numFmtId="1" fontId="10" fillId="10" borderId="12" xfId="0" applyNumberFormat="1" applyFont="1" applyFill="1" applyBorder="1" applyAlignment="1">
      <alignment horizontal="right" vertical="center" wrapText="1"/>
    </xf>
    <xf numFmtId="0" fontId="11" fillId="0" borderId="43" xfId="0" applyFont="1" applyFill="1" applyBorder="1" applyAlignment="1">
      <alignment horizontal="right" vertical="center" wrapText="1"/>
    </xf>
    <xf numFmtId="0" fontId="35" fillId="0" borderId="0" xfId="0" applyFont="1"/>
    <xf numFmtId="0" fontId="35" fillId="0" borderId="16" xfId="0" applyFont="1" applyFill="1" applyBorder="1" applyAlignment="1">
      <alignment vertical="center" wrapText="1"/>
    </xf>
    <xf numFmtId="0" fontId="35" fillId="0" borderId="16" xfId="0" applyFont="1" applyFill="1" applyBorder="1" applyAlignment="1">
      <alignment horizontal="left" vertical="center" wrapText="1"/>
    </xf>
    <xf numFmtId="0" fontId="35" fillId="0" borderId="16" xfId="0" applyFont="1" applyFill="1" applyBorder="1" applyAlignment="1">
      <alignment horizontal="center" vertical="center" wrapText="1"/>
    </xf>
    <xf numFmtId="0" fontId="35" fillId="0" borderId="24" xfId="0" applyFont="1" applyFill="1" applyBorder="1" applyAlignment="1">
      <alignment vertical="center" wrapText="1"/>
    </xf>
    <xf numFmtId="0" fontId="35" fillId="0" borderId="24" xfId="0" applyFont="1" applyFill="1" applyBorder="1" applyAlignment="1">
      <alignment horizontal="left" vertical="center" wrapText="1"/>
    </xf>
    <xf numFmtId="0" fontId="9" fillId="0" borderId="87" xfId="0" applyFont="1" applyBorder="1" applyAlignment="1">
      <alignment vertical="center" wrapText="1"/>
    </xf>
    <xf numFmtId="17" fontId="9" fillId="0" borderId="87" xfId="0" applyNumberFormat="1" applyFont="1" applyFill="1" applyBorder="1" applyAlignment="1">
      <alignment horizontal="center" vertical="center" wrapText="1"/>
    </xf>
    <xf numFmtId="17" fontId="9" fillId="0" borderId="88" xfId="0" applyNumberFormat="1" applyFont="1" applyFill="1" applyBorder="1" applyAlignment="1">
      <alignment horizontal="center" vertical="center" wrapText="1"/>
    </xf>
    <xf numFmtId="17" fontId="9" fillId="0" borderId="89" xfId="0" applyNumberFormat="1" applyFont="1" applyFill="1" applyBorder="1" applyAlignment="1">
      <alignment horizontal="center" vertical="center" wrapText="1"/>
    </xf>
    <xf numFmtId="17" fontId="9" fillId="0" borderId="78" xfId="0" applyNumberFormat="1" applyFont="1" applyFill="1" applyBorder="1" applyAlignment="1">
      <alignment horizontal="center" vertical="center" wrapText="1"/>
    </xf>
    <xf numFmtId="0" fontId="35" fillId="0" borderId="2" xfId="0" applyFont="1" applyBorder="1"/>
    <xf numFmtId="0" fontId="17" fillId="0" borderId="92" xfId="0" applyFont="1" applyFill="1" applyBorder="1" applyAlignment="1">
      <alignment horizontal="center" vertical="center" wrapText="1"/>
    </xf>
    <xf numFmtId="0" fontId="17" fillId="0" borderId="95" xfId="0" applyFont="1" applyFill="1" applyBorder="1" applyAlignment="1">
      <alignment horizontal="center" vertical="center" wrapText="1"/>
    </xf>
    <xf numFmtId="0" fontId="9" fillId="0" borderId="0" xfId="0" applyFont="1" applyFill="1" applyAlignment="1">
      <alignment horizontal="left" vertical="top" wrapText="1"/>
    </xf>
    <xf numFmtId="0" fontId="0" fillId="0" borderId="0" xfId="0" applyFont="1" applyFill="1" applyAlignment="1">
      <alignment horizontal="left" vertical="top" wrapText="1"/>
    </xf>
    <xf numFmtId="0" fontId="10" fillId="0" borderId="0" xfId="0" applyFont="1" applyFill="1" applyAlignment="1">
      <alignment horizontal="left" vertical="top"/>
    </xf>
    <xf numFmtId="0" fontId="16" fillId="0" borderId="0" xfId="0" applyFont="1" applyFill="1" applyAlignment="1">
      <alignment horizontal="left" vertical="top"/>
    </xf>
    <xf numFmtId="0" fontId="9" fillId="0" borderId="41" xfId="0" applyFont="1" applyBorder="1" applyAlignment="1">
      <alignment horizontal="center" vertical="center" wrapText="1"/>
    </xf>
    <xf numFmtId="0" fontId="9" fillId="0" borderId="93" xfId="0" applyFont="1" applyBorder="1" applyAlignment="1">
      <alignment horizontal="center" vertical="center" wrapText="1"/>
    </xf>
    <xf numFmtId="0" fontId="0" fillId="0" borderId="42" xfId="0" applyFont="1" applyFill="1" applyBorder="1" applyAlignment="1">
      <alignment horizontal="right" vertical="center"/>
    </xf>
    <xf numFmtId="0" fontId="22" fillId="0" borderId="29" xfId="0" applyFont="1" applyFill="1" applyBorder="1" applyAlignment="1">
      <alignment horizontal="right" vertical="center"/>
    </xf>
    <xf numFmtId="0" fontId="22" fillId="0" borderId="34" xfId="0" applyFont="1" applyFill="1" applyBorder="1" applyAlignment="1">
      <alignment horizontal="right" vertical="center"/>
    </xf>
    <xf numFmtId="0" fontId="22" fillId="0" borderId="98" xfId="0" applyFont="1" applyFill="1" applyBorder="1" applyAlignment="1">
      <alignment horizontal="right" vertical="center"/>
    </xf>
    <xf numFmtId="0" fontId="0" fillId="0" borderId="28" xfId="0" applyFont="1" applyBorder="1" applyAlignment="1">
      <alignment horizontal="right" vertical="center"/>
    </xf>
    <xf numFmtId="0" fontId="23" fillId="0" borderId="27" xfId="0" applyFont="1" applyFill="1" applyBorder="1" applyAlignment="1">
      <alignment horizontal="left" vertical="center"/>
    </xf>
    <xf numFmtId="0" fontId="22" fillId="0" borderId="28" xfId="0" applyFont="1" applyFill="1" applyBorder="1" applyAlignment="1">
      <alignment horizontal="right" vertical="center"/>
    </xf>
    <xf numFmtId="0" fontId="0" fillId="0" borderId="28" xfId="0" applyFont="1" applyFill="1" applyBorder="1" applyAlignment="1">
      <alignment horizontal="right" vertical="center"/>
    </xf>
    <xf numFmtId="0" fontId="25" fillId="0" borderId="28" xfId="0" applyFont="1" applyFill="1" applyBorder="1" applyAlignment="1">
      <alignment horizontal="right" vertical="center"/>
    </xf>
    <xf numFmtId="0" fontId="22" fillId="0" borderId="27" xfId="0" applyFont="1" applyFill="1" applyBorder="1" applyAlignment="1">
      <alignment horizontal="right" vertical="center"/>
    </xf>
    <xf numFmtId="0" fontId="22" fillId="0" borderId="35" xfId="0" applyFont="1" applyFill="1" applyBorder="1" applyAlignment="1">
      <alignment horizontal="right" vertical="center"/>
    </xf>
    <xf numFmtId="0" fontId="22" fillId="0" borderId="28" xfId="0" applyFont="1" applyFill="1" applyBorder="1" applyAlignment="1">
      <alignment horizontal="right" vertical="center" wrapText="1"/>
    </xf>
    <xf numFmtId="0" fontId="0" fillId="0" borderId="28" xfId="0" applyFont="1" applyFill="1" applyBorder="1" applyAlignment="1">
      <alignment horizontal="right" vertical="center" wrapText="1"/>
    </xf>
    <xf numFmtId="0" fontId="22" fillId="0" borderId="42" xfId="0" applyFont="1" applyFill="1" applyBorder="1" applyAlignment="1">
      <alignment horizontal="right" vertical="center" wrapText="1"/>
    </xf>
    <xf numFmtId="0" fontId="20" fillId="0" borderId="105" xfId="0" applyFont="1" applyBorder="1" applyAlignment="1">
      <alignment horizontal="left" vertical="center"/>
    </xf>
    <xf numFmtId="0" fontId="20" fillId="0" borderId="73" xfId="0" applyFont="1" applyBorder="1" applyAlignment="1">
      <alignment horizontal="left" vertical="center"/>
    </xf>
    <xf numFmtId="0" fontId="22" fillId="0" borderId="29" xfId="0" applyFont="1" applyBorder="1" applyAlignment="1">
      <alignment horizontal="right" vertical="center"/>
    </xf>
    <xf numFmtId="0" fontId="0" fillId="0" borderId="29" xfId="0" applyFont="1" applyFill="1" applyBorder="1" applyAlignment="1">
      <alignment horizontal="right" vertical="center" wrapText="1"/>
    </xf>
    <xf numFmtId="0" fontId="20" fillId="0" borderId="27" xfId="0" applyFont="1" applyBorder="1" applyAlignment="1">
      <alignment horizontal="left" vertical="center"/>
    </xf>
    <xf numFmtId="0" fontId="23" fillId="0" borderId="44" xfId="0" applyFont="1" applyBorder="1" applyAlignment="1">
      <alignment horizontal="left" vertical="center"/>
    </xf>
    <xf numFmtId="0" fontId="20" fillId="0" borderId="15" xfId="0" applyFont="1" applyBorder="1" applyAlignment="1">
      <alignment horizontal="left" vertical="center"/>
    </xf>
    <xf numFmtId="0" fontId="23" fillId="0" borderId="37" xfId="0" applyFont="1" applyBorder="1" applyAlignment="1">
      <alignment horizontal="left" vertical="center"/>
    </xf>
    <xf numFmtId="44" fontId="22" fillId="0" borderId="28" xfId="3" applyFont="1" applyFill="1" applyBorder="1" applyAlignment="1">
      <alignment horizontal="right" vertical="center"/>
    </xf>
    <xf numFmtId="0" fontId="16" fillId="0" borderId="2" xfId="0" applyFont="1" applyFill="1" applyBorder="1" applyAlignment="1"/>
    <xf numFmtId="0" fontId="21" fillId="0" borderId="16" xfId="0" applyFont="1" applyFill="1" applyBorder="1" applyAlignment="1">
      <alignment horizontal="left" vertical="center" wrapText="1"/>
    </xf>
    <xf numFmtId="0" fontId="20" fillId="0" borderId="23" xfId="0" applyFont="1" applyFill="1" applyBorder="1" applyAlignment="1">
      <alignment horizontal="left" vertical="center" wrapText="1"/>
    </xf>
    <xf numFmtId="0" fontId="20" fillId="0" borderId="23" xfId="0" applyFont="1" applyFill="1" applyBorder="1" applyAlignment="1">
      <alignment vertical="center" wrapText="1"/>
    </xf>
    <xf numFmtId="0" fontId="22" fillId="0" borderId="16" xfId="0" applyFont="1" applyFill="1" applyBorder="1" applyAlignment="1">
      <alignment horizontal="left" vertical="center" wrapText="1"/>
    </xf>
    <xf numFmtId="0" fontId="22" fillId="0" borderId="16" xfId="0" applyFont="1" applyFill="1" applyBorder="1" applyAlignment="1">
      <alignment vertical="center" wrapText="1"/>
    </xf>
    <xf numFmtId="0" fontId="20" fillId="0" borderId="22" xfId="0" applyFont="1" applyBorder="1" applyAlignment="1">
      <alignment vertical="center" wrapText="1"/>
    </xf>
    <xf numFmtId="0" fontId="20" fillId="0" borderId="108" xfId="0" applyFont="1" applyBorder="1" applyAlignment="1">
      <alignment vertical="center" wrapText="1"/>
    </xf>
    <xf numFmtId="0" fontId="21" fillId="0" borderId="16" xfId="0" applyFont="1" applyBorder="1" applyAlignment="1">
      <alignment horizontal="left" vertical="center" wrapText="1"/>
    </xf>
    <xf numFmtId="0" fontId="21" fillId="0" borderId="31" xfId="0" applyFont="1" applyBorder="1" applyAlignment="1">
      <alignment horizontal="left" vertical="center" wrapText="1"/>
    </xf>
    <xf numFmtId="0" fontId="20" fillId="0" borderId="104" xfId="0" applyFont="1" applyFill="1" applyBorder="1" applyAlignment="1">
      <alignment vertical="center" wrapText="1"/>
    </xf>
    <xf numFmtId="0" fontId="21" fillId="0" borderId="23" xfId="0" applyFont="1" applyFill="1" applyBorder="1" applyAlignment="1">
      <alignment vertical="center" wrapText="1"/>
    </xf>
    <xf numFmtId="0" fontId="20" fillId="0" borderId="22" xfId="0" applyFont="1" applyFill="1" applyBorder="1" applyAlignment="1">
      <alignment vertical="center" wrapText="1"/>
    </xf>
    <xf numFmtId="0" fontId="24" fillId="0" borderId="26" xfId="0" applyFont="1" applyFill="1" applyBorder="1" applyAlignment="1">
      <alignment vertical="center" wrapText="1"/>
    </xf>
    <xf numFmtId="0" fontId="20" fillId="0" borderId="23" xfId="0" applyFont="1" applyBorder="1" applyAlignment="1">
      <alignment horizontal="left" vertical="center" wrapText="1"/>
    </xf>
    <xf numFmtId="0" fontId="20" fillId="0" borderId="106" xfId="0" applyFont="1" applyFill="1" applyBorder="1" applyAlignment="1">
      <alignment vertical="center" wrapText="1"/>
    </xf>
    <xf numFmtId="0" fontId="20" fillId="0" borderId="107" xfId="0" applyFont="1" applyFill="1" applyBorder="1" applyAlignment="1">
      <alignment vertical="center" wrapText="1"/>
    </xf>
    <xf numFmtId="0" fontId="23" fillId="0" borderId="23" xfId="0" applyFont="1" applyBorder="1" applyAlignment="1">
      <alignment vertical="center" wrapText="1"/>
    </xf>
    <xf numFmtId="0" fontId="22" fillId="0" borderId="16" xfId="0" applyFont="1" applyBorder="1" applyAlignment="1">
      <alignment vertical="center" wrapText="1"/>
    </xf>
    <xf numFmtId="0" fontId="23" fillId="0" borderId="26" xfId="0" applyFont="1" applyBorder="1" applyAlignment="1">
      <alignment vertical="center" wrapText="1"/>
    </xf>
    <xf numFmtId="0" fontId="22" fillId="0" borderId="24" xfId="0" applyFont="1" applyFill="1" applyBorder="1" applyAlignment="1">
      <alignment vertical="center" wrapText="1"/>
    </xf>
    <xf numFmtId="1" fontId="14" fillId="0" borderId="2" xfId="0" applyNumberFormat="1" applyFont="1" applyFill="1" applyBorder="1" applyAlignment="1">
      <alignment horizontal="center" vertical="center" wrapText="1"/>
    </xf>
    <xf numFmtId="0" fontId="14" fillId="4" borderId="117" xfId="0" applyFont="1" applyFill="1" applyBorder="1" applyAlignment="1">
      <alignment horizontal="center" vertical="center" wrapText="1"/>
    </xf>
    <xf numFmtId="0" fontId="9" fillId="10" borderId="11" xfId="0" applyFont="1" applyFill="1" applyBorder="1" applyAlignment="1">
      <alignment horizontal="right" vertical="center" wrapText="1"/>
    </xf>
    <xf numFmtId="1" fontId="10" fillId="10" borderId="11" xfId="0" applyNumberFormat="1" applyFont="1" applyFill="1" applyBorder="1" applyAlignment="1">
      <alignment horizontal="right" vertical="center" wrapText="1"/>
    </xf>
    <xf numFmtId="1" fontId="14" fillId="10" borderId="12" xfId="0" applyNumberFormat="1" applyFont="1" applyFill="1" applyBorder="1" applyAlignment="1">
      <alignment horizontal="right" vertical="center" wrapText="1"/>
    </xf>
    <xf numFmtId="9" fontId="9" fillId="10" borderId="12" xfId="0" applyNumberFormat="1" applyFont="1" applyFill="1" applyBorder="1" applyAlignment="1">
      <alignment horizontal="right" vertical="center" wrapText="1"/>
    </xf>
    <xf numFmtId="1" fontId="10" fillId="10" borderId="5" xfId="0" applyNumberFormat="1" applyFont="1" applyFill="1" applyBorder="1" applyAlignment="1">
      <alignment horizontal="right" vertical="center" wrapText="1"/>
    </xf>
    <xf numFmtId="9" fontId="9" fillId="10" borderId="118" xfId="0" applyNumberFormat="1" applyFont="1" applyFill="1" applyBorder="1" applyAlignment="1">
      <alignment horizontal="right" vertical="center" wrapText="1"/>
    </xf>
    <xf numFmtId="1" fontId="9" fillId="10" borderId="119" xfId="0" applyNumberFormat="1" applyFont="1" applyFill="1" applyBorder="1" applyAlignment="1">
      <alignment horizontal="right" vertical="center" wrapText="1"/>
    </xf>
    <xf numFmtId="1" fontId="9" fillId="10" borderId="12" xfId="0" applyNumberFormat="1" applyFont="1" applyFill="1" applyBorder="1" applyAlignment="1">
      <alignment horizontal="right" vertical="center" wrapText="1"/>
    </xf>
    <xf numFmtId="1" fontId="9" fillId="10" borderId="5" xfId="0" applyNumberFormat="1" applyFont="1" applyFill="1" applyBorder="1" applyAlignment="1">
      <alignment horizontal="right" vertical="center" wrapText="1"/>
    </xf>
    <xf numFmtId="0" fontId="15" fillId="0" borderId="2" xfId="0" applyFont="1" applyBorder="1" applyAlignment="1">
      <alignment horizontal="center" vertical="top" wrapText="1"/>
    </xf>
    <xf numFmtId="0" fontId="15" fillId="0" borderId="30" xfId="0" applyFont="1" applyBorder="1" applyAlignment="1">
      <alignment horizontal="center" vertical="center" wrapText="1"/>
    </xf>
    <xf numFmtId="0" fontId="15" fillId="0" borderId="94" xfId="0" applyFont="1" applyBorder="1" applyAlignment="1">
      <alignment horizontal="center" vertical="center" wrapText="1"/>
    </xf>
    <xf numFmtId="0" fontId="35" fillId="11" borderId="16" xfId="0" applyFont="1" applyFill="1" applyBorder="1" applyAlignment="1">
      <alignment horizontal="center" vertical="center" wrapText="1"/>
    </xf>
    <xf numFmtId="0" fontId="35" fillId="11" borderId="24" xfId="0" applyFont="1" applyFill="1" applyBorder="1" applyAlignment="1">
      <alignment horizontal="center" vertical="center" wrapText="1"/>
    </xf>
    <xf numFmtId="0" fontId="35" fillId="0" borderId="21" xfId="0" applyFont="1" applyFill="1" applyBorder="1" applyAlignment="1">
      <alignment vertical="center" wrapText="1"/>
    </xf>
    <xf numFmtId="0" fontId="35" fillId="11" borderId="18" xfId="0" applyFont="1" applyFill="1" applyBorder="1" applyAlignment="1">
      <alignment horizontal="left" vertical="center" wrapText="1"/>
    </xf>
    <xf numFmtId="0" fontId="38" fillId="0" borderId="0" xfId="0" applyFont="1"/>
    <xf numFmtId="9" fontId="35" fillId="0" borderId="16" xfId="0" applyNumberFormat="1" applyFont="1" applyFill="1" applyBorder="1" applyAlignment="1">
      <alignment horizontal="center" vertical="center" wrapText="1"/>
    </xf>
    <xf numFmtId="0" fontId="35" fillId="11" borderId="103" xfId="0" applyFont="1" applyFill="1" applyBorder="1" applyAlignment="1">
      <alignment horizontal="center" vertical="center" wrapText="1"/>
    </xf>
    <xf numFmtId="0" fontId="22" fillId="14" borderId="18" xfId="0" applyFont="1" applyFill="1" applyBorder="1" applyAlignment="1">
      <alignment horizontal="left" vertical="center" wrapText="1"/>
    </xf>
    <xf numFmtId="0" fontId="0" fillId="0" borderId="0" xfId="0" pivotButton="1" applyFont="1" applyAlignment="1"/>
    <xf numFmtId="0" fontId="0" fillId="0" borderId="0" xfId="0" applyFont="1" applyAlignment="1">
      <alignment horizontal="left"/>
    </xf>
    <xf numFmtId="0" fontId="9" fillId="0" borderId="116" xfId="0" applyFont="1" applyBorder="1" applyAlignment="1">
      <alignment vertical="center" wrapText="1"/>
    </xf>
    <xf numFmtId="0" fontId="9" fillId="0" borderId="2" xfId="0" applyFont="1" applyBorder="1" applyAlignment="1">
      <alignment vertical="center" wrapText="1"/>
    </xf>
    <xf numFmtId="0" fontId="0" fillId="0" borderId="0" xfId="0" applyNumberFormat="1" applyFont="1" applyAlignment="1"/>
    <xf numFmtId="0" fontId="0" fillId="0" borderId="122" xfId="0" applyFont="1" applyBorder="1" applyAlignment="1">
      <alignment horizontal="center" wrapText="1"/>
    </xf>
    <xf numFmtId="0" fontId="16" fillId="0" borderId="122" xfId="0" applyFont="1" applyBorder="1" applyAlignment="1">
      <alignment horizontal="center" wrapText="1"/>
    </xf>
    <xf numFmtId="9" fontId="31" fillId="4" borderId="16" xfId="0" applyNumberFormat="1" applyFont="1" applyFill="1" applyBorder="1" applyAlignment="1">
      <alignment horizontal="center" vertical="center" wrapText="1"/>
    </xf>
    <xf numFmtId="0" fontId="31" fillId="4" borderId="16" xfId="0" applyFont="1" applyFill="1" applyBorder="1" applyAlignment="1">
      <alignment horizontal="right" vertical="top" wrapText="1"/>
    </xf>
    <xf numFmtId="0" fontId="30" fillId="0" borderId="0" xfId="0" applyFont="1" applyAlignment="1">
      <alignment vertical="top"/>
    </xf>
    <xf numFmtId="0" fontId="31" fillId="8" borderId="16" xfId="0" applyFont="1" applyFill="1" applyBorder="1" applyAlignment="1">
      <alignment horizontal="right" vertical="top" wrapText="1"/>
    </xf>
    <xf numFmtId="0" fontId="31" fillId="8" borderId="16" xfId="0" applyFont="1" applyFill="1" applyBorder="1" applyAlignment="1">
      <alignment horizontal="center" vertical="top" wrapText="1"/>
    </xf>
    <xf numFmtId="0" fontId="31" fillId="4" borderId="16" xfId="0" applyFont="1" applyFill="1" applyBorder="1" applyAlignment="1">
      <alignment horizontal="center" vertical="top" wrapText="1"/>
    </xf>
    <xf numFmtId="0" fontId="31" fillId="8" borderId="24" xfId="0" applyFont="1" applyFill="1" applyBorder="1" applyAlignment="1">
      <alignment horizontal="right" vertical="center" wrapText="1"/>
    </xf>
    <xf numFmtId="0" fontId="31" fillId="8" borderId="24" xfId="0" applyFont="1" applyFill="1" applyBorder="1" applyAlignment="1">
      <alignment horizontal="center" vertical="center" wrapText="1"/>
    </xf>
    <xf numFmtId="0" fontId="11" fillId="0" borderId="82" xfId="0" applyFont="1" applyFill="1" applyBorder="1" applyAlignment="1">
      <alignment horizontal="right" vertical="center" wrapText="1"/>
    </xf>
    <xf numFmtId="0" fontId="52" fillId="0" borderId="0" xfId="0" applyFont="1" applyAlignment="1"/>
    <xf numFmtId="0" fontId="54" fillId="0" borderId="0" xfId="0" applyFont="1" applyAlignment="1"/>
    <xf numFmtId="0" fontId="52" fillId="0" borderId="0" xfId="0" applyFont="1" applyAlignment="1">
      <alignment horizontal="left"/>
    </xf>
    <xf numFmtId="0" fontId="38" fillId="0" borderId="16" xfId="0" applyFont="1" applyFill="1" applyBorder="1" applyAlignment="1">
      <alignment horizontal="left" vertical="center" wrapText="1"/>
    </xf>
    <xf numFmtId="0" fontId="16" fillId="0" borderId="2" xfId="0" applyFont="1" applyBorder="1" applyAlignment="1">
      <alignment horizontal="center" wrapText="1"/>
    </xf>
    <xf numFmtId="0" fontId="16" fillId="0" borderId="0" xfId="0" applyNumberFormat="1" applyFont="1" applyAlignment="1"/>
    <xf numFmtId="0" fontId="15" fillId="15" borderId="0" xfId="0" applyFont="1" applyFill="1" applyAlignment="1"/>
    <xf numFmtId="0" fontId="30" fillId="0" borderId="0" xfId="0" applyFont="1" applyAlignment="1">
      <alignment horizontal="center" vertical="center"/>
    </xf>
    <xf numFmtId="0" fontId="34" fillId="9" borderId="124" xfId="0" applyFont="1" applyFill="1" applyBorder="1" applyAlignment="1">
      <alignment horizontal="center" vertical="center" wrapText="1"/>
    </xf>
    <xf numFmtId="0" fontId="34" fillId="9" borderId="11" xfId="0" applyFont="1" applyFill="1" applyBorder="1" applyAlignment="1">
      <alignment horizontal="center" vertical="center" wrapText="1"/>
    </xf>
    <xf numFmtId="0" fontId="35" fillId="11" borderId="10" xfId="0" applyFont="1" applyFill="1" applyBorder="1" applyAlignment="1">
      <alignment horizontal="left" vertical="center" wrapText="1"/>
    </xf>
    <xf numFmtId="0" fontId="35" fillId="0" borderId="14" xfId="0" applyFont="1" applyBorder="1"/>
    <xf numFmtId="0" fontId="35" fillId="0" borderId="7" xfId="0" applyFont="1" applyBorder="1"/>
    <xf numFmtId="0" fontId="35" fillId="0" borderId="13" xfId="0" applyFont="1" applyBorder="1"/>
    <xf numFmtId="0" fontId="35" fillId="11" borderId="21" xfId="0" applyFont="1" applyFill="1" applyBorder="1" applyAlignment="1">
      <alignment horizontal="center" vertical="center" wrapText="1"/>
    </xf>
    <xf numFmtId="0" fontId="35" fillId="0" borderId="28" xfId="0" applyFont="1" applyBorder="1" applyAlignment="1">
      <alignment horizontal="right" vertical="center"/>
    </xf>
    <xf numFmtId="0" fontId="35" fillId="0" borderId="29" xfId="0" applyFont="1" applyBorder="1" applyAlignment="1">
      <alignment horizontal="right" vertical="center"/>
    </xf>
    <xf numFmtId="0" fontId="35" fillId="0" borderId="2" xfId="0" applyFont="1" applyFill="1" applyBorder="1"/>
    <xf numFmtId="0" fontId="8" fillId="0" borderId="0" xfId="0" applyFont="1"/>
    <xf numFmtId="0" fontId="8" fillId="0" borderId="2" xfId="0" applyFont="1" applyBorder="1"/>
    <xf numFmtId="0" fontId="20" fillId="0" borderId="35" xfId="0" applyFont="1" applyFill="1" applyBorder="1" applyAlignment="1">
      <alignment horizontal="right" vertical="center"/>
    </xf>
    <xf numFmtId="0" fontId="20" fillId="0" borderId="28" xfId="0" applyFont="1" applyFill="1" applyBorder="1" applyAlignment="1">
      <alignment horizontal="right"/>
    </xf>
    <xf numFmtId="0" fontId="57" fillId="0" borderId="0" xfId="0" applyFont="1"/>
    <xf numFmtId="0" fontId="57" fillId="0" borderId="0" xfId="0" applyFont="1" applyAlignment="1"/>
    <xf numFmtId="0" fontId="59" fillId="0" borderId="0" xfId="0" applyFont="1" applyAlignment="1"/>
    <xf numFmtId="0" fontId="57" fillId="0" borderId="0" xfId="0" applyFont="1" applyAlignment="1">
      <alignment horizontal="left" vertical="center"/>
    </xf>
    <xf numFmtId="0" fontId="57" fillId="0" borderId="0" xfId="0" applyFont="1" applyAlignment="1">
      <alignment wrapText="1"/>
    </xf>
    <xf numFmtId="0" fontId="35" fillId="0" borderId="24" xfId="0" applyFont="1" applyFill="1" applyBorder="1" applyAlignment="1">
      <alignment horizontal="left" vertical="center" wrapText="1" indent="4"/>
    </xf>
    <xf numFmtId="0" fontId="35" fillId="0" borderId="7" xfId="0" applyFont="1" applyBorder="1" applyAlignment="1">
      <alignment horizontal="left"/>
    </xf>
    <xf numFmtId="0" fontId="35" fillId="0" borderId="28" xfId="0" applyFont="1" applyBorder="1" applyAlignment="1">
      <alignment horizontal="left" vertical="center"/>
    </xf>
    <xf numFmtId="0" fontId="35" fillId="0" borderId="29" xfId="0" applyFont="1" applyBorder="1" applyAlignment="1">
      <alignment horizontal="left" vertical="center"/>
    </xf>
    <xf numFmtId="0" fontId="35" fillId="0" borderId="42" xfId="0" applyFont="1" applyBorder="1" applyAlignment="1">
      <alignment horizontal="left" vertical="center"/>
    </xf>
    <xf numFmtId="0" fontId="35" fillId="0" borderId="0" xfId="0" applyFont="1" applyAlignment="1">
      <alignment horizontal="left"/>
    </xf>
    <xf numFmtId="0" fontId="35" fillId="11" borderId="19" xfId="0" applyFont="1" applyFill="1" applyBorder="1" applyAlignment="1">
      <alignment horizontal="left" vertical="center" wrapText="1"/>
    </xf>
    <xf numFmtId="0" fontId="22" fillId="14" borderId="18" xfId="0" applyFont="1" applyFill="1" applyBorder="1" applyAlignment="1">
      <alignment horizontal="left" vertical="top" wrapText="1"/>
    </xf>
    <xf numFmtId="0" fontId="38" fillId="0" borderId="24" xfId="0" applyFont="1" applyFill="1" applyBorder="1" applyAlignment="1">
      <alignment horizontal="left" vertical="center" wrapText="1"/>
    </xf>
    <xf numFmtId="0" fontId="34" fillId="0" borderId="7" xfId="0" applyFont="1" applyBorder="1" applyAlignment="1">
      <alignment horizontal="center"/>
    </xf>
    <xf numFmtId="0" fontId="35" fillId="0" borderId="2" xfId="0" applyFont="1" applyBorder="1" applyAlignment="1">
      <alignment horizontal="left"/>
    </xf>
    <xf numFmtId="0" fontId="35" fillId="11" borderId="22" xfId="0" applyFont="1" applyFill="1" applyBorder="1" applyAlignment="1">
      <alignment horizontal="center" vertical="center" wrapText="1"/>
    </xf>
    <xf numFmtId="0" fontId="35" fillId="11" borderId="25" xfId="0" applyFont="1" applyFill="1" applyBorder="1" applyAlignment="1">
      <alignment horizontal="left" vertical="center" wrapText="1"/>
    </xf>
    <xf numFmtId="0" fontId="8" fillId="0" borderId="0" xfId="0" applyFont="1" applyAlignment="1">
      <alignment horizontal="right"/>
    </xf>
    <xf numFmtId="0" fontId="61" fillId="0" borderId="0" xfId="0" applyFont="1"/>
    <xf numFmtId="0" fontId="22" fillId="0" borderId="19" xfId="0" applyFont="1" applyFill="1" applyBorder="1" applyAlignment="1">
      <alignment horizontal="left" vertical="center" wrapText="1"/>
    </xf>
    <xf numFmtId="0" fontId="35" fillId="0" borderId="22" xfId="0" applyFont="1" applyFill="1" applyBorder="1" applyAlignment="1">
      <alignment horizontal="left" vertical="center" wrapText="1" indent="4"/>
    </xf>
    <xf numFmtId="0" fontId="38" fillId="0" borderId="22" xfId="0" applyFont="1" applyFill="1" applyBorder="1" applyAlignment="1">
      <alignment horizontal="left" vertical="center" wrapText="1"/>
    </xf>
    <xf numFmtId="0" fontId="22" fillId="0" borderId="25" xfId="0" applyFont="1" applyFill="1" applyBorder="1" applyAlignment="1">
      <alignment horizontal="left" vertical="center" wrapText="1"/>
    </xf>
    <xf numFmtId="0" fontId="35" fillId="0" borderId="16" xfId="0" applyFont="1" applyFill="1" applyBorder="1" applyAlignment="1">
      <alignment horizontal="left" vertical="center" wrapText="1" indent="4"/>
    </xf>
    <xf numFmtId="0" fontId="62" fillId="0" borderId="13" xfId="0" applyFont="1" applyBorder="1"/>
    <xf numFmtId="0" fontId="62" fillId="0" borderId="2" xfId="0" applyFont="1" applyBorder="1"/>
    <xf numFmtId="0" fontId="63" fillId="5" borderId="37" xfId="0" applyFont="1" applyFill="1" applyBorder="1" applyAlignment="1">
      <alignment horizontal="center" vertical="center" wrapText="1"/>
    </xf>
    <xf numFmtId="0" fontId="63" fillId="5" borderId="26" xfId="0" applyFont="1" applyFill="1" applyBorder="1" applyAlignment="1">
      <alignment horizontal="center" vertical="center" wrapText="1"/>
    </xf>
    <xf numFmtId="0" fontId="63" fillId="5" borderId="90" xfId="0" applyFont="1" applyFill="1" applyBorder="1" applyAlignment="1">
      <alignment horizontal="center" vertical="center" wrapText="1"/>
    </xf>
    <xf numFmtId="0" fontId="34" fillId="0" borderId="7" xfId="0" applyFont="1" applyBorder="1" applyAlignment="1">
      <alignment horizontal="center" wrapText="1"/>
    </xf>
    <xf numFmtId="0" fontId="34" fillId="0" borderId="16" xfId="0" applyFont="1" applyBorder="1" applyAlignment="1">
      <alignment horizontal="center" vertical="center" wrapText="1"/>
    </xf>
    <xf numFmtId="0" fontId="34" fillId="0" borderId="22" xfId="0" applyFont="1" applyBorder="1" applyAlignment="1">
      <alignment horizontal="center" vertical="center" wrapText="1"/>
    </xf>
    <xf numFmtId="0" fontId="34" fillId="0" borderId="24"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0" xfId="0" applyFont="1" applyAlignment="1">
      <alignment horizontal="center" wrapText="1"/>
    </xf>
    <xf numFmtId="0" fontId="35" fillId="0" borderId="13" xfId="0" applyFont="1" applyBorder="1" applyAlignment="1">
      <alignment horizontal="right"/>
    </xf>
    <xf numFmtId="0" fontId="64" fillId="0" borderId="2" xfId="0" applyFont="1" applyBorder="1" applyAlignment="1">
      <alignment vertical="center" wrapText="1"/>
    </xf>
    <xf numFmtId="0" fontId="64" fillId="0" borderId="2" xfId="0" applyFont="1" applyBorder="1" applyAlignment="1">
      <alignment horizontal="center" vertical="center" wrapText="1"/>
    </xf>
    <xf numFmtId="0" fontId="0" fillId="0" borderId="2" xfId="0" applyBorder="1" applyAlignment="1">
      <alignment horizontal="right" vertical="center"/>
    </xf>
    <xf numFmtId="0" fontId="0" fillId="0" borderId="2" xfId="0" applyBorder="1" applyAlignment="1">
      <alignment vertical="center" wrapText="1"/>
    </xf>
    <xf numFmtId="3" fontId="0" fillId="0" borderId="2" xfId="0" applyNumberFormat="1" applyBorder="1" applyAlignment="1">
      <alignment vertical="center" wrapText="1"/>
    </xf>
    <xf numFmtId="0" fontId="64" fillId="0" borderId="2" xfId="0" applyFont="1" applyBorder="1" applyAlignment="1">
      <alignment vertical="center"/>
    </xf>
    <xf numFmtId="3" fontId="64" fillId="0" borderId="2" xfId="0" applyNumberFormat="1" applyFont="1" applyBorder="1" applyAlignment="1">
      <alignment vertical="center" wrapText="1"/>
    </xf>
    <xf numFmtId="0" fontId="20" fillId="0" borderId="2" xfId="0" applyFont="1" applyBorder="1" applyAlignment="1">
      <alignment vertical="center" wrapText="1"/>
    </xf>
    <xf numFmtId="0" fontId="0" fillId="0" borderId="2" xfId="0" applyBorder="1" applyAlignment="1">
      <alignment vertical="center"/>
    </xf>
    <xf numFmtId="3" fontId="0" fillId="0" borderId="2" xfId="0" applyNumberFormat="1" applyBorder="1" applyAlignment="1">
      <alignment vertical="center"/>
    </xf>
    <xf numFmtId="0" fontId="20" fillId="0" borderId="0" xfId="0" applyFont="1"/>
    <xf numFmtId="0" fontId="66" fillId="0" borderId="2" xfId="0" applyFont="1" applyFill="1" applyBorder="1" applyAlignment="1">
      <alignment vertical="center" wrapText="1"/>
    </xf>
    <xf numFmtId="3" fontId="64" fillId="0" borderId="2" xfId="0" applyNumberFormat="1" applyFont="1" applyBorder="1" applyAlignment="1">
      <alignment vertical="center"/>
    </xf>
    <xf numFmtId="0" fontId="67" fillId="0" borderId="2" xfId="0" applyFont="1" applyBorder="1" applyAlignment="1">
      <alignment vertical="center"/>
    </xf>
    <xf numFmtId="0" fontId="0" fillId="0" borderId="0" xfId="0" applyAlignment="1">
      <alignment vertical="center"/>
    </xf>
    <xf numFmtId="0" fontId="64" fillId="0" borderId="2" xfId="0" applyFont="1" applyBorder="1" applyAlignment="1">
      <alignment horizontal="right" vertical="center"/>
    </xf>
    <xf numFmtId="3" fontId="0" fillId="0" borderId="0" xfId="0" applyNumberFormat="1" applyAlignment="1">
      <alignment vertical="center"/>
    </xf>
    <xf numFmtId="0" fontId="0" fillId="0" borderId="2" xfId="0" applyFont="1" applyBorder="1" applyAlignment="1">
      <alignment horizontal="right" vertical="center"/>
    </xf>
    <xf numFmtId="0" fontId="21" fillId="0" borderId="2" xfId="0" applyFont="1" applyBorder="1" applyAlignment="1">
      <alignment vertical="center" wrapText="1"/>
    </xf>
    <xf numFmtId="0" fontId="0" fillId="0" borderId="2" xfId="0" applyFont="1" applyBorder="1" applyAlignment="1">
      <alignment vertical="center" wrapText="1"/>
    </xf>
    <xf numFmtId="0" fontId="35" fillId="0" borderId="22" xfId="0" applyFont="1" applyFill="1" applyBorder="1" applyAlignment="1">
      <alignment vertical="center" wrapText="1"/>
    </xf>
    <xf numFmtId="0" fontId="35" fillId="0" borderId="22" xfId="0" applyFont="1" applyFill="1" applyBorder="1" applyAlignment="1">
      <alignment horizontal="center" vertical="center" wrapText="1"/>
    </xf>
    <xf numFmtId="0" fontId="35" fillId="0" borderId="25" xfId="0" applyFont="1" applyFill="1" applyBorder="1" applyAlignment="1">
      <alignment horizontal="left" vertical="center" wrapText="1"/>
    </xf>
    <xf numFmtId="0" fontId="34" fillId="0" borderId="36" xfId="0" applyFont="1" applyBorder="1" applyAlignment="1">
      <alignment horizontal="center" vertical="center" wrapText="1"/>
    </xf>
    <xf numFmtId="0" fontId="35" fillId="0" borderId="100" xfId="0" applyFont="1" applyFill="1" applyBorder="1" applyAlignment="1">
      <alignment horizontal="left" vertical="center" wrapText="1"/>
    </xf>
    <xf numFmtId="0" fontId="22" fillId="11" borderId="100" xfId="0" applyFont="1" applyFill="1" applyBorder="1" applyAlignment="1">
      <alignment horizontal="left" vertical="center" wrapText="1"/>
    </xf>
    <xf numFmtId="0" fontId="20" fillId="0" borderId="2" xfId="0" applyFont="1" applyFill="1" applyBorder="1" applyAlignment="1">
      <alignment vertical="center"/>
    </xf>
    <xf numFmtId="0" fontId="25" fillId="0" borderId="2" xfId="0" applyFont="1" applyFill="1" applyBorder="1" applyAlignment="1">
      <alignment horizontal="center" vertical="center" wrapText="1"/>
    </xf>
    <xf numFmtId="0" fontId="0" fillId="0" borderId="2" xfId="0" applyFont="1" applyFill="1" applyBorder="1" applyAlignment="1">
      <alignment vertical="center"/>
    </xf>
    <xf numFmtId="0" fontId="0" fillId="0" borderId="2" xfId="0" applyFont="1" applyFill="1" applyBorder="1" applyAlignment="1"/>
    <xf numFmtId="0" fontId="0" fillId="0" borderId="2" xfId="0" applyFill="1" applyBorder="1"/>
    <xf numFmtId="0" fontId="25" fillId="0" borderId="2" xfId="0" applyFont="1" applyFill="1" applyBorder="1" applyAlignment="1">
      <alignment vertical="center"/>
    </xf>
    <xf numFmtId="0" fontId="24" fillId="0" borderId="2" xfId="0" applyFont="1" applyFill="1" applyBorder="1" applyAlignment="1">
      <alignment vertical="center"/>
    </xf>
    <xf numFmtId="0" fontId="43" fillId="0" borderId="2" xfId="0" applyFont="1" applyFill="1" applyBorder="1" applyAlignment="1">
      <alignment vertical="center"/>
    </xf>
    <xf numFmtId="0" fontId="42" fillId="0"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2" xfId="0" applyFont="1" applyFill="1" applyBorder="1" applyAlignment="1">
      <alignment horizontal="center" vertical="center"/>
    </xf>
    <xf numFmtId="0" fontId="44" fillId="0" borderId="2" xfId="0" applyFont="1" applyFill="1" applyBorder="1" applyAlignment="1">
      <alignment horizontal="center" vertical="center" wrapText="1"/>
    </xf>
    <xf numFmtId="0" fontId="44" fillId="0" borderId="2" xfId="0" applyFont="1" applyFill="1" applyBorder="1" applyAlignment="1">
      <alignment horizontal="center" vertical="center"/>
    </xf>
    <xf numFmtId="0" fontId="41" fillId="0" borderId="2" xfId="0" applyFont="1" applyFill="1" applyBorder="1" applyAlignment="1">
      <alignment horizontal="center" vertical="center" wrapText="1"/>
    </xf>
    <xf numFmtId="0" fontId="45" fillId="0" borderId="2" xfId="0" applyFont="1" applyFill="1" applyBorder="1" applyAlignment="1">
      <alignment horizontal="center" vertical="center"/>
    </xf>
    <xf numFmtId="0" fontId="46" fillId="0" borderId="2" xfId="0" applyFont="1" applyFill="1" applyBorder="1" applyAlignment="1">
      <alignment horizontal="center" vertical="center"/>
    </xf>
    <xf numFmtId="0" fontId="25" fillId="0" borderId="2" xfId="4" applyFont="1" applyFill="1" applyBorder="1" applyAlignment="1">
      <alignment horizontal="center" vertical="center"/>
    </xf>
    <xf numFmtId="0" fontId="41" fillId="0" borderId="2" xfId="4" applyFont="1" applyFill="1" applyBorder="1" applyAlignment="1">
      <alignment horizontal="center" vertical="center"/>
    </xf>
    <xf numFmtId="0" fontId="42" fillId="0" borderId="2" xfId="0" applyFont="1" applyFill="1" applyBorder="1" applyAlignment="1">
      <alignment vertical="center"/>
    </xf>
    <xf numFmtId="0" fontId="41" fillId="0" borderId="2" xfId="0" applyFont="1" applyFill="1" applyBorder="1" applyAlignment="1">
      <alignment vertical="center"/>
    </xf>
    <xf numFmtId="0" fontId="23" fillId="0" borderId="2" xfId="0" applyFont="1" applyFill="1" applyBorder="1" applyAlignment="1">
      <alignment vertical="center"/>
    </xf>
    <xf numFmtId="0" fontId="22" fillId="0" borderId="2" xfId="0" applyFont="1" applyFill="1" applyBorder="1" applyAlignment="1">
      <alignment vertical="center"/>
    </xf>
    <xf numFmtId="0" fontId="40" fillId="0" borderId="2" xfId="0" applyFont="1" applyFill="1" applyBorder="1" applyAlignment="1">
      <alignment horizontal="center" vertical="center"/>
    </xf>
    <xf numFmtId="0" fontId="43" fillId="0" borderId="2" xfId="0" applyFont="1" applyFill="1" applyBorder="1" applyAlignment="1">
      <alignment horizontal="center"/>
    </xf>
    <xf numFmtId="0" fontId="0" fillId="0" borderId="2" xfId="0" applyFont="1" applyFill="1" applyBorder="1" applyAlignment="1">
      <alignment horizontal="center" vertical="center" wrapText="1"/>
    </xf>
    <xf numFmtId="0" fontId="23" fillId="0" borderId="27" xfId="0" applyFont="1" applyBorder="1" applyAlignment="1">
      <alignment horizontal="left" vertical="center"/>
    </xf>
    <xf numFmtId="49" fontId="25" fillId="0" borderId="35" xfId="0" applyNumberFormat="1" applyFont="1" applyBorder="1" applyAlignment="1">
      <alignment horizontal="right" vertical="center"/>
    </xf>
    <xf numFmtId="0" fontId="23" fillId="0" borderId="44" xfId="0" applyFont="1" applyFill="1" applyBorder="1" applyAlignment="1">
      <alignment horizontal="left" vertical="center"/>
    </xf>
    <xf numFmtId="0" fontId="25" fillId="0" borderId="38" xfId="0" applyFont="1" applyFill="1" applyBorder="1" applyAlignment="1">
      <alignment horizontal="right" vertical="center"/>
    </xf>
    <xf numFmtId="0" fontId="23" fillId="0" borderId="35" xfId="0" applyFont="1" applyBorder="1" applyAlignment="1">
      <alignment horizontal="left" vertical="center"/>
    </xf>
    <xf numFmtId="0" fontId="22" fillId="0" borderId="16" xfId="0" applyFont="1" applyFill="1" applyBorder="1" applyAlignment="1">
      <alignment horizontal="right" vertical="center"/>
    </xf>
    <xf numFmtId="0" fontId="41" fillId="0" borderId="2" xfId="0" applyFont="1" applyFill="1" applyBorder="1" applyAlignment="1">
      <alignment horizontal="center" vertical="center"/>
    </xf>
    <xf numFmtId="0" fontId="24" fillId="0" borderId="2" xfId="0" applyFont="1" applyFill="1" applyBorder="1" applyAlignment="1">
      <alignment horizontal="center" vertical="center" wrapText="1"/>
    </xf>
    <xf numFmtId="0" fontId="42" fillId="0" borderId="2" xfId="0" applyFont="1" applyFill="1" applyBorder="1" applyAlignment="1">
      <alignment horizontal="center" vertical="center"/>
    </xf>
    <xf numFmtId="0" fontId="26" fillId="7" borderId="44" xfId="0" applyFont="1" applyFill="1" applyBorder="1" applyAlignment="1">
      <alignment horizontal="center" vertical="center" wrapText="1"/>
    </xf>
    <xf numFmtId="0" fontId="26" fillId="7" borderId="41" xfId="0" applyFont="1" applyFill="1" applyBorder="1" applyAlignment="1">
      <alignment horizontal="center" vertical="center" wrapText="1"/>
    </xf>
    <xf numFmtId="0" fontId="26" fillId="7" borderId="41" xfId="0" applyFont="1" applyFill="1" applyBorder="1" applyAlignment="1">
      <alignment horizontal="center" vertical="center"/>
    </xf>
    <xf numFmtId="0" fontId="28" fillId="7" borderId="41" xfId="0" applyFont="1" applyFill="1" applyBorder="1" applyAlignment="1">
      <alignment horizontal="center" vertical="center"/>
    </xf>
    <xf numFmtId="0" fontId="33" fillId="7" borderId="41" xfId="2" applyFont="1" applyFill="1" applyBorder="1" applyAlignment="1">
      <alignment horizontal="center" vertical="center" wrapText="1"/>
    </xf>
    <xf numFmtId="0" fontId="33" fillId="7" borderId="92" xfId="2" applyFont="1" applyFill="1" applyBorder="1" applyAlignment="1">
      <alignment horizontal="center" vertical="center"/>
    </xf>
    <xf numFmtId="0" fontId="15" fillId="0" borderId="129" xfId="0" applyFont="1" applyBorder="1" applyAlignment="1">
      <alignment horizontal="center" vertical="center" wrapText="1"/>
    </xf>
    <xf numFmtId="0" fontId="17" fillId="0" borderId="130" xfId="0" applyFont="1" applyFill="1" applyBorder="1" applyAlignment="1">
      <alignment horizontal="center" vertical="center" wrapText="1"/>
    </xf>
    <xf numFmtId="0" fontId="70" fillId="0" borderId="18" xfId="0" applyFont="1" applyFill="1" applyBorder="1" applyAlignment="1">
      <alignment horizontal="left" vertical="center" wrapText="1"/>
    </xf>
    <xf numFmtId="0" fontId="20" fillId="6" borderId="35" xfId="0" applyFont="1" applyFill="1" applyBorder="1" applyAlignment="1">
      <alignment vertical="center" wrapText="1"/>
    </xf>
    <xf numFmtId="0" fontId="20" fillId="0" borderId="16" xfId="0" applyFont="1" applyFill="1" applyBorder="1" applyAlignment="1">
      <alignment vertical="center" wrapText="1"/>
    </xf>
    <xf numFmtId="0" fontId="16" fillId="0" borderId="0" xfId="0" applyFont="1" applyAlignment="1">
      <alignment wrapText="1"/>
    </xf>
    <xf numFmtId="0" fontId="20" fillId="0" borderId="27" xfId="0" applyFont="1" applyFill="1" applyBorder="1" applyAlignment="1">
      <alignment horizontal="right" vertical="center"/>
    </xf>
    <xf numFmtId="0" fontId="31" fillId="4" borderId="27" xfId="0" applyFont="1" applyFill="1" applyBorder="1" applyAlignment="1">
      <alignment horizontal="right" vertical="center" wrapText="1"/>
    </xf>
    <xf numFmtId="0" fontId="31" fillId="4" borderId="23" xfId="0" applyFont="1" applyFill="1" applyBorder="1" applyAlignment="1">
      <alignment horizontal="right" vertical="center" wrapText="1"/>
    </xf>
    <xf numFmtId="9" fontId="31" fillId="4" borderId="23" xfId="0" applyNumberFormat="1" applyFont="1" applyFill="1" applyBorder="1" applyAlignment="1">
      <alignment horizontal="center" vertical="center" wrapText="1"/>
    </xf>
    <xf numFmtId="0" fontId="31" fillId="4" borderId="23" xfId="0" applyFont="1" applyFill="1" applyBorder="1" applyAlignment="1">
      <alignment horizontal="center" vertical="center" wrapText="1"/>
    </xf>
    <xf numFmtId="9" fontId="31" fillId="4" borderId="17" xfId="0" applyNumberFormat="1" applyFont="1" applyFill="1" applyBorder="1" applyAlignment="1">
      <alignment horizontal="center" vertical="center" wrapText="1"/>
    </xf>
    <xf numFmtId="0" fontId="31" fillId="8" borderId="28" xfId="0" applyFont="1" applyFill="1" applyBorder="1" applyAlignment="1">
      <alignment horizontal="right" vertical="center" wrapText="1"/>
    </xf>
    <xf numFmtId="9" fontId="31" fillId="8" borderId="18" xfId="0" applyNumberFormat="1" applyFont="1" applyFill="1" applyBorder="1" applyAlignment="1">
      <alignment horizontal="center" vertical="center" wrapText="1"/>
    </xf>
    <xf numFmtId="0" fontId="31" fillId="4" borderId="28" xfId="0" applyFont="1" applyFill="1" applyBorder="1" applyAlignment="1">
      <alignment horizontal="right" vertical="center" wrapText="1"/>
    </xf>
    <xf numFmtId="9" fontId="31" fillId="4" borderId="18" xfId="0" applyNumberFormat="1" applyFont="1" applyFill="1" applyBorder="1" applyAlignment="1">
      <alignment horizontal="center" vertical="center" wrapText="1"/>
    </xf>
    <xf numFmtId="0" fontId="31" fillId="4" borderId="28" xfId="0" applyFont="1" applyFill="1" applyBorder="1" applyAlignment="1">
      <alignment horizontal="right" vertical="top" wrapText="1"/>
    </xf>
    <xf numFmtId="0" fontId="31" fillId="8" borderId="28" xfId="0" applyFont="1" applyFill="1" applyBorder="1" applyAlignment="1">
      <alignment horizontal="right" vertical="top" wrapText="1"/>
    </xf>
    <xf numFmtId="9" fontId="31" fillId="8" borderId="18" xfId="0" applyNumberFormat="1" applyFont="1" applyFill="1" applyBorder="1" applyAlignment="1">
      <alignment horizontal="center" vertical="top" wrapText="1"/>
    </xf>
    <xf numFmtId="9" fontId="31" fillId="8" borderId="19" xfId="0" applyNumberFormat="1" applyFont="1" applyFill="1" applyBorder="1" applyAlignment="1">
      <alignment horizontal="center" vertical="center" wrapText="1"/>
    </xf>
    <xf numFmtId="0" fontId="21" fillId="0" borderId="0" xfId="0" applyFont="1" applyAlignment="1">
      <alignment vertical="center"/>
    </xf>
    <xf numFmtId="0" fontId="23" fillId="0" borderId="37" xfId="0" applyFont="1" applyFill="1" applyBorder="1" applyAlignment="1">
      <alignment vertical="center"/>
    </xf>
    <xf numFmtId="0" fontId="34" fillId="0" borderId="22" xfId="0" applyFont="1" applyFill="1" applyBorder="1" applyAlignment="1">
      <alignment vertical="center" wrapText="1"/>
    </xf>
    <xf numFmtId="0" fontId="34" fillId="0" borderId="16" xfId="0" applyFont="1" applyFill="1" applyBorder="1" applyAlignment="1">
      <alignment vertical="center" wrapText="1"/>
    </xf>
    <xf numFmtId="0" fontId="63" fillId="6" borderId="13" xfId="0" applyFont="1" applyFill="1" applyBorder="1" applyAlignment="1">
      <alignment horizontal="left" vertical="center" wrapText="1"/>
    </xf>
    <xf numFmtId="0" fontId="63" fillId="6" borderId="2" xfId="0" applyFont="1" applyFill="1" applyBorder="1" applyAlignment="1">
      <alignment horizontal="left" vertical="center" wrapText="1"/>
    </xf>
    <xf numFmtId="0" fontId="63" fillId="6" borderId="10" xfId="0" applyFont="1" applyFill="1" applyBorder="1" applyAlignment="1">
      <alignment horizontal="left" vertical="center" wrapText="1"/>
    </xf>
    <xf numFmtId="0" fontId="0" fillId="0" borderId="0" xfId="0" applyFont="1" applyAlignment="1">
      <alignment horizontal="right"/>
    </xf>
    <xf numFmtId="0" fontId="0" fillId="0" borderId="0" xfId="0" applyFont="1" applyFill="1" applyAlignment="1">
      <alignment horizontal="right"/>
    </xf>
    <xf numFmtId="0" fontId="16" fillId="0" borderId="0" xfId="0" applyFont="1" applyAlignment="1">
      <alignment horizontal="right" wrapText="1"/>
    </xf>
    <xf numFmtId="0" fontId="15" fillId="15" borderId="0" xfId="0" applyFont="1" applyFill="1" applyAlignment="1">
      <alignment horizontal="right"/>
    </xf>
    <xf numFmtId="0" fontId="0" fillId="0" borderId="2" xfId="0" applyFont="1" applyBorder="1" applyAlignment="1">
      <alignment horizontal="center" wrapText="1"/>
    </xf>
    <xf numFmtId="0" fontId="31" fillId="4" borderId="22" xfId="0" applyFont="1" applyFill="1" applyBorder="1" applyAlignment="1">
      <alignment horizontal="right" vertical="center" wrapText="1"/>
    </xf>
    <xf numFmtId="9" fontId="31" fillId="4" borderId="22" xfId="0" applyNumberFormat="1" applyFont="1" applyFill="1" applyBorder="1" applyAlignment="1">
      <alignment horizontal="center" vertical="center" wrapText="1"/>
    </xf>
    <xf numFmtId="0" fontId="31" fillId="4" borderId="22" xfId="0" applyFont="1" applyFill="1" applyBorder="1" applyAlignment="1">
      <alignment horizontal="center" vertical="center" wrapText="1"/>
    </xf>
    <xf numFmtId="0" fontId="23" fillId="0" borderId="37" xfId="0" applyFont="1" applyFill="1" applyBorder="1" applyAlignment="1">
      <alignment horizontal="left" vertical="center"/>
    </xf>
    <xf numFmtId="0" fontId="20" fillId="0" borderId="35" xfId="0" applyFont="1" applyBorder="1" applyAlignment="1">
      <alignment horizontal="left" vertical="center"/>
    </xf>
    <xf numFmtId="0" fontId="23" fillId="0" borderId="37" xfId="0" applyFont="1" applyFill="1" applyBorder="1" applyAlignment="1">
      <alignment horizontal="left" vertical="center" wrapText="1"/>
    </xf>
    <xf numFmtId="0" fontId="23" fillId="0" borderId="35" xfId="0" applyFont="1" applyFill="1" applyBorder="1" applyAlignment="1">
      <alignment horizontal="left" vertical="center" wrapText="1"/>
    </xf>
    <xf numFmtId="0" fontId="20" fillId="14" borderId="37" xfId="0" applyFont="1" applyFill="1" applyBorder="1" applyAlignment="1">
      <alignment horizontal="left" vertical="center"/>
    </xf>
    <xf numFmtId="0" fontId="17" fillId="0" borderId="26" xfId="0" applyFont="1" applyBorder="1" applyAlignment="1">
      <alignment horizontal="left" vertical="center" wrapText="1"/>
    </xf>
    <xf numFmtId="9" fontId="14" fillId="10" borderId="12" xfId="1" applyFont="1" applyFill="1" applyBorder="1" applyAlignment="1">
      <alignment horizontal="right" vertical="center" wrapText="1"/>
    </xf>
    <xf numFmtId="0" fontId="10" fillId="3" borderId="58" xfId="0" applyFont="1" applyFill="1" applyBorder="1" applyAlignment="1">
      <alignment horizontal="right" vertical="center" wrapText="1"/>
    </xf>
    <xf numFmtId="0" fontId="14" fillId="3" borderId="56" xfId="0" applyFont="1" applyFill="1" applyBorder="1" applyAlignment="1">
      <alignment horizontal="center" vertical="center" wrapText="1"/>
    </xf>
    <xf numFmtId="0" fontId="14" fillId="3" borderId="51" xfId="0" applyFont="1" applyFill="1" applyBorder="1" applyAlignment="1">
      <alignment horizontal="center" vertical="center" wrapText="1"/>
    </xf>
    <xf numFmtId="0" fontId="14" fillId="3" borderId="57" xfId="0" applyFont="1" applyFill="1" applyBorder="1" applyAlignment="1">
      <alignment horizontal="center" vertical="center" wrapText="1"/>
    </xf>
    <xf numFmtId="0" fontId="10" fillId="3" borderId="74" xfId="0" applyFont="1" applyFill="1" applyBorder="1" applyAlignment="1">
      <alignment horizontal="right" vertical="center" wrapText="1"/>
    </xf>
    <xf numFmtId="1" fontId="14" fillId="3" borderId="46" xfId="0" applyNumberFormat="1" applyFont="1" applyFill="1" applyBorder="1" applyAlignment="1">
      <alignment horizontal="center" vertical="center" wrapText="1"/>
    </xf>
    <xf numFmtId="1" fontId="14" fillId="3" borderId="50" xfId="0" applyNumberFormat="1" applyFont="1" applyFill="1" applyBorder="1" applyAlignment="1">
      <alignment horizontal="center" vertical="center" wrapText="1"/>
    </xf>
    <xf numFmtId="1" fontId="14" fillId="3" borderId="9" xfId="0" applyNumberFormat="1" applyFont="1" applyFill="1" applyBorder="1" applyAlignment="1">
      <alignment horizontal="center" vertical="center" wrapText="1"/>
    </xf>
    <xf numFmtId="1" fontId="14" fillId="10" borderId="12" xfId="0" applyNumberFormat="1" applyFont="1" applyFill="1" applyBorder="1" applyAlignment="1">
      <alignment vertical="center" wrapText="1"/>
    </xf>
    <xf numFmtId="0" fontId="18" fillId="0" borderId="2" xfId="0" applyFont="1" applyBorder="1" applyAlignment="1">
      <alignment horizontal="center"/>
    </xf>
    <xf numFmtId="9" fontId="10" fillId="10" borderId="12" xfId="1" applyFont="1" applyFill="1" applyBorder="1" applyAlignment="1">
      <alignment horizontal="right" vertical="center" wrapText="1"/>
    </xf>
    <xf numFmtId="1" fontId="14" fillId="10" borderId="11" xfId="0" applyNumberFormat="1" applyFont="1" applyFill="1" applyBorder="1" applyAlignment="1">
      <alignment vertical="center" wrapText="1"/>
    </xf>
    <xf numFmtId="9" fontId="9" fillId="10" borderId="87" xfId="0" applyNumberFormat="1" applyFont="1" applyFill="1" applyBorder="1" applyAlignment="1">
      <alignment vertical="center" wrapText="1"/>
    </xf>
    <xf numFmtId="9" fontId="9" fillId="10" borderId="133" xfId="0" applyNumberFormat="1" applyFont="1" applyFill="1" applyBorder="1" applyAlignment="1">
      <alignment horizontal="right" vertical="center" wrapText="1"/>
    </xf>
    <xf numFmtId="1" fontId="14" fillId="4" borderId="56" xfId="0" applyNumberFormat="1" applyFont="1" applyFill="1" applyBorder="1" applyAlignment="1">
      <alignment horizontal="center" vertical="center" wrapText="1"/>
    </xf>
    <xf numFmtId="1" fontId="14" fillId="4" borderId="51" xfId="0" applyNumberFormat="1" applyFont="1" applyFill="1" applyBorder="1" applyAlignment="1">
      <alignment horizontal="center" vertical="center" wrapText="1"/>
    </xf>
    <xf numFmtId="1" fontId="10" fillId="10" borderId="10" xfId="0" applyNumberFormat="1" applyFont="1" applyFill="1" applyBorder="1" applyAlignment="1">
      <alignment horizontal="right" vertical="center" wrapText="1"/>
    </xf>
    <xf numFmtId="1" fontId="14" fillId="4" borderId="57" xfId="0" applyNumberFormat="1" applyFont="1" applyFill="1" applyBorder="1" applyAlignment="1">
      <alignment horizontal="center" vertical="center" wrapText="1"/>
    </xf>
    <xf numFmtId="0" fontId="10" fillId="4" borderId="75" xfId="0" applyFont="1" applyFill="1" applyBorder="1" applyAlignment="1">
      <alignment horizontal="right" vertical="center" wrapText="1"/>
    </xf>
    <xf numFmtId="1" fontId="14" fillId="4" borderId="47" xfId="0" applyNumberFormat="1" applyFont="1" applyFill="1" applyBorder="1" applyAlignment="1">
      <alignment horizontal="center" vertical="center" wrapText="1"/>
    </xf>
    <xf numFmtId="1" fontId="14" fillId="4" borderId="49" xfId="0" applyNumberFormat="1" applyFont="1" applyFill="1" applyBorder="1" applyAlignment="1">
      <alignment horizontal="center" vertical="center" wrapText="1"/>
    </xf>
    <xf numFmtId="1" fontId="14" fillId="4" borderId="10" xfId="0" applyNumberFormat="1" applyFont="1" applyFill="1" applyBorder="1" applyAlignment="1">
      <alignment horizontal="center" vertical="center" wrapText="1"/>
    </xf>
    <xf numFmtId="0" fontId="10" fillId="0" borderId="140" xfId="0" applyFont="1" applyFill="1" applyBorder="1" applyAlignment="1">
      <alignment horizontal="left" vertical="top" wrapText="1"/>
    </xf>
    <xf numFmtId="1" fontId="14" fillId="0" borderId="46" xfId="0" applyNumberFormat="1" applyFont="1" applyFill="1" applyBorder="1" applyAlignment="1">
      <alignment horizontal="center" vertical="center" wrapText="1"/>
    </xf>
    <xf numFmtId="1" fontId="14" fillId="0" borderId="50" xfId="0" applyNumberFormat="1" applyFont="1" applyFill="1" applyBorder="1" applyAlignment="1">
      <alignment horizontal="center" vertical="center" wrapText="1"/>
    </xf>
    <xf numFmtId="1" fontId="14" fillId="0" borderId="6" xfId="0" applyNumberFormat="1" applyFont="1" applyFill="1" applyBorder="1" applyAlignment="1">
      <alignment horizontal="center" vertical="center" wrapText="1"/>
    </xf>
    <xf numFmtId="1" fontId="10" fillId="10" borderId="9" xfId="0" applyNumberFormat="1" applyFont="1" applyFill="1" applyBorder="1" applyAlignment="1">
      <alignment horizontal="right" vertical="center" wrapText="1"/>
    </xf>
    <xf numFmtId="0" fontId="58" fillId="0" borderId="13" xfId="0" applyFont="1" applyFill="1" applyBorder="1" applyAlignment="1">
      <alignment horizontal="left" vertical="center"/>
    </xf>
    <xf numFmtId="0" fontId="57" fillId="0" borderId="10" xfId="0" applyFont="1" applyFill="1" applyBorder="1" applyAlignment="1">
      <alignment wrapText="1"/>
    </xf>
    <xf numFmtId="0" fontId="58" fillId="0" borderId="15" xfId="0" applyFont="1" applyFill="1" applyBorder="1" applyAlignment="1">
      <alignment horizontal="left" vertical="center"/>
    </xf>
    <xf numFmtId="0" fontId="57" fillId="0" borderId="15" xfId="0" applyFont="1" applyFill="1" applyBorder="1" applyAlignment="1">
      <alignment horizontal="left" vertical="center"/>
    </xf>
    <xf numFmtId="0" fontId="57" fillId="0" borderId="13" xfId="0" applyFont="1" applyFill="1" applyBorder="1" applyAlignment="1">
      <alignment horizontal="left" vertical="center"/>
    </xf>
    <xf numFmtId="0" fontId="57" fillId="0" borderId="39" xfId="0" applyFont="1" applyFill="1" applyBorder="1" applyAlignment="1">
      <alignment horizontal="left" vertical="center"/>
    </xf>
    <xf numFmtId="0" fontId="57" fillId="0" borderId="115" xfId="0" applyFont="1" applyFill="1" applyBorder="1" applyAlignment="1">
      <alignment wrapText="1"/>
    </xf>
    <xf numFmtId="0" fontId="21" fillId="0" borderId="39" xfId="0" applyFont="1" applyFill="1" applyBorder="1" applyAlignment="1">
      <alignment horizontal="left" vertical="center"/>
    </xf>
    <xf numFmtId="0" fontId="17" fillId="0" borderId="13" xfId="0" applyFont="1" applyFill="1" applyBorder="1" applyAlignment="1">
      <alignment horizontal="left" vertical="top"/>
    </xf>
    <xf numFmtId="0" fontId="21" fillId="0" borderId="13" xfId="0" applyFont="1" applyFill="1" applyBorder="1" applyAlignment="1">
      <alignment horizontal="left" vertical="center" wrapText="1"/>
    </xf>
    <xf numFmtId="0" fontId="57" fillId="0" borderId="13" xfId="0" applyFont="1" applyFill="1" applyBorder="1" applyAlignment="1">
      <alignment horizontal="left" vertical="center" wrapText="1"/>
    </xf>
    <xf numFmtId="0" fontId="57" fillId="0" borderId="39" xfId="0" applyFont="1" applyFill="1" applyBorder="1" applyAlignment="1">
      <alignment horizontal="left" vertical="center" wrapText="1"/>
    </xf>
    <xf numFmtId="0" fontId="58" fillId="0" borderId="34" xfId="0" applyFont="1" applyFill="1" applyBorder="1" applyAlignment="1">
      <alignment horizontal="left" vertical="center"/>
    </xf>
    <xf numFmtId="0" fontId="57" fillId="0" borderId="101" xfId="0" applyFont="1" applyFill="1" applyBorder="1" applyAlignment="1">
      <alignment wrapText="1"/>
    </xf>
    <xf numFmtId="0" fontId="22" fillId="0" borderId="10" xfId="0" applyFont="1" applyFill="1" applyBorder="1" applyAlignment="1">
      <alignment vertical="center" wrapText="1"/>
    </xf>
    <xf numFmtId="0" fontId="57" fillId="0" borderId="13" xfId="0" applyFont="1" applyFill="1" applyBorder="1" applyAlignment="1">
      <alignment horizontal="left" vertical="top" wrapText="1"/>
    </xf>
    <xf numFmtId="0" fontId="58" fillId="0" borderId="34" xfId="0" applyFont="1" applyFill="1" applyBorder="1" applyAlignment="1">
      <alignment horizontal="left" vertical="top"/>
    </xf>
    <xf numFmtId="0" fontId="58" fillId="0" borderId="39" xfId="0" applyFont="1" applyFill="1" applyBorder="1" applyAlignment="1">
      <alignment horizontal="left" vertical="center"/>
    </xf>
    <xf numFmtId="0" fontId="58" fillId="0" borderId="13" xfId="0" applyFont="1" applyFill="1" applyBorder="1" applyAlignment="1">
      <alignment horizontal="left" vertical="center" wrapText="1"/>
    </xf>
    <xf numFmtId="0" fontId="57" fillId="0" borderId="13" xfId="0" applyFont="1" applyFill="1" applyBorder="1"/>
    <xf numFmtId="0" fontId="57" fillId="0" borderId="34" xfId="0" applyFont="1" applyFill="1" applyBorder="1" applyAlignment="1">
      <alignment horizontal="left" vertical="center"/>
    </xf>
    <xf numFmtId="0" fontId="58" fillId="9" borderId="73" xfId="0" applyFont="1" applyFill="1" applyBorder="1" applyAlignment="1">
      <alignment horizontal="left" vertical="center"/>
    </xf>
    <xf numFmtId="0" fontId="59" fillId="9" borderId="142" xfId="0" applyFont="1" applyFill="1" applyBorder="1" applyAlignment="1">
      <alignment wrapText="1"/>
    </xf>
    <xf numFmtId="0" fontId="64" fillId="6" borderId="143" xfId="0" applyFont="1" applyFill="1" applyBorder="1" applyAlignment="1">
      <alignment vertical="center" wrapText="1"/>
    </xf>
    <xf numFmtId="0" fontId="63" fillId="5" borderId="23" xfId="0" applyFont="1" applyFill="1" applyBorder="1" applyAlignment="1">
      <alignment horizontal="center" vertical="center" wrapText="1"/>
    </xf>
    <xf numFmtId="0" fontId="34" fillId="0" borderId="23" xfId="0" applyFont="1" applyBorder="1" applyAlignment="1">
      <alignment horizontal="center" vertical="center" wrapText="1"/>
    </xf>
    <xf numFmtId="0" fontId="34" fillId="0" borderId="24" xfId="0" applyFont="1" applyFill="1" applyBorder="1" applyAlignment="1">
      <alignment vertical="center" wrapText="1"/>
    </xf>
    <xf numFmtId="0" fontId="25" fillId="0" borderId="16" xfId="0" applyFont="1" applyFill="1" applyBorder="1" applyAlignment="1">
      <alignment horizontal="right" vertical="center"/>
    </xf>
    <xf numFmtId="0" fontId="25" fillId="0" borderId="97" xfId="0" applyFont="1" applyFill="1" applyBorder="1" applyAlignment="1">
      <alignment horizontal="right" vertical="center"/>
    </xf>
    <xf numFmtId="0" fontId="25" fillId="0" borderId="24" xfId="0" applyFont="1" applyFill="1" applyBorder="1" applyAlignment="1">
      <alignment horizontal="right" vertical="center"/>
    </xf>
    <xf numFmtId="0" fontId="23" fillId="0" borderId="27" xfId="0" applyFont="1" applyBorder="1" applyAlignment="1">
      <alignment horizontal="center" vertical="center"/>
    </xf>
    <xf numFmtId="0" fontId="22" fillId="0" borderId="35" xfId="0" applyFont="1" applyBorder="1" applyAlignment="1">
      <alignment horizontal="right" vertical="center"/>
    </xf>
    <xf numFmtId="0" fontId="25" fillId="0" borderId="22" xfId="0" applyFont="1" applyFill="1" applyBorder="1" applyAlignment="1">
      <alignment horizontal="right" vertical="center"/>
    </xf>
    <xf numFmtId="0" fontId="22" fillId="0" borderId="38" xfId="0" applyFont="1" applyFill="1" applyBorder="1" applyAlignment="1">
      <alignment horizontal="right" vertical="center"/>
    </xf>
    <xf numFmtId="0" fontId="25" fillId="0" borderId="16" xfId="0" applyFont="1" applyFill="1" applyBorder="1" applyAlignment="1">
      <alignment horizontal="right" vertical="center" wrapText="1"/>
    </xf>
    <xf numFmtId="0" fontId="22" fillId="0" borderId="29" xfId="0" applyFont="1" applyFill="1" applyBorder="1" applyAlignment="1">
      <alignment horizontal="right" vertical="center" wrapText="1"/>
    </xf>
    <xf numFmtId="0" fontId="21" fillId="0" borderId="22" xfId="0" applyFont="1" applyFill="1" applyBorder="1" applyAlignment="1">
      <alignment vertical="center" wrapText="1"/>
    </xf>
    <xf numFmtId="0" fontId="25" fillId="0" borderId="42" xfId="0" applyFont="1" applyFill="1" applyBorder="1" applyAlignment="1">
      <alignment horizontal="right" vertical="center"/>
    </xf>
    <xf numFmtId="0" fontId="20" fillId="0" borderId="37" xfId="0" applyFont="1" applyFill="1" applyBorder="1" applyAlignment="1">
      <alignment horizontal="left" vertical="center"/>
    </xf>
    <xf numFmtId="0" fontId="69" fillId="0" borderId="116" xfId="0" applyFont="1" applyFill="1" applyBorder="1" applyAlignment="1">
      <alignment vertical="center" wrapText="1"/>
    </xf>
    <xf numFmtId="0" fontId="25" fillId="0" borderId="21" xfId="0" applyFont="1" applyFill="1" applyBorder="1" applyAlignment="1">
      <alignment horizontal="right" vertical="center"/>
    </xf>
    <xf numFmtId="0" fontId="21" fillId="0" borderId="109" xfId="0" applyFont="1" applyFill="1" applyBorder="1" applyAlignment="1">
      <alignment vertical="center" wrapText="1"/>
    </xf>
    <xf numFmtId="0" fontId="23" fillId="0" borderId="38" xfId="0" applyFont="1" applyFill="1" applyBorder="1" applyAlignment="1">
      <alignment vertical="center" wrapText="1"/>
    </xf>
    <xf numFmtId="0" fontId="20" fillId="0" borderId="31" xfId="0" applyFont="1" applyFill="1" applyBorder="1" applyAlignment="1">
      <alignment vertical="center" wrapText="1"/>
    </xf>
    <xf numFmtId="0" fontId="23" fillId="0" borderId="27" xfId="0" applyFont="1" applyFill="1" applyBorder="1" applyAlignment="1">
      <alignment horizontal="left" vertical="center" wrapText="1"/>
    </xf>
    <xf numFmtId="0" fontId="25" fillId="0" borderId="21" xfId="0" applyFont="1" applyFill="1" applyBorder="1" applyAlignment="1">
      <alignment horizontal="right" vertical="center" wrapText="1"/>
    </xf>
    <xf numFmtId="0" fontId="20" fillId="0" borderId="111" xfId="0" applyFont="1" applyBorder="1" applyAlignment="1">
      <alignment horizontal="left" vertical="center"/>
    </xf>
    <xf numFmtId="0" fontId="24" fillId="0" borderId="114" xfId="0" applyFont="1" applyFill="1" applyBorder="1" applyAlignment="1">
      <alignment horizontal="left" vertical="center" wrapText="1"/>
    </xf>
    <xf numFmtId="0" fontId="24" fillId="0" borderId="104" xfId="0" applyFont="1" applyFill="1" applyBorder="1" applyAlignment="1">
      <alignment horizontal="left" vertical="center" wrapText="1"/>
    </xf>
    <xf numFmtId="0" fontId="20" fillId="0" borderId="41" xfId="0" applyFont="1" applyBorder="1" applyAlignment="1">
      <alignment horizontal="left" vertical="center" wrapText="1"/>
    </xf>
    <xf numFmtId="0" fontId="20" fillId="0" borderId="27" xfId="0" applyFont="1" applyFill="1" applyBorder="1" applyAlignment="1">
      <alignment horizontal="left" vertical="center"/>
    </xf>
    <xf numFmtId="0" fontId="35" fillId="0" borderId="28" xfId="0" applyFont="1" applyBorder="1" applyAlignment="1">
      <alignment horizontal="left"/>
    </xf>
    <xf numFmtId="0" fontId="35" fillId="0" borderId="15" xfId="0" applyFont="1" applyBorder="1" applyAlignment="1">
      <alignment horizontal="left"/>
    </xf>
    <xf numFmtId="0" fontId="34" fillId="0" borderId="103" xfId="0" applyFont="1" applyFill="1" applyBorder="1" applyAlignment="1">
      <alignment horizontal="left" vertical="center" wrapText="1"/>
    </xf>
    <xf numFmtId="0" fontId="34" fillId="0" borderId="110" xfId="0" applyFont="1" applyFill="1" applyBorder="1" applyAlignment="1">
      <alignment horizontal="left" vertical="center" wrapText="1"/>
    </xf>
    <xf numFmtId="0" fontId="35" fillId="11" borderId="23" xfId="0" applyFont="1" applyFill="1" applyBorder="1" applyAlignment="1">
      <alignment horizontal="center" vertical="center" wrapText="1"/>
    </xf>
    <xf numFmtId="0" fontId="0" fillId="0" borderId="42" xfId="0" applyFont="1" applyFill="1" applyBorder="1" applyAlignment="1">
      <alignment horizontal="right" vertical="center" wrapText="1"/>
    </xf>
    <xf numFmtId="0" fontId="35" fillId="11" borderId="143" xfId="0" applyFont="1" applyFill="1" applyBorder="1" applyAlignment="1">
      <alignment horizontal="center" vertical="center" wrapText="1"/>
    </xf>
    <xf numFmtId="0" fontId="35" fillId="0" borderId="37" xfId="0" applyFont="1" applyBorder="1" applyAlignment="1">
      <alignment horizontal="left"/>
    </xf>
    <xf numFmtId="0" fontId="34" fillId="0" borderId="26" xfId="0" applyFont="1" applyBorder="1" applyAlignment="1">
      <alignment horizontal="center" vertical="center" wrapText="1"/>
    </xf>
    <xf numFmtId="0" fontId="34" fillId="0" borderId="26" xfId="0" applyFont="1" applyFill="1" applyBorder="1" applyAlignment="1">
      <alignment vertical="center" wrapText="1"/>
    </xf>
    <xf numFmtId="0" fontId="34" fillId="0" borderId="76" xfId="0" applyFont="1" applyFill="1" applyBorder="1" applyAlignment="1">
      <alignment horizontal="left" vertical="center" wrapText="1"/>
    </xf>
    <xf numFmtId="0" fontId="35" fillId="0" borderId="16" xfId="0" applyFont="1" applyBorder="1" applyAlignment="1">
      <alignment horizontal="left"/>
    </xf>
    <xf numFmtId="0" fontId="26" fillId="7" borderId="83" xfId="0" applyFont="1" applyFill="1" applyBorder="1" applyAlignment="1">
      <alignment horizontal="center" vertical="center" wrapText="1"/>
    </xf>
    <xf numFmtId="0" fontId="31" fillId="4" borderId="35" xfId="0" applyFont="1" applyFill="1" applyBorder="1" applyAlignment="1">
      <alignment horizontal="right" vertical="center" wrapText="1"/>
    </xf>
    <xf numFmtId="9" fontId="31" fillId="4" borderId="25" xfId="0" applyNumberFormat="1" applyFont="1" applyFill="1" applyBorder="1" applyAlignment="1">
      <alignment horizontal="center" vertical="center" wrapText="1"/>
    </xf>
    <xf numFmtId="0" fontId="33" fillId="7" borderId="41" xfId="2" applyFont="1" applyFill="1" applyBorder="1" applyAlignment="1">
      <alignment vertical="center" wrapText="1"/>
    </xf>
    <xf numFmtId="0" fontId="33" fillId="7" borderId="92" xfId="2" applyFont="1" applyFill="1" applyBorder="1" applyAlignment="1">
      <alignment vertical="center"/>
    </xf>
    <xf numFmtId="0" fontId="34" fillId="0" borderId="16" xfId="0" applyFont="1" applyFill="1" applyBorder="1" applyAlignment="1">
      <alignment horizontal="left" vertical="center" wrapText="1"/>
    </xf>
    <xf numFmtId="14" fontId="31" fillId="4" borderId="22" xfId="0" applyNumberFormat="1" applyFont="1" applyFill="1" applyBorder="1" applyAlignment="1">
      <alignment horizontal="right" vertical="center" wrapText="1"/>
    </xf>
    <xf numFmtId="14" fontId="31" fillId="8" borderId="16" xfId="0" applyNumberFormat="1" applyFont="1" applyFill="1" applyBorder="1" applyAlignment="1">
      <alignment horizontal="right" vertical="center" wrapText="1"/>
    </xf>
    <xf numFmtId="9" fontId="31" fillId="8" borderId="16" xfId="0" applyNumberFormat="1" applyFont="1" applyFill="1" applyBorder="1" applyAlignment="1">
      <alignment horizontal="center" vertical="center" wrapText="1"/>
    </xf>
    <xf numFmtId="14" fontId="31" fillId="4" borderId="16" xfId="0" applyNumberFormat="1" applyFont="1" applyFill="1" applyBorder="1" applyAlignment="1">
      <alignment horizontal="right" vertical="center" wrapText="1"/>
    </xf>
    <xf numFmtId="14" fontId="31" fillId="4" borderId="22" xfId="0" applyNumberFormat="1" applyFont="1" applyFill="1" applyBorder="1" applyAlignment="1">
      <alignment horizontal="center" vertical="center" wrapText="1"/>
    </xf>
    <xf numFmtId="14" fontId="31" fillId="4" borderId="16" xfId="0" applyNumberFormat="1" applyFont="1" applyFill="1" applyBorder="1" applyAlignment="1">
      <alignment horizontal="center" vertical="center" wrapText="1"/>
    </xf>
    <xf numFmtId="14" fontId="31" fillId="4" borderId="16" xfId="0" applyNumberFormat="1" applyFont="1" applyFill="1" applyBorder="1" applyAlignment="1">
      <alignment horizontal="center" vertical="top" wrapText="1"/>
    </xf>
    <xf numFmtId="0" fontId="0" fillId="0" borderId="0" xfId="0" applyFont="1" applyAlignment="1">
      <alignment horizontal="left" vertical="top"/>
    </xf>
    <xf numFmtId="14" fontId="0" fillId="0" borderId="0" xfId="0" applyNumberFormat="1" applyFont="1" applyAlignment="1">
      <alignment horizontal="left" vertical="top"/>
    </xf>
    <xf numFmtId="0" fontId="0" fillId="0" borderId="0" xfId="0" applyFont="1" applyAlignment="1">
      <alignment horizontal="left" vertical="top" wrapText="1"/>
    </xf>
    <xf numFmtId="0" fontId="15" fillId="0" borderId="0" xfId="0" applyFont="1" applyAlignment="1">
      <alignment horizontal="left" vertical="top"/>
    </xf>
    <xf numFmtId="0" fontId="15" fillId="0" borderId="0" xfId="0" applyFont="1" applyAlignment="1">
      <alignment horizontal="left" vertical="top" wrapText="1"/>
    </xf>
    <xf numFmtId="0" fontId="72" fillId="0" borderId="0" xfId="0" applyFont="1" applyAlignment="1">
      <alignment horizontal="left" vertical="top" wrapText="1"/>
    </xf>
    <xf numFmtId="0" fontId="57" fillId="0" borderId="100" xfId="0" applyFont="1" applyFill="1" applyBorder="1" applyAlignment="1">
      <alignment wrapText="1"/>
    </xf>
    <xf numFmtId="0" fontId="57" fillId="0" borderId="75" xfId="0" applyFont="1" applyFill="1" applyBorder="1" applyAlignment="1">
      <alignment wrapText="1"/>
    </xf>
    <xf numFmtId="0" fontId="57" fillId="0" borderId="74" xfId="0" applyFont="1" applyFill="1" applyBorder="1" applyAlignment="1">
      <alignment wrapText="1"/>
    </xf>
    <xf numFmtId="0" fontId="21" fillId="0" borderId="75" xfId="0" applyFont="1" applyFill="1" applyBorder="1" applyAlignment="1">
      <alignment wrapText="1"/>
    </xf>
    <xf numFmtId="0" fontId="21" fillId="0" borderId="25" xfId="0" applyFont="1" applyFill="1" applyBorder="1" applyAlignment="1">
      <alignment wrapText="1"/>
    </xf>
    <xf numFmtId="0" fontId="57" fillId="0" borderId="25" xfId="0" applyFont="1" applyFill="1" applyBorder="1" applyAlignment="1">
      <alignment wrapText="1"/>
    </xf>
    <xf numFmtId="0" fontId="57" fillId="0" borderId="18" xfId="0" applyFont="1" applyFill="1" applyBorder="1" applyAlignment="1">
      <alignment wrapText="1"/>
    </xf>
    <xf numFmtId="0" fontId="57" fillId="0" borderId="75" xfId="0" applyFont="1" applyFill="1" applyBorder="1" applyAlignment="1">
      <alignment vertical="center" wrapText="1"/>
    </xf>
    <xf numFmtId="0" fontId="23" fillId="0" borderId="75" xfId="0" applyFont="1" applyFill="1" applyBorder="1" applyAlignment="1">
      <alignment vertical="center" wrapText="1"/>
    </xf>
    <xf numFmtId="0" fontId="22" fillId="0" borderId="75" xfId="0" applyFont="1" applyFill="1" applyBorder="1" applyAlignment="1">
      <alignment vertical="center" wrapText="1"/>
    </xf>
    <xf numFmtId="0" fontId="22" fillId="0" borderId="100" xfId="0" applyFont="1" applyFill="1" applyBorder="1" applyAlignment="1">
      <alignment vertical="center" wrapText="1"/>
    </xf>
    <xf numFmtId="0" fontId="16" fillId="0" borderId="0" xfId="0" applyFont="1" applyAlignment="1">
      <alignment horizontal="left" vertical="top"/>
    </xf>
    <xf numFmtId="0" fontId="16" fillId="0" borderId="0" xfId="0" applyFont="1" applyAlignment="1">
      <alignment horizontal="left" vertical="top" wrapText="1"/>
    </xf>
    <xf numFmtId="0" fontId="20" fillId="0" borderId="26" xfId="0" applyFont="1" applyFill="1" applyBorder="1" applyAlignment="1">
      <alignment horizontal="left" vertical="center" wrapText="1"/>
    </xf>
    <xf numFmtId="0" fontId="20" fillId="0" borderId="22" xfId="0" applyFont="1" applyFill="1" applyBorder="1" applyAlignment="1">
      <alignment horizontal="left" vertical="center" wrapText="1"/>
    </xf>
    <xf numFmtId="0" fontId="20" fillId="0" borderId="37" xfId="0" applyFont="1" applyBorder="1" applyAlignment="1">
      <alignment horizontal="left" vertical="center"/>
    </xf>
    <xf numFmtId="0" fontId="24" fillId="0" borderId="26" xfId="0" applyFont="1" applyFill="1" applyBorder="1" applyAlignment="1">
      <alignment horizontal="left" vertical="center"/>
    </xf>
    <xf numFmtId="0" fontId="20" fillId="0" borderId="32" xfId="0" applyFont="1" applyFill="1" applyBorder="1" applyAlignment="1">
      <alignment horizontal="left" vertical="center"/>
    </xf>
    <xf numFmtId="0" fontId="20" fillId="0" borderId="2" xfId="0" applyFont="1" applyFill="1" applyBorder="1" applyAlignment="1">
      <alignment horizontal="center" vertical="center"/>
    </xf>
    <xf numFmtId="0" fontId="25" fillId="0" borderId="2" xfId="0" applyFont="1" applyFill="1" applyBorder="1" applyAlignment="1">
      <alignment horizontal="center" vertical="center"/>
    </xf>
    <xf numFmtId="0" fontId="24" fillId="0" borderId="2" xfId="0" applyFont="1" applyFill="1" applyBorder="1" applyAlignment="1">
      <alignment horizontal="center" vertical="center"/>
    </xf>
    <xf numFmtId="0" fontId="2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23" fillId="0" borderId="2" xfId="0" applyFont="1" applyFill="1" applyBorder="1" applyAlignment="1">
      <alignment horizontal="center" vertical="center"/>
    </xf>
    <xf numFmtId="0" fontId="20" fillId="0" borderId="2" xfId="0" applyFont="1" applyFill="1" applyBorder="1" applyAlignment="1">
      <alignment horizontal="center" vertical="center" wrapText="1"/>
    </xf>
    <xf numFmtId="0" fontId="23" fillId="0" borderId="37" xfId="0" applyFont="1" applyFill="1" applyBorder="1" applyAlignment="1">
      <alignment horizontal="center" vertical="center"/>
    </xf>
    <xf numFmtId="0" fontId="23" fillId="0" borderId="35" xfId="0" applyFont="1" applyFill="1" applyBorder="1" applyAlignment="1">
      <alignment horizontal="center" vertical="center"/>
    </xf>
    <xf numFmtId="0" fontId="20" fillId="0" borderId="26" xfId="0" applyFont="1" applyFill="1" applyBorder="1" applyAlignment="1">
      <alignment horizontal="left" vertical="center"/>
    </xf>
    <xf numFmtId="1" fontId="16" fillId="0" borderId="147" xfId="0" applyNumberFormat="1" applyFont="1" applyFill="1" applyBorder="1" applyAlignment="1">
      <alignment horizontal="right" vertical="center" wrapText="1"/>
    </xf>
    <xf numFmtId="1" fontId="16" fillId="0" borderId="148" xfId="0" applyNumberFormat="1" applyFont="1" applyFill="1" applyBorder="1" applyAlignment="1">
      <alignment horizontal="right" vertical="center" wrapText="1"/>
    </xf>
    <xf numFmtId="1" fontId="16" fillId="0" borderId="149" xfId="0" applyNumberFormat="1" applyFont="1" applyFill="1" applyBorder="1" applyAlignment="1">
      <alignment horizontal="right" vertical="center" wrapText="1"/>
    </xf>
    <xf numFmtId="1" fontId="16" fillId="3" borderId="56" xfId="0" applyNumberFormat="1" applyFont="1" applyFill="1" applyBorder="1" applyAlignment="1">
      <alignment horizontal="right" vertical="center" wrapText="1"/>
    </xf>
    <xf numFmtId="1" fontId="16" fillId="3" borderId="52" xfId="0" applyNumberFormat="1" applyFont="1" applyFill="1" applyBorder="1" applyAlignment="1">
      <alignment horizontal="right" vertical="center" wrapText="1"/>
    </xf>
    <xf numFmtId="1" fontId="16" fillId="3" borderId="51" xfId="0" applyNumberFormat="1" applyFont="1" applyFill="1" applyBorder="1" applyAlignment="1">
      <alignment horizontal="right" vertical="center" wrapText="1"/>
    </xf>
    <xf numFmtId="0" fontId="15" fillId="3" borderId="150" xfId="0" applyFont="1" applyFill="1" applyBorder="1" applyAlignment="1">
      <alignment horizontal="right"/>
    </xf>
    <xf numFmtId="0" fontId="15" fillId="0" borderId="39" xfId="0" applyFont="1" applyFill="1" applyBorder="1" applyAlignment="1">
      <alignment horizontal="right"/>
    </xf>
    <xf numFmtId="9" fontId="15" fillId="9" borderId="151" xfId="0" applyNumberFormat="1" applyFont="1" applyFill="1" applyBorder="1" applyAlignment="1">
      <alignment horizontal="left" vertical="center" wrapText="1"/>
    </xf>
    <xf numFmtId="0" fontId="15" fillId="4" borderId="150" xfId="0" applyFont="1" applyFill="1" applyBorder="1" applyAlignment="1">
      <alignment horizontal="right"/>
    </xf>
    <xf numFmtId="0" fontId="15" fillId="0" borderId="15" xfId="0" applyFont="1" applyFill="1" applyBorder="1" applyAlignment="1">
      <alignment horizontal="right" vertical="center" wrapText="1"/>
    </xf>
    <xf numFmtId="1" fontId="16" fillId="0" borderId="152" xfId="0" applyNumberFormat="1" applyFont="1" applyFill="1" applyBorder="1" applyAlignment="1"/>
    <xf numFmtId="1" fontId="16" fillId="0" borderId="153" xfId="0" applyNumberFormat="1" applyFont="1" applyFill="1" applyBorder="1" applyAlignment="1"/>
    <xf numFmtId="1" fontId="16" fillId="0" borderId="154" xfId="0" applyNumberFormat="1" applyFont="1" applyFill="1" applyBorder="1" applyAlignment="1"/>
    <xf numFmtId="1" fontId="15" fillId="2" borderId="155" xfId="0" applyNumberFormat="1" applyFont="1" applyFill="1" applyBorder="1" applyAlignment="1">
      <alignment horizontal="center" vertical="center" wrapText="1"/>
    </xf>
    <xf numFmtId="1" fontId="15" fillId="2" borderId="156" xfId="0" applyNumberFormat="1" applyFont="1" applyFill="1" applyBorder="1" applyAlignment="1">
      <alignment horizontal="center" vertical="center" wrapText="1"/>
    </xf>
    <xf numFmtId="0" fontId="9" fillId="0" borderId="14" xfId="0" applyFont="1" applyBorder="1" applyAlignment="1">
      <alignment vertical="center" wrapText="1"/>
    </xf>
    <xf numFmtId="0" fontId="9" fillId="0" borderId="26" xfId="0" applyFont="1" applyBorder="1" applyAlignment="1">
      <alignment horizontal="center" vertical="center" wrapText="1"/>
    </xf>
    <xf numFmtId="0" fontId="9" fillId="0" borderId="76" xfId="0" applyFont="1" applyBorder="1" applyAlignment="1">
      <alignment horizontal="center" vertical="center" wrapText="1"/>
    </xf>
    <xf numFmtId="0" fontId="17" fillId="0" borderId="14" xfId="0" applyFont="1" applyFill="1" applyBorder="1" applyAlignment="1">
      <alignment horizontal="center" vertical="center" wrapText="1"/>
    </xf>
    <xf numFmtId="17" fontId="9" fillId="0" borderId="157" xfId="0" applyNumberFormat="1" applyFont="1" applyFill="1" applyBorder="1" applyAlignment="1">
      <alignment horizontal="center" vertical="center" wrapText="1"/>
    </xf>
    <xf numFmtId="9" fontId="15" fillId="9" borderId="155" xfId="0" applyNumberFormat="1" applyFont="1" applyFill="1" applyBorder="1" applyAlignment="1">
      <alignment vertical="center" wrapText="1"/>
    </xf>
    <xf numFmtId="1" fontId="15" fillId="3" borderId="155" xfId="0" applyNumberFormat="1" applyFont="1" applyFill="1" applyBorder="1" applyAlignment="1">
      <alignment horizontal="center" vertical="center" wrapText="1"/>
    </xf>
    <xf numFmtId="1" fontId="15" fillId="3" borderId="156" xfId="0" applyNumberFormat="1" applyFont="1" applyFill="1" applyBorder="1" applyAlignment="1">
      <alignment horizontal="center" vertical="center" wrapText="1"/>
    </xf>
    <xf numFmtId="9" fontId="9" fillId="10" borderId="11" xfId="0" applyNumberFormat="1" applyFont="1" applyFill="1" applyBorder="1" applyAlignment="1">
      <alignment horizontal="right" vertical="center" wrapText="1"/>
    </xf>
    <xf numFmtId="0" fontId="23" fillId="0" borderId="26" xfId="0" applyFont="1" applyFill="1" applyBorder="1" applyAlignment="1">
      <alignment horizontal="left" vertical="center"/>
    </xf>
    <xf numFmtId="0" fontId="23" fillId="0" borderId="27" xfId="0" applyFont="1" applyFill="1" applyBorder="1" applyAlignment="1">
      <alignment vertical="center"/>
    </xf>
    <xf numFmtId="0" fontId="23" fillId="0" borderId="23" xfId="0" applyFont="1" applyFill="1" applyBorder="1" applyAlignment="1">
      <alignment horizontal="left" vertical="center"/>
    </xf>
    <xf numFmtId="0" fontId="22" fillId="0" borderId="97" xfId="0" applyFont="1" applyFill="1" applyBorder="1" applyAlignment="1">
      <alignment horizontal="right" vertical="center"/>
    </xf>
    <xf numFmtId="0" fontId="22" fillId="0" borderId="20" xfId="0" applyFont="1" applyFill="1" applyBorder="1" applyAlignment="1">
      <alignment horizontal="right" vertical="center"/>
    </xf>
    <xf numFmtId="0" fontId="22" fillId="0" borderId="36" xfId="0" applyFont="1" applyFill="1" applyBorder="1" applyAlignment="1">
      <alignment horizontal="right" vertical="center"/>
    </xf>
    <xf numFmtId="0" fontId="22" fillId="0" borderId="24" xfId="0" applyFont="1" applyFill="1" applyBorder="1" applyAlignment="1">
      <alignment horizontal="right" vertical="center"/>
    </xf>
    <xf numFmtId="0" fontId="23" fillId="0" borderId="14" xfId="0" applyFont="1" applyFill="1" applyBorder="1" applyAlignment="1">
      <alignment horizontal="left" vertical="center"/>
    </xf>
    <xf numFmtId="0" fontId="22" fillId="0" borderId="28" xfId="0" applyFont="1" applyFill="1" applyBorder="1" applyAlignment="1">
      <alignment horizontal="left" vertical="center"/>
    </xf>
    <xf numFmtId="0" fontId="22" fillId="0" borderId="29" xfId="0" applyFont="1" applyFill="1" applyBorder="1" applyAlignment="1">
      <alignment horizontal="left" vertical="center"/>
    </xf>
    <xf numFmtId="0" fontId="22" fillId="0" borderId="21" xfId="0" applyFont="1" applyFill="1" applyBorder="1" applyAlignment="1">
      <alignment horizontal="right" vertical="center"/>
    </xf>
    <xf numFmtId="0" fontId="22" fillId="0" borderId="96" xfId="0" applyFont="1" applyFill="1" applyBorder="1" applyAlignment="1">
      <alignment horizontal="right" vertical="center"/>
    </xf>
    <xf numFmtId="0" fontId="22" fillId="0" borderId="32" xfId="0" applyFont="1" applyFill="1" applyBorder="1" applyAlignment="1">
      <alignment horizontal="right" vertical="center"/>
    </xf>
    <xf numFmtId="0" fontId="23" fillId="0" borderId="26" xfId="0" applyFont="1" applyFill="1" applyBorder="1" applyAlignment="1">
      <alignment vertical="center" wrapText="1"/>
    </xf>
    <xf numFmtId="0" fontId="25" fillId="0" borderId="31" xfId="0" applyFont="1" applyFill="1" applyBorder="1" applyAlignment="1">
      <alignment horizontal="right" vertical="center"/>
    </xf>
    <xf numFmtId="0" fontId="25" fillId="0" borderId="103" xfId="0" applyFont="1" applyFill="1" applyBorder="1" applyAlignment="1">
      <alignment horizontal="right" vertical="center"/>
    </xf>
    <xf numFmtId="0" fontId="25" fillId="0" borderId="126" xfId="0" applyFont="1" applyFill="1" applyBorder="1" applyAlignment="1">
      <alignment horizontal="right" vertical="center"/>
    </xf>
    <xf numFmtId="0" fontId="24" fillId="0" borderId="106" xfId="0" applyFont="1" applyFill="1" applyBorder="1" applyAlignment="1">
      <alignment horizontal="left" vertical="center" wrapText="1"/>
    </xf>
    <xf numFmtId="0" fontId="23" fillId="0" borderId="16" xfId="0" applyFont="1" applyFill="1" applyBorder="1" applyAlignment="1">
      <alignment vertical="center"/>
    </xf>
    <xf numFmtId="0" fontId="22" fillId="0" borderId="16" xfId="0" applyFont="1" applyFill="1" applyBorder="1" applyAlignment="1">
      <alignment horizontal="left" vertical="center"/>
    </xf>
    <xf numFmtId="0" fontId="21" fillId="0" borderId="2" xfId="0" applyFont="1" applyBorder="1" applyAlignment="1">
      <alignment vertical="center"/>
    </xf>
    <xf numFmtId="0" fontId="21" fillId="0" borderId="160" xfId="0" applyFont="1" applyFill="1" applyBorder="1" applyAlignment="1">
      <alignment vertical="center" wrapText="1"/>
    </xf>
    <xf numFmtId="0" fontId="21" fillId="0" borderId="161" xfId="0" applyFont="1" applyFill="1" applyBorder="1" applyAlignment="1">
      <alignment vertical="center" wrapText="1"/>
    </xf>
    <xf numFmtId="0" fontId="22" fillId="0" borderId="16" xfId="0" applyFont="1" applyFill="1" applyBorder="1" applyAlignment="1">
      <alignment horizontal="right" vertical="center" wrapText="1"/>
    </xf>
    <xf numFmtId="0" fontId="20" fillId="0" borderId="16" xfId="0" applyFont="1" applyFill="1" applyBorder="1" applyAlignment="1">
      <alignment vertical="center"/>
    </xf>
    <xf numFmtId="0" fontId="20" fillId="0" borderId="16" xfId="0" applyFont="1" applyFill="1" applyBorder="1" applyAlignment="1">
      <alignment horizontal="left" vertical="center" wrapText="1"/>
    </xf>
    <xf numFmtId="0" fontId="20" fillId="0" borderId="16" xfId="0" applyFont="1" applyFill="1" applyBorder="1" applyAlignment="1">
      <alignment horizontal="left" vertical="center"/>
    </xf>
    <xf numFmtId="0" fontId="20" fillId="0" borderId="17" xfId="0" applyFont="1" applyFill="1" applyBorder="1" applyAlignment="1">
      <alignment horizontal="left" vertical="center"/>
    </xf>
    <xf numFmtId="0" fontId="20" fillId="0" borderId="28" xfId="0" applyFont="1" applyBorder="1" applyAlignment="1">
      <alignment horizontal="left" vertical="center"/>
    </xf>
    <xf numFmtId="0" fontId="20" fillId="0" borderId="18" xfId="0" applyFont="1" applyFill="1" applyBorder="1" applyAlignment="1">
      <alignment horizontal="left" vertical="center" wrapText="1"/>
    </xf>
    <xf numFmtId="0" fontId="20" fillId="0" borderId="97" xfId="0" applyFont="1" applyFill="1" applyBorder="1" applyAlignment="1">
      <alignment horizontal="left" vertical="center"/>
    </xf>
    <xf numFmtId="49" fontId="20" fillId="0" borderId="27" xfId="0" applyNumberFormat="1" applyFont="1" applyBorder="1" applyAlignment="1">
      <alignment horizontal="left" vertical="center"/>
    </xf>
    <xf numFmtId="0" fontId="20" fillId="0" borderId="104" xfId="0" applyFont="1" applyFill="1" applyBorder="1" applyAlignment="1">
      <alignment horizontal="left" vertical="center"/>
    </xf>
    <xf numFmtId="49" fontId="20" fillId="0" borderId="44" xfId="0" applyNumberFormat="1" applyFont="1" applyBorder="1" applyAlignment="1">
      <alignment horizontal="left" vertical="center"/>
    </xf>
    <xf numFmtId="0" fontId="20" fillId="0" borderId="41" xfId="0" applyFont="1" applyFill="1" applyBorder="1" applyAlignment="1">
      <alignment horizontal="left" vertical="center"/>
    </xf>
    <xf numFmtId="0" fontId="20" fillId="0" borderId="41" xfId="0" applyFont="1" applyBorder="1" applyAlignment="1">
      <alignment vertical="center" wrapText="1"/>
    </xf>
    <xf numFmtId="49" fontId="20" fillId="0" borderId="96" xfId="0" applyNumberFormat="1" applyFont="1" applyBorder="1" applyAlignment="1">
      <alignment horizontal="left" vertical="center"/>
    </xf>
    <xf numFmtId="0" fontId="20" fillId="0" borderId="41" xfId="0" applyFont="1" applyFill="1" applyBorder="1" applyAlignment="1">
      <alignment vertical="center" wrapText="1"/>
    </xf>
    <xf numFmtId="49" fontId="20" fillId="0" borderId="35" xfId="0" applyNumberFormat="1" applyFont="1" applyBorder="1" applyAlignment="1">
      <alignment horizontal="left" vertical="center"/>
    </xf>
    <xf numFmtId="0" fontId="21" fillId="0" borderId="22" xfId="0" applyFont="1" applyFill="1" applyBorder="1" applyAlignment="1">
      <alignment horizontal="left" vertical="center" wrapText="1"/>
    </xf>
    <xf numFmtId="0" fontId="21" fillId="0" borderId="21" xfId="0" applyFont="1" applyFill="1" applyBorder="1" applyAlignment="1">
      <alignment horizontal="left" vertical="center" wrapText="1"/>
    </xf>
    <xf numFmtId="0" fontId="20" fillId="0" borderId="106" xfId="0" applyFont="1" applyFill="1" applyBorder="1" applyAlignment="1">
      <alignment horizontal="left" vertical="center"/>
    </xf>
    <xf numFmtId="0" fontId="20" fillId="0" borderId="26" xfId="0" applyFont="1" applyBorder="1" applyAlignment="1">
      <alignment horizontal="left" vertical="center" wrapText="1"/>
    </xf>
    <xf numFmtId="0" fontId="21" fillId="0" borderId="24" xfId="0" applyFont="1" applyBorder="1" applyAlignment="1">
      <alignment horizontal="left" vertical="center" wrapText="1"/>
    </xf>
    <xf numFmtId="49" fontId="20" fillId="0" borderId="27" xfId="0" applyNumberFormat="1" applyFont="1" applyFill="1" applyBorder="1" applyAlignment="1">
      <alignment horizontal="left" vertical="center"/>
    </xf>
    <xf numFmtId="0" fontId="20" fillId="18" borderId="23" xfId="0" applyFont="1" applyFill="1" applyBorder="1" applyAlignment="1">
      <alignment vertical="center" wrapText="1"/>
    </xf>
    <xf numFmtId="0" fontId="20" fillId="0" borderId="23" xfId="0" applyFont="1" applyFill="1" applyBorder="1" applyAlignment="1">
      <alignment horizontal="left" vertical="center"/>
    </xf>
    <xf numFmtId="0" fontId="20" fillId="0" borderId="31" xfId="0" applyFont="1" applyFill="1" applyBorder="1" applyAlignment="1">
      <alignment horizontal="left" vertical="center" wrapText="1"/>
    </xf>
    <xf numFmtId="0" fontId="20" fillId="0" borderId="97" xfId="0" applyFont="1" applyFill="1" applyBorder="1" applyAlignment="1">
      <alignment horizontal="left" vertical="center" wrapText="1"/>
    </xf>
    <xf numFmtId="0" fontId="20" fillId="0" borderId="28" xfId="0" applyFont="1" applyFill="1" applyBorder="1" applyAlignment="1">
      <alignment horizontal="left" vertical="center"/>
    </xf>
    <xf numFmtId="0" fontId="21" fillId="0" borderId="28" xfId="0" applyFont="1" applyBorder="1" applyAlignment="1">
      <alignment horizontal="right" vertical="center"/>
    </xf>
    <xf numFmtId="0" fontId="21" fillId="0" borderId="38" xfId="0" applyFont="1" applyFill="1" applyBorder="1" applyAlignment="1">
      <alignment horizontal="right" vertical="center"/>
    </xf>
    <xf numFmtId="0" fontId="21" fillId="0" borderId="145" xfId="0" applyFont="1" applyBorder="1" applyAlignment="1">
      <alignment horizontal="right" vertical="center"/>
    </xf>
    <xf numFmtId="0" fontId="21" fillId="0" borderId="112" xfId="0" applyFont="1" applyBorder="1" applyAlignment="1">
      <alignment horizontal="left" vertical="center"/>
    </xf>
    <xf numFmtId="0" fontId="20" fillId="0" borderId="126" xfId="0" applyFont="1" applyFill="1" applyBorder="1" applyAlignment="1">
      <alignment horizontal="left" vertical="center"/>
    </xf>
    <xf numFmtId="0" fontId="20" fillId="0" borderId="68" xfId="0" applyFont="1" applyBorder="1" applyAlignment="1">
      <alignment horizontal="left" vertical="center" wrapText="1"/>
    </xf>
    <xf numFmtId="0" fontId="20" fillId="0" borderId="44" xfId="0" applyFont="1" applyFill="1" applyBorder="1" applyAlignment="1">
      <alignment horizontal="left" vertical="center"/>
    </xf>
    <xf numFmtId="0" fontId="20" fillId="0" borderId="113" xfId="0" applyFont="1" applyFill="1" applyBorder="1" applyAlignment="1">
      <alignment horizontal="left" vertical="center" wrapText="1"/>
    </xf>
    <xf numFmtId="0" fontId="20" fillId="0" borderId="14" xfId="0" applyFont="1" applyFill="1" applyBorder="1" applyAlignment="1">
      <alignment horizontal="left" vertical="center"/>
    </xf>
    <xf numFmtId="0" fontId="20" fillId="0" borderId="41" xfId="0" applyFont="1" applyFill="1" applyBorder="1" applyAlignment="1">
      <alignment horizontal="left" vertical="center" wrapText="1"/>
    </xf>
    <xf numFmtId="0" fontId="20" fillId="0" borderId="106" xfId="0" applyFont="1" applyBorder="1" applyAlignment="1">
      <alignment horizontal="left" vertical="center" wrapText="1"/>
    </xf>
    <xf numFmtId="0" fontId="20" fillId="0" borderId="146" xfId="0" applyFont="1" applyBorder="1" applyAlignment="1">
      <alignment horizontal="left" vertical="center"/>
    </xf>
    <xf numFmtId="0" fontId="20" fillId="0" borderId="114" xfId="0" applyFont="1" applyFill="1" applyBorder="1" applyAlignment="1">
      <alignment horizontal="left" vertical="center" wrapText="1"/>
    </xf>
    <xf numFmtId="0" fontId="20" fillId="0" borderId="114" xfId="0" applyNumberFormat="1" applyFont="1" applyFill="1" applyBorder="1" applyAlignment="1">
      <alignment horizontal="left" vertical="center" wrapText="1"/>
    </xf>
    <xf numFmtId="0" fontId="21" fillId="0" borderId="27" xfId="0" applyFont="1" applyBorder="1" applyAlignment="1">
      <alignment horizontal="right" vertical="center"/>
    </xf>
    <xf numFmtId="0" fontId="23" fillId="0" borderId="28" xfId="0" applyFont="1" applyFill="1" applyBorder="1" applyAlignment="1">
      <alignment horizontal="left" vertical="center"/>
    </xf>
    <xf numFmtId="0" fontId="24" fillId="0" borderId="26" xfId="0" applyFont="1" applyFill="1" applyBorder="1" applyAlignment="1">
      <alignment vertical="center"/>
    </xf>
    <xf numFmtId="0" fontId="23" fillId="0" borderId="104" xfId="0" applyFont="1" applyFill="1" applyBorder="1" applyAlignment="1">
      <alignment horizontal="left" vertical="center" wrapText="1"/>
    </xf>
    <xf numFmtId="0" fontId="57" fillId="0" borderId="28" xfId="0" applyFont="1" applyFill="1" applyBorder="1" applyAlignment="1">
      <alignment horizontal="right" vertical="center" wrapText="1"/>
    </xf>
    <xf numFmtId="0" fontId="22" fillId="0" borderId="22" xfId="0" applyFont="1" applyFill="1" applyBorder="1" applyAlignment="1">
      <alignment horizontal="right" vertical="center" wrapText="1"/>
    </xf>
    <xf numFmtId="0" fontId="57" fillId="0" borderId="29" xfId="0" applyFont="1" applyFill="1" applyBorder="1" applyAlignment="1">
      <alignment horizontal="right" vertical="center" wrapText="1"/>
    </xf>
    <xf numFmtId="0" fontId="22" fillId="0" borderId="24" xfId="0" applyFont="1" applyFill="1" applyBorder="1" applyAlignment="1">
      <alignment horizontal="right" vertical="center" wrapText="1"/>
    </xf>
    <xf numFmtId="0" fontId="57" fillId="0" borderId="24" xfId="0" applyFont="1" applyFill="1" applyBorder="1" applyAlignment="1">
      <alignment vertical="center" wrapText="1"/>
    </xf>
    <xf numFmtId="0" fontId="23" fillId="0" borderId="106" xfId="0" applyFont="1" applyFill="1" applyBorder="1" applyAlignment="1">
      <alignment horizontal="left" vertical="center" wrapText="1"/>
    </xf>
    <xf numFmtId="0" fontId="23" fillId="0" borderId="26" xfId="0" applyFont="1" applyFill="1" applyBorder="1" applyAlignment="1">
      <alignment horizontal="left" vertical="center" wrapText="1"/>
    </xf>
    <xf numFmtId="0" fontId="22" fillId="0" borderId="36" xfId="0" applyFont="1" applyFill="1" applyBorder="1" applyAlignment="1">
      <alignment horizontal="right" vertical="center" wrapText="1"/>
    </xf>
    <xf numFmtId="0" fontId="22" fillId="0" borderId="125" xfId="0" applyFont="1" applyFill="1" applyBorder="1" applyAlignment="1">
      <alignment horizontal="right" vertical="center" wrapText="1"/>
    </xf>
    <xf numFmtId="0" fontId="23" fillId="0" borderId="20" xfId="0" applyFont="1" applyFill="1" applyBorder="1" applyAlignment="1">
      <alignment horizontal="left" vertical="center"/>
    </xf>
    <xf numFmtId="0" fontId="23" fillId="0" borderId="41" xfId="0" applyFont="1" applyFill="1" applyBorder="1" applyAlignment="1">
      <alignment horizontal="left" vertical="center"/>
    </xf>
    <xf numFmtId="0" fontId="23" fillId="0" borderId="26" xfId="0" applyFont="1" applyFill="1" applyBorder="1" applyAlignment="1">
      <alignment vertical="center"/>
    </xf>
    <xf numFmtId="0" fontId="23" fillId="0" borderId="23" xfId="0" applyFont="1" applyFill="1" applyBorder="1" applyAlignment="1">
      <alignment horizontal="left" vertical="center" wrapText="1"/>
    </xf>
    <xf numFmtId="0" fontId="22" fillId="0" borderId="96" xfId="0" applyFont="1" applyFill="1" applyBorder="1" applyAlignment="1">
      <alignment horizontal="right" vertical="center" wrapText="1"/>
    </xf>
    <xf numFmtId="0" fontId="22" fillId="0" borderId="32" xfId="0" applyFont="1" applyFill="1" applyBorder="1" applyAlignment="1">
      <alignment horizontal="right" vertical="center" wrapText="1"/>
    </xf>
    <xf numFmtId="0" fontId="23" fillId="0" borderId="37" xfId="0" applyFont="1" applyBorder="1" applyAlignment="1">
      <alignment vertical="center"/>
    </xf>
    <xf numFmtId="0" fontId="23" fillId="0" borderId="22" xfId="0" applyFont="1" applyFill="1" applyBorder="1" applyAlignment="1">
      <alignment horizontal="left" vertical="center"/>
    </xf>
    <xf numFmtId="0" fontId="23" fillId="0" borderId="22" xfId="0" applyFont="1" applyFill="1" applyBorder="1" applyAlignment="1">
      <alignment vertical="center"/>
    </xf>
    <xf numFmtId="0" fontId="57" fillId="0" borderId="16" xfId="0" applyFont="1" applyFill="1" applyBorder="1" applyAlignment="1">
      <alignment horizontal="left" vertical="center"/>
    </xf>
    <xf numFmtId="0" fontId="57" fillId="0" borderId="16" xfId="0" applyFont="1" applyFill="1" applyBorder="1" applyAlignment="1">
      <alignment vertical="center"/>
    </xf>
    <xf numFmtId="0" fontId="57" fillId="0" borderId="21" xfId="0" applyFont="1" applyFill="1" applyBorder="1" applyAlignment="1">
      <alignment horizontal="left" vertical="center"/>
    </xf>
    <xf numFmtId="0" fontId="57" fillId="0" borderId="29" xfId="0" applyFont="1" applyBorder="1" applyAlignment="1">
      <alignment horizontal="right" vertical="center"/>
    </xf>
    <xf numFmtId="0" fontId="22" fillId="0" borderId="23" xfId="0" applyFont="1" applyFill="1" applyBorder="1" applyAlignment="1">
      <alignment horizontal="right" vertical="center"/>
    </xf>
    <xf numFmtId="0" fontId="22" fillId="0" borderId="23" xfId="0" applyFont="1" applyFill="1" applyBorder="1" applyAlignment="1">
      <alignment horizontal="left" vertical="center" wrapText="1"/>
    </xf>
    <xf numFmtId="0" fontId="22" fillId="0" borderId="44" xfId="0" applyFont="1" applyFill="1" applyBorder="1" applyAlignment="1">
      <alignment horizontal="right" vertical="center"/>
    </xf>
    <xf numFmtId="0" fontId="22" fillId="0" borderId="41" xfId="0" applyFont="1" applyFill="1" applyBorder="1" applyAlignment="1">
      <alignment horizontal="right" vertical="center"/>
    </xf>
    <xf numFmtId="0" fontId="22" fillId="0" borderId="41" xfId="0" applyFont="1" applyFill="1" applyBorder="1" applyAlignment="1">
      <alignment vertical="center" wrapText="1"/>
    </xf>
    <xf numFmtId="0" fontId="23" fillId="0" borderId="27" xfId="0" applyFont="1" applyBorder="1" applyAlignment="1">
      <alignment vertical="center"/>
    </xf>
    <xf numFmtId="0" fontId="23" fillId="0" borderId="23" xfId="0" applyFont="1" applyFill="1" applyBorder="1" applyAlignment="1">
      <alignment vertical="center"/>
    </xf>
    <xf numFmtId="0" fontId="23" fillId="0" borderId="23" xfId="0" applyFont="1" applyBorder="1" applyAlignment="1">
      <alignment horizontal="left" vertical="center" wrapText="1"/>
    </xf>
    <xf numFmtId="0" fontId="22" fillId="0" borderId="16" xfId="0" applyFont="1" applyBorder="1" applyAlignment="1">
      <alignment horizontal="left" vertical="center" wrapText="1"/>
    </xf>
    <xf numFmtId="0" fontId="57" fillId="0" borderId="24" xfId="0" applyFont="1" applyBorder="1" applyAlignment="1">
      <alignment horizontal="left" vertical="center" wrapText="1"/>
    </xf>
    <xf numFmtId="0" fontId="23" fillId="0" borderId="38" xfId="0" applyFont="1" applyBorder="1" applyAlignment="1">
      <alignment vertical="center"/>
    </xf>
    <xf numFmtId="0" fontId="23" fillId="0" borderId="31" xfId="0" applyFont="1" applyFill="1" applyBorder="1" applyAlignment="1">
      <alignment vertical="center"/>
    </xf>
    <xf numFmtId="0" fontId="23" fillId="0" borderId="31" xfId="0" applyFont="1" applyBorder="1" applyAlignment="1">
      <alignment horizontal="left" vertical="center" wrapText="1"/>
    </xf>
    <xf numFmtId="0" fontId="22" fillId="0" borderId="22" xfId="0" applyFont="1" applyFill="1" applyBorder="1" applyAlignment="1">
      <alignment horizontal="right" vertical="center"/>
    </xf>
    <xf numFmtId="0" fontId="57" fillId="0" borderId="28" xfId="0" applyFont="1" applyFill="1" applyBorder="1" applyAlignment="1">
      <alignment horizontal="right" vertical="center"/>
    </xf>
    <xf numFmtId="0" fontId="57" fillId="0" borderId="38" xfId="0" applyFont="1" applyFill="1" applyBorder="1" applyAlignment="1">
      <alignment horizontal="right" vertical="center"/>
    </xf>
    <xf numFmtId="0" fontId="23" fillId="0" borderId="105" xfId="0" applyFont="1" applyFill="1" applyBorder="1" applyAlignment="1">
      <alignment horizontal="left" vertical="center"/>
    </xf>
    <xf numFmtId="0" fontId="22" fillId="0" borderId="127" xfId="0" applyFont="1" applyFill="1" applyBorder="1" applyAlignment="1">
      <alignment horizontal="right" vertical="center"/>
    </xf>
    <xf numFmtId="0" fontId="23" fillId="0" borderId="104" xfId="0" applyFont="1" applyFill="1" applyBorder="1" applyAlignment="1">
      <alignment horizontal="left" vertical="center"/>
    </xf>
    <xf numFmtId="0" fontId="57" fillId="0" borderId="42" xfId="0" applyFont="1" applyFill="1" applyBorder="1" applyAlignment="1">
      <alignment horizontal="right" vertical="center"/>
    </xf>
    <xf numFmtId="0" fontId="57" fillId="0" borderId="29" xfId="0" applyFont="1" applyFill="1" applyBorder="1" applyAlignment="1">
      <alignment horizontal="right" vertical="center"/>
    </xf>
    <xf numFmtId="0" fontId="23" fillId="0" borderId="35" xfId="0" applyFont="1" applyFill="1" applyBorder="1" applyAlignment="1">
      <alignment horizontal="left" vertical="center"/>
    </xf>
    <xf numFmtId="0" fontId="23" fillId="0" borderId="143" xfId="0" applyFont="1" applyFill="1" applyBorder="1" applyAlignment="1">
      <alignment horizontal="left" vertical="center"/>
    </xf>
    <xf numFmtId="0" fontId="22" fillId="0" borderId="31" xfId="0" applyFont="1" applyFill="1" applyBorder="1" applyAlignment="1">
      <alignment horizontal="right" vertical="center"/>
    </xf>
    <xf numFmtId="0" fontId="57" fillId="0" borderId="27" xfId="0" applyFont="1" applyFill="1" applyBorder="1" applyAlignment="1">
      <alignment horizontal="right" vertical="center"/>
    </xf>
    <xf numFmtId="0" fontId="22" fillId="0" borderId="20" xfId="0" applyFont="1" applyFill="1" applyBorder="1" applyAlignment="1">
      <alignment horizontal="right" vertical="center" wrapText="1"/>
    </xf>
    <xf numFmtId="0" fontId="57" fillId="0" borderId="34" xfId="0" applyFont="1" applyFill="1" applyBorder="1" applyAlignment="1">
      <alignment horizontal="right" vertical="center"/>
    </xf>
    <xf numFmtId="0" fontId="22" fillId="0" borderId="104" xfId="0" applyFont="1" applyFill="1" applyBorder="1" applyAlignment="1">
      <alignment horizontal="right" vertical="center"/>
    </xf>
    <xf numFmtId="0" fontId="23" fillId="0" borderId="23" xfId="0" applyFont="1" applyFill="1" applyBorder="1" applyAlignment="1">
      <alignment horizontal="center" vertical="center"/>
    </xf>
    <xf numFmtId="0" fontId="57" fillId="0" borderId="28" xfId="0" applyFont="1" applyBorder="1" applyAlignment="1">
      <alignment horizontal="right" vertical="center"/>
    </xf>
    <xf numFmtId="0" fontId="23" fillId="0" borderId="23" xfId="0" applyFont="1" applyFill="1" applyBorder="1" applyAlignment="1">
      <alignment horizontal="right" vertical="center"/>
    </xf>
    <xf numFmtId="0" fontId="57" fillId="0" borderId="16" xfId="0" applyFont="1" applyFill="1" applyBorder="1" applyAlignment="1">
      <alignment horizontal="right" vertical="center"/>
    </xf>
    <xf numFmtId="0" fontId="57" fillId="0" borderId="35" xfId="0" applyFont="1" applyFill="1" applyBorder="1" applyAlignment="1">
      <alignment horizontal="right" vertical="center"/>
    </xf>
    <xf numFmtId="0" fontId="23" fillId="0" borderId="2" xfId="0" applyFont="1" applyFill="1" applyBorder="1" applyAlignment="1">
      <alignment horizontal="left" vertical="center"/>
    </xf>
    <xf numFmtId="0" fontId="22" fillId="0" borderId="158" xfId="0" applyFont="1" applyFill="1" applyBorder="1" applyAlignment="1">
      <alignment horizontal="right" vertical="center"/>
    </xf>
    <xf numFmtId="0" fontId="22" fillId="0" borderId="103" xfId="0" applyFont="1" applyFill="1" applyBorder="1" applyAlignment="1">
      <alignment horizontal="right" vertical="center"/>
    </xf>
    <xf numFmtId="0" fontId="22" fillId="0" borderId="159" xfId="0" applyFont="1" applyFill="1" applyBorder="1" applyAlignment="1">
      <alignment horizontal="right" vertical="center"/>
    </xf>
    <xf numFmtId="0" fontId="22" fillId="0" borderId="2" xfId="0" applyFont="1" applyFill="1" applyBorder="1" applyAlignment="1">
      <alignment horizontal="right" vertical="center"/>
    </xf>
    <xf numFmtId="0" fontId="21" fillId="0" borderId="24" xfId="0" applyFont="1" applyFill="1" applyBorder="1" applyAlignment="1">
      <alignment horizontal="left" vertical="center" wrapText="1"/>
    </xf>
    <xf numFmtId="0" fontId="21" fillId="0" borderId="16" xfId="0" applyFont="1" applyFill="1" applyBorder="1" applyAlignment="1">
      <alignment vertical="center" wrapText="1"/>
    </xf>
    <xf numFmtId="0" fontId="21" fillId="0" borderId="31" xfId="0" applyFont="1" applyFill="1" applyBorder="1" applyAlignment="1">
      <alignment vertical="center" wrapText="1"/>
    </xf>
    <xf numFmtId="0" fontId="21" fillId="0" borderId="24" xfId="0" applyFont="1" applyFill="1" applyBorder="1" applyAlignment="1">
      <alignment vertical="center"/>
    </xf>
    <xf numFmtId="0" fontId="21" fillId="0" borderId="23" xfId="0" applyFont="1" applyFill="1" applyBorder="1" applyAlignment="1">
      <alignment horizontal="left" vertical="center" wrapText="1"/>
    </xf>
    <xf numFmtId="0" fontId="21" fillId="18" borderId="16" xfId="0" applyFont="1" applyFill="1" applyBorder="1" applyAlignment="1">
      <alignment horizontal="left" vertical="center" wrapText="1"/>
    </xf>
    <xf numFmtId="0" fontId="21" fillId="18" borderId="16" xfId="0" applyFont="1" applyFill="1" applyBorder="1" applyAlignment="1">
      <alignment vertical="center" wrapText="1"/>
    </xf>
    <xf numFmtId="0" fontId="21" fillId="18" borderId="24" xfId="0" applyFont="1" applyFill="1" applyBorder="1" applyAlignment="1">
      <alignment vertical="center" wrapText="1"/>
    </xf>
    <xf numFmtId="0" fontId="21" fillId="0" borderId="26" xfId="0" applyFont="1" applyFill="1" applyBorder="1" applyAlignment="1">
      <alignment vertical="center" wrapText="1"/>
    </xf>
    <xf numFmtId="0" fontId="21" fillId="0" borderId="0" xfId="0" applyFont="1" applyFill="1" applyAlignment="1">
      <alignment vertical="center"/>
    </xf>
    <xf numFmtId="49" fontId="25" fillId="0" borderId="38" xfId="0" applyNumberFormat="1" applyFont="1" applyBorder="1" applyAlignment="1">
      <alignment horizontal="right" vertical="center"/>
    </xf>
    <xf numFmtId="0" fontId="21" fillId="0" borderId="34" xfId="0" applyFont="1" applyBorder="1" applyAlignment="1">
      <alignment horizontal="right" vertical="center"/>
    </xf>
    <xf numFmtId="0" fontId="21" fillId="0" borderId="20" xfId="0" applyFont="1" applyFill="1" applyBorder="1" applyAlignment="1">
      <alignment vertical="center" wrapText="1"/>
    </xf>
    <xf numFmtId="0" fontId="21" fillId="0" borderId="99" xfId="0" applyFont="1" applyBorder="1" applyAlignment="1">
      <alignment horizontal="right" vertical="center"/>
    </xf>
    <xf numFmtId="0" fontId="21" fillId="0" borderId="36" xfId="0" applyFont="1" applyFill="1" applyBorder="1" applyAlignment="1">
      <alignment vertical="center" wrapText="1"/>
    </xf>
    <xf numFmtId="0" fontId="21" fillId="0" borderId="42" xfId="0" applyFont="1" applyBorder="1" applyAlignment="1">
      <alignment horizontal="right" vertical="center"/>
    </xf>
    <xf numFmtId="0" fontId="21" fillId="0" borderId="21" xfId="0" applyFont="1" applyFill="1" applyBorder="1" applyAlignment="1">
      <alignment vertical="center" wrapText="1"/>
    </xf>
    <xf numFmtId="0" fontId="20" fillId="0" borderId="23" xfId="0" applyFont="1" applyFill="1" applyBorder="1" applyAlignment="1">
      <alignment horizontal="right" vertical="center"/>
    </xf>
    <xf numFmtId="0" fontId="20" fillId="0" borderId="106" xfId="0" applyFont="1" applyFill="1" applyBorder="1" applyAlignment="1">
      <alignment horizontal="right" vertical="center"/>
    </xf>
    <xf numFmtId="0" fontId="21" fillId="14" borderId="29" xfId="0" applyFont="1" applyFill="1" applyBorder="1" applyAlignment="1">
      <alignment horizontal="right" vertical="center"/>
    </xf>
    <xf numFmtId="0" fontId="21" fillId="0" borderId="24" xfId="0" applyFont="1" applyFill="1" applyBorder="1" applyAlignment="1">
      <alignment vertical="center" wrapText="1"/>
    </xf>
    <xf numFmtId="0" fontId="21" fillId="0" borderId="28" xfId="0" applyFont="1" applyFill="1" applyBorder="1" applyAlignment="1">
      <alignment horizontal="right" vertical="center"/>
    </xf>
    <xf numFmtId="0" fontId="20" fillId="0" borderId="26" xfId="0" applyFont="1" applyFill="1" applyBorder="1" applyAlignment="1">
      <alignment vertical="center" wrapText="1"/>
    </xf>
    <xf numFmtId="0" fontId="20" fillId="0" borderId="107" xfId="0" applyFont="1" applyFill="1" applyBorder="1" applyAlignment="1">
      <alignment horizontal="left" vertical="center"/>
    </xf>
    <xf numFmtId="0" fontId="21" fillId="0" borderId="14" xfId="0" applyFont="1" applyFill="1" applyBorder="1" applyAlignment="1">
      <alignment horizontal="right" vertical="center"/>
    </xf>
    <xf numFmtId="0" fontId="21" fillId="18" borderId="106" xfId="0" applyFont="1" applyFill="1" applyBorder="1" applyAlignment="1">
      <alignment vertical="center" wrapText="1"/>
    </xf>
    <xf numFmtId="0" fontId="20" fillId="0" borderId="15" xfId="0" applyFont="1" applyFill="1" applyBorder="1" applyAlignment="1">
      <alignment horizontal="left" vertical="center"/>
    </xf>
    <xf numFmtId="0" fontId="20" fillId="0" borderId="26" xfId="0" applyFont="1" applyFill="1" applyBorder="1" applyAlignment="1">
      <alignment vertical="center"/>
    </xf>
    <xf numFmtId="0" fontId="20" fillId="0" borderId="22" xfId="0" applyFont="1" applyFill="1" applyBorder="1" applyAlignment="1">
      <alignment horizontal="left" vertical="center"/>
    </xf>
    <xf numFmtId="0" fontId="0" fillId="0" borderId="24" xfId="0" applyFont="1" applyFill="1" applyBorder="1" applyAlignment="1">
      <alignment horizontal="right" vertical="center"/>
    </xf>
    <xf numFmtId="0" fontId="25" fillId="0" borderId="162" xfId="0" applyFont="1" applyFill="1" applyBorder="1" applyAlignment="1">
      <alignment horizontal="right" vertical="center"/>
    </xf>
    <xf numFmtId="0" fontId="0" fillId="0" borderId="21" xfId="0" applyFont="1" applyFill="1" applyBorder="1" applyAlignment="1">
      <alignment horizontal="right" vertical="center"/>
    </xf>
    <xf numFmtId="0" fontId="25" fillId="0" borderId="164" xfId="0" applyFont="1" applyFill="1" applyBorder="1" applyAlignment="1">
      <alignment horizontal="right" vertical="center"/>
    </xf>
    <xf numFmtId="0" fontId="20" fillId="0" borderId="162" xfId="0" applyFont="1" applyFill="1" applyBorder="1" applyAlignment="1">
      <alignment horizontal="left" vertical="center"/>
    </xf>
    <xf numFmtId="0" fontId="25" fillId="0" borderId="165" xfId="0" applyFont="1" applyFill="1" applyBorder="1" applyAlignment="1">
      <alignment horizontal="right" vertical="center"/>
    </xf>
    <xf numFmtId="0" fontId="0" fillId="0" borderId="143" xfId="0" applyFont="1" applyFill="1" applyBorder="1" applyAlignment="1">
      <alignment horizontal="right" vertical="center"/>
    </xf>
    <xf numFmtId="0" fontId="20" fillId="0" borderId="23" xfId="0" applyFont="1" applyFill="1"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16" xfId="0" applyBorder="1" applyAlignment="1">
      <alignment horizontal="right" vertical="center"/>
    </xf>
    <xf numFmtId="0" fontId="20" fillId="0" borderId="166" xfId="0" applyFont="1" applyFill="1" applyBorder="1" applyAlignment="1">
      <alignment horizontal="left" vertical="center"/>
    </xf>
    <xf numFmtId="0" fontId="0" fillId="0" borderId="164" xfId="0" applyFont="1" applyFill="1" applyBorder="1" applyAlignment="1">
      <alignment horizontal="right" vertical="center"/>
    </xf>
    <xf numFmtId="0" fontId="20" fillId="0" borderId="29" xfId="0" applyFont="1" applyFill="1" applyBorder="1" applyAlignment="1">
      <alignment horizontal="left" vertical="center"/>
    </xf>
    <xf numFmtId="0" fontId="0" fillId="0" borderId="24" xfId="0" applyBorder="1" applyAlignment="1">
      <alignment vertical="center"/>
    </xf>
    <xf numFmtId="0" fontId="20" fillId="0" borderId="37" xfId="0" applyFont="1" applyFill="1" applyBorder="1" applyAlignment="1">
      <alignment vertical="center" wrapText="1"/>
    </xf>
    <xf numFmtId="0" fontId="20" fillId="17" borderId="26" xfId="0" applyFont="1" applyFill="1" applyBorder="1" applyAlignment="1">
      <alignment vertical="center" wrapText="1"/>
    </xf>
    <xf numFmtId="0" fontId="0" fillId="0" borderId="2" xfId="0" applyFill="1" applyBorder="1" applyAlignment="1"/>
    <xf numFmtId="0" fontId="0" fillId="0" borderId="0" xfId="0" applyFont="1" applyAlignment="1">
      <alignment vertical="center"/>
    </xf>
    <xf numFmtId="0" fontId="0" fillId="0" borderId="0" xfId="0" applyFont="1" applyAlignment="1">
      <alignment horizontal="left" vertical="center"/>
    </xf>
    <xf numFmtId="0" fontId="43" fillId="0" borderId="2" xfId="0" applyFont="1" applyFill="1" applyBorder="1" applyAlignment="1">
      <alignment horizontal="left" vertical="center"/>
    </xf>
    <xf numFmtId="0" fontId="44" fillId="0" borderId="2" xfId="0" applyFont="1" applyFill="1" applyBorder="1" applyAlignment="1">
      <alignment horizontal="left" vertical="center"/>
    </xf>
    <xf numFmtId="0" fontId="22" fillId="0" borderId="2" xfId="0" applyFont="1" applyFill="1" applyBorder="1" applyAlignment="1">
      <alignment horizontal="left" vertical="center"/>
    </xf>
    <xf numFmtId="0" fontId="39" fillId="0" borderId="2" xfId="0" applyFont="1" applyFill="1" applyBorder="1" applyAlignment="1">
      <alignment vertical="center" wrapText="1"/>
    </xf>
    <xf numFmtId="0" fontId="20" fillId="0" borderId="2" xfId="0" applyFont="1" applyFill="1" applyBorder="1" applyAlignment="1">
      <alignment vertical="center" wrapText="1"/>
    </xf>
    <xf numFmtId="0" fontId="57" fillId="0" borderId="2" xfId="0" applyFont="1" applyBorder="1" applyAlignment="1">
      <alignment horizontal="left" vertical="center" wrapText="1"/>
    </xf>
    <xf numFmtId="0" fontId="16" fillId="0" borderId="2" xfId="0" applyFont="1" applyBorder="1" applyAlignment="1"/>
    <xf numFmtId="0" fontId="22" fillId="0" borderId="2" xfId="0" applyFont="1" applyFill="1" applyBorder="1" applyAlignment="1">
      <alignment horizontal="left" vertical="center" wrapText="1"/>
    </xf>
    <xf numFmtId="0" fontId="23" fillId="0" borderId="2" xfId="0" applyFont="1" applyBorder="1" applyAlignment="1">
      <alignment horizontal="left" vertical="center" wrapText="1"/>
    </xf>
    <xf numFmtId="0" fontId="23" fillId="0" borderId="2" xfId="0" applyFont="1" applyBorder="1" applyAlignment="1">
      <alignment vertical="center" wrapText="1"/>
    </xf>
    <xf numFmtId="0" fontId="22" fillId="0" borderId="2" xfId="0" applyFont="1" applyBorder="1" applyAlignment="1">
      <alignment vertical="center" wrapText="1"/>
    </xf>
    <xf numFmtId="0" fontId="21" fillId="0" borderId="2" xfId="0" applyFont="1" applyFill="1" applyBorder="1" applyAlignment="1">
      <alignment vertical="center"/>
    </xf>
    <xf numFmtId="0" fontId="20" fillId="0" borderId="2" xfId="0" applyFont="1" applyFill="1" applyBorder="1" applyAlignment="1">
      <alignment horizontal="left" vertical="center" wrapText="1"/>
    </xf>
    <xf numFmtId="0" fontId="69" fillId="0" borderId="2" xfId="0" applyFont="1" applyFill="1" applyBorder="1" applyAlignment="1">
      <alignment vertical="center" wrapText="1"/>
    </xf>
    <xf numFmtId="0" fontId="24" fillId="0" borderId="2" xfId="0" applyFont="1" applyFill="1" applyBorder="1" applyAlignment="1">
      <alignment vertical="center" wrapText="1"/>
    </xf>
    <xf numFmtId="0" fontId="21" fillId="0" borderId="2" xfId="0" applyFont="1" applyFill="1" applyBorder="1" applyAlignment="1">
      <alignment vertical="center" wrapText="1"/>
    </xf>
    <xf numFmtId="0" fontId="20" fillId="0" borderId="2" xfId="0" applyFont="1" applyFill="1" applyBorder="1" applyAlignment="1">
      <alignment horizontal="left" vertical="center"/>
    </xf>
    <xf numFmtId="0" fontId="21" fillId="0" borderId="2" xfId="0" applyFont="1" applyFill="1" applyBorder="1" applyAlignment="1">
      <alignment horizontal="left" vertical="center" wrapText="1"/>
    </xf>
    <xf numFmtId="0" fontId="25" fillId="0" borderId="2" xfId="0" applyFont="1" applyFill="1" applyBorder="1" applyAlignment="1">
      <alignment horizontal="right" vertical="center"/>
    </xf>
    <xf numFmtId="0" fontId="0" fillId="0" borderId="2" xfId="0" applyFont="1" applyBorder="1" applyAlignment="1">
      <alignment vertical="center"/>
    </xf>
    <xf numFmtId="0" fontId="21" fillId="18" borderId="2" xfId="0" applyFont="1" applyFill="1" applyBorder="1" applyAlignment="1">
      <alignment horizontal="left" vertical="center" wrapText="1"/>
    </xf>
    <xf numFmtId="0" fontId="21" fillId="18" borderId="2" xfId="0" applyFont="1" applyFill="1" applyBorder="1" applyAlignment="1">
      <alignment vertical="center" wrapText="1"/>
    </xf>
    <xf numFmtId="0" fontId="22" fillId="0" borderId="2" xfId="0" applyFont="1" applyFill="1" applyBorder="1" applyAlignment="1">
      <alignment vertical="center" wrapText="1"/>
    </xf>
    <xf numFmtId="0" fontId="23" fillId="0" borderId="2" xfId="0" applyFont="1" applyFill="1" applyBorder="1" applyAlignment="1">
      <alignment vertical="center" wrapText="1"/>
    </xf>
    <xf numFmtId="0" fontId="24" fillId="0" borderId="2" xfId="0" applyFont="1" applyFill="1" applyBorder="1" applyAlignment="1">
      <alignment horizontal="left" vertical="center"/>
    </xf>
    <xf numFmtId="0" fontId="21" fillId="0" borderId="2" xfId="0" applyFont="1" applyBorder="1" applyAlignment="1">
      <alignment horizontal="left" vertical="center" wrapText="1"/>
    </xf>
    <xf numFmtId="0" fontId="20" fillId="18" borderId="2" xfId="0" applyFont="1" applyFill="1" applyBorder="1" applyAlignment="1">
      <alignment vertical="center" wrapText="1"/>
    </xf>
    <xf numFmtId="0" fontId="20" fillId="0" borderId="2" xfId="0" applyFont="1" applyBorder="1" applyAlignment="1">
      <alignment horizontal="left" vertical="center" wrapText="1"/>
    </xf>
    <xf numFmtId="0" fontId="17" fillId="0" borderId="2" xfId="0" applyFont="1" applyBorder="1" applyAlignment="1">
      <alignment horizontal="left" vertical="center" wrapText="1"/>
    </xf>
    <xf numFmtId="0" fontId="21" fillId="0" borderId="2" xfId="0" applyFont="1" applyBorder="1" applyAlignment="1">
      <alignment horizontal="left" vertical="center"/>
    </xf>
    <xf numFmtId="0" fontId="20" fillId="0" borderId="2" xfId="0" applyNumberFormat="1" applyFont="1" applyFill="1" applyBorder="1" applyAlignment="1">
      <alignment horizontal="left" vertical="center" wrapText="1"/>
    </xf>
    <xf numFmtId="0" fontId="57" fillId="0" borderId="2" xfId="0" applyFont="1" applyFill="1" applyBorder="1" applyAlignment="1">
      <alignment horizontal="left" vertical="center"/>
    </xf>
    <xf numFmtId="0" fontId="57" fillId="0" borderId="2" xfId="0" applyFont="1" applyFill="1" applyBorder="1" applyAlignment="1">
      <alignment vertical="center"/>
    </xf>
    <xf numFmtId="0" fontId="22" fillId="0" borderId="2" xfId="0" applyFont="1" applyBorder="1" applyAlignment="1">
      <alignment horizontal="left" vertical="center" wrapText="1"/>
    </xf>
    <xf numFmtId="0" fontId="20" fillId="0" borderId="2" xfId="0" applyFont="1" applyFill="1" applyBorder="1" applyAlignment="1">
      <alignment horizontal="right" vertical="center"/>
    </xf>
    <xf numFmtId="0" fontId="0" fillId="0" borderId="0" xfId="0" applyFont="1" applyAlignment="1">
      <alignment vertical="top" wrapText="1"/>
    </xf>
    <xf numFmtId="0" fontId="16" fillId="0" borderId="0" xfId="0" applyFont="1" applyAlignment="1">
      <alignment vertical="top" wrapText="1"/>
    </xf>
    <xf numFmtId="0" fontId="20" fillId="0" borderId="106" xfId="0" applyFont="1" applyFill="1" applyBorder="1" applyAlignment="1">
      <alignment horizontal="left" vertical="center" wrapText="1"/>
    </xf>
    <xf numFmtId="0" fontId="20" fillId="0" borderId="23" xfId="0" applyFont="1" applyFill="1" applyBorder="1" applyAlignment="1">
      <alignment horizontal="center" vertical="center"/>
    </xf>
    <xf numFmtId="0" fontId="20" fillId="0" borderId="143" xfId="0" applyFont="1" applyFill="1" applyBorder="1" applyAlignment="1">
      <alignment horizontal="left" vertical="center"/>
    </xf>
    <xf numFmtId="0" fontId="20" fillId="0" borderId="104" xfId="0" applyFont="1" applyFill="1" applyBorder="1" applyAlignment="1">
      <alignment horizontal="left" vertical="center" wrapText="1"/>
    </xf>
    <xf numFmtId="0" fontId="20" fillId="0" borderId="20" xfId="0" applyFont="1" applyFill="1" applyBorder="1" applyAlignment="1">
      <alignment horizontal="left" vertical="center"/>
    </xf>
    <xf numFmtId="0" fontId="21" fillId="0" borderId="21" xfId="0" applyFont="1" applyBorder="1" applyAlignment="1">
      <alignment horizontal="left" vertical="center" wrapText="1"/>
    </xf>
    <xf numFmtId="0" fontId="20" fillId="18" borderId="23" xfId="0" applyFont="1" applyFill="1" applyBorder="1" applyAlignment="1">
      <alignment horizontal="left" vertical="center" wrapText="1"/>
    </xf>
    <xf numFmtId="0" fontId="21" fillId="18" borderId="22" xfId="0" applyFont="1" applyFill="1" applyBorder="1" applyAlignment="1">
      <alignment horizontal="left" vertical="center" wrapText="1"/>
    </xf>
    <xf numFmtId="0" fontId="21" fillId="18" borderId="24" xfId="0" applyFont="1" applyFill="1" applyBorder="1" applyAlignment="1">
      <alignment horizontal="left" vertical="center" wrapText="1"/>
    </xf>
    <xf numFmtId="0" fontId="21" fillId="18" borderId="23" xfId="0" applyFont="1" applyFill="1" applyBorder="1" applyAlignment="1">
      <alignment horizontal="left" vertical="center" wrapText="1"/>
    </xf>
    <xf numFmtId="0" fontId="21" fillId="0" borderId="22" xfId="0" applyFont="1" applyBorder="1" applyAlignment="1">
      <alignment vertical="center" wrapText="1"/>
    </xf>
    <xf numFmtId="0" fontId="20" fillId="0" borderId="23" xfId="0" applyFont="1" applyBorder="1" applyAlignment="1">
      <alignment vertical="center" wrapText="1"/>
    </xf>
    <xf numFmtId="0" fontId="21" fillId="0" borderId="31" xfId="0" applyFont="1" applyFill="1" applyBorder="1" applyAlignment="1">
      <alignment horizontal="left" vertical="center" wrapText="1"/>
    </xf>
    <xf numFmtId="0" fontId="21" fillId="0" borderId="128" xfId="0" applyFont="1" applyFill="1" applyBorder="1" applyAlignment="1">
      <alignment horizontal="left" vertical="center" wrapText="1"/>
    </xf>
    <xf numFmtId="0" fontId="21" fillId="0" borderId="144" xfId="0" applyFont="1" applyFill="1" applyBorder="1" applyAlignment="1">
      <alignment horizontal="left" vertical="center" wrapText="1"/>
    </xf>
    <xf numFmtId="0" fontId="20" fillId="13" borderId="22" xfId="0" applyFont="1" applyFill="1" applyBorder="1" applyAlignment="1">
      <alignment vertical="center" wrapText="1"/>
    </xf>
    <xf numFmtId="0" fontId="21" fillId="0" borderId="18" xfId="0" applyFont="1" applyFill="1" applyBorder="1" applyAlignment="1">
      <alignment horizontal="left" vertical="center"/>
    </xf>
    <xf numFmtId="0" fontId="21" fillId="0" borderId="18" xfId="0" applyFont="1" applyFill="1" applyBorder="1" applyAlignment="1">
      <alignment horizontal="left" vertical="center" wrapText="1"/>
    </xf>
    <xf numFmtId="0" fontId="21" fillId="0" borderId="18" xfId="0" applyFont="1" applyBorder="1" applyAlignment="1"/>
    <xf numFmtId="0" fontId="20" fillId="0" borderId="41" xfId="0" applyFont="1" applyFill="1" applyBorder="1" applyAlignment="1">
      <alignment vertical="center"/>
    </xf>
    <xf numFmtId="0" fontId="20" fillId="0" borderId="26" xfId="0" applyFont="1" applyBorder="1" applyAlignment="1">
      <alignment vertical="center"/>
    </xf>
    <xf numFmtId="0" fontId="0" fillId="0" borderId="16" xfId="0" applyFill="1" applyBorder="1"/>
    <xf numFmtId="0" fontId="24" fillId="0" borderId="22" xfId="0" applyFont="1" applyFill="1" applyBorder="1" applyAlignment="1">
      <alignment horizontal="left" vertical="center"/>
    </xf>
    <xf numFmtId="0" fontId="24" fillId="0" borderId="23" xfId="0" applyFont="1" applyFill="1" applyBorder="1" applyAlignment="1">
      <alignment horizontal="left" vertical="center"/>
    </xf>
    <xf numFmtId="0" fontId="25" fillId="0" borderId="32" xfId="0" applyFont="1" applyFill="1" applyBorder="1" applyAlignment="1">
      <alignment horizontal="right" vertical="center"/>
    </xf>
    <xf numFmtId="0" fontId="24" fillId="0" borderId="41" xfId="0" applyFont="1" applyFill="1" applyBorder="1" applyAlignment="1">
      <alignment horizontal="left" vertical="center"/>
    </xf>
    <xf numFmtId="0" fontId="20" fillId="0" borderId="90" xfId="0" applyFont="1" applyFill="1" applyBorder="1" applyAlignment="1">
      <alignment horizontal="left" vertical="center" wrapText="1"/>
    </xf>
    <xf numFmtId="0" fontId="21" fillId="0" borderId="23" xfId="0" applyFont="1" applyBorder="1" applyAlignment="1">
      <alignment vertical="center"/>
    </xf>
    <xf numFmtId="0" fontId="21" fillId="0" borderId="17" xfId="0" applyFont="1" applyBorder="1" applyAlignment="1">
      <alignment vertical="center" wrapText="1"/>
    </xf>
    <xf numFmtId="0" fontId="21" fillId="0" borderId="16" xfId="0" applyFont="1" applyBorder="1" applyAlignment="1">
      <alignment vertical="center"/>
    </xf>
    <xf numFmtId="0" fontId="21" fillId="0" borderId="18" xfId="0" applyFont="1" applyBorder="1" applyAlignment="1">
      <alignment vertical="center" wrapText="1"/>
    </xf>
    <xf numFmtId="0" fontId="21" fillId="0" borderId="16" xfId="0" applyFont="1" applyBorder="1" applyAlignment="1">
      <alignment horizontal="right" vertical="center"/>
    </xf>
    <xf numFmtId="0" fontId="21" fillId="0" borderId="24" xfId="0" applyFont="1" applyBorder="1" applyAlignment="1">
      <alignment vertical="center"/>
    </xf>
    <xf numFmtId="0" fontId="21" fillId="0" borderId="19" xfId="0" applyFont="1" applyBorder="1" applyAlignment="1">
      <alignment vertical="center" wrapText="1"/>
    </xf>
    <xf numFmtId="0" fontId="20" fillId="18" borderId="2" xfId="0" applyFont="1" applyFill="1" applyBorder="1" applyAlignment="1">
      <alignment horizontal="left" vertical="center" wrapText="1"/>
    </xf>
    <xf numFmtId="0" fontId="20" fillId="13" borderId="2" xfId="0" applyFont="1" applyFill="1" applyBorder="1" applyAlignment="1">
      <alignment vertical="center" wrapText="1"/>
    </xf>
    <xf numFmtId="0" fontId="21" fillId="0" borderId="2" xfId="0" applyFont="1" applyFill="1" applyBorder="1" applyAlignment="1">
      <alignment horizontal="left" vertical="center"/>
    </xf>
    <xf numFmtId="0" fontId="21" fillId="0" borderId="2" xfId="0" applyFont="1" applyBorder="1" applyAlignment="1"/>
    <xf numFmtId="0" fontId="20" fillId="0" borderId="2" xfId="0" applyFont="1" applyBorder="1" applyAlignment="1">
      <alignment vertical="center"/>
    </xf>
    <xf numFmtId="0" fontId="21" fillId="0" borderId="2" xfId="0" applyFont="1" applyBorder="1" applyAlignment="1">
      <alignment horizontal="right" vertical="center"/>
    </xf>
    <xf numFmtId="0" fontId="65" fillId="0" borderId="2" xfId="0" applyFont="1" applyBorder="1" applyAlignment="1">
      <alignment vertical="center" wrapText="1"/>
    </xf>
    <xf numFmtId="0" fontId="66" fillId="0" borderId="2" xfId="0" applyFont="1" applyBorder="1" applyAlignment="1">
      <alignment vertical="center" wrapText="1"/>
    </xf>
    <xf numFmtId="0" fontId="24" fillId="0" borderId="31" xfId="0" applyFont="1" applyFill="1" applyBorder="1" applyAlignment="1">
      <alignment horizontal="left" vertical="center"/>
    </xf>
    <xf numFmtId="0" fontId="57" fillId="0" borderId="39" xfId="0" applyFont="1" applyFill="1" applyBorder="1" applyAlignment="1">
      <alignment horizontal="right" vertical="center"/>
    </xf>
    <xf numFmtId="0" fontId="76" fillId="0" borderId="22" xfId="0" applyFont="1" applyFill="1" applyBorder="1" applyAlignment="1">
      <alignment horizontal="left" vertical="center" wrapText="1"/>
    </xf>
    <xf numFmtId="0" fontId="0" fillId="0" borderId="2" xfId="0" applyBorder="1" applyAlignment="1">
      <alignment horizontal="center" vertical="center"/>
    </xf>
    <xf numFmtId="0" fontId="0" fillId="0" borderId="2" xfId="0" applyBorder="1" applyAlignment="1">
      <alignment horizontal="center" vertical="center" wrapText="1"/>
    </xf>
    <xf numFmtId="3" fontId="0" fillId="0" borderId="2" xfId="0" applyNumberFormat="1" applyBorder="1" applyAlignment="1">
      <alignment horizontal="center" vertical="center" wrapText="1"/>
    </xf>
    <xf numFmtId="0" fontId="0" fillId="0" borderId="0" xfId="0" applyAlignment="1">
      <alignment horizontal="center"/>
    </xf>
    <xf numFmtId="3" fontId="64" fillId="0" borderId="2" xfId="0" applyNumberFormat="1" applyFont="1" applyBorder="1" applyAlignment="1">
      <alignment horizontal="center" vertical="center" wrapText="1"/>
    </xf>
    <xf numFmtId="0" fontId="20" fillId="0" borderId="2" xfId="0" applyFont="1" applyBorder="1" applyAlignment="1">
      <alignment horizontal="center" vertical="center" wrapText="1"/>
    </xf>
    <xf numFmtId="3" fontId="0" fillId="0" borderId="2" xfId="0" applyNumberFormat="1" applyBorder="1" applyAlignment="1">
      <alignment horizontal="center" vertical="center"/>
    </xf>
    <xf numFmtId="0" fontId="20" fillId="0" borderId="0" xfId="0" applyFont="1" applyAlignment="1">
      <alignment horizontal="center"/>
    </xf>
    <xf numFmtId="0" fontId="0" fillId="0" borderId="2" xfId="0" applyBorder="1" applyAlignment="1">
      <alignment horizontal="left" vertical="center" wrapText="1"/>
    </xf>
    <xf numFmtId="0" fontId="25" fillId="0" borderId="16" xfId="0" applyFont="1" applyFill="1" applyBorder="1" applyAlignment="1">
      <alignment horizontal="left" vertical="center" wrapText="1"/>
    </xf>
    <xf numFmtId="0" fontId="25" fillId="0" borderId="21" xfId="0" applyFont="1" applyFill="1" applyBorder="1" applyAlignment="1">
      <alignment horizontal="left" vertical="center" wrapText="1"/>
    </xf>
    <xf numFmtId="0" fontId="20" fillId="0" borderId="31" xfId="0" applyFont="1" applyFill="1" applyBorder="1" applyAlignment="1">
      <alignment horizontal="left" vertical="center"/>
    </xf>
    <xf numFmtId="0" fontId="23" fillId="0" borderId="38" xfId="0" applyFont="1" applyBorder="1" applyAlignment="1">
      <alignment horizontal="left" vertical="center"/>
    </xf>
    <xf numFmtId="0" fontId="23" fillId="0" borderId="31" xfId="0" applyFont="1" applyFill="1" applyBorder="1" applyAlignment="1">
      <alignment horizontal="left" vertical="center"/>
    </xf>
    <xf numFmtId="0" fontId="25" fillId="0" borderId="22" xfId="0" applyFont="1" applyFill="1" applyBorder="1" applyAlignment="1">
      <alignment horizontal="left" vertical="center" wrapText="1"/>
    </xf>
    <xf numFmtId="0" fontId="25" fillId="0" borderId="24" xfId="0" applyFont="1" applyFill="1" applyBorder="1" applyAlignment="1">
      <alignment horizontal="left" vertical="center" wrapText="1"/>
    </xf>
    <xf numFmtId="0" fontId="23" fillId="0" borderId="16" xfId="0" applyFont="1" applyBorder="1" applyAlignment="1">
      <alignment vertical="center"/>
    </xf>
    <xf numFmtId="0" fontId="23" fillId="0" borderId="16" xfId="0" applyFont="1" applyFill="1" applyBorder="1" applyAlignment="1">
      <alignment horizontal="left" vertical="center"/>
    </xf>
    <xf numFmtId="0" fontId="20" fillId="0" borderId="24" xfId="0" applyFont="1" applyFill="1" applyBorder="1" applyAlignment="1">
      <alignment horizontal="left" vertical="center"/>
    </xf>
    <xf numFmtId="0" fontId="23" fillId="0" borderId="24" xfId="0" applyFont="1" applyBorder="1" applyAlignment="1">
      <alignment vertical="center"/>
    </xf>
    <xf numFmtId="0" fontId="23" fillId="0" borderId="24" xfId="0" applyFont="1" applyFill="1" applyBorder="1" applyAlignment="1">
      <alignment vertical="center"/>
    </xf>
    <xf numFmtId="0" fontId="23" fillId="0" borderId="24" xfId="0" applyFont="1" applyFill="1" applyBorder="1" applyAlignment="1">
      <alignment horizontal="left" vertical="center"/>
    </xf>
    <xf numFmtId="0" fontId="23" fillId="0" borderId="16" xfId="0" applyFont="1" applyBorder="1" applyAlignment="1">
      <alignment horizontal="left" vertical="center"/>
    </xf>
    <xf numFmtId="0" fontId="23" fillId="0" borderId="24" xfId="0" applyFont="1" applyBorder="1" applyAlignment="1">
      <alignment horizontal="left" vertical="center"/>
    </xf>
    <xf numFmtId="0" fontId="20" fillId="0" borderId="31" xfId="0" applyFont="1" applyFill="1" applyBorder="1" applyAlignment="1">
      <alignment vertical="center"/>
    </xf>
    <xf numFmtId="0" fontId="57" fillId="0" borderId="42" xfId="0" applyFont="1" applyBorder="1" applyAlignment="1">
      <alignment horizontal="right" vertical="center"/>
    </xf>
    <xf numFmtId="0" fontId="57" fillId="0" borderId="16" xfId="0" applyFont="1" applyBorder="1" applyAlignment="1">
      <alignment horizontal="right" vertical="center"/>
    </xf>
    <xf numFmtId="0" fontId="57" fillId="0" borderId="24" xfId="0" applyFont="1" applyBorder="1" applyAlignment="1">
      <alignment horizontal="right" vertical="center"/>
    </xf>
    <xf numFmtId="0" fontId="23" fillId="0" borderId="32" xfId="0" applyFont="1" applyFill="1" applyBorder="1" applyAlignment="1">
      <alignment vertical="center"/>
    </xf>
    <xf numFmtId="0" fontId="23" fillId="0" borderId="96" xfId="0" applyFont="1" applyBorder="1" applyAlignment="1">
      <alignment vertical="center"/>
    </xf>
    <xf numFmtId="0" fontId="20" fillId="0" borderId="32" xfId="0" applyFont="1" applyFill="1" applyBorder="1" applyAlignment="1">
      <alignment vertical="center"/>
    </xf>
    <xf numFmtId="0" fontId="23" fillId="0" borderId="32" xfId="0" applyFont="1" applyBorder="1" applyAlignment="1">
      <alignment horizontal="left" vertical="center" wrapText="1"/>
    </xf>
    <xf numFmtId="0" fontId="23" fillId="0" borderId="41" xfId="0" applyFont="1" applyFill="1" applyBorder="1" applyAlignment="1">
      <alignment vertical="center" wrapText="1"/>
    </xf>
    <xf numFmtId="0" fontId="25" fillId="0" borderId="23" xfId="0" applyFont="1" applyFill="1" applyBorder="1" applyAlignment="1">
      <alignment horizontal="right" vertical="center"/>
    </xf>
    <xf numFmtId="0" fontId="25" fillId="0" borderId="16" xfId="0" applyFont="1" applyFill="1" applyBorder="1" applyAlignment="1">
      <alignment vertical="center" wrapText="1"/>
    </xf>
    <xf numFmtId="0" fontId="25" fillId="0" borderId="24" xfId="0" applyFont="1" applyFill="1" applyBorder="1" applyAlignment="1">
      <alignment vertical="center" wrapText="1"/>
    </xf>
    <xf numFmtId="0" fontId="25" fillId="0" borderId="168" xfId="0" applyFont="1" applyFill="1" applyBorder="1" applyAlignment="1">
      <alignment horizontal="right" vertical="center"/>
    </xf>
    <xf numFmtId="0" fontId="22" fillId="0" borderId="23" xfId="0" applyFont="1" applyBorder="1" applyAlignment="1">
      <alignment horizontal="right" vertical="center"/>
    </xf>
    <xf numFmtId="0" fontId="76" fillId="0" borderId="2" xfId="0" applyFont="1" applyFill="1" applyBorder="1" applyAlignment="1">
      <alignment horizontal="left" vertical="center" wrapText="1"/>
    </xf>
    <xf numFmtId="0" fontId="25" fillId="0" borderId="2" xfId="0" applyFont="1" applyFill="1" applyBorder="1" applyAlignment="1">
      <alignment horizontal="left" vertical="center"/>
    </xf>
    <xf numFmtId="0" fontId="25" fillId="0" borderId="2" xfId="0" applyFont="1" applyFill="1" applyBorder="1" applyAlignment="1">
      <alignment horizontal="left" vertical="center" wrapText="1"/>
    </xf>
    <xf numFmtId="0" fontId="25" fillId="0" borderId="2" xfId="0" applyFont="1" applyFill="1" applyBorder="1" applyAlignment="1">
      <alignment vertical="center" wrapText="1"/>
    </xf>
    <xf numFmtId="0" fontId="56" fillId="14" borderId="2" xfId="0" applyFont="1" applyFill="1" applyBorder="1" applyAlignment="1">
      <alignment vertical="center"/>
    </xf>
    <xf numFmtId="0" fontId="79" fillId="14" borderId="0" xfId="0" applyFont="1" applyFill="1"/>
    <xf numFmtId="0" fontId="56" fillId="14" borderId="6" xfId="0" applyFont="1" applyFill="1" applyBorder="1" applyAlignment="1">
      <alignment vertical="center"/>
    </xf>
    <xf numFmtId="0" fontId="78" fillId="7" borderId="87" xfId="0" applyFont="1" applyFill="1" applyBorder="1" applyAlignment="1">
      <alignment horizontal="center" vertical="center"/>
    </xf>
    <xf numFmtId="0" fontId="80" fillId="19" borderId="78" xfId="0" applyFont="1" applyFill="1" applyBorder="1" applyAlignment="1">
      <alignment horizontal="center" vertical="center" wrapText="1"/>
    </xf>
    <xf numFmtId="0" fontId="80" fillId="19" borderId="44" xfId="0" applyFont="1" applyFill="1" applyBorder="1" applyAlignment="1">
      <alignment horizontal="center" vertical="center" wrapText="1"/>
    </xf>
    <xf numFmtId="0" fontId="80" fillId="19" borderId="41" xfId="0" applyFont="1" applyFill="1" applyBorder="1" applyAlignment="1">
      <alignment horizontal="center" vertical="center" wrapText="1"/>
    </xf>
    <xf numFmtId="0" fontId="80" fillId="19" borderId="92" xfId="0" applyFont="1" applyFill="1" applyBorder="1" applyAlignment="1">
      <alignment horizontal="center" vertical="center" wrapText="1"/>
    </xf>
    <xf numFmtId="0" fontId="78" fillId="14" borderId="0" xfId="0" applyFont="1" applyFill="1"/>
    <xf numFmtId="0" fontId="56" fillId="20" borderId="9" xfId="0" applyFont="1" applyFill="1" applyBorder="1" applyAlignment="1">
      <alignment horizontal="center" vertical="center" wrapText="1"/>
    </xf>
    <xf numFmtId="0" fontId="78" fillId="7" borderId="27" xfId="0" applyFont="1" applyFill="1" applyBorder="1" applyAlignment="1">
      <alignment horizontal="center" vertical="center"/>
    </xf>
    <xf numFmtId="0" fontId="78" fillId="0" borderId="17" xfId="0" applyFont="1" applyBorder="1" applyAlignment="1">
      <alignment horizontal="left" vertical="center" wrapText="1"/>
    </xf>
    <xf numFmtId="0" fontId="78" fillId="22" borderId="37" xfId="0" applyFont="1" applyFill="1" applyBorder="1" applyAlignment="1">
      <alignment horizontal="center" vertical="center" wrapText="1"/>
    </xf>
    <xf numFmtId="0" fontId="78" fillId="14" borderId="23" xfId="0" applyFont="1" applyFill="1" applyBorder="1" applyAlignment="1">
      <alignment horizontal="center" vertical="center" wrapText="1"/>
    </xf>
    <xf numFmtId="0" fontId="78" fillId="14" borderId="17" xfId="0" applyFont="1" applyFill="1" applyBorder="1" applyAlignment="1">
      <alignment horizontal="center" vertical="center" wrapText="1"/>
    </xf>
    <xf numFmtId="0" fontId="78" fillId="0" borderId="124" xfId="0" applyFont="1" applyFill="1" applyBorder="1" applyAlignment="1">
      <alignment horizontal="center" vertical="center" wrapText="1"/>
    </xf>
    <xf numFmtId="0" fontId="75" fillId="14" borderId="0" xfId="0" applyFont="1" applyFill="1"/>
    <xf numFmtId="0" fontId="78" fillId="7" borderId="28" xfId="0" applyFont="1" applyFill="1" applyBorder="1" applyAlignment="1">
      <alignment horizontal="center" vertical="center"/>
    </xf>
    <xf numFmtId="0" fontId="78" fillId="0" borderId="18" xfId="0" applyFont="1" applyBorder="1" applyAlignment="1">
      <alignment horizontal="left" vertical="center" wrapText="1"/>
    </xf>
    <xf numFmtId="0" fontId="78" fillId="22" borderId="28" xfId="0" applyFont="1" applyFill="1" applyBorder="1" applyAlignment="1">
      <alignment horizontal="center" vertical="center" wrapText="1"/>
    </xf>
    <xf numFmtId="0" fontId="78" fillId="14" borderId="16" xfId="0" applyFont="1" applyFill="1" applyBorder="1" applyAlignment="1">
      <alignment horizontal="center" vertical="center" wrapText="1"/>
    </xf>
    <xf numFmtId="0" fontId="78" fillId="14" borderId="18" xfId="0" applyFont="1" applyFill="1" applyBorder="1" applyAlignment="1">
      <alignment horizontal="center" vertical="center" wrapText="1"/>
    </xf>
    <xf numFmtId="0" fontId="78" fillId="0" borderId="115" xfId="0" applyFont="1" applyFill="1" applyBorder="1" applyAlignment="1">
      <alignment horizontal="center" vertical="center" wrapText="1"/>
    </xf>
    <xf numFmtId="0" fontId="78" fillId="14" borderId="28" xfId="0" applyFont="1" applyFill="1" applyBorder="1" applyAlignment="1">
      <alignment horizontal="center" vertical="center" wrapText="1"/>
    </xf>
    <xf numFmtId="0" fontId="78" fillId="22" borderId="16" xfId="0" applyFont="1" applyFill="1" applyBorder="1" applyAlignment="1">
      <alignment horizontal="center" vertical="center" wrapText="1"/>
    </xf>
    <xf numFmtId="0" fontId="78" fillId="0" borderId="101" xfId="0" applyFont="1" applyFill="1" applyBorder="1" applyAlignment="1">
      <alignment horizontal="center" vertical="center" wrapText="1"/>
    </xf>
    <xf numFmtId="0" fontId="78" fillId="23" borderId="16" xfId="0" applyFont="1" applyFill="1" applyBorder="1" applyAlignment="1">
      <alignment horizontal="center" vertical="center" wrapText="1"/>
    </xf>
    <xf numFmtId="0" fontId="78" fillId="7" borderId="29" xfId="0" applyFont="1" applyFill="1" applyBorder="1" applyAlignment="1">
      <alignment horizontal="center" vertical="center"/>
    </xf>
    <xf numFmtId="0" fontId="78" fillId="0" borderId="19" xfId="0" applyFont="1" applyBorder="1" applyAlignment="1">
      <alignment horizontal="left" vertical="center" wrapText="1"/>
    </xf>
    <xf numFmtId="0" fontId="78" fillId="14" borderId="29" xfId="0" applyFont="1" applyFill="1" applyBorder="1" applyAlignment="1">
      <alignment horizontal="center" vertical="center" wrapText="1"/>
    </xf>
    <xf numFmtId="0" fontId="78" fillId="14" borderId="24" xfId="0" applyFont="1" applyFill="1" applyBorder="1" applyAlignment="1">
      <alignment horizontal="center" vertical="center" wrapText="1"/>
    </xf>
    <xf numFmtId="0" fontId="78" fillId="23" borderId="24" xfId="0" applyFont="1" applyFill="1" applyBorder="1" applyAlignment="1">
      <alignment horizontal="center" vertical="center" wrapText="1"/>
    </xf>
    <xf numFmtId="0" fontId="78" fillId="14" borderId="19" xfId="0" applyFont="1" applyFill="1" applyBorder="1" applyAlignment="1">
      <alignment horizontal="center" vertical="center" wrapText="1"/>
    </xf>
    <xf numFmtId="0" fontId="78" fillId="0" borderId="102" xfId="0" applyFont="1" applyFill="1" applyBorder="1" applyAlignment="1">
      <alignment horizontal="center" vertical="center" wrapText="1"/>
    </xf>
    <xf numFmtId="0" fontId="22" fillId="14" borderId="0" xfId="0" applyFont="1" applyFill="1"/>
    <xf numFmtId="0" fontId="22" fillId="14" borderId="0" xfId="0" applyFont="1" applyFill="1" applyAlignment="1">
      <alignment horizontal="left"/>
    </xf>
    <xf numFmtId="3" fontId="0" fillId="0" borderId="10" xfId="0" applyNumberFormat="1" applyBorder="1" applyAlignment="1">
      <alignment horizontal="center" vertical="center" wrapText="1"/>
    </xf>
    <xf numFmtId="3" fontId="64" fillId="0" borderId="78" xfId="0" applyNumberFormat="1" applyFont="1" applyBorder="1" applyAlignment="1">
      <alignment horizontal="center" vertical="center"/>
    </xf>
    <xf numFmtId="0" fontId="64" fillId="0" borderId="8" xfId="0" applyFont="1" applyBorder="1" applyAlignment="1">
      <alignment horizontal="center" vertical="center" wrapText="1"/>
    </xf>
    <xf numFmtId="0" fontId="0" fillId="0" borderId="0" xfId="0" applyAlignment="1">
      <alignment horizontal="center" vertical="center"/>
    </xf>
    <xf numFmtId="0" fontId="64" fillId="0" borderId="7" xfId="0" applyFont="1" applyBorder="1" applyAlignment="1">
      <alignment horizontal="center" vertical="center" wrapText="1"/>
    </xf>
    <xf numFmtId="0" fontId="64" fillId="0" borderId="14" xfId="0" applyFont="1" applyBorder="1" applyAlignment="1">
      <alignment horizontal="center" vertical="center" wrapText="1"/>
    </xf>
    <xf numFmtId="3" fontId="0" fillId="0" borderId="13" xfId="0" applyNumberFormat="1" applyBorder="1" applyAlignment="1">
      <alignment horizontal="center" vertical="center" wrapText="1"/>
    </xf>
    <xf numFmtId="3" fontId="64" fillId="0" borderId="13" xfId="0" applyNumberFormat="1" applyFont="1" applyBorder="1" applyAlignment="1">
      <alignment horizontal="center" vertical="center" wrapText="1"/>
    </xf>
    <xf numFmtId="3" fontId="0" fillId="0" borderId="13" xfId="0" applyNumberFormat="1" applyBorder="1" applyAlignment="1">
      <alignment horizontal="center" vertical="center"/>
    </xf>
    <xf numFmtId="3" fontId="64" fillId="0" borderId="15" xfId="0" applyNumberFormat="1" applyFont="1" applyBorder="1" applyAlignment="1">
      <alignment horizontal="center" vertical="center"/>
    </xf>
    <xf numFmtId="3" fontId="64" fillId="0" borderId="6" xfId="0" applyNumberFormat="1" applyFont="1" applyBorder="1" applyAlignment="1">
      <alignment horizontal="center" vertical="center"/>
    </xf>
    <xf numFmtId="3" fontId="0" fillId="0" borderId="9" xfId="0" applyNumberFormat="1" applyBorder="1" applyAlignment="1">
      <alignment horizontal="center" vertical="center" wrapText="1"/>
    </xf>
    <xf numFmtId="3" fontId="64" fillId="0" borderId="87" xfId="0" applyNumberFormat="1" applyFont="1" applyBorder="1" applyAlignment="1">
      <alignment horizontal="center" vertical="center"/>
    </xf>
    <xf numFmtId="3" fontId="64" fillId="0" borderId="77" xfId="0" applyNumberFormat="1" applyFont="1" applyBorder="1" applyAlignment="1">
      <alignment horizontal="center" vertical="center"/>
    </xf>
    <xf numFmtId="3" fontId="0" fillId="0" borderId="87" xfId="0" applyNumberFormat="1" applyBorder="1" applyAlignment="1">
      <alignment horizontal="center" vertical="center"/>
    </xf>
    <xf numFmtId="0" fontId="64" fillId="0" borderId="77" xfId="0" applyFont="1" applyBorder="1" applyAlignment="1">
      <alignment horizontal="center" vertical="center"/>
    </xf>
    <xf numFmtId="0" fontId="64" fillId="0" borderId="78" xfId="0" applyFont="1" applyBorder="1" applyAlignment="1">
      <alignment horizontal="right" vertical="center"/>
    </xf>
    <xf numFmtId="0" fontId="82" fillId="14" borderId="2" xfId="0" applyFont="1" applyFill="1" applyBorder="1" applyAlignment="1">
      <alignment vertical="center"/>
    </xf>
    <xf numFmtId="0" fontId="16" fillId="0" borderId="0" xfId="0" applyFont="1" applyAlignment="1">
      <alignment horizontal="left" vertical="center"/>
    </xf>
    <xf numFmtId="0" fontId="58" fillId="24" borderId="73" xfId="0" applyFont="1" applyFill="1" applyBorder="1" applyAlignment="1">
      <alignment horizontal="left" vertical="center"/>
    </xf>
    <xf numFmtId="0" fontId="57" fillId="24" borderId="142" xfId="0" applyFont="1" applyFill="1" applyBorder="1" applyAlignment="1">
      <alignment wrapText="1"/>
    </xf>
    <xf numFmtId="0" fontId="58" fillId="25" borderId="73" xfId="0" applyFont="1" applyFill="1" applyBorder="1" applyAlignment="1">
      <alignment horizontal="left" vertical="center"/>
    </xf>
    <xf numFmtId="0" fontId="57" fillId="25" borderId="142" xfId="0" applyFont="1" applyFill="1" applyBorder="1" applyAlignment="1">
      <alignment wrapText="1"/>
    </xf>
    <xf numFmtId="0" fontId="21" fillId="0" borderId="16" xfId="0" applyFont="1" applyBorder="1" applyAlignment="1">
      <alignment vertical="center" wrapText="1"/>
    </xf>
    <xf numFmtId="0" fontId="0" fillId="0" borderId="75" xfId="0" applyFont="1" applyFill="1" applyBorder="1" applyAlignment="1">
      <alignment wrapText="1"/>
    </xf>
    <xf numFmtId="0" fontId="88" fillId="0" borderId="75" xfId="0" applyFont="1" applyFill="1" applyBorder="1" applyAlignment="1">
      <alignment horizontal="left" wrapText="1"/>
    </xf>
    <xf numFmtId="0" fontId="89" fillId="0" borderId="75" xfId="0" applyFont="1" applyFill="1" applyBorder="1" applyAlignment="1">
      <alignment vertical="top" wrapText="1"/>
    </xf>
    <xf numFmtId="0" fontId="90" fillId="0" borderId="25" xfId="0" applyFont="1" applyFill="1" applyBorder="1" applyAlignment="1">
      <alignment vertical="center" wrapText="1"/>
    </xf>
    <xf numFmtId="0" fontId="91" fillId="0" borderId="18" xfId="0" applyFont="1" applyFill="1" applyBorder="1" applyAlignment="1">
      <alignment wrapText="1"/>
    </xf>
    <xf numFmtId="0" fontId="16" fillId="0" borderId="0" xfId="0" applyFont="1"/>
    <xf numFmtId="0" fontId="21" fillId="0" borderId="13" xfId="0" applyFont="1" applyFill="1" applyBorder="1" applyAlignment="1">
      <alignment horizontal="left" vertical="center"/>
    </xf>
    <xf numFmtId="0" fontId="35" fillId="0" borderId="35" xfId="0" applyFont="1" applyBorder="1" applyAlignment="1">
      <alignment horizontal="right" vertical="center"/>
    </xf>
    <xf numFmtId="0" fontId="35" fillId="0" borderId="21" xfId="0" applyFont="1" applyFill="1" applyBorder="1" applyAlignment="1">
      <alignment horizontal="left" vertical="center" wrapText="1"/>
    </xf>
    <xf numFmtId="0" fontId="35" fillId="0" borderId="18" xfId="0" applyFont="1" applyFill="1" applyBorder="1" applyAlignment="1">
      <alignment horizontal="left" vertical="center" wrapText="1"/>
    </xf>
    <xf numFmtId="0" fontId="22" fillId="0" borderId="18" xfId="0" applyFont="1" applyFill="1" applyBorder="1" applyAlignment="1">
      <alignment horizontal="left" vertical="center" wrapText="1"/>
    </xf>
    <xf numFmtId="0" fontId="6" fillId="16" borderId="132" xfId="0" applyFont="1" applyFill="1" applyBorder="1"/>
    <xf numFmtId="0" fontId="6" fillId="16" borderId="131" xfId="0" applyFont="1" applyFill="1" applyBorder="1"/>
    <xf numFmtId="0" fontId="6" fillId="0" borderId="0" xfId="0" applyFont="1"/>
    <xf numFmtId="0" fontId="6" fillId="0" borderId="13" xfId="0" applyFont="1" applyBorder="1"/>
    <xf numFmtId="0" fontId="6" fillId="0" borderId="2" xfId="0" applyFont="1" applyBorder="1"/>
    <xf numFmtId="0" fontId="6" fillId="0" borderId="28" xfId="0" applyFont="1" applyBorder="1" applyAlignment="1">
      <alignment horizontal="right" vertical="center"/>
    </xf>
    <xf numFmtId="0" fontId="6" fillId="0" borderId="36" xfId="0" applyFont="1" applyBorder="1" applyAlignment="1">
      <alignment vertical="center"/>
    </xf>
    <xf numFmtId="0" fontId="6" fillId="0" borderId="16" xfId="0" applyFont="1" applyFill="1" applyBorder="1" applyAlignment="1">
      <alignment vertical="center" wrapText="1"/>
    </xf>
    <xf numFmtId="0" fontId="6" fillId="0" borderId="16" xfId="0" applyFont="1" applyFill="1" applyBorder="1" applyAlignment="1">
      <alignment horizontal="left" vertical="center" wrapText="1"/>
    </xf>
    <xf numFmtId="0" fontId="6" fillId="0" borderId="21" xfId="0" applyFont="1" applyFill="1" applyBorder="1" applyAlignment="1">
      <alignment vertical="center" wrapText="1"/>
    </xf>
    <xf numFmtId="0" fontId="6" fillId="0" borderId="42" xfId="0" applyFont="1" applyBorder="1" applyAlignment="1">
      <alignment horizontal="right" vertical="center"/>
    </xf>
    <xf numFmtId="0" fontId="6" fillId="0" borderId="21" xfId="0" applyFont="1" applyFill="1" applyBorder="1" applyAlignment="1">
      <alignment horizontal="center" vertical="center" wrapText="1"/>
    </xf>
    <xf numFmtId="9" fontId="6" fillId="0" borderId="21" xfId="0" applyNumberFormat="1" applyFont="1" applyFill="1" applyBorder="1" applyAlignment="1">
      <alignment horizontal="center" vertical="center" wrapText="1"/>
    </xf>
    <xf numFmtId="0" fontId="6" fillId="0" borderId="16" xfId="0" applyFont="1" applyFill="1" applyBorder="1" applyAlignment="1">
      <alignment horizontal="center" vertical="center" wrapText="1"/>
    </xf>
    <xf numFmtId="0" fontId="6" fillId="0" borderId="28" xfId="0" applyFont="1" applyFill="1" applyBorder="1" applyAlignment="1">
      <alignment horizontal="right" vertical="center"/>
    </xf>
    <xf numFmtId="9" fontId="6" fillId="0" borderId="16" xfId="0" applyNumberFormat="1" applyFont="1" applyFill="1" applyBorder="1" applyAlignment="1">
      <alignment horizontal="center" vertical="center" wrapText="1"/>
    </xf>
    <xf numFmtId="0" fontId="6" fillId="0" borderId="38" xfId="0" applyFont="1" applyFill="1" applyBorder="1" applyAlignment="1">
      <alignment horizontal="right" vertical="center"/>
    </xf>
    <xf numFmtId="0" fontId="6" fillId="0" borderId="18" xfId="0" applyFont="1" applyFill="1" applyBorder="1" applyAlignment="1">
      <alignment horizontal="left" vertical="center" wrapText="1"/>
    </xf>
    <xf numFmtId="0" fontId="6" fillId="11" borderId="22" xfId="0" applyFont="1" applyFill="1" applyBorder="1" applyAlignment="1">
      <alignment horizontal="center" vertical="center" wrapText="1"/>
    </xf>
    <xf numFmtId="0" fontId="6" fillId="11" borderId="25" xfId="0" applyFont="1" applyFill="1" applyBorder="1" applyAlignment="1">
      <alignment horizontal="left" vertical="center" wrapText="1"/>
    </xf>
    <xf numFmtId="0" fontId="6" fillId="11" borderId="20" xfId="0" applyFont="1" applyFill="1" applyBorder="1" applyAlignment="1">
      <alignment horizontal="center" vertical="center" wrapText="1"/>
    </xf>
    <xf numFmtId="0" fontId="6" fillId="11" borderId="16" xfId="0" applyFont="1" applyFill="1" applyBorder="1" applyAlignment="1">
      <alignment horizontal="center" vertical="center" wrapText="1"/>
    </xf>
    <xf numFmtId="0" fontId="6" fillId="11" borderId="103" xfId="0" applyFont="1" applyFill="1" applyBorder="1" applyAlignment="1">
      <alignment horizontal="center" vertical="center" wrapText="1"/>
    </xf>
    <xf numFmtId="0" fontId="6" fillId="11" borderId="18" xfId="0" applyFont="1" applyFill="1" applyBorder="1" applyAlignment="1">
      <alignment horizontal="left" vertical="center" wrapText="1"/>
    </xf>
    <xf numFmtId="0" fontId="6" fillId="0" borderId="29" xfId="0" applyFont="1" applyBorder="1" applyAlignment="1">
      <alignment horizontal="right" vertical="center"/>
    </xf>
    <xf numFmtId="0" fontId="6" fillId="0" borderId="24" xfId="0" applyFont="1" applyFill="1" applyBorder="1" applyAlignment="1">
      <alignment vertical="center" wrapText="1"/>
    </xf>
    <xf numFmtId="0" fontId="6" fillId="11" borderId="24" xfId="0" applyFont="1" applyFill="1" applyBorder="1" applyAlignment="1">
      <alignment horizontal="center" vertical="center" wrapText="1"/>
    </xf>
    <xf numFmtId="0" fontId="6" fillId="11" borderId="110" xfId="0" applyFont="1" applyFill="1" applyBorder="1" applyAlignment="1">
      <alignment horizontal="center" vertical="center" wrapText="1"/>
    </xf>
    <xf numFmtId="0" fontId="6" fillId="11" borderId="21" xfId="0" applyFont="1" applyFill="1" applyBorder="1" applyAlignment="1">
      <alignment horizontal="center" vertical="center" wrapText="1"/>
    </xf>
    <xf numFmtId="0" fontId="6" fillId="11" borderId="100" xfId="0" applyFont="1" applyFill="1" applyBorder="1" applyAlignment="1">
      <alignment horizontal="left" vertical="center" wrapText="1"/>
    </xf>
    <xf numFmtId="0" fontId="6" fillId="11" borderId="19" xfId="0" applyFont="1" applyFill="1" applyBorder="1" applyAlignment="1">
      <alignment horizontal="left" vertical="center" wrapText="1"/>
    </xf>
    <xf numFmtId="0" fontId="6" fillId="14" borderId="18" xfId="0" applyFont="1" applyFill="1" applyBorder="1" applyAlignment="1">
      <alignment horizontal="left" vertical="center" wrapText="1"/>
    </xf>
    <xf numFmtId="0" fontId="6" fillId="0" borderId="21" xfId="0" applyFont="1" applyFill="1" applyBorder="1" applyAlignment="1">
      <alignment horizontal="left" vertical="center" wrapText="1"/>
    </xf>
    <xf numFmtId="0" fontId="6" fillId="0" borderId="100" xfId="0" applyFont="1" applyFill="1" applyBorder="1" applyAlignment="1">
      <alignment horizontal="left" vertical="center" wrapText="1"/>
    </xf>
    <xf numFmtId="0" fontId="6" fillId="0" borderId="17" xfId="0" applyFont="1" applyFill="1" applyBorder="1" applyAlignment="1">
      <alignment horizontal="left" vertical="center" wrapText="1"/>
    </xf>
    <xf numFmtId="0" fontId="6" fillId="11" borderId="104" xfId="0" applyFont="1" applyFill="1" applyBorder="1" applyAlignment="1">
      <alignment horizontal="center" vertical="center" wrapText="1"/>
    </xf>
    <xf numFmtId="0" fontId="6" fillId="11" borderId="23" xfId="0" applyFont="1" applyFill="1" applyBorder="1" applyAlignment="1">
      <alignment horizontal="center" vertical="center" wrapText="1"/>
    </xf>
    <xf numFmtId="0" fontId="6" fillId="11" borderId="17" xfId="0" applyFont="1" applyFill="1" applyBorder="1" applyAlignment="1">
      <alignment horizontal="left" vertical="center" wrapText="1"/>
    </xf>
    <xf numFmtId="0" fontId="6" fillId="0" borderId="24" xfId="0" applyFont="1" applyBorder="1" applyAlignment="1">
      <alignment vertical="center"/>
    </xf>
    <xf numFmtId="0" fontId="6" fillId="0" borderId="19" xfId="0" applyFont="1" applyFill="1" applyBorder="1" applyAlignment="1">
      <alignment horizontal="left" vertical="center" wrapText="1"/>
    </xf>
    <xf numFmtId="0" fontId="6" fillId="11" borderId="125" xfId="0" applyFont="1" applyFill="1" applyBorder="1" applyAlignment="1">
      <alignment horizontal="center" vertical="center" wrapText="1"/>
    </xf>
    <xf numFmtId="0" fontId="6" fillId="0" borderId="0" xfId="0" applyFont="1" applyAlignment="1">
      <alignment horizontal="right"/>
    </xf>
    <xf numFmtId="0" fontId="6" fillId="0" borderId="2" xfId="0" applyFont="1" applyFill="1" applyBorder="1" applyAlignment="1">
      <alignment horizontal="right" vertical="center"/>
    </xf>
    <xf numFmtId="0" fontId="6" fillId="0" borderId="22" xfId="0" applyFont="1" applyFill="1" applyBorder="1" applyAlignment="1">
      <alignment vertical="center" wrapText="1"/>
    </xf>
    <xf numFmtId="0" fontId="6" fillId="0" borderId="16" xfId="0" applyFont="1" applyFill="1" applyBorder="1" applyAlignment="1">
      <alignment horizontal="right" vertical="center"/>
    </xf>
    <xf numFmtId="0" fontId="6" fillId="0" borderId="22" xfId="0" applyFont="1" applyFill="1" applyBorder="1" applyAlignment="1">
      <alignment horizontal="right" vertical="center"/>
    </xf>
    <xf numFmtId="0" fontId="6" fillId="0" borderId="97" xfId="0" applyFont="1" applyFill="1" applyBorder="1" applyAlignment="1">
      <alignment horizontal="right" vertical="center"/>
    </xf>
    <xf numFmtId="0" fontId="6" fillId="0" borderId="20" xfId="0" applyFont="1" applyFill="1" applyBorder="1" applyAlignment="1">
      <alignment horizontal="right" vertical="center"/>
    </xf>
    <xf numFmtId="0" fontId="6" fillId="0" borderId="36" xfId="0" applyFont="1" applyFill="1" applyBorder="1" applyAlignment="1">
      <alignment horizontal="right" vertical="center"/>
    </xf>
    <xf numFmtId="0" fontId="6" fillId="18" borderId="21" xfId="0" applyFont="1" applyFill="1" applyBorder="1" applyAlignment="1">
      <alignment horizontal="left" vertical="center" wrapText="1"/>
    </xf>
    <xf numFmtId="0" fontId="6" fillId="0" borderId="24" xfId="0" applyFont="1" applyFill="1" applyBorder="1" applyAlignment="1">
      <alignment horizontal="right" vertical="center"/>
    </xf>
    <xf numFmtId="0" fontId="6" fillId="0" borderId="24" xfId="0" applyFont="1" applyFill="1" applyBorder="1" applyAlignment="1">
      <alignment horizontal="left" vertical="center" wrapText="1"/>
    </xf>
    <xf numFmtId="0" fontId="6" fillId="0" borderId="16" xfId="0" applyFont="1" applyBorder="1" applyAlignment="1">
      <alignment vertical="center" wrapText="1"/>
    </xf>
    <xf numFmtId="0" fontId="6" fillId="0" borderId="24" xfId="0" applyFont="1" applyBorder="1" applyAlignment="1">
      <alignment vertical="center" wrapText="1"/>
    </xf>
    <xf numFmtId="0" fontId="6" fillId="0" borderId="21" xfId="0" applyFont="1" applyFill="1" applyBorder="1" applyAlignment="1">
      <alignment horizontal="right" vertical="center"/>
    </xf>
    <xf numFmtId="0" fontId="6" fillId="0" borderId="31" xfId="0" applyFont="1" applyFill="1" applyBorder="1" applyAlignment="1">
      <alignment horizontal="right" vertical="center"/>
    </xf>
    <xf numFmtId="0" fontId="6" fillId="0" borderId="158" xfId="0" applyFont="1" applyFill="1" applyBorder="1" applyAlignment="1">
      <alignment horizontal="right" vertical="center"/>
    </xf>
    <xf numFmtId="0" fontId="6" fillId="0" borderId="103" xfId="0" applyFont="1" applyFill="1" applyBorder="1" applyAlignment="1">
      <alignment horizontal="right" vertical="center"/>
    </xf>
    <xf numFmtId="0" fontId="6" fillId="0" borderId="159" xfId="0" applyFont="1" applyFill="1" applyBorder="1" applyAlignment="1">
      <alignment horizontal="right" vertical="center"/>
    </xf>
    <xf numFmtId="0" fontId="6" fillId="0" borderId="23" xfId="0" applyFont="1" applyFill="1" applyBorder="1" applyAlignment="1">
      <alignment horizontal="right" vertical="center"/>
    </xf>
    <xf numFmtId="0" fontId="6" fillId="0" borderId="26" xfId="0" applyFont="1" applyFill="1" applyBorder="1" applyAlignment="1">
      <alignment horizontal="right" vertical="center"/>
    </xf>
    <xf numFmtId="0" fontId="6" fillId="0" borderId="32" xfId="0" applyFont="1" applyFill="1" applyBorder="1" applyAlignment="1">
      <alignment horizontal="right" vertical="center"/>
    </xf>
    <xf numFmtId="0" fontId="6" fillId="0" borderId="32" xfId="0" applyFont="1" applyFill="1" applyBorder="1" applyAlignment="1">
      <alignment horizontal="left" vertical="center" wrapText="1"/>
    </xf>
    <xf numFmtId="0" fontId="6" fillId="0" borderId="20" xfId="0" applyFont="1" applyFill="1" applyBorder="1" applyAlignment="1">
      <alignment horizontal="right" vertical="center" wrapText="1"/>
    </xf>
    <xf numFmtId="0" fontId="6" fillId="0" borderId="16" xfId="0" applyFont="1" applyFill="1" applyBorder="1" applyAlignment="1">
      <alignment horizontal="right" vertical="center" wrapText="1"/>
    </xf>
    <xf numFmtId="0" fontId="6" fillId="0" borderId="21" xfId="0" applyFont="1" applyFill="1" applyBorder="1" applyAlignment="1">
      <alignment horizontal="right" vertical="center" wrapText="1"/>
    </xf>
    <xf numFmtId="0" fontId="6" fillId="0" borderId="24" xfId="0" applyFont="1" applyFill="1" applyBorder="1" applyAlignment="1">
      <alignment horizontal="right" vertical="center" wrapText="1"/>
    </xf>
    <xf numFmtId="0" fontId="6" fillId="0" borderId="107" xfId="0" applyFont="1" applyFill="1" applyBorder="1" applyAlignment="1">
      <alignment horizontal="right" vertical="center" wrapText="1"/>
    </xf>
    <xf numFmtId="0" fontId="6" fillId="18" borderId="125" xfId="0" applyFont="1" applyFill="1" applyBorder="1" applyAlignment="1">
      <alignment horizontal="left" vertical="center" wrapText="1"/>
    </xf>
    <xf numFmtId="0" fontId="6" fillId="0" borderId="125" xfId="0" applyFont="1" applyFill="1" applyBorder="1" applyAlignment="1">
      <alignment horizontal="right" vertical="center" wrapText="1"/>
    </xf>
    <xf numFmtId="0" fontId="6" fillId="18" borderId="16" xfId="0" applyFont="1" applyFill="1" applyBorder="1" applyAlignment="1">
      <alignment horizontal="left" vertical="center" wrapText="1"/>
    </xf>
    <xf numFmtId="0" fontId="6" fillId="0" borderId="18" xfId="0" applyFont="1" applyFill="1" applyBorder="1" applyAlignment="1">
      <alignment horizontal="left" vertical="center"/>
    </xf>
    <xf numFmtId="0" fontId="6" fillId="0" borderId="19" xfId="0" applyFont="1" applyFill="1" applyBorder="1" applyAlignment="1">
      <alignment horizontal="left" vertical="center"/>
    </xf>
    <xf numFmtId="49" fontId="6" fillId="0" borderId="28" xfId="0" applyNumberFormat="1" applyFont="1" applyBorder="1" applyAlignment="1">
      <alignment horizontal="right" vertical="center"/>
    </xf>
    <xf numFmtId="49" fontId="6" fillId="0" borderId="29" xfId="0" applyNumberFormat="1" applyFont="1" applyBorder="1" applyAlignment="1">
      <alignment horizontal="right" vertical="center"/>
    </xf>
    <xf numFmtId="49" fontId="6" fillId="0" borderId="28" xfId="0" applyNumberFormat="1" applyFont="1" applyFill="1" applyBorder="1" applyAlignment="1">
      <alignment horizontal="right" vertical="center"/>
    </xf>
    <xf numFmtId="49" fontId="6" fillId="0" borderId="29" xfId="0" applyNumberFormat="1" applyFont="1" applyFill="1" applyBorder="1" applyAlignment="1">
      <alignment horizontal="right" vertical="center"/>
    </xf>
    <xf numFmtId="0" fontId="6" fillId="18" borderId="24" xfId="0" applyFont="1" applyFill="1" applyBorder="1" applyAlignment="1">
      <alignment horizontal="left" vertical="center" wrapText="1"/>
    </xf>
    <xf numFmtId="0" fontId="6" fillId="18" borderId="2" xfId="0" applyFont="1" applyFill="1" applyBorder="1" applyAlignment="1">
      <alignment horizontal="left" vertical="center" wrapText="1"/>
    </xf>
    <xf numFmtId="0" fontId="6" fillId="0" borderId="126" xfId="0" applyFont="1" applyFill="1" applyBorder="1" applyAlignment="1">
      <alignment horizontal="right" vertical="center"/>
    </xf>
    <xf numFmtId="0" fontId="6" fillId="0" borderId="31" xfId="0" applyFont="1" applyFill="1" applyBorder="1" applyAlignment="1">
      <alignment vertical="center" wrapText="1"/>
    </xf>
    <xf numFmtId="0" fontId="6" fillId="0" borderId="2" xfId="0" applyFont="1" applyFill="1" applyBorder="1" applyAlignment="1">
      <alignment horizontal="left" vertical="center" wrapText="1"/>
    </xf>
    <xf numFmtId="49" fontId="6" fillId="0" borderId="35" xfId="0" applyNumberFormat="1" applyFont="1" applyBorder="1" applyAlignment="1">
      <alignment horizontal="right" vertical="center"/>
    </xf>
    <xf numFmtId="0" fontId="6" fillId="0" borderId="32" xfId="0" applyFont="1" applyFill="1" applyBorder="1" applyAlignment="1">
      <alignment vertical="center" wrapText="1"/>
    </xf>
    <xf numFmtId="0" fontId="6" fillId="0" borderId="22" xfId="0" applyFont="1" applyFill="1" applyBorder="1" applyAlignment="1">
      <alignment horizontal="left" vertical="center" wrapText="1"/>
    </xf>
    <xf numFmtId="0" fontId="6" fillId="0" borderId="31" xfId="0" applyFont="1" applyFill="1" applyBorder="1" applyAlignment="1">
      <alignment horizontal="left" vertical="center" wrapText="1"/>
    </xf>
    <xf numFmtId="0" fontId="6" fillId="0" borderId="2" xfId="0" applyFont="1" applyBorder="1" applyAlignment="1">
      <alignment vertical="center" wrapText="1"/>
    </xf>
    <xf numFmtId="49" fontId="6" fillId="0" borderId="42" xfId="0" applyNumberFormat="1" applyFont="1" applyBorder="1" applyAlignment="1">
      <alignment horizontal="right" vertical="center"/>
    </xf>
    <xf numFmtId="0" fontId="6" fillId="0" borderId="16" xfId="0" applyFont="1" applyBorder="1" applyAlignment="1">
      <alignment horizontal="left" vertical="center" wrapText="1"/>
    </xf>
    <xf numFmtId="49" fontId="6" fillId="0" borderId="96" xfId="0" applyNumberFormat="1" applyFont="1" applyBorder="1" applyAlignment="1">
      <alignment horizontal="right" vertical="center"/>
    </xf>
    <xf numFmtId="0" fontId="6" fillId="0" borderId="24" xfId="0" applyFont="1" applyBorder="1" applyAlignment="1">
      <alignment horizontal="left" vertical="center" wrapText="1"/>
    </xf>
    <xf numFmtId="0" fontId="6" fillId="0" borderId="37" xfId="0" applyFont="1" applyBorder="1" applyAlignment="1">
      <alignment horizontal="right" vertical="center"/>
    </xf>
    <xf numFmtId="0" fontId="6" fillId="0" borderId="26" xfId="0" applyFont="1" applyBorder="1" applyAlignment="1">
      <alignment vertical="center" wrapText="1"/>
    </xf>
    <xf numFmtId="0" fontId="6" fillId="0" borderId="104" xfId="0" applyFont="1" applyFill="1" applyBorder="1" applyAlignment="1">
      <alignment horizontal="right" vertical="center"/>
    </xf>
    <xf numFmtId="0" fontId="6" fillId="0" borderId="35" xfId="0" applyFont="1" applyBorder="1" applyAlignment="1">
      <alignment horizontal="right" vertical="center"/>
    </xf>
    <xf numFmtId="0" fontId="6" fillId="0" borderId="125" xfId="0" applyFont="1" applyFill="1" applyBorder="1" applyAlignment="1">
      <alignment horizontal="right" vertical="center"/>
    </xf>
    <xf numFmtId="0" fontId="6" fillId="0" borderId="22" xfId="0" applyFont="1" applyFill="1" applyBorder="1" applyAlignment="1">
      <alignment horizontal="right" vertical="center" wrapText="1"/>
    </xf>
    <xf numFmtId="0" fontId="6" fillId="0" borderId="36" xfId="0" applyFont="1" applyFill="1" applyBorder="1" applyAlignment="1">
      <alignment horizontal="right" vertical="center" wrapText="1"/>
    </xf>
    <xf numFmtId="0" fontId="6" fillId="0" borderId="2" xfId="0" applyFont="1" applyFill="1" applyBorder="1" applyAlignment="1">
      <alignment horizontal="right" vertical="center" wrapText="1"/>
    </xf>
    <xf numFmtId="0" fontId="6" fillId="0" borderId="32" xfId="0" applyFont="1" applyFill="1" applyBorder="1" applyAlignment="1">
      <alignment horizontal="right" vertical="center" wrapText="1"/>
    </xf>
    <xf numFmtId="0" fontId="6" fillId="0" borderId="2" xfId="0" applyFont="1" applyFill="1" applyBorder="1" applyAlignment="1">
      <alignment vertical="center" wrapText="1"/>
    </xf>
    <xf numFmtId="0" fontId="6" fillId="0" borderId="16" xfId="0" applyFont="1" applyFill="1" applyBorder="1" applyAlignment="1">
      <alignment vertical="center"/>
    </xf>
    <xf numFmtId="0" fontId="6" fillId="0" borderId="16" xfId="0" applyFont="1" applyFill="1" applyBorder="1" applyAlignment="1">
      <alignment horizontal="left" vertical="center"/>
    </xf>
    <xf numFmtId="0" fontId="6" fillId="0" borderId="24" xfId="0" applyFont="1" applyFill="1" applyBorder="1" applyAlignment="1">
      <alignment horizontal="left" vertical="center"/>
    </xf>
    <xf numFmtId="0" fontId="6" fillId="0" borderId="28" xfId="0" applyFont="1" applyBorder="1" applyAlignment="1">
      <alignment horizontal="left" vertical="center"/>
    </xf>
    <xf numFmtId="0" fontId="6" fillId="0" borderId="41" xfId="0" applyFont="1" applyFill="1" applyBorder="1" applyAlignment="1">
      <alignment horizontal="right" vertical="center"/>
    </xf>
    <xf numFmtId="0" fontId="6" fillId="0" borderId="2" xfId="0" applyFont="1" applyFill="1" applyBorder="1" applyAlignment="1">
      <alignment horizontal="left" vertical="center"/>
    </xf>
    <xf numFmtId="0" fontId="6" fillId="0" borderId="20" xfId="0" applyFont="1" applyFill="1" applyBorder="1" applyAlignment="1">
      <alignment vertical="center" wrapText="1"/>
    </xf>
    <xf numFmtId="0" fontId="6" fillId="0" borderId="34" xfId="0" applyFont="1" applyBorder="1" applyAlignment="1">
      <alignment horizontal="right" vertical="center"/>
    </xf>
    <xf numFmtId="0" fontId="6" fillId="0" borderId="39" xfId="0" applyFont="1" applyBorder="1" applyAlignment="1">
      <alignment horizontal="right" vertical="center"/>
    </xf>
    <xf numFmtId="0" fontId="6" fillId="0" borderId="37" xfId="0" applyFont="1" applyBorder="1" applyAlignment="1">
      <alignment horizontal="left" vertical="center"/>
    </xf>
    <xf numFmtId="0" fontId="6" fillId="0" borderId="106" xfId="0" applyFont="1" applyFill="1" applyBorder="1" applyAlignment="1">
      <alignment horizontal="right" vertical="center"/>
    </xf>
    <xf numFmtId="0" fontId="6" fillId="0" borderId="29" xfId="0" applyFont="1" applyFill="1" applyBorder="1" applyAlignment="1">
      <alignment horizontal="right" vertical="center"/>
    </xf>
    <xf numFmtId="44" fontId="6" fillId="0" borderId="16" xfId="3" applyFont="1" applyFill="1" applyBorder="1" applyAlignment="1">
      <alignment vertical="center" wrapText="1"/>
    </xf>
    <xf numFmtId="44" fontId="6" fillId="0" borderId="20" xfId="3" applyFont="1" applyFill="1" applyBorder="1" applyAlignment="1">
      <alignment vertical="center" wrapText="1"/>
    </xf>
    <xf numFmtId="44" fontId="6" fillId="0" borderId="36" xfId="3" applyFont="1" applyFill="1" applyBorder="1" applyAlignment="1">
      <alignment vertical="center" wrapText="1"/>
    </xf>
    <xf numFmtId="44" fontId="6" fillId="0" borderId="163" xfId="3" applyFont="1" applyFill="1" applyBorder="1" applyAlignment="1">
      <alignment vertical="center" wrapText="1"/>
    </xf>
    <xf numFmtId="0" fontId="6" fillId="0" borderId="164" xfId="0" applyFont="1" applyFill="1" applyBorder="1" applyAlignment="1">
      <alignment horizontal="right" vertical="center"/>
    </xf>
    <xf numFmtId="44" fontId="6" fillId="0" borderId="101" xfId="3" applyFont="1" applyFill="1" applyBorder="1" applyAlignment="1">
      <alignment vertical="center" wrapText="1"/>
    </xf>
    <xf numFmtId="0" fontId="6" fillId="0" borderId="101" xfId="0" applyFont="1" applyFill="1" applyBorder="1" applyAlignment="1">
      <alignment horizontal="left" vertical="center" wrapText="1"/>
    </xf>
    <xf numFmtId="0" fontId="6" fillId="0" borderId="167" xfId="0" applyFont="1" applyFill="1" applyBorder="1" applyAlignment="1">
      <alignment horizontal="left" vertical="center" wrapText="1"/>
    </xf>
    <xf numFmtId="0" fontId="6" fillId="0" borderId="18" xfId="0" applyFont="1" applyBorder="1" applyAlignment="1">
      <alignment vertical="center" wrapText="1"/>
    </xf>
    <xf numFmtId="0" fontId="6" fillId="0" borderId="2" xfId="0" applyFont="1" applyBorder="1" applyAlignment="1">
      <alignment horizontal="left" vertical="center" wrapText="1"/>
    </xf>
    <xf numFmtId="0" fontId="6" fillId="0" borderId="2" xfId="0" applyFont="1" applyFill="1" applyBorder="1" applyAlignment="1">
      <alignment vertical="center"/>
    </xf>
    <xf numFmtId="44" fontId="6" fillId="0" borderId="2" xfId="3" applyFont="1" applyFill="1" applyBorder="1" applyAlignment="1">
      <alignment vertical="center" wrapText="1"/>
    </xf>
    <xf numFmtId="0" fontId="16" fillId="0" borderId="2" xfId="0" applyFont="1" applyBorder="1" applyAlignment="1">
      <alignment vertical="center" wrapText="1"/>
    </xf>
    <xf numFmtId="0" fontId="77" fillId="0" borderId="2" xfId="0" applyFont="1" applyBorder="1" applyAlignment="1">
      <alignment vertical="center" wrapText="1"/>
    </xf>
    <xf numFmtId="0" fontId="43" fillId="0" borderId="2" xfId="0" applyFont="1" applyBorder="1" applyAlignment="1">
      <alignment vertical="center" wrapText="1"/>
    </xf>
    <xf numFmtId="0" fontId="16" fillId="0" borderId="2" xfId="0" applyFont="1" applyBorder="1" applyAlignment="1">
      <alignment vertical="center"/>
    </xf>
    <xf numFmtId="3" fontId="76" fillId="2" borderId="2" xfId="0" applyNumberFormat="1" applyFont="1" applyFill="1" applyBorder="1" applyAlignment="1">
      <alignment vertical="center" wrapText="1"/>
    </xf>
    <xf numFmtId="0" fontId="0" fillId="0" borderId="0" xfId="0" applyAlignment="1">
      <alignment horizontal="left" vertical="center"/>
    </xf>
    <xf numFmtId="3" fontId="93" fillId="0" borderId="2" xfId="0" applyNumberFormat="1" applyFont="1" applyBorder="1" applyAlignment="1">
      <alignment vertical="center"/>
    </xf>
    <xf numFmtId="3" fontId="77" fillId="0" borderId="10" xfId="0" applyNumberFormat="1" applyFont="1" applyBorder="1" applyAlignment="1">
      <alignment vertical="center" wrapText="1"/>
    </xf>
    <xf numFmtId="3" fontId="64" fillId="0" borderId="13" xfId="0" applyNumberFormat="1" applyFont="1" applyBorder="1" applyAlignment="1">
      <alignment vertical="center" wrapText="1"/>
    </xf>
    <xf numFmtId="3" fontId="64" fillId="0" borderId="10" xfId="0" applyNumberFormat="1" applyFont="1" applyBorder="1" applyAlignment="1">
      <alignment vertical="center" wrapText="1"/>
    </xf>
    <xf numFmtId="3" fontId="0" fillId="0" borderId="13" xfId="0" applyNumberFormat="1" applyBorder="1" applyAlignment="1">
      <alignment vertical="center"/>
    </xf>
    <xf numFmtId="3" fontId="0" fillId="0" borderId="10" xfId="0" applyNumberFormat="1" applyBorder="1" applyAlignment="1">
      <alignment vertical="center"/>
    </xf>
    <xf numFmtId="3" fontId="77" fillId="2" borderId="10" xfId="0" applyNumberFormat="1" applyFont="1" applyFill="1" applyBorder="1" applyAlignment="1">
      <alignment vertical="center" wrapText="1"/>
    </xf>
    <xf numFmtId="3" fontId="77" fillId="0" borderId="10" xfId="0" applyNumberFormat="1" applyFont="1" applyBorder="1" applyAlignment="1">
      <alignment vertical="center"/>
    </xf>
    <xf numFmtId="3" fontId="64" fillId="0" borderId="13" xfId="0" applyNumberFormat="1" applyFont="1" applyBorder="1" applyAlignment="1">
      <alignment vertical="center"/>
    </xf>
    <xf numFmtId="3" fontId="64" fillId="0" borderId="10" xfId="0" applyNumberFormat="1" applyFont="1" applyBorder="1" applyAlignment="1">
      <alignment vertical="center"/>
    </xf>
    <xf numFmtId="3" fontId="92" fillId="2" borderId="15" xfId="0" applyNumberFormat="1" applyFont="1" applyFill="1" applyBorder="1" applyAlignment="1">
      <alignment vertical="center"/>
    </xf>
    <xf numFmtId="3" fontId="92" fillId="2" borderId="6" xfId="0" applyNumberFormat="1" applyFont="1" applyFill="1" applyBorder="1" applyAlignment="1">
      <alignment vertical="center"/>
    </xf>
    <xf numFmtId="3" fontId="0" fillId="0" borderId="13" xfId="0" applyNumberFormat="1" applyBorder="1" applyAlignment="1">
      <alignment vertical="center" wrapText="1"/>
    </xf>
    <xf numFmtId="3" fontId="0" fillId="0" borderId="10" xfId="0" applyNumberFormat="1" applyBorder="1" applyAlignment="1">
      <alignment vertical="center" wrapText="1"/>
    </xf>
    <xf numFmtId="3" fontId="64" fillId="0" borderId="15" xfId="0" applyNumberFormat="1" applyFont="1" applyBorder="1" applyAlignment="1">
      <alignment vertical="center"/>
    </xf>
    <xf numFmtId="3" fontId="64" fillId="0" borderId="6" xfId="0" applyNumberFormat="1" applyFont="1" applyBorder="1" applyAlignment="1">
      <alignment vertical="center"/>
    </xf>
    <xf numFmtId="3" fontId="64" fillId="0" borderId="9" xfId="0" applyNumberFormat="1" applyFont="1" applyBorder="1" applyAlignment="1">
      <alignment vertical="center"/>
    </xf>
    <xf numFmtId="3" fontId="0" fillId="2" borderId="13" xfId="0" applyNumberFormat="1" applyFill="1" applyBorder="1" applyAlignment="1">
      <alignment vertical="center" wrapText="1"/>
    </xf>
    <xf numFmtId="3" fontId="77" fillId="0" borderId="10" xfId="0" applyNumberFormat="1" applyFont="1" applyFill="1" applyBorder="1" applyAlignment="1">
      <alignment vertical="center" wrapText="1"/>
    </xf>
    <xf numFmtId="3" fontId="76" fillId="0" borderId="10" xfId="0" applyNumberFormat="1" applyFont="1" applyBorder="1" applyAlignment="1">
      <alignment vertical="center" wrapText="1"/>
    </xf>
    <xf numFmtId="3" fontId="64" fillId="0" borderId="0" xfId="0" applyNumberFormat="1" applyFont="1" applyAlignment="1">
      <alignment vertical="center"/>
    </xf>
    <xf numFmtId="3" fontId="93" fillId="0" borderId="2" xfId="0" applyNumberFormat="1" applyFont="1" applyFill="1" applyBorder="1" applyAlignment="1">
      <alignment vertical="center"/>
    </xf>
    <xf numFmtId="0" fontId="64" fillId="0" borderId="2" xfId="0" applyFont="1" applyFill="1" applyBorder="1" applyAlignment="1">
      <alignment horizontal="right" vertical="center"/>
    </xf>
    <xf numFmtId="3" fontId="76" fillId="0" borderId="10" xfId="0" applyNumberFormat="1" applyFont="1" applyFill="1" applyBorder="1" applyAlignment="1">
      <alignment vertical="center" wrapText="1"/>
    </xf>
    <xf numFmtId="3" fontId="64" fillId="0" borderId="10" xfId="0" applyNumberFormat="1" applyFont="1" applyFill="1" applyBorder="1" applyAlignment="1">
      <alignment vertical="center" wrapText="1"/>
    </xf>
    <xf numFmtId="3" fontId="0" fillId="0" borderId="10" xfId="0" applyNumberFormat="1" applyFill="1" applyBorder="1" applyAlignment="1">
      <alignment vertical="center"/>
    </xf>
    <xf numFmtId="3" fontId="76" fillId="2" borderId="13" xfId="0" applyNumberFormat="1" applyFont="1" applyFill="1" applyBorder="1" applyAlignment="1">
      <alignment vertical="center" wrapText="1"/>
    </xf>
    <xf numFmtId="3" fontId="76" fillId="0" borderId="10" xfId="0" applyNumberFormat="1" applyFont="1" applyFill="1" applyBorder="1" applyAlignment="1">
      <alignment vertical="center"/>
    </xf>
    <xf numFmtId="3" fontId="93" fillId="2" borderId="15" xfId="0" applyNumberFormat="1" applyFont="1" applyFill="1" applyBorder="1" applyAlignment="1">
      <alignment vertical="center" wrapText="1"/>
    </xf>
    <xf numFmtId="3" fontId="93" fillId="2" borderId="6" xfId="0" applyNumberFormat="1" applyFont="1" applyFill="1" applyBorder="1" applyAlignment="1">
      <alignment vertical="center" wrapText="1"/>
    </xf>
    <xf numFmtId="3" fontId="93" fillId="0" borderId="9" xfId="0" applyNumberFormat="1" applyFont="1" applyFill="1" applyBorder="1" applyAlignment="1">
      <alignment vertical="center" wrapText="1"/>
    </xf>
    <xf numFmtId="3" fontId="0" fillId="0" borderId="10" xfId="0" applyNumberFormat="1" applyFill="1" applyBorder="1" applyAlignment="1">
      <alignment vertical="center" wrapText="1"/>
    </xf>
    <xf numFmtId="3" fontId="64" fillId="0" borderId="10" xfId="0" applyNumberFormat="1" applyFont="1" applyFill="1" applyBorder="1" applyAlignment="1">
      <alignment vertical="center"/>
    </xf>
    <xf numFmtId="3" fontId="64" fillId="0" borderId="9" xfId="0" applyNumberFormat="1" applyFont="1" applyFill="1" applyBorder="1" applyAlignment="1">
      <alignment vertical="center"/>
    </xf>
    <xf numFmtId="3" fontId="77" fillId="0" borderId="13" xfId="0" applyNumberFormat="1" applyFont="1" applyFill="1" applyBorder="1" applyAlignment="1">
      <alignment vertical="center"/>
    </xf>
    <xf numFmtId="3" fontId="77" fillId="0" borderId="2" xfId="0" applyNumberFormat="1" applyFont="1" applyFill="1" applyBorder="1" applyAlignment="1">
      <alignment vertical="center"/>
    </xf>
    <xf numFmtId="3" fontId="77" fillId="0" borderId="10" xfId="0" applyNumberFormat="1" applyFont="1" applyFill="1" applyBorder="1" applyAlignment="1">
      <alignment vertical="center"/>
    </xf>
    <xf numFmtId="3" fontId="92" fillId="0" borderId="9" xfId="0" applyNumberFormat="1" applyFont="1" applyFill="1" applyBorder="1" applyAlignment="1">
      <alignment vertical="center"/>
    </xf>
    <xf numFmtId="3" fontId="76" fillId="2" borderId="13" xfId="0" applyNumberFormat="1" applyFont="1" applyFill="1" applyBorder="1" applyAlignment="1">
      <alignment vertical="center"/>
    </xf>
    <xf numFmtId="3" fontId="76" fillId="2" borderId="2" xfId="0" applyNumberFormat="1" applyFont="1" applyFill="1" applyBorder="1" applyAlignment="1">
      <alignment vertical="center"/>
    </xf>
    <xf numFmtId="3" fontId="0" fillId="0" borderId="13" xfId="0" applyNumberFormat="1" applyFill="1" applyBorder="1" applyAlignment="1">
      <alignment vertical="center"/>
    </xf>
    <xf numFmtId="0" fontId="95" fillId="21" borderId="169" xfId="0" applyFont="1" applyFill="1" applyBorder="1" applyAlignment="1">
      <alignment horizontal="center" vertical="center" wrapText="1"/>
    </xf>
    <xf numFmtId="0" fontId="96" fillId="0" borderId="2" xfId="0" applyFont="1" applyBorder="1" applyAlignment="1" applyProtection="1">
      <alignment horizontal="center" vertical="center"/>
      <protection hidden="1"/>
    </xf>
    <xf numFmtId="0" fontId="97" fillId="0" borderId="2" xfId="0" applyFont="1" applyBorder="1" applyAlignment="1" applyProtection="1">
      <alignment horizontal="center" vertical="center"/>
      <protection hidden="1"/>
    </xf>
    <xf numFmtId="0" fontId="25" fillId="0" borderId="2" xfId="0" applyFont="1" applyBorder="1" applyAlignment="1">
      <alignment vertical="center" wrapText="1"/>
    </xf>
    <xf numFmtId="3" fontId="77" fillId="0" borderId="13" xfId="0" applyNumberFormat="1" applyFont="1" applyFill="1" applyBorder="1" applyAlignment="1">
      <alignment vertical="center" wrapText="1"/>
    </xf>
    <xf numFmtId="3" fontId="77" fillId="0" borderId="2" xfId="0" applyNumberFormat="1" applyFont="1" applyFill="1" applyBorder="1" applyAlignment="1">
      <alignment vertical="center" wrapText="1"/>
    </xf>
    <xf numFmtId="3" fontId="99" fillId="0" borderId="2" xfId="0" applyNumberFormat="1" applyFont="1" applyFill="1" applyBorder="1" applyAlignment="1">
      <alignment vertical="center"/>
    </xf>
    <xf numFmtId="0" fontId="77" fillId="0" borderId="2" xfId="0" applyFont="1" applyBorder="1" applyAlignment="1">
      <alignment horizontal="right" vertical="center"/>
    </xf>
    <xf numFmtId="0" fontId="76" fillId="0" borderId="2" xfId="0" applyFont="1" applyBorder="1" applyAlignment="1">
      <alignment vertical="center" wrapText="1"/>
    </xf>
    <xf numFmtId="0" fontId="77" fillId="0" borderId="2" xfId="0" applyFont="1" applyBorder="1" applyAlignment="1">
      <alignment horizontal="left" vertical="center" wrapText="1"/>
    </xf>
    <xf numFmtId="0" fontId="92" fillId="0" borderId="2" xfId="0" applyFont="1" applyBorder="1" applyAlignment="1">
      <alignment vertical="center" wrapText="1"/>
    </xf>
    <xf numFmtId="3" fontId="77" fillId="3" borderId="13" xfId="0" applyNumberFormat="1" applyFont="1" applyFill="1" applyBorder="1" applyAlignment="1">
      <alignment vertical="center"/>
    </xf>
    <xf numFmtId="3" fontId="77" fillId="3" borderId="2" xfId="0" applyNumberFormat="1" applyFont="1" applyFill="1" applyBorder="1" applyAlignment="1">
      <alignment vertical="center"/>
    </xf>
    <xf numFmtId="3" fontId="77" fillId="3" borderId="13" xfId="0" applyNumberFormat="1" applyFont="1" applyFill="1" applyBorder="1" applyAlignment="1">
      <alignment vertical="center" wrapText="1"/>
    </xf>
    <xf numFmtId="3" fontId="77" fillId="3" borderId="2" xfId="0" applyNumberFormat="1" applyFont="1" applyFill="1" applyBorder="1" applyAlignment="1">
      <alignment vertical="center" wrapText="1"/>
    </xf>
    <xf numFmtId="3" fontId="77" fillId="2" borderId="10" xfId="0" applyNumberFormat="1" applyFont="1" applyFill="1" applyBorder="1" applyAlignment="1">
      <alignment vertical="center"/>
    </xf>
    <xf numFmtId="3" fontId="77" fillId="0" borderId="14" xfId="0" applyNumberFormat="1" applyFont="1" applyFill="1" applyBorder="1" applyAlignment="1">
      <alignment vertical="center" wrapText="1"/>
    </xf>
    <xf numFmtId="3" fontId="77" fillId="0" borderId="7" xfId="0" applyNumberFormat="1" applyFont="1" applyFill="1" applyBorder="1" applyAlignment="1">
      <alignment vertical="center" wrapText="1"/>
    </xf>
    <xf numFmtId="3" fontId="77" fillId="0" borderId="8" xfId="0" applyNumberFormat="1" applyFont="1" applyBorder="1" applyAlignment="1">
      <alignment vertical="center" wrapText="1"/>
    </xf>
    <xf numFmtId="3" fontId="76" fillId="0" borderId="13" xfId="0" applyNumberFormat="1" applyFont="1" applyFill="1" applyBorder="1" applyAlignment="1">
      <alignment vertical="center"/>
    </xf>
    <xf numFmtId="0" fontId="16" fillId="0" borderId="2" xfId="0" applyFont="1" applyBorder="1" applyAlignment="1">
      <alignment horizontal="right" vertical="center"/>
    </xf>
    <xf numFmtId="0" fontId="67" fillId="0" borderId="2" xfId="0" applyFont="1" applyBorder="1" applyAlignment="1">
      <alignment horizontal="right" vertical="center"/>
    </xf>
    <xf numFmtId="0" fontId="5" fillId="0" borderId="2" xfId="0" applyFont="1" applyFill="1" applyBorder="1" applyAlignment="1">
      <alignment horizontal="right" vertical="center"/>
    </xf>
    <xf numFmtId="0" fontId="16" fillId="0" borderId="18" xfId="0" applyFont="1" applyFill="1" applyBorder="1" applyAlignment="1">
      <alignment wrapText="1"/>
    </xf>
    <xf numFmtId="0" fontId="21" fillId="13" borderId="2" xfId="0" applyFont="1" applyFill="1" applyBorder="1" applyAlignment="1">
      <alignment horizontal="left" vertical="center" wrapText="1"/>
    </xf>
    <xf numFmtId="0" fontId="21" fillId="13" borderId="2" xfId="0" applyFont="1" applyFill="1" applyBorder="1" applyAlignment="1">
      <alignment horizontal="left" vertical="center"/>
    </xf>
    <xf numFmtId="0" fontId="57" fillId="13" borderId="2" xfId="0" applyFont="1" applyFill="1" applyBorder="1" applyAlignment="1">
      <alignment vertical="center" wrapText="1"/>
    </xf>
    <xf numFmtId="0" fontId="100" fillId="13" borderId="0" xfId="0" applyFont="1" applyFill="1" applyAlignment="1"/>
    <xf numFmtId="0" fontId="25" fillId="13" borderId="2" xfId="0" applyFont="1" applyFill="1" applyBorder="1" applyAlignment="1">
      <alignment horizontal="right" vertical="center"/>
    </xf>
    <xf numFmtId="0" fontId="4" fillId="13" borderId="2" xfId="0" applyFont="1" applyFill="1" applyBorder="1" applyAlignment="1">
      <alignment horizontal="right" vertical="center"/>
    </xf>
    <xf numFmtId="0" fontId="4" fillId="0" borderId="2" xfId="0" applyFont="1" applyFill="1" applyBorder="1" applyAlignment="1">
      <alignment horizontal="right" vertical="center"/>
    </xf>
    <xf numFmtId="0" fontId="4" fillId="13" borderId="2" xfId="0" applyFont="1" applyFill="1" applyBorder="1" applyAlignment="1">
      <alignment vertical="center" wrapText="1"/>
    </xf>
    <xf numFmtId="0" fontId="100" fillId="0" borderId="0" xfId="0" applyFont="1" applyFill="1" applyAlignment="1"/>
    <xf numFmtId="0" fontId="3" fillId="0" borderId="16" xfId="0" applyFont="1" applyFill="1" applyBorder="1" applyAlignment="1">
      <alignment vertical="center" wrapText="1"/>
    </xf>
    <xf numFmtId="0" fontId="3" fillId="0" borderId="16" xfId="0" applyFont="1" applyFill="1" applyBorder="1" applyAlignment="1">
      <alignment horizontal="right" vertical="center"/>
    </xf>
    <xf numFmtId="44" fontId="2" fillId="13" borderId="2" xfId="3" applyFont="1" applyFill="1" applyBorder="1" applyAlignment="1">
      <alignment vertical="center" wrapText="1"/>
    </xf>
    <xf numFmtId="1" fontId="16" fillId="3" borderId="171" xfId="0" applyNumberFormat="1" applyFont="1" applyFill="1" applyBorder="1" applyAlignment="1">
      <alignment horizontal="right" vertical="center" wrapText="1"/>
    </xf>
    <xf numFmtId="1" fontId="16" fillId="0" borderId="170" xfId="0" applyNumberFormat="1" applyFont="1" applyFill="1" applyBorder="1" applyAlignment="1">
      <alignment horizontal="right" vertical="center" wrapText="1"/>
    </xf>
    <xf numFmtId="1" fontId="16" fillId="4" borderId="171" xfId="0" applyNumberFormat="1" applyFont="1" applyFill="1" applyBorder="1" applyAlignment="1">
      <alignment horizontal="right" vertical="center" wrapText="1"/>
    </xf>
    <xf numFmtId="1" fontId="16" fillId="0" borderId="172" xfId="0" applyNumberFormat="1" applyFont="1" applyFill="1" applyBorder="1" applyAlignment="1"/>
    <xf numFmtId="1" fontId="14" fillId="0" borderId="173" xfId="0" applyNumberFormat="1" applyFont="1" applyFill="1" applyBorder="1" applyAlignment="1">
      <alignment horizontal="center" vertical="center" wrapText="1"/>
    </xf>
    <xf numFmtId="0" fontId="14" fillId="3" borderId="52" xfId="0" applyFont="1" applyFill="1" applyBorder="1" applyAlignment="1">
      <alignment horizontal="center" vertical="center" wrapText="1"/>
    </xf>
    <xf numFmtId="1" fontId="14" fillId="0" borderId="174" xfId="0" applyNumberFormat="1" applyFont="1" applyFill="1" applyBorder="1" applyAlignment="1">
      <alignment horizontal="center" vertical="center" wrapText="1"/>
    </xf>
    <xf numFmtId="1" fontId="14" fillId="3" borderId="175" xfId="0" applyNumberFormat="1" applyFont="1" applyFill="1" applyBorder="1" applyAlignment="1">
      <alignment horizontal="center" vertical="center" wrapText="1"/>
    </xf>
    <xf numFmtId="1" fontId="14" fillId="0" borderId="176" xfId="0" applyNumberFormat="1" applyFont="1" applyFill="1" applyBorder="1" applyAlignment="1">
      <alignment horizontal="center" vertical="center" wrapText="1"/>
    </xf>
    <xf numFmtId="0" fontId="14" fillId="3" borderId="171" xfId="0" applyFont="1" applyFill="1" applyBorder="1" applyAlignment="1">
      <alignment horizontal="center" vertical="center" wrapText="1"/>
    </xf>
    <xf numFmtId="1" fontId="14" fillId="0" borderId="177" xfId="0" applyNumberFormat="1" applyFont="1" applyFill="1" applyBorder="1" applyAlignment="1">
      <alignment horizontal="center" vertical="center" wrapText="1"/>
    </xf>
    <xf numFmtId="1" fontId="14" fillId="3" borderId="178" xfId="0" applyNumberFormat="1" applyFont="1" applyFill="1" applyBorder="1" applyAlignment="1">
      <alignment horizontal="center" vertical="center" wrapText="1"/>
    </xf>
    <xf numFmtId="0" fontId="14" fillId="4" borderId="52" xfId="0" applyFont="1" applyFill="1" applyBorder="1" applyAlignment="1">
      <alignment horizontal="center" vertical="center" wrapText="1"/>
    </xf>
    <xf numFmtId="1" fontId="14" fillId="4" borderId="175" xfId="0" applyNumberFormat="1" applyFont="1" applyFill="1" applyBorder="1" applyAlignment="1">
      <alignment horizontal="center" vertical="center" wrapText="1"/>
    </xf>
    <xf numFmtId="0" fontId="14" fillId="4" borderId="171" xfId="0" applyFont="1" applyFill="1" applyBorder="1" applyAlignment="1">
      <alignment horizontal="center" vertical="center" wrapText="1"/>
    </xf>
    <xf numFmtId="1" fontId="14" fillId="4" borderId="178" xfId="0" applyNumberFormat="1" applyFont="1" applyFill="1" applyBorder="1" applyAlignment="1">
      <alignment horizontal="center" vertical="center" wrapText="1"/>
    </xf>
    <xf numFmtId="1" fontId="14" fillId="4" borderId="52" xfId="0" applyNumberFormat="1" applyFont="1" applyFill="1" applyBorder="1" applyAlignment="1">
      <alignment horizontal="center" vertical="center" wrapText="1"/>
    </xf>
    <xf numFmtId="1" fontId="14" fillId="0" borderId="179" xfId="0" applyNumberFormat="1" applyFont="1" applyFill="1" applyBorder="1" applyAlignment="1">
      <alignment horizontal="center" vertical="center" wrapText="1"/>
    </xf>
    <xf numFmtId="1" fontId="14" fillId="0" borderId="175" xfId="0" applyNumberFormat="1" applyFont="1" applyFill="1" applyBorder="1" applyAlignment="1">
      <alignment horizontal="center" vertical="center" wrapText="1"/>
    </xf>
    <xf numFmtId="1" fontId="14" fillId="4" borderId="180" xfId="0" applyNumberFormat="1" applyFont="1" applyFill="1" applyBorder="1" applyAlignment="1">
      <alignment horizontal="center" vertical="center" wrapText="1"/>
    </xf>
    <xf numFmtId="1" fontId="14" fillId="0" borderId="181" xfId="0" applyNumberFormat="1" applyFont="1" applyFill="1" applyBorder="1" applyAlignment="1">
      <alignment horizontal="center" vertical="center" wrapText="1"/>
    </xf>
    <xf numFmtId="1" fontId="14" fillId="4" borderId="171" xfId="0" applyNumberFormat="1" applyFont="1" applyFill="1" applyBorder="1" applyAlignment="1">
      <alignment horizontal="center" vertical="center" wrapText="1"/>
    </xf>
    <xf numFmtId="1" fontId="14" fillId="0" borderId="178" xfId="0" applyNumberFormat="1" applyFont="1" applyFill="1" applyBorder="1" applyAlignment="1">
      <alignment horizontal="center" vertical="center" wrapText="1"/>
    </xf>
    <xf numFmtId="0" fontId="20" fillId="0" borderId="126" xfId="0" applyFont="1" applyBorder="1" applyAlignment="1">
      <alignment horizontal="right" indent="1"/>
    </xf>
    <xf numFmtId="0" fontId="20" fillId="14" borderId="2" xfId="0" applyFont="1" applyFill="1" applyBorder="1" applyAlignment="1">
      <alignment horizontal="center" vertical="center"/>
    </xf>
    <xf numFmtId="0" fontId="0" fillId="0" borderId="126" xfId="0" applyFont="1" applyBorder="1" applyAlignment="1">
      <alignment horizontal="left" indent="1"/>
    </xf>
    <xf numFmtId="0" fontId="0" fillId="0" borderId="0" xfId="0" applyFont="1" applyAlignment="1">
      <alignment horizontal="center"/>
    </xf>
    <xf numFmtId="0" fontId="0" fillId="0" borderId="0" xfId="0" applyFont="1"/>
    <xf numFmtId="15" fontId="0" fillId="27" borderId="188" xfId="0" applyNumberFormat="1" applyFont="1" applyFill="1" applyBorder="1" applyAlignment="1">
      <alignment horizontal="center" vertical="center"/>
    </xf>
    <xf numFmtId="0" fontId="20" fillId="0" borderId="189" xfId="0" applyFont="1" applyBorder="1" applyAlignment="1">
      <alignment horizontal="right" vertical="center" indent="1"/>
    </xf>
    <xf numFmtId="0" fontId="102" fillId="0" borderId="190" xfId="0" applyFont="1" applyBorder="1" applyAlignment="1">
      <alignment horizontal="left" vertical="center"/>
    </xf>
    <xf numFmtId="0" fontId="0" fillId="0" borderId="190" xfId="0" applyFont="1" applyBorder="1"/>
    <xf numFmtId="16" fontId="0" fillId="0" borderId="191" xfId="0" applyNumberFormat="1" applyFont="1" applyBorder="1" applyAlignment="1">
      <alignment textRotation="90"/>
    </xf>
    <xf numFmtId="16" fontId="0" fillId="0" borderId="192" xfId="0" applyNumberFormat="1" applyFont="1" applyBorder="1" applyAlignment="1">
      <alignment textRotation="90"/>
    </xf>
    <xf numFmtId="0" fontId="0" fillId="0" borderId="6" xfId="0" applyFont="1" applyBorder="1"/>
    <xf numFmtId="0" fontId="0" fillId="26" borderId="193" xfId="0" applyFont="1" applyFill="1" applyBorder="1"/>
    <xf numFmtId="0" fontId="0" fillId="0" borderId="194" xfId="0" applyFont="1" applyBorder="1" applyAlignment="1">
      <alignment horizontal="center" vertical="center"/>
    </xf>
    <xf numFmtId="0" fontId="0" fillId="0" borderId="195" xfId="0" applyFont="1" applyBorder="1" applyAlignment="1">
      <alignment horizontal="center" vertical="center"/>
    </xf>
    <xf numFmtId="0" fontId="20" fillId="28" borderId="16" xfId="0" applyFont="1" applyFill="1" applyBorder="1" applyAlignment="1">
      <alignment horizontal="center" vertical="center"/>
    </xf>
    <xf numFmtId="0" fontId="15" fillId="26" borderId="193" xfId="0" applyFont="1" applyFill="1" applyBorder="1" applyAlignment="1">
      <alignment horizontal="center" vertical="center"/>
    </xf>
    <xf numFmtId="0" fontId="0" fillId="0" borderId="197" xfId="0" applyFont="1" applyBorder="1" applyAlignment="1">
      <alignment horizontal="center" vertical="center"/>
    </xf>
    <xf numFmtId="0" fontId="0" fillId="0" borderId="2" xfId="0" applyFont="1" applyFill="1" applyBorder="1" applyAlignment="1">
      <alignment horizontal="left" indent="1"/>
    </xf>
    <xf numFmtId="0" fontId="62" fillId="30" borderId="196" xfId="0" applyFont="1" applyFill="1" applyBorder="1" applyAlignment="1">
      <alignment horizontal="center" vertical="center"/>
    </xf>
    <xf numFmtId="0" fontId="0" fillId="0" borderId="2" xfId="0" applyFont="1" applyFill="1" applyBorder="1" applyAlignment="1">
      <alignment horizontal="center"/>
    </xf>
    <xf numFmtId="0" fontId="0" fillId="0" borderId="16" xfId="0" applyFont="1" applyBorder="1" applyAlignment="1">
      <alignment horizontal="center"/>
    </xf>
    <xf numFmtId="0" fontId="69" fillId="0" borderId="16" xfId="0" applyFont="1" applyFill="1" applyBorder="1" applyAlignment="1">
      <alignment horizontal="left" indent="1"/>
    </xf>
    <xf numFmtId="0" fontId="0" fillId="0" borderId="16" xfId="0" applyFont="1" applyFill="1" applyBorder="1" applyAlignment="1">
      <alignment horizontal="center"/>
    </xf>
    <xf numFmtId="0" fontId="20" fillId="0" borderId="16" xfId="0" applyFont="1" applyFill="1" applyBorder="1" applyAlignment="1">
      <alignment horizontal="center" vertical="center"/>
    </xf>
    <xf numFmtId="0" fontId="20" fillId="0" borderId="16" xfId="0" applyFont="1" applyFill="1" applyBorder="1" applyAlignment="1">
      <alignment horizontal="left" indent="1"/>
    </xf>
    <xf numFmtId="0" fontId="0" fillId="0" borderId="16" xfId="0" applyFont="1" applyFill="1" applyBorder="1" applyAlignment="1">
      <alignment horizontal="left" indent="1"/>
    </xf>
    <xf numFmtId="0" fontId="0" fillId="0" borderId="198" xfId="0" applyFont="1" applyBorder="1" applyAlignment="1">
      <alignment horizontal="center" vertical="center"/>
    </xf>
    <xf numFmtId="0" fontId="0" fillId="0" borderId="199" xfId="0" applyFont="1" applyBorder="1" applyAlignment="1">
      <alignment horizontal="center" vertical="center"/>
    </xf>
    <xf numFmtId="0" fontId="0" fillId="0" borderId="200" xfId="0" applyFont="1" applyBorder="1" applyAlignment="1">
      <alignment horizontal="center" vertical="center"/>
    </xf>
    <xf numFmtId="0" fontId="0" fillId="0" borderId="2" xfId="0" applyFont="1" applyBorder="1"/>
    <xf numFmtId="0" fontId="0" fillId="0" borderId="2" xfId="0" applyFont="1" applyFill="1" applyBorder="1"/>
    <xf numFmtId="0" fontId="21" fillId="0" borderId="13" xfId="0" applyFont="1" applyFill="1" applyBorder="1" applyAlignment="1">
      <alignment horizontal="left" vertical="center"/>
    </xf>
    <xf numFmtId="0" fontId="56" fillId="9" borderId="14" xfId="0" applyFont="1" applyFill="1" applyBorder="1" applyAlignment="1">
      <alignment horizontal="center" vertical="center" wrapText="1"/>
    </xf>
    <xf numFmtId="0" fontId="56" fillId="9" borderId="8" xfId="0" applyFont="1" applyFill="1" applyBorder="1" applyAlignment="1">
      <alignment horizontal="center" vertical="center" wrapText="1"/>
    </xf>
    <xf numFmtId="0" fontId="56" fillId="9" borderId="15" xfId="0" applyFont="1" applyFill="1" applyBorder="1" applyAlignment="1">
      <alignment horizontal="center" vertical="center" wrapText="1"/>
    </xf>
    <xf numFmtId="0" fontId="56" fillId="9" borderId="9" xfId="0" applyFont="1" applyFill="1" applyBorder="1" applyAlignment="1">
      <alignment horizontal="center" vertical="center" wrapText="1"/>
    </xf>
    <xf numFmtId="0" fontId="34" fillId="0" borderId="87" xfId="0" applyFont="1" applyFill="1" applyBorder="1" applyAlignment="1">
      <alignment horizontal="left" vertical="top" wrapText="1"/>
    </xf>
    <xf numFmtId="0" fontId="23" fillId="0" borderId="78" xfId="0" applyFont="1" applyFill="1" applyBorder="1" applyAlignment="1">
      <alignment horizontal="left" vertical="top" wrapText="1"/>
    </xf>
    <xf numFmtId="0" fontId="64" fillId="6" borderId="44" xfId="0" applyFont="1" applyFill="1" applyBorder="1" applyAlignment="1">
      <alignment horizontal="left" vertical="center" wrapText="1"/>
    </xf>
    <xf numFmtId="0" fontId="64" fillId="6" borderId="113" xfId="0" applyFont="1" applyFill="1" applyBorder="1" applyAlignment="1">
      <alignment horizontal="left" vertical="center" wrapText="1"/>
    </xf>
    <xf numFmtId="0" fontId="64" fillId="6" borderId="41" xfId="0" applyFont="1" applyFill="1" applyBorder="1" applyAlignment="1">
      <alignment horizontal="left" vertical="center" wrapText="1"/>
    </xf>
    <xf numFmtId="0" fontId="64" fillId="6" borderId="92" xfId="0" applyFont="1" applyFill="1" applyBorder="1" applyAlignment="1">
      <alignment horizontal="left" vertical="center" wrapText="1"/>
    </xf>
    <xf numFmtId="0" fontId="6" fillId="11" borderId="84" xfId="0" applyFont="1" applyFill="1" applyBorder="1" applyAlignment="1">
      <alignment horizontal="left" vertical="center" wrapText="1"/>
    </xf>
    <xf numFmtId="0" fontId="6" fillId="11" borderId="5" xfId="0" applyFont="1" applyFill="1" applyBorder="1" applyAlignment="1">
      <alignment horizontal="left" vertical="center" wrapText="1"/>
    </xf>
    <xf numFmtId="0" fontId="63" fillId="6" borderId="14" xfId="0" applyFont="1" applyFill="1" applyBorder="1" applyAlignment="1">
      <alignment horizontal="left" vertical="center" wrapText="1"/>
    </xf>
    <xf numFmtId="0" fontId="63" fillId="6" borderId="7" xfId="0" applyFont="1" applyFill="1" applyBorder="1" applyAlignment="1">
      <alignment horizontal="left" vertical="center" wrapText="1"/>
    </xf>
    <xf numFmtId="0" fontId="63" fillId="6" borderId="8" xfId="0" applyFont="1" applyFill="1" applyBorder="1" applyAlignment="1">
      <alignment horizontal="left" vertical="center" wrapText="1"/>
    </xf>
    <xf numFmtId="0" fontId="64" fillId="6" borderId="29" xfId="0" applyFont="1" applyFill="1" applyBorder="1" applyAlignment="1">
      <alignment horizontal="left" vertical="center" wrapText="1"/>
    </xf>
    <xf numFmtId="0" fontId="64" fillId="6" borderId="125" xfId="0" applyFont="1" applyFill="1" applyBorder="1" applyAlignment="1">
      <alignment horizontal="left" vertical="center" wrapText="1"/>
    </xf>
    <xf numFmtId="0" fontId="64" fillId="6" borderId="24" xfId="0" applyFont="1" applyFill="1" applyBorder="1" applyAlignment="1">
      <alignment horizontal="left" vertical="center" wrapText="1"/>
    </xf>
    <xf numFmtId="0" fontId="64" fillId="6" borderId="19" xfId="0" applyFont="1" applyFill="1" applyBorder="1" applyAlignment="1">
      <alignment horizontal="left" vertical="center" wrapText="1"/>
    </xf>
    <xf numFmtId="0" fontId="64" fillId="6" borderId="28" xfId="0" applyFont="1" applyFill="1" applyBorder="1" applyAlignment="1">
      <alignment horizontal="left" vertical="center" wrapText="1"/>
    </xf>
    <xf numFmtId="0" fontId="64" fillId="6" borderId="20" xfId="0" applyFont="1" applyFill="1" applyBorder="1" applyAlignment="1">
      <alignment horizontal="left" vertical="center" wrapText="1"/>
    </xf>
    <xf numFmtId="0" fontId="64" fillId="6" borderId="16" xfId="0" applyFont="1" applyFill="1" applyBorder="1" applyAlignment="1">
      <alignment horizontal="left" vertical="center" wrapText="1"/>
    </xf>
    <xf numFmtId="0" fontId="64" fillId="6" borderId="18" xfId="0" applyFont="1" applyFill="1" applyBorder="1" applyAlignment="1">
      <alignment horizontal="left" vertical="center" wrapText="1"/>
    </xf>
    <xf numFmtId="0" fontId="63" fillId="6" borderId="87" xfId="0" applyFont="1" applyFill="1" applyBorder="1" applyAlignment="1">
      <alignment horizontal="left" vertical="center" wrapText="1"/>
    </xf>
    <xf numFmtId="0" fontId="63" fillId="6" borderId="77" xfId="0" applyFont="1" applyFill="1" applyBorder="1" applyAlignment="1">
      <alignment horizontal="left" vertical="center" wrapText="1"/>
    </xf>
    <xf numFmtId="0" fontId="63" fillId="6" borderId="78" xfId="0" applyFont="1" applyFill="1" applyBorder="1" applyAlignment="1">
      <alignment horizontal="left" vertical="center" wrapText="1"/>
    </xf>
    <xf numFmtId="0" fontId="35" fillId="0" borderId="98" xfId="0" applyFont="1" applyFill="1" applyBorder="1" applyAlignment="1">
      <alignment horizontal="left"/>
    </xf>
    <xf numFmtId="0" fontId="35" fillId="0" borderId="123" xfId="0" applyFont="1" applyFill="1" applyBorder="1" applyAlignment="1">
      <alignment horizontal="left"/>
    </xf>
    <xf numFmtId="0" fontId="35" fillId="0" borderId="102" xfId="0" applyFont="1" applyFill="1" applyBorder="1" applyAlignment="1">
      <alignment horizontal="left"/>
    </xf>
    <xf numFmtId="165" fontId="20" fillId="0" borderId="186" xfId="0" applyNumberFormat="1" applyFont="1" applyBorder="1" applyAlignment="1">
      <alignment horizontal="center"/>
    </xf>
    <xf numFmtId="165" fontId="20" fillId="0" borderId="187" xfId="0" applyNumberFormat="1" applyFont="1" applyBorder="1" applyAlignment="1">
      <alignment horizontal="center"/>
    </xf>
    <xf numFmtId="164" fontId="20" fillId="24" borderId="183" xfId="0" applyNumberFormat="1" applyFont="1" applyFill="1" applyBorder="1" applyAlignment="1">
      <alignment horizontal="center"/>
    </xf>
    <xf numFmtId="164" fontId="20" fillId="24" borderId="184" xfId="0" applyNumberFormat="1" applyFont="1" applyFill="1" applyBorder="1" applyAlignment="1">
      <alignment horizontal="center"/>
    </xf>
    <xf numFmtId="165" fontId="20" fillId="0" borderId="185" xfId="0" applyNumberFormat="1" applyFont="1" applyBorder="1" applyAlignment="1">
      <alignment horizontal="center"/>
    </xf>
    <xf numFmtId="164" fontId="20" fillId="24" borderId="182" xfId="0" applyNumberFormat="1" applyFont="1" applyFill="1" applyBorder="1" applyAlignment="1">
      <alignment horizontal="center"/>
    </xf>
    <xf numFmtId="164" fontId="20" fillId="13" borderId="183" xfId="0" applyNumberFormat="1" applyFont="1" applyFill="1" applyBorder="1" applyAlignment="1">
      <alignment horizontal="center"/>
    </xf>
    <xf numFmtId="164" fontId="20" fillId="13" borderId="184" xfId="0" applyNumberFormat="1" applyFont="1" applyFill="1" applyBorder="1" applyAlignment="1">
      <alignment horizontal="center"/>
    </xf>
    <xf numFmtId="164" fontId="20" fillId="13" borderId="182" xfId="0" applyNumberFormat="1" applyFont="1" applyFill="1" applyBorder="1" applyAlignment="1">
      <alignment horizontal="center"/>
    </xf>
    <xf numFmtId="164" fontId="20" fillId="29" borderId="183" xfId="0" applyNumberFormat="1" applyFont="1" applyFill="1" applyBorder="1" applyAlignment="1">
      <alignment horizontal="center"/>
    </xf>
    <xf numFmtId="164" fontId="20" fillId="29" borderId="184" xfId="0" applyNumberFormat="1" applyFont="1" applyFill="1" applyBorder="1" applyAlignment="1">
      <alignment horizontal="center"/>
    </xf>
    <xf numFmtId="164" fontId="20" fillId="29" borderId="182" xfId="0" applyNumberFormat="1" applyFont="1" applyFill="1" applyBorder="1" applyAlignment="1">
      <alignment horizontal="center"/>
    </xf>
    <xf numFmtId="0" fontId="9" fillId="0" borderId="37" xfId="0" applyFont="1" applyBorder="1" applyAlignment="1">
      <alignment horizontal="center" vertical="center" wrapText="1"/>
    </xf>
    <xf numFmtId="0" fontId="9" fillId="0" borderId="38" xfId="0" applyFont="1" applyBorder="1" applyAlignment="1">
      <alignment horizontal="center" vertical="center" wrapText="1"/>
    </xf>
    <xf numFmtId="0" fontId="9" fillId="0" borderId="96" xfId="0" applyFont="1" applyBorder="1" applyAlignment="1">
      <alignment horizontal="center" vertical="center" wrapText="1"/>
    </xf>
    <xf numFmtId="0" fontId="9" fillId="0" borderId="26" xfId="0" applyFont="1" applyFill="1" applyBorder="1" applyAlignment="1">
      <alignment horizontal="center" vertical="top" wrapText="1"/>
    </xf>
    <xf numFmtId="0" fontId="9" fillId="0" borderId="31" xfId="0" applyFont="1" applyFill="1" applyBorder="1" applyAlignment="1">
      <alignment horizontal="center" vertical="top" wrapText="1"/>
    </xf>
    <xf numFmtId="0" fontId="9" fillId="0" borderId="32" xfId="0" applyFont="1" applyFill="1" applyBorder="1" applyAlignment="1">
      <alignment horizontal="center" vertical="top" wrapText="1"/>
    </xf>
    <xf numFmtId="0" fontId="10" fillId="0" borderId="90" xfId="0" applyFont="1" applyFill="1" applyBorder="1" applyAlignment="1">
      <alignment horizontal="left" vertical="top" wrapText="1"/>
    </xf>
    <xf numFmtId="0" fontId="10" fillId="0" borderId="75" xfId="0" applyFont="1" applyFill="1" applyBorder="1" applyAlignment="1">
      <alignment horizontal="left" vertical="top" wrapText="1"/>
    </xf>
    <xf numFmtId="0" fontId="10" fillId="0" borderId="74" xfId="0" applyFont="1" applyFill="1" applyBorder="1" applyAlignment="1">
      <alignment horizontal="left" vertical="top" wrapText="1"/>
    </xf>
    <xf numFmtId="0" fontId="15" fillId="0" borderId="11" xfId="0" applyFont="1" applyBorder="1" applyAlignment="1">
      <alignment horizontal="center" vertical="center"/>
    </xf>
    <xf numFmtId="0" fontId="15" fillId="0" borderId="12" xfId="0" applyFont="1" applyBorder="1" applyAlignment="1">
      <alignment horizontal="center" vertical="center"/>
    </xf>
    <xf numFmtId="0" fontId="15" fillId="0" borderId="5" xfId="0" applyFont="1" applyBorder="1" applyAlignment="1">
      <alignment horizontal="center" vertical="center"/>
    </xf>
    <xf numFmtId="9" fontId="15" fillId="9" borderId="151" xfId="0" applyNumberFormat="1" applyFont="1" applyFill="1" applyBorder="1" applyAlignment="1">
      <alignment horizontal="right" vertical="center" wrapText="1"/>
    </xf>
    <xf numFmtId="9" fontId="15" fillId="9" borderId="2" xfId="0" applyNumberFormat="1" applyFont="1" applyFill="1" applyBorder="1" applyAlignment="1">
      <alignment horizontal="right" vertical="center" wrapText="1"/>
    </xf>
    <xf numFmtId="0" fontId="18" fillId="0" borderId="3" xfId="0" applyFont="1" applyBorder="1" applyAlignment="1">
      <alignment horizontal="center"/>
    </xf>
    <xf numFmtId="0" fontId="10" fillId="0" borderId="76" xfId="0" applyFont="1" applyFill="1" applyBorder="1" applyAlignment="1">
      <alignment horizontal="center" vertical="top" wrapText="1"/>
    </xf>
    <xf numFmtId="0" fontId="10" fillId="0" borderId="43" xfId="0" applyFont="1" applyFill="1" applyBorder="1" applyAlignment="1">
      <alignment horizontal="center" vertical="top" wrapText="1"/>
    </xf>
    <xf numFmtId="0" fontId="10" fillId="0" borderId="140" xfId="0" applyFont="1" applyFill="1" applyBorder="1" applyAlignment="1">
      <alignment horizontal="center" vertical="top" wrapText="1"/>
    </xf>
    <xf numFmtId="0" fontId="17" fillId="9" borderId="83" xfId="0" applyFont="1" applyFill="1" applyBorder="1" applyAlignment="1">
      <alignment horizontal="right" vertical="center" wrapText="1"/>
    </xf>
    <xf numFmtId="0" fontId="17" fillId="9" borderId="77" xfId="0" applyFont="1" applyFill="1" applyBorder="1" applyAlignment="1">
      <alignment horizontal="right" vertical="center" wrapText="1"/>
    </xf>
    <xf numFmtId="0" fontId="10" fillId="0" borderId="26" xfId="0" applyFont="1" applyFill="1" applyBorder="1" applyAlignment="1">
      <alignment horizontal="left" vertical="top" wrapText="1"/>
    </xf>
    <xf numFmtId="0" fontId="10" fillId="0" borderId="31" xfId="0" applyFont="1" applyFill="1" applyBorder="1" applyAlignment="1">
      <alignment horizontal="left" vertical="top" wrapText="1"/>
    </xf>
    <xf numFmtId="0" fontId="10" fillId="0" borderId="32" xfId="0" applyFont="1" applyFill="1" applyBorder="1" applyAlignment="1">
      <alignment horizontal="left" vertical="top" wrapText="1"/>
    </xf>
    <xf numFmtId="0" fontId="9" fillId="0" borderId="13" xfId="0" applyFont="1" applyFill="1" applyBorder="1" applyAlignment="1">
      <alignment horizontal="center" vertical="center" wrapText="1"/>
    </xf>
    <xf numFmtId="0" fontId="9" fillId="0" borderId="15" xfId="0" applyFont="1" applyFill="1" applyBorder="1" applyAlignment="1">
      <alignment horizontal="center" vertical="center" wrapText="1"/>
    </xf>
    <xf numFmtId="0" fontId="10" fillId="0" borderId="76" xfId="0" applyFont="1" applyFill="1" applyBorder="1" applyAlignment="1">
      <alignment horizontal="left" vertical="top" wrapText="1"/>
    </xf>
    <xf numFmtId="0" fontId="10" fillId="0" borderId="43" xfId="0" applyFont="1" applyFill="1" applyBorder="1" applyAlignment="1">
      <alignment horizontal="left" vertical="top" wrapText="1"/>
    </xf>
    <xf numFmtId="0" fontId="10" fillId="0" borderId="82" xfId="0" applyFont="1" applyFill="1" applyBorder="1" applyAlignment="1">
      <alignment horizontal="left" vertical="top" wrapText="1"/>
    </xf>
    <xf numFmtId="0" fontId="18" fillId="0" borderId="1" xfId="0" applyFont="1" applyBorder="1" applyAlignment="1">
      <alignment horizontal="center"/>
    </xf>
    <xf numFmtId="0" fontId="9" fillId="0" borderId="14" xfId="0" applyFont="1" applyFill="1" applyBorder="1" applyAlignment="1">
      <alignment horizontal="center" vertical="center" wrapText="1"/>
    </xf>
    <xf numFmtId="0" fontId="9" fillId="0" borderId="139" xfId="0" applyFont="1" applyFill="1" applyBorder="1" applyAlignment="1">
      <alignment horizontal="center" vertical="top" wrapText="1"/>
    </xf>
    <xf numFmtId="0" fontId="9" fillId="0" borderId="106" xfId="0" applyFont="1" applyFill="1" applyBorder="1" applyAlignment="1">
      <alignment horizontal="center" vertical="top" wrapText="1"/>
    </xf>
    <xf numFmtId="0" fontId="9" fillId="0" borderId="126" xfId="0" applyFont="1" applyFill="1" applyBorder="1" applyAlignment="1">
      <alignment horizontal="center" vertical="top" wrapText="1"/>
    </xf>
    <xf numFmtId="0" fontId="9" fillId="0" borderId="141" xfId="0" applyFont="1" applyFill="1" applyBorder="1" applyAlignment="1">
      <alignment horizontal="center" vertical="top" wrapText="1"/>
    </xf>
    <xf numFmtId="0" fontId="9" fillId="10" borderId="87" xfId="0" applyFont="1" applyFill="1" applyBorder="1" applyAlignment="1">
      <alignment horizontal="center" vertical="center" wrapText="1"/>
    </xf>
    <xf numFmtId="0" fontId="9" fillId="10" borderId="78" xfId="0" applyFont="1" applyFill="1" applyBorder="1" applyAlignment="1">
      <alignment horizontal="center" vertical="center" wrapText="1"/>
    </xf>
    <xf numFmtId="0" fontId="51" fillId="0" borderId="18" xfId="0" applyFont="1" applyBorder="1" applyAlignment="1">
      <alignment horizontal="center"/>
    </xf>
    <xf numFmtId="0" fontId="51" fillId="0" borderId="19" xfId="0" applyFont="1" applyBorder="1" applyAlignment="1">
      <alignment horizontal="center"/>
    </xf>
    <xf numFmtId="0" fontId="34" fillId="0" borderId="16" xfId="0" applyFont="1" applyBorder="1" applyAlignment="1">
      <alignment horizontal="center" vertical="center"/>
    </xf>
    <xf numFmtId="0" fontId="34" fillId="0" borderId="24" xfId="0" applyFont="1" applyBorder="1" applyAlignment="1">
      <alignment horizontal="center" vertical="center"/>
    </xf>
    <xf numFmtId="0" fontId="29" fillId="0" borderId="16" xfId="0" applyFont="1" applyFill="1" applyBorder="1" applyAlignment="1">
      <alignment horizontal="center" vertical="center" wrapText="1"/>
    </xf>
    <xf numFmtId="0" fontId="29" fillId="0" borderId="24" xfId="0" applyFont="1" applyFill="1" applyBorder="1" applyAlignment="1">
      <alignment horizontal="center" vertical="center" wrapText="1"/>
    </xf>
    <xf numFmtId="0" fontId="29" fillId="0" borderId="16" xfId="0" applyFont="1" applyFill="1" applyBorder="1" applyAlignment="1">
      <alignment horizontal="left" vertical="center" wrapText="1"/>
    </xf>
    <xf numFmtId="0" fontId="29" fillId="0" borderId="24" xfId="0" applyFont="1" applyFill="1" applyBorder="1" applyAlignment="1">
      <alignment horizontal="left" vertical="center" wrapText="1"/>
    </xf>
    <xf numFmtId="0" fontId="29" fillId="0" borderId="100" xfId="0" applyFont="1" applyFill="1" applyBorder="1" applyAlignment="1">
      <alignment horizontal="center" vertical="center" wrapText="1"/>
    </xf>
    <xf numFmtId="0" fontId="29" fillId="0" borderId="74" xfId="0" applyFont="1" applyFill="1" applyBorder="1" applyAlignment="1">
      <alignment horizontal="center" vertical="center" wrapText="1"/>
    </xf>
    <xf numFmtId="0" fontId="51" fillId="0" borderId="20" xfId="0" applyFont="1" applyBorder="1" applyAlignment="1">
      <alignment horizontal="center"/>
    </xf>
    <xf numFmtId="0" fontId="51" fillId="0" borderId="125" xfId="0" applyFont="1" applyBorder="1" applyAlignment="1">
      <alignment horizontal="center"/>
    </xf>
    <xf numFmtId="0" fontId="51" fillId="0" borderId="16" xfId="0" applyFont="1" applyBorder="1" applyAlignment="1">
      <alignment horizontal="center"/>
    </xf>
    <xf numFmtId="0" fontId="51" fillId="0" borderId="24" xfId="0" applyFont="1" applyBorder="1" applyAlignment="1">
      <alignment horizontal="center"/>
    </xf>
    <xf numFmtId="0" fontId="29" fillId="0" borderId="25" xfId="0" applyFont="1" applyFill="1" applyBorder="1" applyAlignment="1">
      <alignment horizontal="center" vertical="center" wrapText="1"/>
    </xf>
    <xf numFmtId="0" fontId="29" fillId="0" borderId="22" xfId="0" applyFont="1" applyFill="1" applyBorder="1" applyAlignment="1">
      <alignment horizontal="left" vertical="center" wrapText="1"/>
    </xf>
    <xf numFmtId="0" fontId="51" fillId="0" borderId="97" xfId="0" applyFont="1" applyBorder="1" applyAlignment="1">
      <alignment horizontal="center"/>
    </xf>
    <xf numFmtId="0" fontId="51" fillId="0" borderId="22" xfId="0" applyFont="1" applyBorder="1" applyAlignment="1">
      <alignment horizontal="center"/>
    </xf>
    <xf numFmtId="0" fontId="29" fillId="0" borderId="22" xfId="0" applyFont="1" applyFill="1" applyBorder="1" applyAlignment="1">
      <alignment horizontal="center" vertical="center" wrapText="1"/>
    </xf>
    <xf numFmtId="0" fontId="51" fillId="0" borderId="25" xfId="0" applyFont="1" applyBorder="1" applyAlignment="1">
      <alignment horizontal="center"/>
    </xf>
    <xf numFmtId="0" fontId="51" fillId="0" borderId="100" xfId="0" applyFont="1" applyBorder="1" applyAlignment="1">
      <alignment horizontal="center"/>
    </xf>
    <xf numFmtId="0" fontId="51" fillId="0" borderId="36" xfId="0" applyFont="1" applyBorder="1" applyAlignment="1">
      <alignment horizontal="center"/>
    </xf>
    <xf numFmtId="0" fontId="51" fillId="0" borderId="21" xfId="0" applyFont="1" applyBorder="1" applyAlignment="1">
      <alignment horizontal="center"/>
    </xf>
    <xf numFmtId="0" fontId="29" fillId="0" borderId="75" xfId="0" applyFont="1" applyFill="1" applyBorder="1" applyAlignment="1">
      <alignment horizontal="center" vertical="center" wrapText="1"/>
    </xf>
    <xf numFmtId="0" fontId="51" fillId="0" borderId="36" xfId="0" applyFont="1" applyBorder="1" applyAlignment="1">
      <alignment horizontal="left" vertical="top" wrapText="1"/>
    </xf>
    <xf numFmtId="0" fontId="51" fillId="0" borderId="97" xfId="0" applyFont="1" applyBorder="1" applyAlignment="1">
      <alignment horizontal="left" vertical="top" wrapText="1"/>
    </xf>
    <xf numFmtId="0" fontId="51" fillId="0" borderId="21" xfId="0" applyFont="1" applyBorder="1" applyAlignment="1">
      <alignment horizontal="center" vertical="top" wrapText="1"/>
    </xf>
    <xf numFmtId="0" fontId="51" fillId="0" borderId="22" xfId="0" applyFont="1" applyBorder="1" applyAlignment="1">
      <alignment horizontal="center" vertical="top" wrapText="1"/>
    </xf>
    <xf numFmtId="0" fontId="51" fillId="0" borderId="100" xfId="0" applyFont="1" applyBorder="1" applyAlignment="1">
      <alignment horizontal="center" vertical="center"/>
    </xf>
    <xf numFmtId="0" fontId="51" fillId="0" borderId="25" xfId="0" applyFont="1" applyBorder="1" applyAlignment="1">
      <alignment horizontal="center" vertical="center"/>
    </xf>
    <xf numFmtId="0" fontId="47" fillId="14" borderId="36" xfId="0" applyFont="1" applyFill="1" applyBorder="1" applyAlignment="1">
      <alignment horizontal="left" vertical="center" wrapText="1"/>
    </xf>
    <xf numFmtId="0" fontId="47" fillId="14" borderId="97" xfId="0" applyFont="1" applyFill="1" applyBorder="1" applyAlignment="1">
      <alignment horizontal="left" vertical="center" wrapText="1"/>
    </xf>
    <xf numFmtId="0" fontId="47" fillId="0" borderId="21" xfId="0" applyFont="1" applyBorder="1" applyAlignment="1">
      <alignment horizontal="center" vertical="center" wrapText="1"/>
    </xf>
    <xf numFmtId="0" fontId="47" fillId="0" borderId="22" xfId="0" applyFont="1" applyBorder="1" applyAlignment="1">
      <alignment horizontal="center" vertical="center"/>
    </xf>
    <xf numFmtId="0" fontId="51" fillId="0" borderId="100" xfId="0" applyFont="1" applyBorder="1" applyAlignment="1">
      <alignment horizontal="center" vertical="center" wrapText="1"/>
    </xf>
    <xf numFmtId="0" fontId="51" fillId="0" borderId="25" xfId="0" applyFont="1" applyBorder="1" applyAlignment="1">
      <alignment horizontal="center" vertical="center" wrapText="1"/>
    </xf>
    <xf numFmtId="0" fontId="50" fillId="0" borderId="2" xfId="0" applyFont="1" applyBorder="1" applyAlignment="1">
      <alignment horizontal="center"/>
    </xf>
    <xf numFmtId="0" fontId="51" fillId="0" borderId="75" xfId="0" applyFont="1" applyBorder="1" applyAlignment="1">
      <alignment horizontal="center" vertical="center" wrapText="1"/>
    </xf>
    <xf numFmtId="0" fontId="47" fillId="0" borderId="36" xfId="0" applyFont="1" applyBorder="1" applyAlignment="1">
      <alignment horizontal="left" vertical="top" wrapText="1"/>
    </xf>
    <xf numFmtId="0" fontId="47" fillId="0" borderId="97" xfId="0" applyFont="1" applyBorder="1" applyAlignment="1">
      <alignment horizontal="left" vertical="top" wrapText="1"/>
    </xf>
    <xf numFmtId="0" fontId="47" fillId="0" borderId="22" xfId="0" applyFont="1" applyBorder="1" applyAlignment="1">
      <alignment horizontal="center" vertical="center" wrapText="1"/>
    </xf>
    <xf numFmtId="0" fontId="29" fillId="0" borderId="23" xfId="0" applyFont="1" applyFill="1" applyBorder="1" applyAlignment="1">
      <alignment horizontal="left" vertical="center" wrapText="1"/>
    </xf>
    <xf numFmtId="0" fontId="29" fillId="0" borderId="90" xfId="0" applyFont="1" applyFill="1" applyBorder="1" applyAlignment="1">
      <alignment horizontal="center" vertical="center" wrapText="1"/>
    </xf>
    <xf numFmtId="0" fontId="51" fillId="0" borderId="126" xfId="0" applyFont="1" applyBorder="1" applyAlignment="1">
      <alignment horizontal="left" vertical="top" wrapText="1"/>
    </xf>
    <xf numFmtId="0" fontId="51" fillId="0" borderId="31" xfId="0" applyFont="1" applyBorder="1" applyAlignment="1">
      <alignment horizontal="center" wrapText="1"/>
    </xf>
    <xf numFmtId="0" fontId="51" fillId="0" borderId="22" xfId="0" applyFont="1" applyBorder="1" applyAlignment="1">
      <alignment horizontal="center" wrapText="1"/>
    </xf>
    <xf numFmtId="0" fontId="63" fillId="6" borderId="96" xfId="0" applyFont="1" applyFill="1" applyBorder="1" applyAlignment="1">
      <alignment horizontal="left" vertical="center" wrapText="1"/>
    </xf>
    <xf numFmtId="0" fontId="63" fillId="6" borderId="107" xfId="0" applyFont="1" applyFill="1" applyBorder="1" applyAlignment="1">
      <alignment horizontal="left" vertical="center" wrapText="1"/>
    </xf>
    <xf numFmtId="0" fontId="63" fillId="6" borderId="32" xfId="0" applyFont="1" applyFill="1" applyBorder="1" applyAlignment="1">
      <alignment horizontal="left" vertical="center" wrapText="1"/>
    </xf>
    <xf numFmtId="0" fontId="63" fillId="6" borderId="74" xfId="0" applyFont="1" applyFill="1" applyBorder="1" applyAlignment="1">
      <alignment horizontal="left" vertical="center" wrapText="1"/>
    </xf>
    <xf numFmtId="0" fontId="35" fillId="0" borderId="110" xfId="0" applyFont="1" applyFill="1" applyBorder="1" applyAlignment="1">
      <alignment horizontal="left" vertical="center" wrapText="1"/>
    </xf>
    <xf numFmtId="0" fontId="35" fillId="0" borderId="123" xfId="0" applyFont="1" applyFill="1" applyBorder="1" applyAlignment="1">
      <alignment horizontal="left" vertical="center" wrapText="1"/>
    </xf>
    <xf numFmtId="0" fontId="35" fillId="0" borderId="102" xfId="0" applyFont="1" applyFill="1" applyBorder="1" applyAlignment="1">
      <alignment horizontal="left" vertical="center" wrapText="1"/>
    </xf>
    <xf numFmtId="0" fontId="35" fillId="0" borderId="18" xfId="0" applyFont="1" applyFill="1" applyBorder="1" applyAlignment="1">
      <alignment horizontal="left" vertical="center" wrapText="1"/>
    </xf>
    <xf numFmtId="0" fontId="35" fillId="0" borderId="18" xfId="0" applyFont="1" applyFill="1" applyBorder="1" applyAlignment="1">
      <alignment horizontal="left" vertical="top" wrapText="1"/>
    </xf>
    <xf numFmtId="0" fontId="22" fillId="0" borderId="18" xfId="0" applyFont="1" applyFill="1" applyBorder="1" applyAlignment="1">
      <alignment horizontal="left" vertical="center" wrapText="1"/>
    </xf>
    <xf numFmtId="0" fontId="35" fillId="0" borderId="21" xfId="0" applyFont="1" applyFill="1" applyBorder="1" applyAlignment="1">
      <alignment horizontal="left" vertical="center" wrapText="1"/>
    </xf>
    <xf numFmtId="0" fontId="35" fillId="0" borderId="31" xfId="0" applyFont="1" applyFill="1" applyBorder="1" applyAlignment="1">
      <alignment horizontal="left" vertical="center" wrapText="1"/>
    </xf>
    <xf numFmtId="0" fontId="35" fillId="0" borderId="22" xfId="0" applyFont="1" applyFill="1" applyBorder="1" applyAlignment="1">
      <alignment horizontal="left" vertical="center" wrapText="1"/>
    </xf>
    <xf numFmtId="0" fontId="35" fillId="6" borderId="98" xfId="0" applyFont="1" applyFill="1" applyBorder="1" applyAlignment="1">
      <alignment horizontal="center"/>
    </xf>
    <xf numFmtId="0" fontId="35" fillId="6" borderId="125" xfId="0" applyFont="1" applyFill="1" applyBorder="1" applyAlignment="1">
      <alignment horizontal="center"/>
    </xf>
    <xf numFmtId="0" fontId="35" fillId="0" borderId="42" xfId="0" applyFont="1" applyBorder="1" applyAlignment="1">
      <alignment horizontal="right" vertical="center"/>
    </xf>
    <xf numFmtId="0" fontId="35" fillId="0" borderId="35" xfId="0" applyFont="1" applyBorder="1" applyAlignment="1">
      <alignment horizontal="right" vertical="center"/>
    </xf>
    <xf numFmtId="0" fontId="34" fillId="0" borderId="21" xfId="0" applyFont="1" applyFill="1" applyBorder="1" applyAlignment="1">
      <alignment horizontal="left" vertical="center" wrapText="1"/>
    </xf>
    <xf numFmtId="0" fontId="34" fillId="0" borderId="31" xfId="0" applyFont="1" applyFill="1" applyBorder="1" applyAlignment="1">
      <alignment horizontal="left" vertical="center" wrapText="1"/>
    </xf>
    <xf numFmtId="0" fontId="34" fillId="0" borderId="32" xfId="0" applyFont="1" applyFill="1" applyBorder="1" applyAlignment="1">
      <alignment horizontal="left" vertical="center" wrapText="1"/>
    </xf>
    <xf numFmtId="0" fontId="63" fillId="6" borderId="44" xfId="0" applyFont="1" applyFill="1" applyBorder="1" applyAlignment="1">
      <alignment horizontal="left" vertical="center" wrapText="1"/>
    </xf>
    <xf numFmtId="0" fontId="63" fillId="6" borderId="113" xfId="0" applyFont="1" applyFill="1" applyBorder="1" applyAlignment="1">
      <alignment horizontal="left" vertical="center" wrapText="1"/>
    </xf>
    <xf numFmtId="0" fontId="63" fillId="6" borderId="41" xfId="0" applyFont="1" applyFill="1" applyBorder="1" applyAlignment="1">
      <alignment horizontal="left" vertical="center" wrapText="1"/>
    </xf>
    <xf numFmtId="0" fontId="63" fillId="6" borderId="92" xfId="0" applyFont="1" applyFill="1" applyBorder="1" applyAlignment="1">
      <alignment horizontal="left" vertical="center" wrapText="1"/>
    </xf>
    <xf numFmtId="0" fontId="63" fillId="6" borderId="28" xfId="0" applyFont="1" applyFill="1" applyBorder="1" applyAlignment="1">
      <alignment horizontal="left" vertical="center" wrapText="1"/>
    </xf>
    <xf numFmtId="0" fontId="63" fillId="6" borderId="20" xfId="0" applyFont="1" applyFill="1" applyBorder="1" applyAlignment="1">
      <alignment horizontal="left" vertical="center" wrapText="1"/>
    </xf>
    <xf numFmtId="0" fontId="63" fillId="6" borderId="16" xfId="0" applyFont="1" applyFill="1" applyBorder="1" applyAlignment="1">
      <alignment horizontal="left" vertical="center" wrapText="1"/>
    </xf>
    <xf numFmtId="0" fontId="63" fillId="6" borderId="18" xfId="0" applyFont="1" applyFill="1" applyBorder="1" applyAlignment="1">
      <alignment horizontal="left" vertical="center" wrapText="1"/>
    </xf>
    <xf numFmtId="0" fontId="56" fillId="0" borderId="2" xfId="0" applyFont="1" applyBorder="1" applyAlignment="1">
      <alignment horizontal="center" vertical="center"/>
    </xf>
    <xf numFmtId="0" fontId="56" fillId="0" borderId="6" xfId="0" applyFont="1" applyBorder="1" applyAlignment="1">
      <alignment horizontal="center" vertical="center"/>
    </xf>
    <xf numFmtId="0" fontId="78" fillId="22" borderId="16" xfId="0" applyFont="1" applyFill="1" applyBorder="1" applyAlignment="1">
      <alignment horizontal="center" vertical="center"/>
    </xf>
    <xf numFmtId="0" fontId="78" fillId="23" borderId="16" xfId="0" applyFont="1" applyFill="1" applyBorder="1" applyAlignment="1">
      <alignment horizontal="center" vertical="center"/>
    </xf>
    <xf numFmtId="0" fontId="56" fillId="20" borderId="15" xfId="0" applyFont="1" applyFill="1" applyBorder="1" applyAlignment="1">
      <alignment horizontal="center" vertical="center"/>
    </xf>
    <xf numFmtId="0" fontId="56" fillId="20" borderId="6" xfId="0" applyFont="1" applyFill="1" applyBorder="1" applyAlignment="1">
      <alignment horizontal="center" vertical="center"/>
    </xf>
    <xf numFmtId="0" fontId="15" fillId="0" borderId="84" xfId="0" applyFont="1" applyBorder="1" applyAlignment="1">
      <alignment horizontal="left" vertical="center" wrapText="1"/>
    </xf>
    <xf numFmtId="0" fontId="15" fillId="0" borderId="12" xfId="0" applyFont="1" applyBorder="1" applyAlignment="1">
      <alignment horizontal="left" vertical="center" wrapText="1"/>
    </xf>
    <xf numFmtId="0" fontId="15" fillId="0" borderId="4" xfId="0" applyFont="1" applyBorder="1" applyAlignment="1">
      <alignment horizontal="left" vertical="center" wrapText="1"/>
    </xf>
    <xf numFmtId="0" fontId="15" fillId="0" borderId="84" xfId="0" applyFont="1" applyBorder="1" applyAlignment="1">
      <alignment horizontal="left" vertical="center"/>
    </xf>
    <xf numFmtId="0" fontId="15" fillId="0" borderId="12" xfId="0" applyFont="1" applyBorder="1" applyAlignment="1">
      <alignment horizontal="left" vertical="center"/>
    </xf>
    <xf numFmtId="0" fontId="15" fillId="0" borderId="4" xfId="0" applyFont="1" applyBorder="1" applyAlignment="1">
      <alignment horizontal="left" vertical="center"/>
    </xf>
    <xf numFmtId="0" fontId="15" fillId="0" borderId="5" xfId="0" applyFont="1" applyBorder="1" applyAlignment="1">
      <alignment horizontal="left" vertical="center"/>
    </xf>
    <xf numFmtId="0" fontId="15" fillId="0" borderId="84" xfId="0" applyFont="1" applyBorder="1" applyAlignment="1">
      <alignment horizontal="center" vertical="center" wrapText="1"/>
    </xf>
    <xf numFmtId="0" fontId="15" fillId="0" borderId="12" xfId="0" applyFont="1" applyBorder="1" applyAlignment="1">
      <alignment horizontal="center" vertical="center" wrapText="1"/>
    </xf>
    <xf numFmtId="0" fontId="15" fillId="0" borderId="4" xfId="0" applyFont="1" applyBorder="1" applyAlignment="1">
      <alignment horizontal="center" vertical="center" wrapText="1"/>
    </xf>
    <xf numFmtId="0" fontId="9" fillId="0" borderId="120" xfId="0" applyFont="1" applyBorder="1" applyAlignment="1">
      <alignment horizontal="center" vertical="center" wrapText="1"/>
    </xf>
    <xf numFmtId="0" fontId="9" fillId="0" borderId="69" xfId="0" applyFont="1" applyBorder="1" applyAlignment="1">
      <alignment horizontal="center" vertical="center" wrapText="1"/>
    </xf>
    <xf numFmtId="0" fontId="9" fillId="0" borderId="70" xfId="0" applyFont="1" applyBorder="1" applyAlignment="1">
      <alignment horizontal="center" vertical="center" wrapText="1"/>
    </xf>
    <xf numFmtId="0" fontId="9" fillId="0" borderId="121" xfId="0" applyFont="1" applyBorder="1" applyAlignment="1">
      <alignment horizontal="center" vertical="center" wrapText="1"/>
    </xf>
    <xf numFmtId="0" fontId="9" fillId="0" borderId="91" xfId="0" applyFont="1" applyBorder="1" applyAlignment="1">
      <alignment horizontal="center" vertical="center" wrapText="1"/>
    </xf>
    <xf numFmtId="0" fontId="9" fillId="0" borderId="31" xfId="0" applyFont="1" applyFill="1" applyBorder="1" applyAlignment="1">
      <alignment horizontal="left" vertical="top" wrapText="1"/>
    </xf>
    <xf numFmtId="0" fontId="9" fillId="0" borderId="32" xfId="0" applyFont="1" applyFill="1" applyBorder="1" applyAlignment="1">
      <alignment horizontal="left" vertical="top" wrapText="1"/>
    </xf>
    <xf numFmtId="0" fontId="10" fillId="0" borderId="68" xfId="0" applyFont="1" applyFill="1" applyBorder="1" applyAlignment="1">
      <alignment horizontal="left" vertical="top" wrapText="1"/>
    </xf>
    <xf numFmtId="0" fontId="10" fillId="0" borderId="71" xfId="0" applyFont="1" applyFill="1" applyBorder="1" applyAlignment="1">
      <alignment horizontal="left" vertical="top" wrapText="1"/>
    </xf>
    <xf numFmtId="9" fontId="15" fillId="9" borderId="79" xfId="0" applyNumberFormat="1" applyFont="1" applyFill="1" applyBorder="1" applyAlignment="1">
      <alignment horizontal="right" vertical="center" wrapText="1"/>
    </xf>
    <xf numFmtId="9" fontId="15" fillId="9" borderId="80" xfId="0" applyNumberFormat="1" applyFont="1" applyFill="1" applyBorder="1" applyAlignment="1">
      <alignment horizontal="right" vertical="center" wrapText="1"/>
    </xf>
    <xf numFmtId="9" fontId="15" fillId="9" borderId="81" xfId="0" applyNumberFormat="1" applyFont="1" applyFill="1" applyBorder="1" applyAlignment="1">
      <alignment horizontal="right" vertical="center" wrapText="1"/>
    </xf>
    <xf numFmtId="9" fontId="15" fillId="9" borderId="85" xfId="0" applyNumberFormat="1" applyFont="1" applyFill="1" applyBorder="1" applyAlignment="1">
      <alignment horizontal="right" vertical="center" wrapText="1"/>
    </xf>
    <xf numFmtId="9" fontId="15" fillId="9" borderId="86" xfId="0" applyNumberFormat="1" applyFont="1" applyFill="1" applyBorder="1" applyAlignment="1">
      <alignment horizontal="right" vertical="center" wrapText="1"/>
    </xf>
    <xf numFmtId="9" fontId="15" fillId="9" borderId="55" xfId="0" applyNumberFormat="1" applyFont="1" applyFill="1" applyBorder="1" applyAlignment="1">
      <alignment horizontal="right" vertical="center" wrapText="1"/>
    </xf>
    <xf numFmtId="0" fontId="15" fillId="0" borderId="11" xfId="0" applyFont="1" applyBorder="1" applyAlignment="1">
      <alignment horizontal="center" vertical="center" wrapText="1"/>
    </xf>
    <xf numFmtId="0" fontId="15" fillId="0" borderId="5" xfId="0" applyFont="1" applyBorder="1" applyAlignment="1">
      <alignment horizontal="center" vertical="center" wrapText="1"/>
    </xf>
    <xf numFmtId="0" fontId="9" fillId="0" borderId="134" xfId="0" applyFont="1" applyFill="1" applyBorder="1" applyAlignment="1">
      <alignment horizontal="center" vertical="top" wrapText="1"/>
    </xf>
    <xf numFmtId="0" fontId="9" fillId="0" borderId="137" xfId="0" applyFont="1" applyFill="1" applyBorder="1" applyAlignment="1">
      <alignment horizontal="center" vertical="top" wrapText="1"/>
    </xf>
    <xf numFmtId="0" fontId="9" fillId="0" borderId="138" xfId="0" applyFont="1" applyFill="1" applyBorder="1" applyAlignment="1">
      <alignment horizontal="center" vertical="top" wrapText="1"/>
    </xf>
    <xf numFmtId="0" fontId="9" fillId="0" borderId="135" xfId="0" applyFont="1" applyFill="1" applyBorder="1" applyAlignment="1">
      <alignment horizontal="center" vertical="top" wrapText="1"/>
    </xf>
    <xf numFmtId="0" fontId="71" fillId="0" borderId="14" xfId="0" applyFont="1" applyFill="1" applyBorder="1" applyAlignment="1">
      <alignment horizontal="left" vertical="top" wrapText="1"/>
    </xf>
    <xf numFmtId="0" fontId="71" fillId="0" borderId="13" xfId="0" applyFont="1" applyFill="1" applyBorder="1" applyAlignment="1">
      <alignment horizontal="left" vertical="top" wrapText="1"/>
    </xf>
    <xf numFmtId="0" fontId="71" fillId="0" borderId="15" xfId="0" applyFont="1" applyFill="1" applyBorder="1" applyAlignment="1">
      <alignment horizontal="left" vertical="top" wrapText="1"/>
    </xf>
    <xf numFmtId="0" fontId="10" fillId="0" borderId="136" xfId="0" applyFont="1" applyFill="1" applyBorder="1" applyAlignment="1">
      <alignment horizontal="center" vertical="top" wrapText="1"/>
    </xf>
    <xf numFmtId="0" fontId="15" fillId="0" borderId="10" xfId="0" applyFont="1" applyBorder="1" applyAlignment="1">
      <alignment horizontal="center" vertical="center"/>
    </xf>
    <xf numFmtId="0" fontId="15" fillId="0" borderId="9" xfId="0" applyFont="1" applyBorder="1" applyAlignment="1">
      <alignment horizontal="center" vertical="center"/>
    </xf>
    <xf numFmtId="0" fontId="34" fillId="0" borderId="103" xfId="0" applyFont="1" applyBorder="1" applyAlignment="1">
      <alignment horizontal="center" vertical="center"/>
    </xf>
    <xf numFmtId="0" fontId="34" fillId="0" borderId="110" xfId="0" applyFont="1" applyBorder="1" applyAlignment="1">
      <alignment horizontal="center" vertical="center"/>
    </xf>
    <xf numFmtId="0" fontId="29" fillId="0" borderId="23" xfId="0" applyFont="1" applyFill="1" applyBorder="1" applyAlignment="1">
      <alignment horizontal="center" vertical="center" wrapText="1"/>
    </xf>
    <xf numFmtId="0" fontId="48" fillId="0" borderId="21" xfId="0" applyFont="1" applyBorder="1" applyAlignment="1">
      <alignment horizontal="center" vertical="top" wrapText="1"/>
    </xf>
    <xf numFmtId="0" fontId="48" fillId="0" borderId="22" xfId="0" applyFont="1" applyBorder="1" applyAlignment="1">
      <alignment horizontal="center" vertical="top"/>
    </xf>
    <xf numFmtId="0" fontId="49" fillId="0" borderId="42" xfId="0" applyFont="1" applyBorder="1" applyAlignment="1">
      <alignment horizontal="center"/>
    </xf>
    <xf numFmtId="0" fontId="49" fillId="0" borderId="35" xfId="0" applyFont="1" applyBorder="1" applyAlignment="1">
      <alignment horizontal="center"/>
    </xf>
    <xf numFmtId="0" fontId="49" fillId="0" borderId="21" xfId="0" applyFont="1" applyBorder="1" applyAlignment="1">
      <alignment horizontal="center"/>
    </xf>
    <xf numFmtId="0" fontId="49" fillId="0" borderId="22" xfId="0" applyFont="1" applyBorder="1" applyAlignment="1">
      <alignment horizontal="center"/>
    </xf>
    <xf numFmtId="0" fontId="48" fillId="14" borderId="42" xfId="0" applyFont="1" applyFill="1" applyBorder="1" applyAlignment="1">
      <alignment horizontal="left" vertical="center" wrapText="1"/>
    </xf>
    <xf numFmtId="0" fontId="48" fillId="14" borderId="35" xfId="0" applyFont="1" applyFill="1" applyBorder="1" applyAlignment="1">
      <alignment horizontal="left" vertical="center" wrapText="1"/>
    </xf>
    <xf numFmtId="0" fontId="48" fillId="14" borderId="21" xfId="0" applyFont="1" applyFill="1" applyBorder="1" applyAlignment="1">
      <alignment horizontal="center" vertical="center" wrapText="1"/>
    </xf>
    <xf numFmtId="0" fontId="48" fillId="14" borderId="22" xfId="0" applyFont="1" applyFill="1" applyBorder="1" applyAlignment="1">
      <alignment horizontal="center" vertical="center" wrapText="1"/>
    </xf>
    <xf numFmtId="0" fontId="30" fillId="0" borderId="100" xfId="0" applyFont="1" applyBorder="1" applyAlignment="1">
      <alignment horizontal="center" vertical="center" wrapText="1"/>
    </xf>
    <xf numFmtId="0" fontId="30" fillId="0" borderId="25" xfId="0" applyFont="1" applyBorder="1" applyAlignment="1">
      <alignment horizontal="center" vertical="center" wrapText="1"/>
    </xf>
    <xf numFmtId="0" fontId="48" fillId="0" borderId="21" xfId="0" applyFont="1" applyBorder="1" applyAlignment="1">
      <alignment horizontal="center" vertical="center" wrapText="1"/>
    </xf>
    <xf numFmtId="0" fontId="48" fillId="0" borderId="22" xfId="0" applyFont="1" applyBorder="1" applyAlignment="1">
      <alignment horizontal="center" vertical="center"/>
    </xf>
    <xf numFmtId="0" fontId="49" fillId="0" borderId="100" xfId="0" applyFont="1" applyBorder="1" applyAlignment="1">
      <alignment horizontal="left" vertical="center" wrapText="1"/>
    </xf>
    <xf numFmtId="0" fontId="49" fillId="0" borderId="25" xfId="0" applyFont="1" applyBorder="1" applyAlignment="1">
      <alignment horizontal="left" vertical="center" wrapText="1"/>
    </xf>
    <xf numFmtId="0" fontId="32" fillId="0" borderId="40" xfId="0" applyFont="1" applyBorder="1" applyAlignment="1">
      <alignment horizontal="center"/>
    </xf>
    <xf numFmtId="0" fontId="32" fillId="0" borderId="2" xfId="0" applyFont="1" applyBorder="1" applyAlignment="1">
      <alignment horizontal="center"/>
    </xf>
    <xf numFmtId="0" fontId="48" fillId="0" borderId="42" xfId="0" applyFont="1" applyBorder="1" applyAlignment="1">
      <alignment vertical="top" wrapText="1"/>
    </xf>
    <xf numFmtId="0" fontId="48" fillId="0" borderId="35" xfId="0" applyFont="1" applyBorder="1" applyAlignment="1">
      <alignment vertical="top" wrapText="1"/>
    </xf>
    <xf numFmtId="0" fontId="48" fillId="0" borderId="22" xfId="0" applyFont="1" applyBorder="1" applyAlignment="1">
      <alignment horizontal="center" vertical="center" wrapText="1"/>
    </xf>
    <xf numFmtId="0" fontId="49" fillId="0" borderId="100" xfId="0" applyFont="1" applyBorder="1" applyAlignment="1">
      <alignment horizontal="center" vertical="center" wrapText="1"/>
    </xf>
    <xf numFmtId="0" fontId="49" fillId="0" borderId="25" xfId="0" applyFont="1" applyBorder="1" applyAlignment="1">
      <alignment horizontal="center" vertical="center" wrapText="1"/>
    </xf>
    <xf numFmtId="0" fontId="49" fillId="0" borderId="37" xfId="0" applyFont="1" applyBorder="1" applyAlignment="1">
      <alignment vertical="top" wrapText="1"/>
    </xf>
    <xf numFmtId="0" fontId="49" fillId="0" borderId="35" xfId="0" applyFont="1" applyBorder="1" applyAlignment="1">
      <alignment vertical="top" wrapText="1"/>
    </xf>
    <xf numFmtId="0" fontId="49" fillId="0" borderId="26" xfId="0" applyFont="1" applyBorder="1" applyAlignment="1">
      <alignment horizontal="center" vertical="center" wrapText="1"/>
    </xf>
    <xf numFmtId="0" fontId="49" fillId="0" borderId="22" xfId="0" applyFont="1" applyBorder="1" applyAlignment="1">
      <alignment horizontal="center" vertical="center" wrapText="1"/>
    </xf>
    <xf numFmtId="0" fontId="49" fillId="0" borderId="90" xfId="0" applyFont="1" applyBorder="1" applyAlignment="1">
      <alignment horizontal="center" vertical="center" wrapText="1"/>
    </xf>
    <xf numFmtId="0" fontId="49" fillId="0" borderId="100" xfId="0" applyFont="1" applyBorder="1" applyAlignment="1">
      <alignment horizontal="center"/>
    </xf>
    <xf numFmtId="0" fontId="49" fillId="0" borderId="25" xfId="0" applyFont="1" applyBorder="1" applyAlignment="1">
      <alignment horizontal="center"/>
    </xf>
    <xf numFmtId="0" fontId="48" fillId="0" borderId="100" xfId="0" applyFont="1" applyBorder="1" applyAlignment="1">
      <alignment horizontal="center" vertical="center" wrapText="1"/>
    </xf>
    <xf numFmtId="0" fontId="48" fillId="0" borderId="25" xfId="0" applyFont="1" applyBorder="1" applyAlignment="1">
      <alignment horizontal="center" vertical="center" wrapText="1"/>
    </xf>
    <xf numFmtId="0" fontId="49" fillId="0" borderId="96" xfId="0" applyFont="1" applyBorder="1" applyAlignment="1">
      <alignment horizontal="center"/>
    </xf>
    <xf numFmtId="0" fontId="49" fillId="0" borderId="32" xfId="0" applyFont="1" applyBorder="1" applyAlignment="1">
      <alignment horizontal="center"/>
    </xf>
    <xf numFmtId="0" fontId="49" fillId="0" borderId="74" xfId="0" applyFont="1" applyBorder="1" applyAlignment="1">
      <alignment horizontal="center"/>
    </xf>
  </cellXfs>
  <cellStyles count="7">
    <cellStyle name="Currency" xfId="3" builtinId="4"/>
    <cellStyle name="Good" xfId="4" builtinId="26"/>
    <cellStyle name="Normal" xfId="0" builtinId="0"/>
    <cellStyle name="Normal 2" xfId="6" xr:uid="{00000000-0005-0000-0000-000003000000}"/>
    <cellStyle name="Normal 2 2" xfId="2" xr:uid="{00000000-0005-0000-0000-000004000000}"/>
    <cellStyle name="Normal 3" xfId="5" xr:uid="{00000000-0005-0000-0000-000005000000}"/>
    <cellStyle name="Percent" xfId="1" builtinId="5"/>
  </cellStyles>
  <dxfs count="243">
    <dxf>
      <fill>
        <patternFill>
          <bgColor rgb="FFFF5050"/>
        </patternFill>
      </fill>
    </dxf>
    <dxf>
      <font>
        <b/>
        <i val="0"/>
        <color theme="0"/>
      </font>
      <fill>
        <patternFill>
          <bgColor rgb="FF3333FF"/>
        </patternFill>
      </fill>
    </dxf>
    <dxf>
      <font>
        <b/>
        <i val="0"/>
      </font>
      <fill>
        <patternFill>
          <bgColor theme="7" tint="0.79998168889431442"/>
        </patternFill>
      </fill>
    </dxf>
    <dxf>
      <fill>
        <patternFill>
          <bgColor rgb="FF00FFFF"/>
        </patternFill>
      </fill>
    </dxf>
    <dxf>
      <fill>
        <patternFill>
          <bgColor rgb="FF00FFFF"/>
        </patternFill>
      </fill>
    </dxf>
    <dxf>
      <font>
        <b val="0"/>
        <i val="0"/>
        <strike val="0"/>
        <condense val="0"/>
        <extend val="0"/>
        <outline val="0"/>
        <shadow val="0"/>
        <u val="none"/>
        <vertAlign val="baseline"/>
        <sz val="11"/>
        <color rgb="FF000000"/>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general"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rgb="FF000000"/>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center"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border>
        <bottom style="thin">
          <color theme="0"/>
        </bottom>
      </border>
    </dxf>
    <dxf>
      <alignment horizontal="center" vertical="bottom" textRotation="0" wrapText="1" indent="0" justifyLastLine="0" shrinkToFit="0" readingOrder="0"/>
      <border diagonalUp="0" diagonalDown="0">
        <left style="thin">
          <color theme="0"/>
        </left>
        <right style="thin">
          <color theme="0"/>
        </right>
        <top/>
        <bottom/>
        <vertical style="thin">
          <color theme="0"/>
        </vertical>
        <horizontal/>
      </border>
    </dxf>
    <dxf>
      <font>
        <b val="0"/>
        <i val="0"/>
        <strike val="0"/>
        <condense val="0"/>
        <extend val="0"/>
        <outline val="0"/>
        <shadow val="0"/>
        <u val="none"/>
        <vertAlign val="baseline"/>
        <sz val="11"/>
        <color rgb="FF000000"/>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center"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border>
        <bottom style="thin">
          <color theme="0"/>
        </bottom>
      </border>
    </dxf>
    <dxf>
      <alignment horizontal="center" vertical="bottom" textRotation="0" wrapText="1" indent="0" justifyLastLine="0" shrinkToFit="0" readingOrder="0"/>
      <border diagonalUp="0" diagonalDown="0">
        <left style="thin">
          <color theme="0"/>
        </left>
        <right style="thin">
          <color theme="0"/>
        </right>
        <top/>
        <bottom/>
        <vertical style="thin">
          <color theme="0"/>
        </vertical>
        <horizontal/>
      </border>
    </dxf>
    <dxf>
      <alignment vertical="center" textRotation="0" indent="0" justifyLastLine="0" shrinkToFit="0" readingOrder="0"/>
    </dxf>
    <dxf>
      <font>
        <b/>
        <i val="0"/>
        <strike val="0"/>
        <condense val="0"/>
        <extend val="0"/>
        <outline val="0"/>
        <shadow val="0"/>
        <u val="none"/>
        <vertAlign val="baseline"/>
        <sz val="14"/>
        <color theme="1"/>
        <name val="Calibri"/>
        <family val="2"/>
        <scheme val="minor"/>
      </font>
      <numFmt numFmtId="3" formatCode="#,##0"/>
      <fill>
        <patternFill patternType="none">
          <fgColor indexed="64"/>
          <bgColor auto="1"/>
        </patternFill>
      </fill>
      <alignment horizontal="general"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numFmt numFmtId="3" formatCode="#,##0"/>
      <alignment horizontal="general" vertical="center" textRotation="0" wrapText="0" indent="0" justifyLastLine="0" shrinkToFit="0" readingOrder="0"/>
    </dxf>
    <dxf>
      <numFmt numFmtId="3" formatCode="#,##0"/>
      <alignment vertical="center" textRotation="0" indent="0" justifyLastLine="0" shrinkToFit="0" readingOrder="0"/>
    </dxf>
    <dxf>
      <numFmt numFmtId="3" formatCode="#,##0"/>
      <alignment vertical="center" textRotation="0" indent="0" justifyLastLine="0" shrinkToFit="0" readingOrder="0"/>
    </dxf>
    <dxf>
      <alignment vertical="center" textRotation="0" indent="0" justifyLastLine="0" shrinkToFit="0" readingOrder="0"/>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dxf>
    <dxf>
      <alignment vertical="center" textRotation="0" indent="0" justifyLastLine="0" shrinkToFit="0" readingOrder="0"/>
    </dxf>
    <dxf>
      <font>
        <b/>
        <i val="0"/>
        <strike val="0"/>
        <condense val="0"/>
        <extend val="0"/>
        <outline val="0"/>
        <shadow val="0"/>
        <u val="none"/>
        <vertAlign val="baseline"/>
        <sz val="14"/>
        <color theme="1"/>
        <name val="Calibri"/>
        <family val="2"/>
        <scheme val="minor"/>
      </font>
      <numFmt numFmtId="3" formatCode="#,##0"/>
      <alignment horizontal="general"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numFmt numFmtId="3" formatCode="#,##0"/>
      <alignment horizontal="general" vertical="center" textRotation="0" wrapText="0" indent="0" justifyLastLine="0" shrinkToFit="0" readingOrder="0"/>
    </dxf>
    <dxf>
      <numFmt numFmtId="3" formatCode="#,##0"/>
      <alignment vertical="center" textRotation="0" indent="0" justifyLastLine="0" shrinkToFit="0" readingOrder="0"/>
    </dxf>
    <dxf>
      <numFmt numFmtId="3" formatCode="#,##0"/>
      <alignment vertical="center" textRotation="0" indent="0" justifyLastLine="0" shrinkToFit="0" readingOrder="0"/>
    </dxf>
    <dxf>
      <alignment vertical="center" textRotation="0" indent="0" justifyLastLine="0" shrinkToFit="0" readingOrder="0"/>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00000"/>
        <name val="Calibri"/>
        <scheme val="minor"/>
      </font>
      <fill>
        <patternFill patternType="none">
          <fgColor indexed="64"/>
          <bgColor indexed="65"/>
        </patternFill>
      </fill>
    </dxf>
    <dxf>
      <font>
        <b/>
        <i val="0"/>
        <strike val="0"/>
      </font>
      <fill>
        <patternFill>
          <bgColor rgb="FFFFFF00"/>
        </patternFill>
      </fill>
    </dxf>
    <dxf>
      <font>
        <color theme="0"/>
      </font>
      <fill>
        <patternFill>
          <bgColor rgb="FF0000FF"/>
        </patternFill>
      </fill>
    </dxf>
    <dxf>
      <font>
        <color auto="1"/>
      </font>
      <fill>
        <patternFill>
          <bgColor rgb="FFFFEB9C"/>
        </patternFill>
      </fill>
    </dxf>
    <dxf>
      <font>
        <color theme="0"/>
      </font>
      <fill>
        <patternFill>
          <bgColor rgb="FF7030A0"/>
        </patternFill>
      </fill>
    </dxf>
    <dxf>
      <font>
        <b/>
        <i val="0"/>
        <strike val="0"/>
      </font>
      <fill>
        <patternFill>
          <bgColor rgb="FFFFFF00"/>
        </patternFill>
      </fill>
    </dxf>
    <dxf>
      <font>
        <color theme="0"/>
      </font>
      <fill>
        <patternFill>
          <bgColor rgb="FF0000FF"/>
        </patternFill>
      </fill>
    </dxf>
    <dxf>
      <font>
        <color auto="1"/>
      </font>
      <fill>
        <patternFill>
          <bgColor rgb="FFFFEB9C"/>
        </patternFill>
      </fill>
    </dxf>
    <dxf>
      <font>
        <color theme="0"/>
      </font>
      <fill>
        <patternFill>
          <bgColor rgb="FF7030A0"/>
        </patternFill>
      </fill>
    </dxf>
    <dxf>
      <font>
        <b/>
        <i val="0"/>
        <strike val="0"/>
      </font>
      <fill>
        <patternFill>
          <bgColor rgb="FFFFFF00"/>
        </patternFill>
      </fill>
    </dxf>
    <dxf>
      <font>
        <color theme="0"/>
      </font>
      <fill>
        <patternFill>
          <bgColor rgb="FF0000FF"/>
        </patternFill>
      </fill>
    </dxf>
    <dxf>
      <font>
        <color auto="1"/>
      </font>
      <fill>
        <patternFill>
          <bgColor rgb="FFFFEB9C"/>
        </patternFill>
      </fill>
    </dxf>
    <dxf>
      <font>
        <color theme="0"/>
      </font>
      <fill>
        <patternFill>
          <bgColor rgb="FF7030A0"/>
        </patternFill>
      </fill>
    </dxf>
    <dxf>
      <font>
        <b/>
        <i val="0"/>
        <strike val="0"/>
      </font>
      <fill>
        <patternFill>
          <bgColor rgb="FFFFFF00"/>
        </patternFill>
      </fill>
    </dxf>
    <dxf>
      <font>
        <color theme="0"/>
      </font>
      <fill>
        <patternFill>
          <bgColor rgb="FF0000FF"/>
        </patternFill>
      </fill>
    </dxf>
    <dxf>
      <font>
        <color auto="1"/>
      </font>
      <fill>
        <patternFill>
          <bgColor rgb="FFFFEB9C"/>
        </patternFill>
      </fill>
    </dxf>
    <dxf>
      <font>
        <color theme="0"/>
      </font>
      <fill>
        <patternFill>
          <bgColor rgb="FF7030A0"/>
        </patternFill>
      </fill>
    </dxf>
    <dxf>
      <font>
        <b/>
        <i val="0"/>
        <strike val="0"/>
      </font>
      <fill>
        <patternFill>
          <bgColor rgb="FFFFFF00"/>
        </patternFill>
      </fill>
    </dxf>
    <dxf>
      <font>
        <color theme="0"/>
      </font>
      <fill>
        <patternFill>
          <bgColor rgb="FF0000FF"/>
        </patternFill>
      </fill>
    </dxf>
    <dxf>
      <font>
        <color auto="1"/>
      </font>
      <fill>
        <patternFill>
          <bgColor rgb="FFFFEB9C"/>
        </patternFill>
      </fill>
    </dxf>
    <dxf>
      <font>
        <color theme="0"/>
      </font>
      <fill>
        <patternFill>
          <bgColor rgb="FF7030A0"/>
        </patternFill>
      </fill>
    </dxf>
    <dxf>
      <font>
        <b/>
        <i val="0"/>
        <strike val="0"/>
      </font>
      <fill>
        <patternFill>
          <bgColor rgb="FFFFFF00"/>
        </patternFill>
      </fill>
    </dxf>
    <dxf>
      <font>
        <color theme="0"/>
      </font>
      <fill>
        <patternFill>
          <bgColor rgb="FF0000FF"/>
        </patternFill>
      </fill>
    </dxf>
    <dxf>
      <font>
        <color auto="1"/>
      </font>
      <fill>
        <patternFill>
          <bgColor rgb="FFFFEB9C"/>
        </patternFill>
      </fill>
    </dxf>
    <dxf>
      <font>
        <color theme="0"/>
      </font>
      <fill>
        <patternFill>
          <bgColor rgb="FF7030A0"/>
        </patternFill>
      </fill>
    </dxf>
    <dxf>
      <font>
        <b/>
        <i val="0"/>
        <strike val="0"/>
      </font>
      <fill>
        <patternFill>
          <bgColor rgb="FFFFFF00"/>
        </patternFill>
      </fill>
    </dxf>
    <dxf>
      <font>
        <color theme="0"/>
      </font>
      <fill>
        <patternFill>
          <bgColor rgb="FF0000FF"/>
        </patternFill>
      </fill>
    </dxf>
    <dxf>
      <font>
        <color auto="1"/>
      </font>
      <fill>
        <patternFill>
          <bgColor rgb="FFFFEB9C"/>
        </patternFill>
      </fill>
    </dxf>
    <dxf>
      <font>
        <color theme="0"/>
      </font>
      <fill>
        <patternFill>
          <bgColor rgb="FF7030A0"/>
        </patternFill>
      </fill>
    </dxf>
    <dxf>
      <font>
        <b/>
        <i val="0"/>
        <strike val="0"/>
      </font>
      <fill>
        <patternFill>
          <bgColor rgb="FFFFFF00"/>
        </patternFill>
      </fill>
    </dxf>
    <dxf>
      <font>
        <color theme="0"/>
      </font>
      <fill>
        <patternFill>
          <bgColor rgb="FF0000FF"/>
        </patternFill>
      </fill>
    </dxf>
    <dxf>
      <font>
        <color auto="1"/>
      </font>
      <fill>
        <patternFill>
          <bgColor rgb="FFFFEB9C"/>
        </patternFill>
      </fill>
    </dxf>
    <dxf>
      <font>
        <color theme="0"/>
      </font>
      <fill>
        <patternFill>
          <bgColor rgb="FF7030A0"/>
        </patternFill>
      </fill>
    </dxf>
    <dxf>
      <font>
        <b/>
        <i val="0"/>
        <strike val="0"/>
      </font>
      <fill>
        <patternFill>
          <bgColor rgb="FFFFFF00"/>
        </patternFill>
      </fill>
    </dxf>
    <dxf>
      <font>
        <color theme="0"/>
      </font>
      <fill>
        <patternFill>
          <bgColor rgb="FF0000FF"/>
        </patternFill>
      </fill>
    </dxf>
    <dxf>
      <font>
        <color auto="1"/>
      </font>
      <fill>
        <patternFill>
          <bgColor rgb="FFFFEB9C"/>
        </patternFill>
      </fill>
    </dxf>
    <dxf>
      <font>
        <color theme="0"/>
      </font>
      <fill>
        <patternFill>
          <bgColor rgb="FF7030A0"/>
        </patternFill>
      </fill>
    </dxf>
    <dxf>
      <font>
        <b/>
        <i val="0"/>
        <strike val="0"/>
      </font>
      <fill>
        <patternFill>
          <bgColor rgb="FFFFFF00"/>
        </patternFill>
      </fill>
    </dxf>
    <dxf>
      <font>
        <color theme="0"/>
      </font>
      <fill>
        <patternFill>
          <bgColor rgb="FF0000FF"/>
        </patternFill>
      </fill>
    </dxf>
    <dxf>
      <font>
        <color auto="1"/>
      </font>
      <fill>
        <patternFill>
          <bgColor rgb="FFFFEB9C"/>
        </patternFill>
      </fill>
    </dxf>
    <dxf>
      <font>
        <color theme="0"/>
      </font>
      <fill>
        <patternFill>
          <bgColor rgb="FF7030A0"/>
        </patternFill>
      </fill>
    </dxf>
    <dxf>
      <font>
        <b/>
        <i val="0"/>
        <strike val="0"/>
      </font>
      <fill>
        <patternFill>
          <bgColor rgb="FFFFFF00"/>
        </patternFill>
      </fill>
    </dxf>
    <dxf>
      <font>
        <color theme="0"/>
      </font>
      <fill>
        <patternFill>
          <bgColor rgb="FF0000FF"/>
        </patternFill>
      </fill>
    </dxf>
    <dxf>
      <font>
        <color auto="1"/>
      </font>
      <fill>
        <patternFill>
          <bgColor rgb="FFFFEB9C"/>
        </patternFill>
      </fill>
    </dxf>
    <dxf>
      <font>
        <color theme="0"/>
      </font>
      <fill>
        <patternFill>
          <bgColor rgb="FF7030A0"/>
        </patternFill>
      </fill>
    </dxf>
    <dxf>
      <font>
        <b/>
        <i val="0"/>
        <strike val="0"/>
      </font>
      <fill>
        <patternFill>
          <bgColor rgb="FFFFFF00"/>
        </patternFill>
      </fill>
    </dxf>
    <dxf>
      <font>
        <color theme="0"/>
      </font>
      <fill>
        <patternFill>
          <bgColor rgb="FF0000FF"/>
        </patternFill>
      </fill>
    </dxf>
    <dxf>
      <font>
        <color auto="1"/>
      </font>
      <fill>
        <patternFill>
          <bgColor rgb="FFFFEB9C"/>
        </patternFill>
      </fill>
    </dxf>
    <dxf>
      <font>
        <color theme="0"/>
      </font>
      <fill>
        <patternFill>
          <bgColor rgb="FF7030A0"/>
        </patternFill>
      </fill>
    </dxf>
    <dxf>
      <fill>
        <patternFill>
          <bgColor rgb="FFFF5050"/>
        </patternFill>
      </fill>
    </dxf>
    <dxf>
      <font>
        <b/>
        <i val="0"/>
        <color theme="0"/>
      </font>
      <fill>
        <patternFill>
          <bgColor rgb="FF3333FF"/>
        </patternFill>
      </fill>
    </dxf>
    <dxf>
      <font>
        <b/>
        <i val="0"/>
      </font>
      <fill>
        <patternFill>
          <bgColor theme="7" tint="0.79998168889431442"/>
        </patternFill>
      </fill>
    </dxf>
    <dxf>
      <fill>
        <patternFill>
          <bgColor rgb="FF00FFFF"/>
        </patternFill>
      </fill>
    </dxf>
    <dxf>
      <fill>
        <patternFill>
          <bgColor rgb="FF00FFFF"/>
        </patternFill>
      </fill>
    </dxf>
    <dxf>
      <font>
        <color rgb="FF9C0006"/>
      </font>
      <fill>
        <patternFill>
          <bgColor theme="7" tint="0.59996337778862885"/>
        </patternFill>
      </fill>
    </dxf>
    <dxf>
      <font>
        <color auto="1"/>
      </font>
      <fill>
        <patternFill>
          <bgColor theme="8" tint="-0.24994659260841701"/>
        </patternFill>
      </fill>
    </dxf>
    <dxf>
      <font>
        <color rgb="FF9C0006"/>
      </font>
      <fill>
        <patternFill>
          <bgColor theme="7" tint="0.59996337778862885"/>
        </patternFill>
      </fill>
    </dxf>
    <dxf>
      <font>
        <color auto="1"/>
      </font>
      <fill>
        <patternFill>
          <bgColor theme="8" tint="-0.24994659260841701"/>
        </patternFill>
      </fill>
    </dxf>
    <dxf>
      <font>
        <color auto="1"/>
      </font>
      <fill>
        <patternFill>
          <bgColor theme="8" tint="-0.24994659260841701"/>
        </patternFill>
      </fill>
    </dxf>
    <dxf>
      <fill>
        <patternFill>
          <bgColor theme="9" tint="0.59996337778862885"/>
        </patternFill>
      </fill>
    </dxf>
    <dxf>
      <fill>
        <patternFill>
          <bgColor theme="9" tint="0.59996337778862885"/>
        </patternFill>
      </fill>
    </dxf>
    <dxf>
      <fill>
        <patternFill>
          <bgColor theme="9" tint="0.59996337778862885"/>
        </patternFill>
      </fill>
    </dxf>
    <dxf>
      <font>
        <color rgb="FF9C0006"/>
      </font>
      <fill>
        <patternFill>
          <bgColor theme="7" tint="0.59996337778862885"/>
        </patternFill>
      </fill>
    </dxf>
    <dxf>
      <font>
        <color auto="1"/>
      </font>
      <fill>
        <patternFill>
          <bgColor theme="8" tint="-0.24994659260841701"/>
        </patternFill>
      </fill>
    </dxf>
    <dxf>
      <font>
        <color rgb="FF9C0006"/>
      </font>
      <fill>
        <patternFill>
          <bgColor theme="7" tint="0.59996337778862885"/>
        </patternFill>
      </fill>
    </dxf>
    <dxf>
      <font>
        <color auto="1"/>
      </font>
      <fill>
        <patternFill>
          <bgColor theme="8" tint="-0.24994659260841701"/>
        </patternFill>
      </fill>
    </dxf>
    <dxf>
      <fill>
        <patternFill>
          <bgColor theme="9" tint="0.59996337778862885"/>
        </patternFill>
      </fill>
    </dxf>
    <dxf>
      <fill>
        <patternFill>
          <bgColor theme="9" tint="0.59996337778862885"/>
        </patternFill>
      </fill>
    </dxf>
    <dxf>
      <fill>
        <patternFill>
          <bgColor theme="9" tint="0.59996337778862885"/>
        </patternFill>
      </fill>
    </dxf>
    <dxf>
      <alignment horizontal="center" vertical="center" textRotation="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indent="0" justifyLastLine="0" shrinkToFit="0" readingOrder="0"/>
    </dxf>
    <dxf>
      <alignment horizontal="center" vertical="center" textRotation="0" indent="0" justifyLastLine="0" shrinkToFit="0" readingOrder="0"/>
    </dxf>
    <dxf>
      <alignment horizontal="right" vertical="center" textRotation="0" wrapText="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scheme val="none"/>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border>
      <protection locked="1" hidden="1"/>
    </dxf>
    <dxf>
      <border diagonalUp="0" diagonalDown="0">
        <left style="medium">
          <color indexed="64"/>
        </left>
        <right style="medium">
          <color indexed="64"/>
        </right>
        <top style="medium">
          <color indexed="64"/>
        </top>
        <bottom style="medium">
          <color indexed="64"/>
        </bottom>
      </border>
    </dxf>
    <dxf>
      <alignment horizontal="center" textRotation="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dxf>
    <dxf>
      <border outline="0">
        <top style="medium">
          <color indexed="64"/>
        </top>
      </border>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i val="0"/>
        <strike val="0"/>
      </font>
      <fill>
        <patternFill>
          <bgColor rgb="FFFFFF00"/>
        </patternFill>
      </fill>
    </dxf>
    <dxf>
      <font>
        <color theme="0"/>
      </font>
      <fill>
        <patternFill>
          <bgColor rgb="FF0000FF"/>
        </patternFill>
      </fill>
    </dxf>
    <dxf>
      <font>
        <color auto="1"/>
      </font>
      <fill>
        <patternFill>
          <bgColor rgb="FFFFEB9C"/>
        </patternFill>
      </fill>
    </dxf>
    <dxf>
      <font>
        <color theme="0"/>
      </font>
      <fill>
        <patternFill>
          <bgColor rgb="FF7030A0"/>
        </patternFill>
      </fill>
    </dxf>
    <dxf>
      <fill>
        <patternFill>
          <bgColor rgb="FF66FFFF"/>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ill>
        <patternFill>
          <bgColor rgb="FF66FFFF"/>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ill>
        <patternFill>
          <bgColor rgb="FF66FFFF"/>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ill>
        <patternFill>
          <bgColor rgb="FF66FFFF"/>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ill>
        <patternFill>
          <bgColor rgb="FF66FFFF"/>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ill>
        <patternFill>
          <bgColor rgb="FF66FFFF"/>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ill>
        <patternFill>
          <bgColor rgb="FF66FFFF"/>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ill>
        <patternFill>
          <bgColor rgb="FF66FFFF"/>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ill>
        <patternFill>
          <bgColor rgb="FF66FFFF"/>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ill>
        <patternFill>
          <bgColor rgb="FF66FFFF"/>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ill>
        <patternFill>
          <bgColor rgb="FF66FFFF"/>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ill>
        <patternFill>
          <bgColor rgb="FF66FFFF"/>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ont>
        <color theme="0"/>
      </font>
      <fill>
        <patternFill>
          <bgColor rgb="FF7030A0"/>
        </patternFill>
      </fill>
    </dxf>
    <dxf>
      <font>
        <color auto="1"/>
      </font>
      <fill>
        <patternFill>
          <bgColor rgb="FFFFEB9C"/>
        </patternFill>
      </fill>
    </dxf>
    <dxf>
      <font>
        <color theme="0"/>
      </font>
      <fill>
        <patternFill>
          <bgColor rgb="FF0000FF"/>
        </patternFill>
      </fill>
    </dxf>
    <dxf>
      <font>
        <b/>
        <i val="0"/>
      </font>
      <fill>
        <patternFill>
          <bgColor rgb="FFFFFF00"/>
        </patternFill>
      </fill>
    </dxf>
    <dxf>
      <font>
        <b val="0"/>
        <i val="0"/>
        <strike val="0"/>
        <condense val="0"/>
        <extend val="0"/>
        <outline val="0"/>
        <shadow val="0"/>
        <u val="none"/>
        <vertAlign val="baseline"/>
        <sz val="11"/>
        <color rgb="FF000000"/>
        <name val="Calibri"/>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Calibri"/>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Calibri"/>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Calibri"/>
        <scheme val="none"/>
      </font>
      <alignment horizontal="left" vertical="top"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left" vertical="top"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left" vertical="top"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left" vertical="top" textRotation="0" wrapText="1" indent="0" justifyLastLine="0" shrinkToFit="0" readingOrder="0"/>
    </dxf>
    <dxf>
      <font>
        <b/>
        <i val="0"/>
        <strike val="0"/>
        <condense val="0"/>
        <extend val="0"/>
        <outline val="0"/>
        <shadow val="0"/>
        <u val="none"/>
        <vertAlign val="baseline"/>
        <sz val="11"/>
        <color rgb="FF000000"/>
        <name val="Calibri"/>
        <scheme val="none"/>
      </font>
      <alignment horizontal="left" vertical="top" textRotation="0" wrapText="1" indent="0" justifyLastLine="0" shrinkToFit="0" readingOrder="0"/>
    </dxf>
  </dxfs>
  <tableStyles count="0" defaultTableStyle="TableStyleMedium2" defaultPivotStyle="PivotStyleLight16"/>
  <colors>
    <mruColors>
      <color rgb="FFFF3300"/>
      <color rgb="FFFF5050"/>
      <color rgb="FFFF9900"/>
      <color rgb="FFCCCC00"/>
      <color rgb="FF009999"/>
      <color rgb="FF00CC99"/>
      <color rgb="FF3333FF"/>
      <color rgb="FF99FFCC"/>
      <color rgb="FFEF2FCA"/>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styles" Target="styles.xml"/><Relationship Id="rId30" Type="http://schemas.microsoft.com/office/2006/relationships/vbaProject" Target="vbaProject.bin"/></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12</xdr:col>
      <xdr:colOff>28575</xdr:colOff>
      <xdr:row>0</xdr:row>
      <xdr:rowOff>0</xdr:rowOff>
    </xdr:from>
    <xdr:to>
      <xdr:col>18</xdr:col>
      <xdr:colOff>85725</xdr:colOff>
      <xdr:row>3</xdr:row>
      <xdr:rowOff>47625</xdr:rowOff>
    </xdr:to>
    <xdr:sp macro="[0]!RefreshPivot" textlink="">
      <xdr:nvSpPr>
        <xdr:cNvPr id="2" name="Rounded Rectangle 1">
          <a:extLst>
            <a:ext uri="{FF2B5EF4-FFF2-40B4-BE49-F238E27FC236}">
              <a16:creationId xmlns:a16="http://schemas.microsoft.com/office/drawing/2014/main" id="{00000000-0008-0000-0800-000002000000}"/>
            </a:ext>
          </a:extLst>
        </xdr:cNvPr>
        <xdr:cNvSpPr/>
      </xdr:nvSpPr>
      <xdr:spPr>
        <a:xfrm>
          <a:off x="27079575" y="0"/>
          <a:ext cx="7124700" cy="971550"/>
        </a:xfrm>
        <a:prstGeom prst="roundRect">
          <a:avLst/>
        </a:prstGeom>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2700000" scaled="1"/>
          <a:tileRect/>
        </a:gradFill>
        <a:scene3d>
          <a:camera prst="orthographicFront"/>
          <a:lightRig rig="threePt" dir="t"/>
        </a:scene3d>
        <a:sp3d contourW="31750">
          <a:bevelT w="171450" h="31750"/>
          <a:extrusionClr>
            <a:srgbClr val="00B050"/>
          </a:extrusionClr>
          <a:contourClr>
            <a:schemeClr val="accent6">
              <a:lumMod val="5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sp3d extrusionH="57150">
            <a:bevelT w="38100" h="38100"/>
          </a:sp3d>
        </a:bodyPr>
        <a:lstStyle/>
        <a:p>
          <a:pPr algn="ctr"/>
          <a:endParaRPr lang="en-US" sz="1400" b="1">
            <a:solidFill>
              <a:sysClr val="windowText" lastClr="000000"/>
            </a:solidFill>
            <a:effectLst>
              <a:outerShdw blurRad="50800" dist="38100" dir="5400000" algn="t" rotWithShape="0">
                <a:prstClr val="black">
                  <a:alpha val="40000"/>
                </a:prstClr>
              </a:outerShdw>
            </a:effectLst>
          </a:endParaRPr>
        </a:p>
        <a:p>
          <a:pPr algn="ctr"/>
          <a:r>
            <a:rPr lang="en-US" sz="2800" b="1">
              <a:solidFill>
                <a:sysClr val="windowText" lastClr="000000"/>
              </a:solidFill>
              <a:effectLst>
                <a:outerShdw blurRad="50800" dist="38100" dir="5400000" algn="t" rotWithShape="0">
                  <a:prstClr val="black">
                    <a:alpha val="40000"/>
                  </a:prstClr>
                </a:outerShdw>
              </a:effectLst>
            </a:rPr>
            <a:t>REFRESH WORKBOOK</a:t>
          </a:r>
        </a:p>
        <a:p>
          <a:pPr algn="ctr"/>
          <a:r>
            <a:rPr lang="en-US" sz="1200" i="1">
              <a:solidFill>
                <a:sysClr val="windowText" lastClr="000000"/>
              </a:solidFill>
              <a:effectLst>
                <a:outerShdw blurRad="50800" dist="38100" dir="5400000" algn="t" rotWithShape="0">
                  <a:prstClr val="black">
                    <a:alpha val="40000"/>
                  </a:prstClr>
                </a:outerShdw>
              </a:effectLst>
            </a:rPr>
            <a:t>(click</a:t>
          </a:r>
          <a:r>
            <a:rPr lang="en-US" sz="1200" i="1" baseline="0">
              <a:solidFill>
                <a:sysClr val="windowText" lastClr="000000"/>
              </a:solidFill>
              <a:effectLst>
                <a:outerShdw blurRad="50800" dist="38100" dir="5400000" algn="t" rotWithShape="0">
                  <a:prstClr val="black">
                    <a:alpha val="40000"/>
                  </a:prstClr>
                </a:outerShdw>
              </a:effectLst>
            </a:rPr>
            <a:t> after final entry in Logframe</a:t>
          </a:r>
          <a:r>
            <a:rPr lang="en-US" sz="1100" i="1" baseline="0">
              <a:solidFill>
                <a:sysClr val="windowText" lastClr="000000"/>
              </a:solidFill>
              <a:effectLst>
                <a:outerShdw blurRad="50800" dist="38100" dir="5400000" algn="t" rotWithShape="0">
                  <a:prstClr val="black">
                    <a:alpha val="40000"/>
                  </a:prstClr>
                </a:outerShdw>
              </a:effectLst>
            </a:rPr>
            <a:t>)</a:t>
          </a:r>
          <a:endParaRPr lang="en-US" sz="1100" i="1">
            <a:solidFill>
              <a:sysClr val="windowText" lastClr="000000"/>
            </a:solidFill>
            <a:effectLst>
              <a:outerShdw blurRad="50800" dist="38100" dir="5400000" algn="t" rotWithShape="0">
                <a:prstClr val="black">
                  <a:alpha val="40000"/>
                </a:prstClr>
              </a:outerShdw>
            </a:effectLst>
          </a:endParaRPr>
        </a:p>
      </xdr:txBody>
    </xdr:sp>
    <xdr:clientData/>
  </xdr:twoCellAnchor>
  <xdr:twoCellAnchor>
    <xdr:from>
      <xdr:col>4</xdr:col>
      <xdr:colOff>27940</xdr:colOff>
      <xdr:row>7</xdr:row>
      <xdr:rowOff>73659</xdr:rowOff>
    </xdr:from>
    <xdr:to>
      <xdr:col>6</xdr:col>
      <xdr:colOff>2887133</xdr:colOff>
      <xdr:row>33</xdr:row>
      <xdr:rowOff>392219</xdr:rowOff>
    </xdr:to>
    <xdr:sp macro="" textlink="">
      <xdr:nvSpPr>
        <xdr:cNvPr id="3" name="TextBox 2">
          <a:extLst>
            <a:ext uri="{FF2B5EF4-FFF2-40B4-BE49-F238E27FC236}">
              <a16:creationId xmlns:a16="http://schemas.microsoft.com/office/drawing/2014/main" id="{C57B9962-8D85-4492-90A7-F07A2A47A8A8}"/>
            </a:ext>
            <a:ext uri="{147F2762-F138-4A5C-976F-8EAC2B608ADB}">
              <a16:predDERef xmlns:a16="http://schemas.microsoft.com/office/drawing/2014/main" pred="{00000000-0008-0000-0800-000002000000}"/>
            </a:ext>
          </a:extLst>
        </xdr:cNvPr>
        <xdr:cNvSpPr txBox="1"/>
      </xdr:nvSpPr>
      <xdr:spPr>
        <a:xfrm>
          <a:off x="1561465" y="2197734"/>
          <a:ext cx="8126518" cy="5147735"/>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chemeClr val="bg1"/>
              </a:solidFill>
            </a:rPr>
            <a:t>PLEASE FILL OUT ALL COLUMNS C-K FOR HQ</a:t>
          </a:r>
          <a:r>
            <a:rPr lang="en-US" sz="4000" b="1" baseline="0">
              <a:solidFill>
                <a:schemeClr val="bg1"/>
              </a:solidFill>
            </a:rPr>
            <a:t> REVIEW.</a:t>
          </a:r>
        </a:p>
        <a:p>
          <a:endParaRPr lang="en-US" sz="4000" b="1" baseline="0">
            <a:solidFill>
              <a:schemeClr val="bg1"/>
            </a:solidFill>
          </a:endParaRPr>
        </a:p>
        <a:p>
          <a:r>
            <a:rPr lang="en-US" sz="4000" b="1" baseline="0">
              <a:solidFill>
                <a:schemeClr val="bg1"/>
              </a:solidFill>
            </a:rPr>
            <a:t>ACTIVITIES  &amp; TARGETS SHOULD CORRESPOND WITH BEN COUNTING TABLE, GANTT CHART IF USED AND ALL APPLICABLE PROPOSAL SECTIONS.</a:t>
          </a:r>
          <a:endParaRPr lang="en-US" sz="4000" b="1">
            <a:solidFill>
              <a:schemeClr val="bg1"/>
            </a:solidFill>
          </a:endParaRPr>
        </a:p>
      </xdr:txBody>
    </xdr:sp>
    <xdr:clientData/>
  </xdr:twoCellAnchor>
  <xdr:twoCellAnchor>
    <xdr:from>
      <xdr:col>2</xdr:col>
      <xdr:colOff>419100</xdr:colOff>
      <xdr:row>0</xdr:row>
      <xdr:rowOff>285750</xdr:rowOff>
    </xdr:from>
    <xdr:to>
      <xdr:col>6</xdr:col>
      <xdr:colOff>1181100</xdr:colOff>
      <xdr:row>4</xdr:row>
      <xdr:rowOff>352425</xdr:rowOff>
    </xdr:to>
    <xdr:sp macro="" textlink="">
      <xdr:nvSpPr>
        <xdr:cNvPr id="4" name="TextBox 3">
          <a:extLst>
            <a:ext uri="{FF2B5EF4-FFF2-40B4-BE49-F238E27FC236}">
              <a16:creationId xmlns:a16="http://schemas.microsoft.com/office/drawing/2014/main" id="{72A49E10-8C2C-4CA8-AAAC-661E6DA46BA8}"/>
            </a:ext>
          </a:extLst>
        </xdr:cNvPr>
        <xdr:cNvSpPr txBox="1"/>
      </xdr:nvSpPr>
      <xdr:spPr>
        <a:xfrm>
          <a:off x="419100" y="285750"/>
          <a:ext cx="7381875" cy="1238250"/>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600" b="1">
              <a:solidFill>
                <a:schemeClr val="bg1"/>
              </a:solidFill>
              <a:latin typeface="+mn-lt"/>
              <a:ea typeface="+mn-lt"/>
              <a:cs typeface="+mn-lt"/>
            </a:rPr>
            <a:t>Logframe tab </a:t>
          </a:r>
          <a:r>
            <a:rPr lang="en-US" sz="1600" b="1" u="sng">
              <a:solidFill>
                <a:schemeClr val="bg1"/>
              </a:solidFill>
              <a:latin typeface="+mn-lt"/>
              <a:ea typeface="+mn-lt"/>
              <a:cs typeface="+mn-lt"/>
            </a:rPr>
            <a:t>must be filled out in its entirety for IHQ review</a:t>
          </a:r>
          <a:r>
            <a:rPr lang="en-US" sz="1600" b="1">
              <a:solidFill>
                <a:schemeClr val="bg1"/>
              </a:solidFill>
              <a:latin typeface="+mn-lt"/>
              <a:ea typeface="+mn-lt"/>
              <a:cs typeface="+mn-lt"/>
            </a:rPr>
            <a:t>.  After the HQ review, the Logframe</a:t>
          </a:r>
          <a:r>
            <a:rPr lang="en-US" sz="1600" b="1" baseline="0">
              <a:solidFill>
                <a:schemeClr val="bg1"/>
              </a:solidFill>
              <a:latin typeface="+mn-lt"/>
              <a:ea typeface="+mn-lt"/>
              <a:cs typeface="+mn-lt"/>
            </a:rPr>
            <a:t> must updated based on HQ feedback,</a:t>
          </a:r>
          <a:r>
            <a:rPr lang="en-US" sz="1600" b="1">
              <a:solidFill>
                <a:schemeClr val="bg1"/>
              </a:solidFill>
              <a:latin typeface="+mn-lt"/>
              <a:ea typeface="+mn-lt"/>
              <a:cs typeface="+mn-lt"/>
            </a:rPr>
            <a:t> </a:t>
          </a:r>
          <a:r>
            <a:rPr lang="en-US" sz="1600" b="1">
              <a:solidFill>
                <a:schemeClr val="bg1"/>
              </a:solidFill>
              <a:effectLst/>
              <a:latin typeface="+mn-lt"/>
              <a:ea typeface="+mn-ea"/>
              <a:cs typeface="+mn-cs"/>
            </a:rPr>
            <a:t>Beneficiary Indicator</a:t>
          </a:r>
          <a:r>
            <a:rPr lang="en-US" sz="1600" b="1" i="0">
              <a:solidFill>
                <a:schemeClr val="bg1"/>
              </a:solidFill>
              <a:effectLst/>
              <a:latin typeface="+mn-lt"/>
              <a:ea typeface="+mn-ea"/>
              <a:cs typeface="+mn-cs"/>
            </a:rPr>
            <a:t> and </a:t>
          </a:r>
          <a:r>
            <a:rPr lang="en-US" sz="1600" b="1">
              <a:solidFill>
                <a:schemeClr val="bg1"/>
              </a:solidFill>
              <a:effectLst/>
              <a:latin typeface="+mn-lt"/>
              <a:ea typeface="+mn-ea"/>
              <a:cs typeface="+mn-cs"/>
            </a:rPr>
            <a:t>People Indicator tabs must be filled out after IHQ review and final copy sent to AMT for filing.</a:t>
          </a:r>
          <a:endParaRPr lang="en-US" sz="1600">
            <a:solidFill>
              <a:schemeClr val="bg1"/>
            </a:solidFill>
            <a:effectLst/>
          </a:endParaRPr>
        </a:p>
        <a:p>
          <a:pPr marL="0" indent="0"/>
          <a:endParaRPr lang="en-US" sz="1600" b="1">
            <a:solidFill>
              <a:schemeClr val="bg1"/>
            </a:solidFill>
            <a:latin typeface="+mn-lt"/>
            <a:ea typeface="+mn-lt"/>
            <a:cs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435743</xdr:colOff>
      <xdr:row>40</xdr:row>
      <xdr:rowOff>114588</xdr:rowOff>
    </xdr:from>
    <xdr:to>
      <xdr:col>14</xdr:col>
      <xdr:colOff>1643303</xdr:colOff>
      <xdr:row>74</xdr:row>
      <xdr:rowOff>7696</xdr:rowOff>
    </xdr:to>
    <xdr:sp macro="" textlink="">
      <xdr:nvSpPr>
        <xdr:cNvPr id="2" name="Rectangle 1">
          <a:extLst>
            <a:ext uri="{FF2B5EF4-FFF2-40B4-BE49-F238E27FC236}">
              <a16:creationId xmlns:a16="http://schemas.microsoft.com/office/drawing/2014/main" id="{C2BA06EB-BE90-42FA-AF6D-EDF4DC10876F}"/>
            </a:ext>
          </a:extLst>
        </xdr:cNvPr>
        <xdr:cNvSpPr/>
      </xdr:nvSpPr>
      <xdr:spPr>
        <a:xfrm>
          <a:off x="1500811" y="8799656"/>
          <a:ext cx="12187287" cy="637010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2400" b="1" i="0" u="none" strike="noStrike">
              <a:solidFill>
                <a:schemeClr val="lt1"/>
              </a:solidFill>
              <a:effectLst/>
              <a:latin typeface="+mn-lt"/>
              <a:ea typeface="+mn-ea"/>
              <a:cs typeface="+mn-cs"/>
            </a:rPr>
            <a:t>FOR PROPOSAL SEASON, PLEASE FILL OUT THIS TABLE.</a:t>
          </a:r>
          <a:r>
            <a:rPr lang="en-US" sz="2400"/>
            <a:t> </a:t>
          </a:r>
        </a:p>
        <a:p>
          <a:endParaRPr lang="en-US" sz="2400" i="0" baseline="0">
            <a:solidFill>
              <a:schemeClr val="lt1"/>
            </a:solidFill>
            <a:effectLst/>
            <a:latin typeface="+mn-lt"/>
            <a:ea typeface="+mn-ea"/>
            <a:cs typeface="+mn-cs"/>
          </a:endParaRPr>
        </a:p>
        <a:p>
          <a:r>
            <a:rPr lang="en-US" sz="2400" i="0" baseline="0">
              <a:solidFill>
                <a:schemeClr val="lt1"/>
              </a:solidFill>
              <a:effectLst/>
              <a:latin typeface="+mn-lt"/>
              <a:ea typeface="+mn-ea"/>
              <a:cs typeface="+mn-cs"/>
            </a:rPr>
            <a:t>It is essential that your program can determine unique beneficiaries. The Beneficiary Counting Template helps guide the user on how to aggregate numbers for global indicators within a project.</a:t>
          </a:r>
        </a:p>
        <a:p>
          <a:endParaRPr lang="en-US" sz="2400" i="0" baseline="0">
            <a:solidFill>
              <a:schemeClr val="lt1"/>
            </a:solidFill>
            <a:effectLst/>
            <a:latin typeface="+mn-lt"/>
            <a:ea typeface="+mn-ea"/>
            <a:cs typeface="+mn-cs"/>
          </a:endParaRPr>
        </a:p>
        <a:p>
          <a:r>
            <a:rPr lang="en-US" sz="2400" i="0" baseline="0">
              <a:solidFill>
                <a:schemeClr val="lt1"/>
              </a:solidFill>
              <a:effectLst/>
              <a:latin typeface="+mn-lt"/>
              <a:ea typeface="+mn-ea"/>
              <a:cs typeface="+mn-cs"/>
            </a:rPr>
            <a:t>If this is a subsequent project, you may unhide columns B-F to see if indicator codes have changed for your activity over time.</a:t>
          </a:r>
        </a:p>
        <a:p>
          <a:endParaRPr lang="en-US" sz="2400" i="0" baseline="0">
            <a:solidFill>
              <a:schemeClr val="lt1"/>
            </a:solidFill>
            <a:effectLst/>
            <a:latin typeface="+mn-lt"/>
            <a:ea typeface="+mn-ea"/>
            <a:cs typeface="+mn-cs"/>
          </a:endParaRPr>
        </a:p>
        <a:p>
          <a:r>
            <a:rPr lang="en-US" sz="2400" i="0" baseline="0">
              <a:solidFill>
                <a:schemeClr val="lt1"/>
              </a:solidFill>
              <a:effectLst/>
              <a:latin typeface="+mn-lt"/>
              <a:ea typeface="+mn-ea"/>
              <a:cs typeface="+mn-cs"/>
            </a:rPr>
            <a:t>Things to consider:</a:t>
          </a:r>
        </a:p>
        <a:p>
          <a:r>
            <a:rPr lang="en-US" sz="2400" i="0" baseline="0">
              <a:solidFill>
                <a:schemeClr val="lt1"/>
              </a:solidFill>
              <a:effectLst/>
              <a:latin typeface="+mn-lt"/>
              <a:ea typeface="+mn-ea"/>
              <a:cs typeface="+mn-cs"/>
            </a:rPr>
            <a:t>Does your program have a beneficiary list that can track activities across unique beneficiaries?  </a:t>
          </a:r>
          <a:endParaRPr lang="en-US" sz="2400" i="0">
            <a:effectLst/>
          </a:endParaRPr>
        </a:p>
        <a:p>
          <a:r>
            <a:rPr lang="en-US" sz="2400" i="0" baseline="0">
              <a:solidFill>
                <a:schemeClr val="lt1"/>
              </a:solidFill>
              <a:effectLst/>
              <a:latin typeface="+mn-lt"/>
              <a:ea typeface="+mn-ea"/>
              <a:cs typeface="+mn-cs"/>
            </a:rPr>
            <a:t>Does your program have data collection tools for programmatic activities that capture new, returning, and gender across time?  </a:t>
          </a:r>
          <a:endParaRPr lang="en-US" sz="2400" i="0">
            <a:effectLst/>
          </a:endParaRPr>
        </a:p>
        <a:p>
          <a:r>
            <a:rPr lang="en-US" sz="2400" i="0" baseline="0">
              <a:solidFill>
                <a:schemeClr val="lt1"/>
              </a:solidFill>
              <a:effectLst/>
              <a:latin typeface="+mn-lt"/>
              <a:ea typeface="+mn-ea"/>
              <a:cs typeface="+mn-cs"/>
            </a:rPr>
            <a:t>How do you make sure there is no double counting within 1) monthly period and 2) across the life of the project?   </a:t>
          </a:r>
          <a:endParaRPr lang="en-US" sz="2400" i="0">
            <a:effectLst/>
          </a:endParaRPr>
        </a:p>
        <a:p>
          <a:r>
            <a:rPr lang="en-US" sz="2400" i="0" baseline="0">
              <a:solidFill>
                <a:schemeClr val="lt1"/>
              </a:solidFill>
              <a:effectLst/>
              <a:latin typeface="+mn-lt"/>
              <a:ea typeface="+mn-ea"/>
              <a:cs typeface="+mn-cs"/>
            </a:rPr>
            <a:t>What is your mitigation plan to ensure that accurate numbers are reported monthly and for the life of the project? </a:t>
          </a:r>
        </a:p>
        <a:p>
          <a:endParaRPr lang="en-US" sz="2400" i="0" baseline="0">
            <a:solidFill>
              <a:schemeClr val="lt1"/>
            </a:solidFill>
            <a:effectLst/>
            <a:latin typeface="+mn-lt"/>
            <a:ea typeface="+mn-ea"/>
            <a:cs typeface="+mn-cs"/>
          </a:endParaRPr>
        </a:p>
        <a:p>
          <a:r>
            <a:rPr lang="en-US" sz="2400" i="0" baseline="0">
              <a:solidFill>
                <a:schemeClr val="lt1"/>
              </a:solidFill>
              <a:effectLst/>
              <a:latin typeface="+mn-lt"/>
              <a:ea typeface="+mn-ea"/>
              <a:cs typeface="+mn-cs"/>
            </a:rPr>
            <a:t>For further assistance, please reach out to pmt@samaritan.org. </a:t>
          </a:r>
          <a:endParaRPr lang="en-US" sz="2400" i="0">
            <a:effectLst/>
          </a:endParaRPr>
        </a:p>
      </xdr:txBody>
    </xdr:sp>
    <xdr:clientData/>
  </xdr:twoCellAnchor>
  <xdr:twoCellAnchor>
    <xdr:from>
      <xdr:col>6</xdr:col>
      <xdr:colOff>77932</xdr:colOff>
      <xdr:row>2</xdr:row>
      <xdr:rowOff>69273</xdr:rowOff>
    </xdr:from>
    <xdr:to>
      <xdr:col>10</xdr:col>
      <xdr:colOff>541193</xdr:colOff>
      <xdr:row>3</xdr:row>
      <xdr:rowOff>103909</xdr:rowOff>
    </xdr:to>
    <xdr:sp macro="" textlink="">
      <xdr:nvSpPr>
        <xdr:cNvPr id="3" name="TextBox 2">
          <a:extLst>
            <a:ext uri="{FF2B5EF4-FFF2-40B4-BE49-F238E27FC236}">
              <a16:creationId xmlns:a16="http://schemas.microsoft.com/office/drawing/2014/main" id="{86D9F1D8-EFB2-4654-9A92-BD44E11E8E3B}"/>
            </a:ext>
          </a:extLst>
        </xdr:cNvPr>
        <xdr:cNvSpPr txBox="1"/>
      </xdr:nvSpPr>
      <xdr:spPr>
        <a:xfrm>
          <a:off x="77932" y="458932"/>
          <a:ext cx="7381875" cy="1238250"/>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600" b="1">
              <a:solidFill>
                <a:schemeClr val="bg1"/>
              </a:solidFill>
              <a:latin typeface="+mn-lt"/>
              <a:ea typeface="+mn-lt"/>
              <a:cs typeface="+mn-lt"/>
            </a:rPr>
            <a:t>Beneficiary Count</a:t>
          </a:r>
          <a:r>
            <a:rPr lang="en-US" sz="1600" b="1" baseline="0">
              <a:solidFill>
                <a:schemeClr val="bg1"/>
              </a:solidFill>
              <a:latin typeface="+mn-lt"/>
              <a:ea typeface="+mn-lt"/>
              <a:cs typeface="+mn-lt"/>
            </a:rPr>
            <a:t> Template</a:t>
          </a:r>
          <a:r>
            <a:rPr lang="en-US" sz="1600" b="1">
              <a:solidFill>
                <a:schemeClr val="bg1"/>
              </a:solidFill>
              <a:latin typeface="+mn-lt"/>
              <a:ea typeface="+mn-lt"/>
              <a:cs typeface="+mn-lt"/>
            </a:rPr>
            <a:t> tab </a:t>
          </a:r>
          <a:r>
            <a:rPr lang="en-US" sz="1600" b="1" u="sng">
              <a:solidFill>
                <a:schemeClr val="bg1"/>
              </a:solidFill>
              <a:latin typeface="+mn-lt"/>
              <a:ea typeface="+mn-lt"/>
              <a:cs typeface="+mn-lt"/>
            </a:rPr>
            <a:t>must be filled out in its entirety for IHQ review</a:t>
          </a:r>
          <a:r>
            <a:rPr lang="en-US" sz="1600" b="1">
              <a:solidFill>
                <a:schemeClr val="bg1"/>
              </a:solidFill>
              <a:latin typeface="+mn-lt"/>
              <a:ea typeface="+mn-lt"/>
              <a:cs typeface="+mn-lt"/>
            </a:rPr>
            <a:t>.  After the HQ review, the Beneficiary Count</a:t>
          </a:r>
          <a:r>
            <a:rPr lang="en-US" sz="1600" b="1" baseline="0">
              <a:solidFill>
                <a:schemeClr val="bg1"/>
              </a:solidFill>
              <a:latin typeface="+mn-lt"/>
              <a:ea typeface="+mn-lt"/>
              <a:cs typeface="+mn-lt"/>
            </a:rPr>
            <a:t> Table and </a:t>
          </a:r>
          <a:r>
            <a:rPr lang="en-US" sz="1600" b="1">
              <a:solidFill>
                <a:schemeClr val="bg1"/>
              </a:solidFill>
              <a:latin typeface="+mn-lt"/>
              <a:ea typeface="+mn-lt"/>
              <a:cs typeface="+mn-lt"/>
            </a:rPr>
            <a:t>Logframe</a:t>
          </a:r>
          <a:r>
            <a:rPr lang="en-US" sz="1600" b="1" baseline="0">
              <a:solidFill>
                <a:schemeClr val="bg1"/>
              </a:solidFill>
              <a:latin typeface="+mn-lt"/>
              <a:ea typeface="+mn-lt"/>
              <a:cs typeface="+mn-lt"/>
            </a:rPr>
            <a:t> must updated based on HQ feedback,</a:t>
          </a:r>
          <a:r>
            <a:rPr lang="en-US" sz="1600" b="1">
              <a:solidFill>
                <a:schemeClr val="bg1"/>
              </a:solidFill>
              <a:latin typeface="+mn-lt"/>
              <a:ea typeface="+mn-lt"/>
              <a:cs typeface="+mn-lt"/>
            </a:rPr>
            <a:t> </a:t>
          </a:r>
          <a:r>
            <a:rPr lang="en-US" sz="1600" b="1">
              <a:solidFill>
                <a:schemeClr val="bg1"/>
              </a:solidFill>
              <a:effectLst/>
              <a:latin typeface="+mn-lt"/>
              <a:ea typeface="+mn-ea"/>
              <a:cs typeface="+mn-cs"/>
            </a:rPr>
            <a:t>Beneficiary Indicator</a:t>
          </a:r>
          <a:r>
            <a:rPr lang="en-US" sz="1600" b="1" i="0">
              <a:solidFill>
                <a:schemeClr val="bg1"/>
              </a:solidFill>
              <a:effectLst/>
              <a:latin typeface="+mn-lt"/>
              <a:ea typeface="+mn-ea"/>
              <a:cs typeface="+mn-cs"/>
            </a:rPr>
            <a:t> and </a:t>
          </a:r>
          <a:r>
            <a:rPr lang="en-US" sz="1600" b="1">
              <a:solidFill>
                <a:schemeClr val="bg1"/>
              </a:solidFill>
              <a:effectLst/>
              <a:latin typeface="+mn-lt"/>
              <a:ea typeface="+mn-ea"/>
              <a:cs typeface="+mn-cs"/>
            </a:rPr>
            <a:t>People Indicator tabs must be filled out and final copy sent to AMT for filing.</a:t>
          </a:r>
          <a:endParaRPr lang="en-US" sz="1600">
            <a:solidFill>
              <a:schemeClr val="bg1"/>
            </a:solidFill>
            <a:effectLst/>
          </a:endParaRPr>
        </a:p>
        <a:p>
          <a:pPr marL="0" indent="0"/>
          <a:endParaRPr lang="en-US" sz="1600" b="1">
            <a:solidFill>
              <a:schemeClr val="bg1"/>
            </a:solidFill>
            <a:latin typeface="+mn-lt"/>
            <a:ea typeface="+mn-lt"/>
            <a:cs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425451</xdr:colOff>
      <xdr:row>1</xdr:row>
      <xdr:rowOff>122238</xdr:rowOff>
    </xdr:from>
    <xdr:to>
      <xdr:col>1</xdr:col>
      <xdr:colOff>23812</xdr:colOff>
      <xdr:row>3</xdr:row>
      <xdr:rowOff>315119</xdr:rowOff>
    </xdr:to>
    <xdr:pic>
      <xdr:nvPicPr>
        <xdr:cNvPr id="4" name="Picture 3">
          <a:extLst>
            <a:ext uri="{FF2B5EF4-FFF2-40B4-BE49-F238E27FC236}">
              <a16:creationId xmlns:a16="http://schemas.microsoft.com/office/drawing/2014/main" id="{18F5A2CC-82E8-4B12-8F0E-DF6702A43694}"/>
            </a:ext>
          </a:extLst>
        </xdr:cNvPr>
        <xdr:cNvPicPr>
          <a:picLocks noChangeAspect="1"/>
        </xdr:cNvPicPr>
      </xdr:nvPicPr>
      <xdr:blipFill>
        <a:blip xmlns:r="http://schemas.openxmlformats.org/officeDocument/2006/relationships" r:embed="rId1"/>
        <a:stretch>
          <a:fillRect/>
        </a:stretch>
      </xdr:blipFill>
      <xdr:spPr>
        <a:xfrm>
          <a:off x="425451" y="122238"/>
          <a:ext cx="590549" cy="573881"/>
        </a:xfrm>
        <a:prstGeom prst="rect">
          <a:avLst/>
        </a:prstGeom>
      </xdr:spPr>
    </xdr:pic>
    <xdr:clientData/>
  </xdr:twoCellAnchor>
  <xdr:twoCellAnchor>
    <xdr:from>
      <xdr:col>5</xdr:col>
      <xdr:colOff>190500</xdr:colOff>
      <xdr:row>5</xdr:row>
      <xdr:rowOff>103188</xdr:rowOff>
    </xdr:from>
    <xdr:to>
      <xdr:col>42</xdr:col>
      <xdr:colOff>75803</xdr:colOff>
      <xdr:row>13</xdr:row>
      <xdr:rowOff>158750</xdr:rowOff>
    </xdr:to>
    <xdr:sp macro="" textlink="">
      <xdr:nvSpPr>
        <xdr:cNvPr id="5" name="Rectangle 4">
          <a:extLst>
            <a:ext uri="{FF2B5EF4-FFF2-40B4-BE49-F238E27FC236}">
              <a16:creationId xmlns:a16="http://schemas.microsoft.com/office/drawing/2014/main" id="{BF084F20-102F-403B-A1CE-54B5C2ED94F9}"/>
            </a:ext>
          </a:extLst>
        </xdr:cNvPr>
        <xdr:cNvSpPr/>
      </xdr:nvSpPr>
      <xdr:spPr>
        <a:xfrm>
          <a:off x="7302500" y="1206501"/>
          <a:ext cx="7814866" cy="189706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t">
          <a:noAutofit/>
        </a:bodyPr>
        <a:lstStyle/>
        <a:p>
          <a:pPr marL="0" indent="0" algn="l"/>
          <a:r>
            <a:rPr lang="en-US" sz="1100" b="1" i="0" u="none" strike="noStrike">
              <a:solidFill>
                <a:schemeClr val="lt1"/>
              </a:solidFill>
              <a:latin typeface="Calibri" panose="020F0502020204030204" pitchFamily="34" charset="0"/>
              <a:cs typeface="Calibri" panose="020F0502020204030204" pitchFamily="34" charset="0"/>
            </a:rPr>
            <a:t>Gantt Chart: Projects must complete this Gantt Chart template as part of the full proposal submission package</a:t>
          </a:r>
        </a:p>
        <a:p>
          <a:pPr marL="0" indent="0" algn="l"/>
          <a:endParaRPr lang="en-US" sz="1100" b="0" i="0" u="none" strike="noStrike">
            <a:solidFill>
              <a:schemeClr val="lt1"/>
            </a:solidFill>
            <a:latin typeface="Calibri" panose="020F0502020204030204" pitchFamily="34" charset="0"/>
            <a:cs typeface="Calibri" panose="020F0502020204030204" pitchFamily="34" charset="0"/>
          </a:endParaRPr>
        </a:p>
        <a:p>
          <a:pPr marL="0" indent="0" algn="l"/>
          <a:r>
            <a:rPr lang="en-US" b="1"/>
            <a:t>Project Start Date:</a:t>
          </a:r>
          <a:r>
            <a:rPr lang="en-US"/>
            <a:t> Enter the project's start date in cell D3.</a:t>
          </a:r>
        </a:p>
        <a:p>
          <a:pPr marL="0" indent="0" algn="l"/>
          <a:r>
            <a:rPr lang="en-US" b="1"/>
            <a:t>Activity Code:</a:t>
          </a:r>
          <a:r>
            <a:rPr lang="en-US"/>
            <a:t> This is required only for main activities. Please leave it blank for sub-activities.</a:t>
          </a:r>
        </a:p>
        <a:p>
          <a:pPr marL="0" indent="0" algn="l"/>
          <a:r>
            <a:rPr lang="en-US" b="1"/>
            <a:t>Activity Level:</a:t>
          </a:r>
          <a:r>
            <a:rPr lang="en-US"/>
            <a:t> There are two options: "Main Activity" and "Sub Activity."</a:t>
          </a:r>
        </a:p>
        <a:p>
          <a:pPr marL="0" indent="0" algn="l"/>
          <a:r>
            <a:rPr lang="en-US" b="1"/>
            <a:t>Activity Description:</a:t>
          </a:r>
          <a:r>
            <a:rPr lang="en-US"/>
            <a:t> For main activities, you can copy from the project logframe. You can type sub-activities to be consistent with the main activity.</a:t>
          </a:r>
        </a:p>
        <a:p>
          <a:pPr marL="0" indent="0" algn="l"/>
          <a:r>
            <a:rPr lang="en-US" b="1"/>
            <a:t>Person Responsible:</a:t>
          </a:r>
          <a:r>
            <a:rPr lang="en-US"/>
            <a:t> Please include the staff member who will hold primary responsibility for completing the activity.</a:t>
          </a:r>
        </a:p>
        <a:p>
          <a:pPr marL="0" indent="0" algn="l"/>
          <a:r>
            <a:rPr lang="en-US" b="1"/>
            <a:t>Completion Month:</a:t>
          </a:r>
          <a:r>
            <a:rPr lang="en-US"/>
            <a:t> Indicate the month in which the activity will be completed with a tick mark ("x").</a:t>
          </a:r>
          <a:endParaRPr lang="en-US" sz="1100" b="0" i="0" u="none" strike="noStrike">
            <a:solidFill>
              <a:schemeClr val="lt1"/>
            </a:solidFill>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10</xdr:row>
      <xdr:rowOff>85725</xdr:rowOff>
    </xdr:from>
    <xdr:to>
      <xdr:col>9</xdr:col>
      <xdr:colOff>114300</xdr:colOff>
      <xdr:row>16</xdr:row>
      <xdr:rowOff>15875</xdr:rowOff>
    </xdr:to>
    <xdr:sp macro="" textlink="">
      <xdr:nvSpPr>
        <xdr:cNvPr id="2" name="TextBox 1">
          <a:extLst>
            <a:ext uri="{FF2B5EF4-FFF2-40B4-BE49-F238E27FC236}">
              <a16:creationId xmlns:a16="http://schemas.microsoft.com/office/drawing/2014/main" id="{957C5753-B7EA-4894-B5F4-31BE6E64EC28}"/>
            </a:ext>
          </a:extLst>
        </xdr:cNvPr>
        <xdr:cNvSpPr txBox="1"/>
      </xdr:nvSpPr>
      <xdr:spPr>
        <a:xfrm>
          <a:off x="0" y="2181225"/>
          <a:ext cx="7753350" cy="10350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a:solidFill>
                <a:schemeClr val="bg1"/>
              </a:solidFill>
              <a:latin typeface="+mn-lt"/>
              <a:ea typeface="+mn-lt"/>
              <a:cs typeface="+mn-lt"/>
            </a:rPr>
            <a:t>Beneficiary Indicator</a:t>
          </a:r>
          <a:r>
            <a:rPr lang="en-US" sz="1600" b="1" i="0" u="none" strike="noStrike">
              <a:solidFill>
                <a:schemeClr val="bg1"/>
              </a:solidFill>
              <a:latin typeface="Calibri" panose="020F0502020204030204" pitchFamily="34" charset="0"/>
              <a:cs typeface="Calibri" panose="020F0502020204030204" pitchFamily="34" charset="0"/>
            </a:rPr>
            <a:t> and </a:t>
          </a:r>
          <a:r>
            <a:rPr lang="en-US" sz="1600" b="1">
              <a:solidFill>
                <a:schemeClr val="bg1"/>
              </a:solidFill>
              <a:latin typeface="+mn-lt"/>
              <a:ea typeface="+mn-lt"/>
              <a:cs typeface="+mn-lt"/>
            </a:rPr>
            <a:t>People Indicator tabs must be filled out after IHQ review and final copy sent to AMT for filing.</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288</xdr:row>
      <xdr:rowOff>97155</xdr:rowOff>
    </xdr:from>
    <xdr:to>
      <xdr:col>21</xdr:col>
      <xdr:colOff>229235</xdr:colOff>
      <xdr:row>294</xdr:row>
      <xdr:rowOff>26670</xdr:rowOff>
    </xdr:to>
    <xdr:sp macro="" textlink="">
      <xdr:nvSpPr>
        <xdr:cNvPr id="2" name="TextBox 1">
          <a:extLst>
            <a:ext uri="{FF2B5EF4-FFF2-40B4-BE49-F238E27FC236}">
              <a16:creationId xmlns:a16="http://schemas.microsoft.com/office/drawing/2014/main" id="{CA428EB1-F2D1-4216-A748-6F610BBDD978}"/>
            </a:ext>
          </a:extLst>
        </xdr:cNvPr>
        <xdr:cNvSpPr txBox="1"/>
      </xdr:nvSpPr>
      <xdr:spPr>
        <a:xfrm>
          <a:off x="0" y="56923305"/>
          <a:ext cx="14421485" cy="1015365"/>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a:solidFill>
                <a:schemeClr val="bg1"/>
              </a:solidFill>
              <a:latin typeface="+mn-lt"/>
              <a:ea typeface="+mn-lt"/>
              <a:cs typeface="+mn-lt"/>
            </a:rPr>
            <a:t>Beneficiary Indicator</a:t>
          </a:r>
          <a:r>
            <a:rPr lang="en-US" sz="1600" b="1" i="0" u="none" strike="noStrike">
              <a:solidFill>
                <a:schemeClr val="bg1"/>
              </a:solidFill>
              <a:latin typeface="Calibri" panose="020F0502020204030204" pitchFamily="34" charset="0"/>
              <a:cs typeface="Calibri" panose="020F0502020204030204" pitchFamily="34" charset="0"/>
            </a:rPr>
            <a:t> and </a:t>
          </a:r>
          <a:r>
            <a:rPr lang="en-US" sz="1600" b="1">
              <a:solidFill>
                <a:schemeClr val="bg1"/>
              </a:solidFill>
              <a:latin typeface="+mn-lt"/>
              <a:ea typeface="+mn-lt"/>
              <a:cs typeface="+mn-lt"/>
            </a:rPr>
            <a:t>People Indicator</a:t>
          </a:r>
          <a:r>
            <a:rPr lang="en-US" sz="1600" b="1" i="0" u="none" strike="noStrike">
              <a:solidFill>
                <a:schemeClr val="bg1"/>
              </a:solidFill>
              <a:latin typeface="Calibri" panose="020F0502020204030204" pitchFamily="34" charset="0"/>
              <a:cs typeface="Calibri" panose="020F0502020204030204" pitchFamily="34" charset="0"/>
            </a:rPr>
            <a:t> </a:t>
          </a:r>
          <a:r>
            <a:rPr lang="en-US" sz="1600" b="1">
              <a:solidFill>
                <a:schemeClr val="bg1"/>
              </a:solidFill>
              <a:latin typeface="+mn-lt"/>
              <a:ea typeface="+mn-lt"/>
              <a:cs typeface="+mn-lt"/>
            </a:rPr>
            <a:t>tabs must be filled out after IHQ review and final copy sent to AMT for filing.</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1405890</xdr:colOff>
      <xdr:row>9</xdr:row>
      <xdr:rowOff>1905</xdr:rowOff>
    </xdr:from>
    <xdr:to>
      <xdr:col>14</xdr:col>
      <xdr:colOff>198120</xdr:colOff>
      <xdr:row>13</xdr:row>
      <xdr:rowOff>66675</xdr:rowOff>
    </xdr:to>
    <xdr:sp macro="" textlink="">
      <xdr:nvSpPr>
        <xdr:cNvPr id="2" name="TextBox 1">
          <a:extLst>
            <a:ext uri="{FF2B5EF4-FFF2-40B4-BE49-F238E27FC236}">
              <a16:creationId xmlns:a16="http://schemas.microsoft.com/office/drawing/2014/main" id="{30891E5B-3B8A-44FD-BBF5-564F66D02FD2}"/>
            </a:ext>
          </a:extLst>
        </xdr:cNvPr>
        <xdr:cNvSpPr txBox="1"/>
      </xdr:nvSpPr>
      <xdr:spPr>
        <a:xfrm>
          <a:off x="2272665" y="1878330"/>
          <a:ext cx="9203055" cy="67437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i="0" u="none" strike="noStrike">
              <a:solidFill>
                <a:schemeClr val="bg1"/>
              </a:solidFill>
              <a:latin typeface="Calibri" panose="020F0502020204030204" pitchFamily="34" charset="0"/>
              <a:cs typeface="Calibri" panose="020F0502020204030204" pitchFamily="34" charset="0"/>
            </a:rPr>
            <a:t>Per the guidance in the PM FOG, after IHQ review, use this tab to provide additional details on how STOs and/or MTOs will be measured and send a final copy to AMT for filing.</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95250</xdr:colOff>
      <xdr:row>2</xdr:row>
      <xdr:rowOff>296334</xdr:rowOff>
    </xdr:from>
    <xdr:to>
      <xdr:col>20</xdr:col>
      <xdr:colOff>412750</xdr:colOff>
      <xdr:row>6</xdr:row>
      <xdr:rowOff>317500</xdr:rowOff>
    </xdr:to>
    <xdr:sp macro="[0]!RefreshPivot" textlink="">
      <xdr:nvSpPr>
        <xdr:cNvPr id="2" name="Rounded Rectangle 1">
          <a:extLst>
            <a:ext uri="{FF2B5EF4-FFF2-40B4-BE49-F238E27FC236}">
              <a16:creationId xmlns:a16="http://schemas.microsoft.com/office/drawing/2014/main" id="{00000000-0008-0000-0100-000002000000}"/>
            </a:ext>
          </a:extLst>
        </xdr:cNvPr>
        <xdr:cNvSpPr/>
      </xdr:nvSpPr>
      <xdr:spPr>
        <a:xfrm>
          <a:off x="20997333" y="878417"/>
          <a:ext cx="4614334" cy="1439333"/>
        </a:xfrm>
        <a:prstGeom prst="roundRect">
          <a:avLst/>
        </a:prstGeom>
        <a:gradFill flip="none" rotWithShape="1">
          <a:gsLst>
            <a:gs pos="0">
              <a:srgbClr val="92D050"/>
            </a:gs>
            <a:gs pos="100000">
              <a:schemeClr val="accent6">
                <a:lumMod val="75000"/>
                <a:shade val="100000"/>
                <a:satMod val="115000"/>
              </a:schemeClr>
            </a:gs>
          </a:gsLst>
          <a:lin ang="0" scaled="1"/>
          <a:tileRect/>
        </a:gradFill>
        <a:ln>
          <a:solidFill>
            <a:schemeClr val="bg1">
              <a:lumMod val="65000"/>
            </a:schemeClr>
          </a:solidFill>
        </a:ln>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REFRESH</a:t>
          </a:r>
          <a:r>
            <a:rPr lang="en-US" sz="3200" baseline="0"/>
            <a:t> WORKBOOK</a:t>
          </a:r>
        </a:p>
        <a:p>
          <a:pPr algn="ctr"/>
          <a:r>
            <a:rPr lang="en-US" sz="1100" i="1"/>
            <a:t>(Click after final entry in Logframe)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66674</xdr:colOff>
      <xdr:row>2</xdr:row>
      <xdr:rowOff>419100</xdr:rowOff>
    </xdr:from>
    <xdr:to>
      <xdr:col>25</xdr:col>
      <xdr:colOff>328083</xdr:colOff>
      <xdr:row>14</xdr:row>
      <xdr:rowOff>0</xdr:rowOff>
    </xdr:to>
    <xdr:sp macro="" textlink="">
      <xdr:nvSpPr>
        <xdr:cNvPr id="2" name="Oval 1">
          <a:extLst>
            <a:ext uri="{FF2B5EF4-FFF2-40B4-BE49-F238E27FC236}">
              <a16:creationId xmlns:a16="http://schemas.microsoft.com/office/drawing/2014/main" id="{810B0BD8-3AC4-4D78-96D7-8E0AEFAF699F}"/>
            </a:ext>
          </a:extLst>
        </xdr:cNvPr>
        <xdr:cNvSpPr/>
      </xdr:nvSpPr>
      <xdr:spPr>
        <a:xfrm>
          <a:off x="16058091" y="810683"/>
          <a:ext cx="8241242" cy="515831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t>P040100</a:t>
          </a:r>
          <a:r>
            <a:rPr lang="en-US" sz="1800" baseline="0"/>
            <a:t> # of beneficiaries of acute malnutrition services </a:t>
          </a:r>
          <a:r>
            <a:rPr lang="en-US" sz="1800"/>
            <a:t>=3,750</a:t>
          </a:r>
        </a:p>
      </xdr:txBody>
    </xdr:sp>
    <xdr:clientData/>
  </xdr:twoCellAnchor>
  <xdr:twoCellAnchor>
    <xdr:from>
      <xdr:col>13</xdr:col>
      <xdr:colOff>314325</xdr:colOff>
      <xdr:row>3</xdr:row>
      <xdr:rowOff>447675</xdr:rowOff>
    </xdr:from>
    <xdr:to>
      <xdr:col>18</xdr:col>
      <xdr:colOff>142875</xdr:colOff>
      <xdr:row>10</xdr:row>
      <xdr:rowOff>371475</xdr:rowOff>
    </xdr:to>
    <xdr:sp macro="" textlink="">
      <xdr:nvSpPr>
        <xdr:cNvPr id="3" name="Oval 2">
          <a:extLst>
            <a:ext uri="{FF2B5EF4-FFF2-40B4-BE49-F238E27FC236}">
              <a16:creationId xmlns:a16="http://schemas.microsoft.com/office/drawing/2014/main" id="{DB53F6E7-E461-4B53-B774-A164603DD293}"/>
            </a:ext>
          </a:extLst>
        </xdr:cNvPr>
        <xdr:cNvSpPr/>
      </xdr:nvSpPr>
      <xdr:spPr>
        <a:xfrm>
          <a:off x="13487400" y="1781175"/>
          <a:ext cx="2876550" cy="2305050"/>
        </a:xfrm>
        <a:prstGeom prst="ellipse">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P040105 U2</a:t>
          </a:r>
          <a:r>
            <a:rPr lang="en-US" sz="1600" baseline="0"/>
            <a:t> BSFP</a:t>
          </a:r>
          <a:r>
            <a:rPr lang="en-US" sz="1600"/>
            <a:t> 2,500</a:t>
          </a:r>
        </a:p>
      </xdr:txBody>
    </xdr:sp>
    <xdr:clientData/>
  </xdr:twoCellAnchor>
  <xdr:twoCellAnchor>
    <xdr:from>
      <xdr:col>14</xdr:col>
      <xdr:colOff>466725</xdr:colOff>
      <xdr:row>5</xdr:row>
      <xdr:rowOff>314325</xdr:rowOff>
    </xdr:from>
    <xdr:to>
      <xdr:col>17</xdr:col>
      <xdr:colOff>171450</xdr:colOff>
      <xdr:row>10</xdr:row>
      <xdr:rowOff>66675</xdr:rowOff>
    </xdr:to>
    <xdr:sp macro="" textlink="">
      <xdr:nvSpPr>
        <xdr:cNvPr id="4" name="Oval 3">
          <a:extLst>
            <a:ext uri="{FF2B5EF4-FFF2-40B4-BE49-F238E27FC236}">
              <a16:creationId xmlns:a16="http://schemas.microsoft.com/office/drawing/2014/main" id="{FF536AD9-5923-46DF-B262-C279F730BBD6}"/>
            </a:ext>
          </a:extLst>
        </xdr:cNvPr>
        <xdr:cNvSpPr/>
      </xdr:nvSpPr>
      <xdr:spPr>
        <a:xfrm>
          <a:off x="14249400" y="2600325"/>
          <a:ext cx="1533525" cy="1181100"/>
        </a:xfrm>
        <a:prstGeom prst="ellips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ysClr val="windowText" lastClr="000000"/>
              </a:solidFill>
            </a:rPr>
            <a:t>P040103 U2 MAM</a:t>
          </a:r>
          <a:r>
            <a:rPr lang="en-US" sz="1400" baseline="0">
              <a:solidFill>
                <a:sysClr val="windowText" lastClr="000000"/>
              </a:solidFill>
            </a:rPr>
            <a:t> TSFP </a:t>
          </a:r>
          <a:r>
            <a:rPr lang="en-US" sz="1400">
              <a:solidFill>
                <a:sysClr val="windowText" lastClr="000000"/>
              </a:solidFill>
            </a:rPr>
            <a:t>= 950</a:t>
          </a:r>
        </a:p>
      </xdr:txBody>
    </xdr:sp>
    <xdr:clientData/>
  </xdr:twoCellAnchor>
  <xdr:twoCellAnchor>
    <xdr:from>
      <xdr:col>5</xdr:col>
      <xdr:colOff>169334</xdr:colOff>
      <xdr:row>3</xdr:row>
      <xdr:rowOff>42333</xdr:rowOff>
    </xdr:from>
    <xdr:to>
      <xdr:col>7</xdr:col>
      <xdr:colOff>148167</xdr:colOff>
      <xdr:row>6</xdr:row>
      <xdr:rowOff>476250</xdr:rowOff>
    </xdr:to>
    <xdr:sp macro="" textlink="">
      <xdr:nvSpPr>
        <xdr:cNvPr id="5" name="Rectangle 4">
          <a:extLst>
            <a:ext uri="{FF2B5EF4-FFF2-40B4-BE49-F238E27FC236}">
              <a16:creationId xmlns:a16="http://schemas.microsoft.com/office/drawing/2014/main" id="{77985CBB-A594-4E85-B065-021F38D941E9}"/>
            </a:ext>
          </a:extLst>
        </xdr:cNvPr>
        <xdr:cNvSpPr/>
      </xdr:nvSpPr>
      <xdr:spPr>
        <a:xfrm>
          <a:off x="7863417" y="1629833"/>
          <a:ext cx="2201333" cy="1957917"/>
        </a:xfrm>
        <a:prstGeom prst="rect">
          <a:avLst/>
        </a:prstGeom>
        <a:noFill/>
        <a:ln w="38100">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105834</xdr:colOff>
      <xdr:row>6</xdr:row>
      <xdr:rowOff>444500</xdr:rowOff>
    </xdr:from>
    <xdr:to>
      <xdr:col>8</xdr:col>
      <xdr:colOff>74084</xdr:colOff>
      <xdr:row>7</xdr:row>
      <xdr:rowOff>169333</xdr:rowOff>
    </xdr:to>
    <xdr:cxnSp macro="">
      <xdr:nvCxnSpPr>
        <xdr:cNvPr id="7" name="Straight Arrow Connector 6">
          <a:extLst>
            <a:ext uri="{FF2B5EF4-FFF2-40B4-BE49-F238E27FC236}">
              <a16:creationId xmlns:a16="http://schemas.microsoft.com/office/drawing/2014/main" id="{89F73C8F-D9E2-45B0-B2B7-CC6935B392A4}"/>
            </a:ext>
          </a:extLst>
        </xdr:cNvPr>
        <xdr:cNvCxnSpPr/>
      </xdr:nvCxnSpPr>
      <xdr:spPr>
        <a:xfrm>
          <a:off x="10022417" y="3556000"/>
          <a:ext cx="1079500" cy="296333"/>
        </a:xfrm>
        <a:prstGeom prst="straightConnector1">
          <a:avLst/>
        </a:prstGeom>
        <a:ln w="38100">
          <a:solidFill>
            <a:srgbClr val="7030A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14</xdr:row>
      <xdr:rowOff>560917</xdr:rowOff>
    </xdr:from>
    <xdr:to>
      <xdr:col>5</xdr:col>
      <xdr:colOff>10584</xdr:colOff>
      <xdr:row>15</xdr:row>
      <xdr:rowOff>550333</xdr:rowOff>
    </xdr:to>
    <xdr:sp macro="" textlink="">
      <xdr:nvSpPr>
        <xdr:cNvPr id="8" name="Rectangle 7">
          <a:extLst>
            <a:ext uri="{FF2B5EF4-FFF2-40B4-BE49-F238E27FC236}">
              <a16:creationId xmlns:a16="http://schemas.microsoft.com/office/drawing/2014/main" id="{E51AF059-B1E0-4D77-9B2F-E192206FD5BC}"/>
            </a:ext>
          </a:extLst>
        </xdr:cNvPr>
        <xdr:cNvSpPr/>
      </xdr:nvSpPr>
      <xdr:spPr>
        <a:xfrm>
          <a:off x="6561667" y="6720417"/>
          <a:ext cx="1143000" cy="560916"/>
        </a:xfrm>
        <a:prstGeom prst="rect">
          <a:avLst/>
        </a:prstGeom>
        <a:noFill/>
        <a:ln w="38100">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42333</xdr:colOff>
      <xdr:row>16</xdr:row>
      <xdr:rowOff>0</xdr:rowOff>
    </xdr:from>
    <xdr:to>
      <xdr:col>4</xdr:col>
      <xdr:colOff>370416</xdr:colOff>
      <xdr:row>16</xdr:row>
      <xdr:rowOff>232833</xdr:rowOff>
    </xdr:to>
    <xdr:cxnSp macro="">
      <xdr:nvCxnSpPr>
        <xdr:cNvPr id="10" name="Straight Arrow Connector 9">
          <a:extLst>
            <a:ext uri="{FF2B5EF4-FFF2-40B4-BE49-F238E27FC236}">
              <a16:creationId xmlns:a16="http://schemas.microsoft.com/office/drawing/2014/main" id="{78FDBDDD-4FCB-4564-9730-F2BBCDD618B3}"/>
            </a:ext>
          </a:extLst>
        </xdr:cNvPr>
        <xdr:cNvCxnSpPr/>
      </xdr:nvCxnSpPr>
      <xdr:spPr>
        <a:xfrm flipH="1">
          <a:off x="5471583" y="7302500"/>
          <a:ext cx="1460500" cy="232833"/>
        </a:xfrm>
        <a:prstGeom prst="straightConnector1">
          <a:avLst/>
        </a:prstGeom>
        <a:ln w="38100">
          <a:solidFill>
            <a:srgbClr val="7030A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321733</xdr:colOff>
      <xdr:row>4</xdr:row>
      <xdr:rowOff>116417</xdr:rowOff>
    </xdr:from>
    <xdr:to>
      <xdr:col>22</xdr:col>
      <xdr:colOff>518583</xdr:colOff>
      <xdr:row>10</xdr:row>
      <xdr:rowOff>307975</xdr:rowOff>
    </xdr:to>
    <xdr:sp macro="" textlink="">
      <xdr:nvSpPr>
        <xdr:cNvPr id="9" name="Oval 8">
          <a:extLst>
            <a:ext uri="{FF2B5EF4-FFF2-40B4-BE49-F238E27FC236}">
              <a16:creationId xmlns:a16="http://schemas.microsoft.com/office/drawing/2014/main" id="{820E8B23-A2D3-44F6-B96F-1099903EE709}"/>
            </a:ext>
          </a:extLst>
        </xdr:cNvPr>
        <xdr:cNvSpPr/>
      </xdr:nvSpPr>
      <xdr:spPr>
        <a:xfrm>
          <a:off x="19996150" y="2275417"/>
          <a:ext cx="2652183" cy="2763308"/>
        </a:xfrm>
        <a:prstGeom prst="ellipse">
          <a:avLst/>
        </a:prstGeom>
        <a:solidFill>
          <a:srgbClr val="EF2FC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P040106  PLW BSFP 1,250</a:t>
          </a:r>
        </a:p>
      </xdr:txBody>
    </xdr:sp>
    <xdr:clientData/>
  </xdr:twoCellAnchor>
  <xdr:twoCellAnchor>
    <xdr:from>
      <xdr:col>19</xdr:col>
      <xdr:colOff>374650</xdr:colOff>
      <xdr:row>6</xdr:row>
      <xdr:rowOff>391582</xdr:rowOff>
    </xdr:from>
    <xdr:to>
      <xdr:col>22</xdr:col>
      <xdr:colOff>79375</xdr:colOff>
      <xdr:row>10</xdr:row>
      <xdr:rowOff>87841</xdr:rowOff>
    </xdr:to>
    <xdr:sp macro="" textlink="">
      <xdr:nvSpPr>
        <xdr:cNvPr id="11" name="Oval 10">
          <a:extLst>
            <a:ext uri="{FF2B5EF4-FFF2-40B4-BE49-F238E27FC236}">
              <a16:creationId xmlns:a16="http://schemas.microsoft.com/office/drawing/2014/main" id="{920C1854-9031-4EAE-B30C-7AFA05B7D49C}"/>
            </a:ext>
          </a:extLst>
        </xdr:cNvPr>
        <xdr:cNvSpPr/>
      </xdr:nvSpPr>
      <xdr:spPr>
        <a:xfrm>
          <a:off x="20662900" y="3503082"/>
          <a:ext cx="1546225" cy="1315509"/>
        </a:xfrm>
        <a:prstGeom prst="ellipse">
          <a:avLst/>
        </a:prstGeom>
        <a:solidFill>
          <a:srgbClr val="99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ysClr val="windowText" lastClr="000000"/>
              </a:solidFill>
            </a:rPr>
            <a:t>P040104 PLW TSFP = 475</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674687</xdr:colOff>
      <xdr:row>7</xdr:row>
      <xdr:rowOff>1809750</xdr:rowOff>
    </xdr:from>
    <xdr:to>
      <xdr:col>2</xdr:col>
      <xdr:colOff>1127124</xdr:colOff>
      <xdr:row>7</xdr:row>
      <xdr:rowOff>2103437</xdr:rowOff>
    </xdr:to>
    <xdr:sp macro="" textlink="">
      <xdr:nvSpPr>
        <xdr:cNvPr id="2" name="TextBox 1">
          <a:extLst>
            <a:ext uri="{FF2B5EF4-FFF2-40B4-BE49-F238E27FC236}">
              <a16:creationId xmlns:a16="http://schemas.microsoft.com/office/drawing/2014/main" id="{9B376F51-5459-4DAF-BF6D-E8D0394E1C8A}"/>
            </a:ext>
          </a:extLst>
        </xdr:cNvPr>
        <xdr:cNvSpPr txBox="1"/>
      </xdr:nvSpPr>
      <xdr:spPr>
        <a:xfrm>
          <a:off x="4968875" y="6191250"/>
          <a:ext cx="452437" cy="293687"/>
        </a:xfrm>
        <a:prstGeom prst="rect">
          <a:avLst/>
        </a:prstGeom>
        <a:solidFill>
          <a:schemeClr val="accent4">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rgbClr val="3333FF"/>
              </a:solidFill>
            </a:rPr>
            <a:t>(26)</a:t>
          </a:r>
        </a:p>
      </xdr:txBody>
    </xdr:sp>
    <xdr:clientData/>
  </xdr:twoCellAnchor>
  <xdr:twoCellAnchor>
    <xdr:from>
      <xdr:col>3</xdr:col>
      <xdr:colOff>660400</xdr:colOff>
      <xdr:row>7</xdr:row>
      <xdr:rowOff>1819276</xdr:rowOff>
    </xdr:from>
    <xdr:to>
      <xdr:col>3</xdr:col>
      <xdr:colOff>1112837</xdr:colOff>
      <xdr:row>7</xdr:row>
      <xdr:rowOff>2112963</xdr:rowOff>
    </xdr:to>
    <xdr:sp macro="" textlink="">
      <xdr:nvSpPr>
        <xdr:cNvPr id="3" name="TextBox 2">
          <a:extLst>
            <a:ext uri="{FF2B5EF4-FFF2-40B4-BE49-F238E27FC236}">
              <a16:creationId xmlns:a16="http://schemas.microsoft.com/office/drawing/2014/main" id="{22EB6B00-9B29-4ABD-B291-57EF5C81978D}"/>
            </a:ext>
          </a:extLst>
        </xdr:cNvPr>
        <xdr:cNvSpPr txBox="1"/>
      </xdr:nvSpPr>
      <xdr:spPr>
        <a:xfrm>
          <a:off x="6089650" y="6200776"/>
          <a:ext cx="452437" cy="293687"/>
        </a:xfrm>
        <a:prstGeom prst="rect">
          <a:avLst/>
        </a:prstGeom>
        <a:solidFill>
          <a:schemeClr val="accent4">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rgbClr val="3333FF"/>
              </a:solidFill>
            </a:rPr>
            <a:t>(24)</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34</xdr:col>
      <xdr:colOff>0</xdr:colOff>
      <xdr:row>21</xdr:row>
      <xdr:rowOff>0</xdr:rowOff>
    </xdr:from>
    <xdr:to>
      <xdr:col>47</xdr:col>
      <xdr:colOff>93082</xdr:colOff>
      <xdr:row>40</xdr:row>
      <xdr:rowOff>15241</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890325" y="4191000"/>
          <a:ext cx="8896350" cy="3629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34</xdr:col>
      <xdr:colOff>0</xdr:colOff>
      <xdr:row>21</xdr:row>
      <xdr:rowOff>0</xdr:rowOff>
    </xdr:from>
    <xdr:to>
      <xdr:col>47</xdr:col>
      <xdr:colOff>114300</xdr:colOff>
      <xdr:row>40</xdr:row>
      <xdr:rowOff>15240</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890325" y="4381500"/>
          <a:ext cx="8896350" cy="3629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PMT\2019%20Indicator%20Revision\SP%20PM%20FOG%20V3%20Appendix%20E1%202019%20Activity%20Indicators%20Revised%207.17.18.sxlsx.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1a- Guidance"/>
      <sheetName val="Progress Report"/>
      <sheetName val="Consolidated List to Remove"/>
      <sheetName val="Total Change of Indicators"/>
      <sheetName val="E1b-AG_summary"/>
      <sheetName val="E1b-AG_activities"/>
      <sheetName val="E1b- AG_instruction"/>
      <sheetName val="E1b- AG TA"/>
      <sheetName val="Livelihood Summary"/>
      <sheetName val="Live_instruction"/>
      <sheetName val="Livelihood TA"/>
      <sheetName val="E1l- C&amp;V Summary"/>
      <sheetName val="E1l- Cash &amp; Voucher Instruction"/>
      <sheetName val="C&amp;V Annex "/>
      <sheetName val="C&amp;V TA"/>
      <sheetName val="Ec1_WASH summary"/>
      <sheetName val="WASH Instruction"/>
      <sheetName val="WASH TA "/>
      <sheetName val="E1d-NUT summary"/>
      <sheetName val="NUT Instruction"/>
      <sheetName val="NUT ben counting"/>
      <sheetName val="NUT TA"/>
      <sheetName val="Health Summary"/>
      <sheetName val="Health Instruction"/>
      <sheetName val="Health TAs"/>
      <sheetName val="E1e- Food Summary"/>
      <sheetName val="E1e-Food Instruction"/>
      <sheetName val="E1e- Food_activities"/>
      <sheetName val="E1d- Nutrition_activities"/>
      <sheetName val="Protection Summary"/>
      <sheetName val="Protection Instruction"/>
      <sheetName val="Education Summary"/>
      <sheetName val="Live_activities"/>
      <sheetName val="E1l- Cash &amp; Voucher activities"/>
      <sheetName val="Gender Ratio"/>
      <sheetName val="E1c- WASH_activities"/>
      <sheetName val="E1f- Health_activities"/>
      <sheetName val="Ministry Summary"/>
      <sheetName val="E1g- Ministry_activites"/>
      <sheetName val="Construction Summary"/>
      <sheetName val="Construction_activities"/>
      <sheetName val="Construction Instruction"/>
      <sheetName val="E1i- Other_sector_activities"/>
      <sheetName val="Construction TA"/>
      <sheetName val="E1h- NFI_activities"/>
      <sheetName val="NFI Summary"/>
      <sheetName val="NFI Instruction"/>
      <sheetName val="NFI TAs"/>
      <sheetName val="E1j- Protection TA"/>
      <sheetName val="E1k- Education TA"/>
    </sheetNames>
    <sheetDataSet>
      <sheetData sheetId="0"/>
      <sheetData sheetId="1"/>
      <sheetData sheetId="2"/>
      <sheetData sheetId="3"/>
      <sheetData sheetId="4"/>
      <sheetData sheetId="5"/>
      <sheetData sheetId="6"/>
      <sheetData sheetId="7"/>
      <sheetData sheetId="8">
        <row r="15">
          <cell r="J15" t="str">
            <v># of trainings on vocational skills conducted for youths</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10">
          <cell r="C10" t="str">
            <v># of trainings conducted  for doctors</v>
          </cell>
        </row>
      </sheetData>
      <sheetData sheetId="24"/>
      <sheetData sheetId="25"/>
      <sheetData sheetId="26"/>
      <sheetData sheetId="27"/>
      <sheetData sheetId="28"/>
      <sheetData sheetId="29"/>
      <sheetData sheetId="30"/>
      <sheetData sheetId="31"/>
      <sheetData sheetId="32"/>
      <sheetData sheetId="33">
        <row r="11">
          <cell r="C11" t="str">
            <v xml:space="preserve">$ amount of food vouchers distributed </v>
          </cell>
        </row>
      </sheetData>
      <sheetData sheetId="34"/>
      <sheetData sheetId="35"/>
      <sheetData sheetId="36"/>
      <sheetData sheetId="37"/>
      <sheetData sheetId="38"/>
      <sheetData sheetId="39"/>
      <sheetData sheetId="40"/>
      <sheetData sheetId="41"/>
      <sheetData sheetId="42"/>
      <sheetData sheetId="43"/>
      <sheetData sheetId="44">
        <row r="12">
          <cell r="C12" t="str">
            <v># of other (specify) tool kits distributed</v>
          </cell>
        </row>
      </sheetData>
      <sheetData sheetId="45"/>
      <sheetData sheetId="46"/>
      <sheetData sheetId="47"/>
      <sheetData sheetId="48"/>
      <sheetData sheetId="49"/>
    </sheetDataSet>
  </externalBook>
</externalLink>
</file>

<file path=xl/persons/person.xml><?xml version="1.0" encoding="utf-8"?>
<personList xmlns="http://schemas.microsoft.com/office/spreadsheetml/2018/threadedcomments" xmlns:x="http://schemas.openxmlformats.org/spreadsheetml/2006/main">
  <person displayName="Deborah Robinson" id="{5DA81BFE-4A20-42BD-BD4C-B626511B6DF1}" userId="" providerI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llingham, Keeth" refreshedDate="45183.579774999998" createdVersion="5" refreshedVersion="6" minRefreshableVersion="3" recordCount="227" xr:uid="{00000000-000A-0000-FFFF-FFFFCB000000}">
  <cacheSource type="worksheet">
    <worksheetSource name="Table26[Combined List]"/>
  </cacheSource>
  <cacheFields count="1">
    <cacheField name="Combined List" numFmtId="0">
      <sharedItems count="71">
        <s v=""/>
        <s v="sh0252" u="1"/>
        <s v="0.07N/A2" u="1"/>
        <s v="0.07N/A7" u="1"/>
        <s v="0.02AL11" u="1"/>
        <s v="MN040.01" u="1"/>
        <s v="ws0329" u="1"/>
        <s v="0.01AL06" u="1"/>
        <s v="al110.02" u="1"/>
        <s v="0.01MN07" u="1"/>
        <s v="0.5N/A14" u="1"/>
        <s v="1N/A19" u="1"/>
        <s v="MN010.02" u="1"/>
        <s v="sh0154" u="1"/>
        <s v="ws0127" u="1"/>
        <s v="0.03N/A3" u="1"/>
        <s v="1.1N/A15" u="1"/>
        <s v="al010.01" u="1"/>
        <s v="0.03AL04" u="1"/>
        <s v="0.34N\A2" u="1"/>
        <s v="0.06N/A1" u="1"/>
        <s v="1.1N/A20" u="1"/>
        <s v="0.06N/A6" u="1"/>
        <s v="0.4N/A13" u="1"/>
        <s v="0.16N/A1" u="1"/>
        <s v="1.2N/A20" u="1"/>
        <e v="#REF!" u="1"/>
        <s v="n/a0.02" u="1"/>
        <s v="AL034" u="1"/>
        <s v="0.09N/A4" u="1"/>
        <s v="0.09N/A9" u="1"/>
        <s v="0.9N/A13" u="1"/>
        <s v="0.9N/A18" u="1"/>
        <s v="1.1N/A19" u="1"/>
        <s v="0.01AL04" u="1"/>
        <s v="0.3N/A12" u="1"/>
        <s v="0.1N/A5" u="1"/>
        <s v="0.02N/A2" u="1"/>
        <s v="0.06WS11" u="1"/>
        <s v="4.9Code" u="1"/>
        <s v="0.2N/A6" u="1"/>
        <s v="0.33N\A1" u="1"/>
        <s v="0.03N/A1" u="1"/>
        <s v="0.05N/A5" u="1"/>
        <s v="0.8N/A12" u="1"/>
        <s v="0.8N/A17" u="1"/>
        <s v="0.2N/A11" u="1"/>
        <s v="0.3N/A7" u="1"/>
        <s v="0.02WS07" u="1"/>
        <s v="0.02N/A1" u="1"/>
        <s v="0.08N/A3" u="1"/>
        <s v="0.08N/A8" u="1"/>
        <s v="0.4N/A8" u="1"/>
        <s v="0.02HL17" u="1"/>
        <s v="Code4.9" u="1"/>
        <s v="0.01N/A1" u="1"/>
        <s v="0.7N/A11" u="1"/>
        <s v="0.7N/A16" u="1"/>
        <s v="0.05WS10" u="1"/>
        <s v="0.1N/A10" u="1"/>
        <s v="0.5N/A9" u="1"/>
        <s v="0.04AL11" u="1"/>
        <s v="0.04N/A4" u="1"/>
        <s v="Code2" u="1"/>
        <s v="2Code" u="1"/>
        <s v="FA12" u="1"/>
        <s v="1N/A14" u="1"/>
        <s v="0.6N/A10" u="1"/>
        <s v="al040.01" u="1"/>
        <s v="0.01WS06" u="1"/>
        <s v="0.6N/A15"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llingham, Keeth" refreshedDate="45183.579775347222" createdVersion="5" refreshedVersion="6" minRefreshableVersion="3" recordCount="227" xr:uid="{00000000-000A-0000-FFFF-FFFFCA000000}">
  <cacheSource type="worksheet">
    <worksheetSource name="Table26[P]"/>
  </cacheSource>
  <cacheFields count="1">
    <cacheField name="P" numFmtId="0">
      <sharedItems count="69">
        <s v=""/>
        <s v="0.02P090011" u="1"/>
        <s v="0.05P050203" u="1"/>
        <s v="0.03P090012" u="1"/>
        <s v="32p030500" u="1"/>
        <s v="0.5P090023" u="1"/>
        <s v="0.04P090013" u="1"/>
        <s v="0.02P010100" u="1"/>
        <s v="0.05P090014" u="1"/>
        <s v="0.03p010101" u="1"/>
        <s v="0.06P090015" u="1"/>
        <s v="4P020100" u="1"/>
        <s v="0.07P090016" u="1"/>
        <s v="0.08P090017" u="1"/>
        <s v="0.09P090018" u="1"/>
        <s v="0.09P050002" u="1"/>
        <s v="0.6P090024" u="1"/>
        <s v="0.01P010100" u="1"/>
        <s v="0.01p081201" u="1"/>
        <s v="0.07P050206" u="1"/>
        <s v="0.02p010101" u="1"/>
        <s v="56p080500" u="1"/>
        <s v="0.04p010103" u="1"/>
        <s v="0.12P120400" u="1"/>
        <s v="0.7P090025" u="1"/>
        <s v="0.01P070201" u="1"/>
        <s v="0.03P070100" u="1"/>
        <s v="0.07P020106" u="1"/>
        <s v="0.08P020107" u="1"/>
        <s v="0.03p090202" u="1"/>
        <s v="6p020103" u="1"/>
        <e v="#REF!" u="1"/>
        <s v="58p080700" u="1"/>
        <s v="0.04P030300" u="1"/>
        <s v="0.18P010407" u="1"/>
        <s v="7p020105" u="1"/>
        <s v="0.8P090026" u="1"/>
        <s v="0.03P010600" u="1"/>
        <s v="0.03P070101" u="1"/>
        <s v="0.07P020107" u="1"/>
        <s v="0.04P010601" u="1"/>
        <s v="0.05P010602" u="1"/>
        <s v="0.06P010107" u="1"/>
        <s v="0.06P010603" u="1"/>
        <s v="0.24P030600" u="1"/>
        <s v="0.9P090027" u="1"/>
        <s v="62p080503" u="1"/>
        <s v="0.02P060411" u="1"/>
        <s v="1P090028" u="1"/>
        <s v="33p030600" u="1"/>
        <s v="0.04P070001" u="1"/>
        <s v="0.05P079999" u="1"/>
        <s v="0.14P020303" u="1"/>
        <s v="0.04p090300" u="1"/>
        <s v="61p080501" u="1"/>
        <s v="0.2P090020" u="1"/>
        <s v="0.1P090019" u="1"/>
        <s v="0.21P020301" u="1"/>
        <s v="0.3P090021" u="1"/>
        <s v="1.1P090029" u="1"/>
        <s v="0.05P010101" u="1"/>
        <s v="30p030300" u="1"/>
        <s v="0.05p110101" u="1"/>
        <s v="0.09P020301" u="1"/>
        <s v="0.4P090022" u="1"/>
        <s v="0.12P020304" u="1"/>
        <s v="0.05p010102" u="1"/>
        <s v="0.01P090010" u="1"/>
        <s v="0.04P070201"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llingham, Keeth" refreshedDate="45183.579775810183" createdVersion="5" refreshedVersion="6" minRefreshableVersion="3" recordCount="227" xr:uid="{00000000-000A-0000-FFFF-FFFFC9000000}">
  <cacheSource type="worksheet">
    <worksheetSource name="Table26[B]"/>
  </cacheSource>
  <cacheFields count="1">
    <cacheField name="B" numFmtId="0">
      <sharedItems count="33">
        <s v=""/>
        <s v="31b030400" u="1"/>
        <s v="34b030101" u="1"/>
        <s v="55b080300" u="1"/>
        <s v="0.01B060311" u="1"/>
        <s v="0.11B020201" u="1"/>
        <s v="0.12B020202" u="1"/>
        <s v="0.13B020203" u="1"/>
        <s v="5B020200" u="1"/>
        <s v="60b080102" u="1"/>
        <s v="0.08B050001" u="1"/>
        <s v="0.09B020200" u="1"/>
        <s v="8b020201" u="1"/>
        <e v="#REF!" u="1"/>
        <s v="35b030102" u="1"/>
        <s v="57b080600" u="1"/>
        <s v="0.19B020201" u="1"/>
        <s v="0.08B020201" u="1"/>
        <s v="0.06B010200" u="1"/>
        <s v="54b080100" u="1"/>
        <s v="9b020202" u="1"/>
        <s v="0.11B020204" u="1"/>
        <s v="0.06b110200" u="1"/>
        <s v="0.04B050103" u="1"/>
        <s v="0.05B010200" u="1"/>
        <s v="29B030100" u="1"/>
        <s v="0.15B010004" u="1"/>
        <s v="0.06B050106" u="1"/>
        <s v="0.07b081201" u="1"/>
        <s v="59b080101" u="1"/>
        <s v="0.11B120300" u="1"/>
        <s v="0.03B030200" u="1"/>
        <s v="0.17B010307"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llingham, Keeth" refreshedDate="45183.579776273145" createdVersion="5" refreshedVersion="6" minRefreshableVersion="3" recordCount="227" xr:uid="{00000000-000A-0000-FFFF-FFFFC8000000}">
  <cacheSource type="worksheet">
    <worksheetSource name="Table264[Combined List]"/>
  </cacheSource>
  <cacheFields count="1">
    <cacheField name="Combined List" numFmtId="0">
      <sharedItems count="6">
        <s v="0.01AL04"/>
        <s v="0.02AL11"/>
        <s v=""/>
        <s v="0.14N/A1"/>
        <s v="0.38FA05"/>
        <s v="0.39N/A2"/>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llingham, Keeth" refreshedDate="45183.579776736115" createdVersion="5" refreshedVersion="6" minRefreshableVersion="3" recordCount="227" xr:uid="{00000000-000A-0000-FFFF-FFFFC7000000}">
  <cacheSource type="worksheet">
    <worksheetSource name="Table264[B]"/>
  </cacheSource>
  <cacheFields count="1">
    <cacheField name="B" numFmtId="0">
      <sharedItems count="11">
        <s v=""/>
        <s v="0.06B020201"/>
        <s v="0.08B020204"/>
        <s v="0.11B020203"/>
        <s v="0.13B010004"/>
        <s v="0.15B010307"/>
        <s v="0.17B020201"/>
        <s v="0.21B019991"/>
        <s v="0.33B020200"/>
        <s v="0.35B010300"/>
        <s v="0.42B04000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llingham, Keeth" refreshedDate="45183.579777083331" createdVersion="5" refreshedVersion="6" minRefreshableVersion="3" recordCount="227" xr:uid="{00000000-000A-0000-FFFF-FFFFC6000000}">
  <cacheSource type="worksheet">
    <worksheetSource name="Table264[P]"/>
  </cacheSource>
  <cacheFields count="1">
    <cacheField name="P" numFmtId="0">
      <sharedItems count="17">
        <s v=""/>
        <s v="0.03P010101"/>
        <s v="0.04P010107"/>
        <s v="0.05P020107"/>
        <s v="0.07P020301"/>
        <s v="0.09P020304"/>
        <s v="0.12P020303"/>
        <s v="0.16P010407"/>
        <s v="0.18P020301"/>
        <s v="0.19P010108"/>
        <s v="0.22P019992"/>
        <s v="0.31P010100"/>
        <s v="0.32P020100"/>
        <s v="0.34P020300"/>
        <s v="0.36P010400"/>
        <s v="0.41P040204"/>
        <s v="0.58P04020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7">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7">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7">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7">
  <r>
    <x v="0"/>
  </r>
  <r>
    <x v="1"/>
  </r>
  <r>
    <x v="2"/>
  </r>
  <r>
    <x v="2"/>
  </r>
  <r>
    <x v="2"/>
  </r>
  <r>
    <x v="2"/>
  </r>
  <r>
    <x v="2"/>
  </r>
  <r>
    <x v="2"/>
  </r>
  <r>
    <x v="2"/>
  </r>
  <r>
    <x v="2"/>
  </r>
  <r>
    <x v="2"/>
  </r>
  <r>
    <x v="2"/>
  </r>
  <r>
    <x v="3"/>
  </r>
  <r>
    <x v="2"/>
  </r>
  <r>
    <x v="2"/>
  </r>
  <r>
    <x v="2"/>
  </r>
  <r>
    <x v="2"/>
  </r>
  <r>
    <x v="2"/>
  </r>
  <r>
    <x v="2"/>
  </r>
  <r>
    <x v="2"/>
  </r>
  <r>
    <x v="2"/>
  </r>
  <r>
    <x v="2"/>
  </r>
  <r>
    <x v="2"/>
  </r>
  <r>
    <x v="2"/>
  </r>
  <r>
    <x v="2"/>
  </r>
  <r>
    <x v="2"/>
  </r>
  <r>
    <x v="2"/>
  </r>
  <r>
    <x v="2"/>
  </r>
  <r>
    <x v="2"/>
  </r>
  <r>
    <x v="2"/>
  </r>
  <r>
    <x v="2"/>
  </r>
  <r>
    <x v="2"/>
  </r>
  <r>
    <x v="2"/>
  </r>
  <r>
    <x v="2"/>
  </r>
  <r>
    <x v="4"/>
  </r>
  <r>
    <x v="5"/>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7">
  <r>
    <x v="0"/>
  </r>
  <r>
    <x v="0"/>
  </r>
  <r>
    <x v="0"/>
  </r>
  <r>
    <x v="0"/>
  </r>
  <r>
    <x v="0"/>
  </r>
  <r>
    <x v="1"/>
  </r>
  <r>
    <x v="0"/>
  </r>
  <r>
    <x v="2"/>
  </r>
  <r>
    <x v="0"/>
  </r>
  <r>
    <x v="3"/>
  </r>
  <r>
    <x v="0"/>
  </r>
  <r>
    <x v="4"/>
  </r>
  <r>
    <x v="0"/>
  </r>
  <r>
    <x v="5"/>
  </r>
  <r>
    <x v="0"/>
  </r>
  <r>
    <x v="6"/>
  </r>
  <r>
    <x v="0"/>
  </r>
  <r>
    <x v="0"/>
  </r>
  <r>
    <x v="7"/>
  </r>
  <r>
    <x v="0"/>
  </r>
  <r>
    <x v="0"/>
  </r>
  <r>
    <x v="0"/>
  </r>
  <r>
    <x v="0"/>
  </r>
  <r>
    <x v="0"/>
  </r>
  <r>
    <x v="0"/>
  </r>
  <r>
    <x v="0"/>
  </r>
  <r>
    <x v="0"/>
  </r>
  <r>
    <x v="0"/>
  </r>
  <r>
    <x v="0"/>
  </r>
  <r>
    <x v="8"/>
  </r>
  <r>
    <x v="0"/>
  </r>
  <r>
    <x v="9"/>
  </r>
  <r>
    <x v="0"/>
  </r>
  <r>
    <x v="0"/>
  </r>
  <r>
    <x v="0"/>
  </r>
  <r>
    <x v="0"/>
  </r>
  <r>
    <x v="0"/>
  </r>
  <r>
    <x v="1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7">
  <r>
    <x v="0"/>
  </r>
  <r>
    <x v="0"/>
  </r>
  <r>
    <x v="1"/>
  </r>
  <r>
    <x v="2"/>
  </r>
  <r>
    <x v="3"/>
  </r>
  <r>
    <x v="0"/>
  </r>
  <r>
    <x v="4"/>
  </r>
  <r>
    <x v="0"/>
  </r>
  <r>
    <x v="5"/>
  </r>
  <r>
    <x v="0"/>
  </r>
  <r>
    <x v="6"/>
  </r>
  <r>
    <x v="0"/>
  </r>
  <r>
    <x v="0"/>
  </r>
  <r>
    <x v="0"/>
  </r>
  <r>
    <x v="7"/>
  </r>
  <r>
    <x v="0"/>
  </r>
  <r>
    <x v="8"/>
  </r>
  <r>
    <x v="9"/>
  </r>
  <r>
    <x v="0"/>
  </r>
  <r>
    <x v="10"/>
  </r>
  <r>
    <x v="0"/>
  </r>
  <r>
    <x v="0"/>
  </r>
  <r>
    <x v="0"/>
  </r>
  <r>
    <x v="0"/>
  </r>
  <r>
    <x v="0"/>
  </r>
  <r>
    <x v="0"/>
  </r>
  <r>
    <x v="0"/>
  </r>
  <r>
    <x v="11"/>
  </r>
  <r>
    <x v="12"/>
  </r>
  <r>
    <x v="0"/>
  </r>
  <r>
    <x v="13"/>
  </r>
  <r>
    <x v="0"/>
  </r>
  <r>
    <x v="14"/>
  </r>
  <r>
    <x v="0"/>
  </r>
  <r>
    <x v="0"/>
  </r>
  <r>
    <x v="0"/>
  </r>
  <r>
    <x v="15"/>
  </r>
  <r>
    <x v="0"/>
  </r>
  <r>
    <x v="0"/>
  </r>
  <r>
    <x v="0"/>
  </r>
  <r>
    <x v="0"/>
  </r>
  <r>
    <x v="0"/>
  </r>
  <r>
    <x v="0"/>
  </r>
  <r>
    <x v="0"/>
  </r>
  <r>
    <x v="0"/>
  </r>
  <r>
    <x v="0"/>
  </r>
  <r>
    <x v="0"/>
  </r>
  <r>
    <x v="0"/>
  </r>
  <r>
    <x v="0"/>
  </r>
  <r>
    <x v="0"/>
  </r>
  <r>
    <x v="0"/>
  </r>
  <r>
    <x v="0"/>
  </r>
  <r>
    <x v="16"/>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PivotTable3" cacheId="16"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AA3:AA14" firstHeaderRow="1" firstDataRow="1" firstDataCol="1"/>
  <pivotFields count="1">
    <pivotField axis="axisRow" showAll="0" sortType="ascending">
      <items count="12">
        <item x="0"/>
        <item x="1"/>
        <item x="2"/>
        <item x="3"/>
        <item x="4"/>
        <item x="5"/>
        <item x="6"/>
        <item x="7"/>
        <item x="8"/>
        <item x="9"/>
        <item x="10"/>
        <item t="default"/>
      </items>
    </pivotField>
  </pivotFields>
  <rowFields count="1">
    <field x="0"/>
  </rowFields>
  <rowItems count="11">
    <i>
      <x/>
    </i>
    <i>
      <x v="1"/>
    </i>
    <i>
      <x v="2"/>
    </i>
    <i>
      <x v="3"/>
    </i>
    <i>
      <x v="4"/>
    </i>
    <i>
      <x v="5"/>
    </i>
    <i>
      <x v="6"/>
    </i>
    <i>
      <x v="7"/>
    </i>
    <i>
      <x v="8"/>
    </i>
    <i>
      <x v="9"/>
    </i>
    <i>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PivotTable2"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AB3:AB20" firstHeaderRow="1" firstDataRow="1" firstDataCol="1"/>
  <pivotFields count="1">
    <pivotField axis="axisRow" showAll="0" sortType="ascending">
      <items count="18">
        <item x="0"/>
        <item x="1"/>
        <item x="2"/>
        <item x="3"/>
        <item x="4"/>
        <item x="5"/>
        <item x="6"/>
        <item x="7"/>
        <item x="8"/>
        <item x="9"/>
        <item x="10"/>
        <item x="11"/>
        <item x="12"/>
        <item x="13"/>
        <item x="14"/>
        <item x="15"/>
        <item x="16"/>
        <item t="default"/>
      </items>
    </pivotField>
  </pivotFields>
  <rowFields count="1">
    <field x="0"/>
  </rowFields>
  <rowItems count="17">
    <i>
      <x/>
    </i>
    <i>
      <x v="1"/>
    </i>
    <i>
      <x v="2"/>
    </i>
    <i>
      <x v="3"/>
    </i>
    <i>
      <x v="4"/>
    </i>
    <i>
      <x v="5"/>
    </i>
    <i>
      <x v="6"/>
    </i>
    <i>
      <x v="7"/>
    </i>
    <i>
      <x v="8"/>
    </i>
    <i>
      <x v="9"/>
    </i>
    <i>
      <x v="10"/>
    </i>
    <i>
      <x v="11"/>
    </i>
    <i>
      <x v="12"/>
    </i>
    <i>
      <x v="13"/>
    </i>
    <i>
      <x v="14"/>
    </i>
    <i>
      <x v="15"/>
    </i>
    <i>
      <x v="16"/>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 cacheId="15"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AC3:AC9" firstHeaderRow="1" firstDataRow="1" firstDataCol="1"/>
  <pivotFields count="1">
    <pivotField axis="axisRow" showAll="0" sortType="ascending" defaultSubtotal="0">
      <items count="6">
        <item x="2"/>
        <item x="0"/>
        <item x="1"/>
        <item x="3"/>
        <item x="4"/>
        <item x="5"/>
      </items>
    </pivotField>
  </pivotFields>
  <rowFields count="1">
    <field x="0"/>
  </rowFields>
  <rowItems count="6">
    <i>
      <x/>
    </i>
    <i>
      <x v="1"/>
    </i>
    <i>
      <x v="2"/>
    </i>
    <i>
      <x v="3"/>
    </i>
    <i>
      <x v="4"/>
    </i>
    <i>
      <x v="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PivotTable2" cacheId="13"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AB3:AB4" firstHeaderRow="1" firstDataRow="1" firstDataCol="1"/>
  <pivotFields count="1">
    <pivotField axis="axisRow" showAll="0" sortType="ascending">
      <items count="70">
        <item x="0"/>
        <item m="1" x="17"/>
        <item m="1" x="25"/>
        <item m="1" x="18"/>
        <item m="1" x="67"/>
        <item m="1" x="7"/>
        <item m="1" x="20"/>
        <item m="1" x="47"/>
        <item m="1" x="1"/>
        <item m="1" x="9"/>
        <item m="1" x="37"/>
        <item m="1" x="26"/>
        <item m="1" x="38"/>
        <item m="1" x="3"/>
        <item m="1" x="29"/>
        <item m="1" x="22"/>
        <item m="1" x="40"/>
        <item m="1" x="33"/>
        <item m="1" x="50"/>
        <item m="1" x="68"/>
        <item m="1" x="6"/>
        <item m="1" x="53"/>
        <item m="1" x="60"/>
        <item m="1" x="66"/>
        <item m="1" x="41"/>
        <item m="1" x="2"/>
        <item m="1" x="51"/>
        <item m="1" x="8"/>
        <item m="1" x="62"/>
        <item m="1" x="42"/>
        <item m="1" x="43"/>
        <item m="1" x="10"/>
        <item m="1" x="27"/>
        <item m="1" x="39"/>
        <item m="1" x="19"/>
        <item m="1" x="12"/>
        <item m="1" x="28"/>
        <item m="1" x="13"/>
        <item m="1" x="63"/>
        <item m="1" x="15"/>
        <item m="1" x="14"/>
        <item m="1" x="65"/>
        <item m="1" x="23"/>
        <item m="1" x="52"/>
        <item m="1" x="34"/>
        <item m="1" x="56"/>
        <item m="1" x="57"/>
        <item m="1" x="44"/>
        <item m="1" x="55"/>
        <item m="1" x="58"/>
        <item m="1" x="64"/>
        <item m="1" x="5"/>
        <item m="1" x="16"/>
        <item m="1" x="24"/>
        <item m="1" x="36"/>
        <item m="1" x="45"/>
        <item m="1" x="59"/>
        <item m="1" x="48"/>
        <item m="1" x="61"/>
        <item m="1" x="4"/>
        <item m="1" x="49"/>
        <item m="1" x="11"/>
        <item m="1" x="21"/>
        <item m="1" x="32"/>
        <item m="1" x="54"/>
        <item m="1" x="46"/>
        <item m="1" x="30"/>
        <item m="1" x="35"/>
        <item m="1" x="31"/>
        <item t="default"/>
      </items>
    </pivotField>
  </pivotFields>
  <rowFields count="1">
    <field x="0"/>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 cacheId="14"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AA3:AA4" firstHeaderRow="1" firstDataRow="1" firstDataCol="1"/>
  <pivotFields count="1">
    <pivotField axis="axisRow" showAll="0" sortType="ascending">
      <items count="34">
        <item x="0"/>
        <item m="1" x="4"/>
        <item m="1" x="31"/>
        <item m="1" x="23"/>
        <item m="1" x="24"/>
        <item m="1" x="18"/>
        <item m="1" x="27"/>
        <item m="1" x="22"/>
        <item m="1" x="28"/>
        <item m="1" x="17"/>
        <item m="1" x="10"/>
        <item m="1" x="11"/>
        <item m="1" x="5"/>
        <item m="1" x="21"/>
        <item m="1" x="30"/>
        <item m="1" x="6"/>
        <item m="1" x="7"/>
        <item m="1" x="26"/>
        <item m="1" x="32"/>
        <item m="1" x="16"/>
        <item m="1" x="25"/>
        <item m="1" x="1"/>
        <item m="1" x="2"/>
        <item m="1" x="14"/>
        <item m="1" x="19"/>
        <item m="1" x="3"/>
        <item m="1" x="15"/>
        <item m="1" x="29"/>
        <item m="1" x="8"/>
        <item m="1" x="9"/>
        <item m="1" x="12"/>
        <item m="1" x="20"/>
        <item m="1" x="13"/>
        <item t="default"/>
      </items>
    </pivotField>
  </pivotFields>
  <rowFields count="1">
    <field x="0"/>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2000000}" name="PivotTable3" cacheId="12"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AC3:AC4" firstHeaderRow="1" firstDataRow="1" firstDataCol="1"/>
  <pivotFields count="1">
    <pivotField axis="axisRow" showAll="0" sortType="ascending" defaultSubtotal="0">
      <items count="71">
        <item x="0"/>
        <item m="1" x="34"/>
        <item m="1" x="7"/>
        <item m="1" x="9"/>
        <item m="1" x="55"/>
        <item m="1" x="69"/>
        <item m="1" x="4"/>
        <item m="1" x="53"/>
        <item m="1" x="49"/>
        <item m="1" x="37"/>
        <item m="1" x="48"/>
        <item m="1" x="18"/>
        <item m="1" x="42"/>
        <item m="1" x="15"/>
        <item m="1" x="61"/>
        <item m="1" x="62"/>
        <item m="1" x="43"/>
        <item m="1" x="58"/>
        <item m="1" x="20"/>
        <item m="1" x="22"/>
        <item m="1" x="38"/>
        <item m="1" x="2"/>
        <item m="1" x="3"/>
        <item m="1" x="50"/>
        <item m="1" x="51"/>
        <item m="1" x="29"/>
        <item m="1" x="30"/>
        <item m="1" x="24"/>
        <item m="1" x="59"/>
        <item m="1" x="36"/>
        <item m="1" x="46"/>
        <item m="1" x="40"/>
        <item m="1" x="41"/>
        <item m="1" x="19"/>
        <item m="1" x="35"/>
        <item m="1" x="47"/>
        <item m="1" x="23"/>
        <item m="1" x="52"/>
        <item m="1" x="10"/>
        <item m="1" x="60"/>
        <item m="1" x="67"/>
        <item m="1" x="70"/>
        <item m="1" x="56"/>
        <item m="1" x="57"/>
        <item m="1" x="44"/>
        <item m="1" x="45"/>
        <item m="1" x="31"/>
        <item m="1" x="32"/>
        <item m="1" x="16"/>
        <item m="1" x="33"/>
        <item m="1" x="21"/>
        <item m="1" x="25"/>
        <item m="1" x="66"/>
        <item m="1" x="11"/>
        <item m="1" x="64"/>
        <item m="1" x="39"/>
        <item m="1" x="17"/>
        <item m="1" x="28"/>
        <item m="1" x="68"/>
        <item m="1" x="8"/>
        <item m="1" x="63"/>
        <item m="1" x="54"/>
        <item m="1" x="65"/>
        <item m="1" x="12"/>
        <item m="1" x="5"/>
        <item m="1" x="27"/>
        <item m="1" x="13"/>
        <item m="1" x="1"/>
        <item m="1" x="14"/>
        <item m="1" x="6"/>
        <item m="1" x="26"/>
      </items>
    </pivotField>
  </pivotFields>
  <rowFields count="1">
    <field x="0"/>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Table11" displayName="Table11" ref="A1:F1048575" totalsRowShown="0" headerRowDxfId="242" dataDxfId="241">
  <autoFilter ref="A1:F1048575" xr:uid="{00000000-0009-0000-0100-00000B000000}"/>
  <tableColumns count="6">
    <tableColumn id="1" xr3:uid="{00000000-0010-0000-0500-000001000000}" name="Date" dataDxfId="240"/>
    <tableColumn id="6" xr3:uid="{00000000-0010-0000-0500-000006000000}" name="Severity" dataDxfId="239"/>
    <tableColumn id="2" xr3:uid="{00000000-0010-0000-0500-000002000000}" name="Topic" dataDxfId="238"/>
    <tableColumn id="3" xr3:uid="{00000000-0010-0000-0500-000003000000}" name="Issue" dataDxfId="237"/>
    <tableColumn id="4" xr3:uid="{00000000-0010-0000-0500-000004000000}" name="Revision" dataDxfId="236"/>
    <tableColumn id="5" xr3:uid="{00000000-0010-0000-0500-000005000000}" name="Recommendation for field" dataDxfId="235"/>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able6" displayName="Table6" ref="A5:B175" totalsRowShown="0" headerRowDxfId="162" dataDxfId="161" tableBorderDxfId="160">
  <autoFilter ref="A5:B175" xr:uid="{00000000-0009-0000-0100-000006000000}"/>
  <tableColumns count="2">
    <tableColumn id="1" xr3:uid="{00000000-0010-0000-0600-000001000000}" name="Code" dataDxfId="159">
      <calculatedColumnFormula>F6</calculatedColumnFormula>
    </tableColumn>
    <tableColumn id="2" xr3:uid="{00000000-0010-0000-0600-000002000000}" name="Code and Unique Identifier" dataDxfId="158">
      <calculatedColumnFormula>CONCATENATE(A6,G6)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9000000}" name="Table112" displayName="Table112" ref="A3:O18" totalsRowShown="0" headerRowDxfId="157" dataDxfId="156" tableBorderDxfId="155">
  <autoFilter ref="A3:O18" xr:uid="{00000000-0009-0000-0100-000009000000}"/>
  <tableColumns count="15">
    <tableColumn id="13" xr3:uid="{44D2BB79-58EB-4AB7-8C07-737943A10BAA}" name="2024 code2" dataDxfId="154">
      <calculatedColumnFormula>Table112[[#This Row],[2024 code]]</calculatedColumnFormula>
    </tableColumn>
    <tableColumn id="1" xr3:uid="{00000000-0010-0000-0900-000001000000}" name="2019 code" dataDxfId="153">
      <calculatedColumnFormula>_xlfn.IFNA(VLOOKUP($A:$A,'indicator lists'!$A:$F,2,FALSE),"")</calculatedColumnFormula>
    </tableColumn>
    <tableColumn id="6" xr3:uid="{00000000-0010-0000-0900-000006000000}" name="2020 code" dataDxfId="152"/>
    <tableColumn id="7" xr3:uid="{932C3959-4C0A-4F43-8FAB-87415A5F2448}" name="2021 code" dataDxfId="151"/>
    <tableColumn id="8" xr3:uid="{A3216DF4-EF5A-4B82-8A80-478DA536EAE0}" name="2022 code" dataDxfId="150"/>
    <tableColumn id="9" xr3:uid="{A4BF7147-42D1-4B84-873B-E8C24C7BFEEC}" name="2023 code" dataDxfId="149"/>
    <tableColumn id="10" xr3:uid="{ABB4DA97-7C77-42A6-BF47-A91C6A5793BF}" name="2024 code" dataDxfId="148"/>
    <tableColumn id="2" xr3:uid="{00000000-0010-0000-0900-000002000000}" name="Activity" dataDxfId="147"/>
    <tableColumn id="3" xr3:uid="{00000000-0010-0000-0900-000003000000}" name="Targeted FEMALE unique beneficiaries per activity" dataDxfId="146"/>
    <tableColumn id="11" xr3:uid="{43D7062C-FDBE-485A-B9E4-97306E5ED011}" name="Targeted MALE unique beneficiaries per activity" dataDxfId="145"/>
    <tableColumn id="15" xr3:uid="{36FDD4A1-463C-4D84-8FE1-6DA68E99B1D3}" name="TOTAL unique beneficiaries per activity" dataDxfId="144">
      <calculatedColumnFormula>Table112[[#This Row],[Targeted FEMALE unique beneficiaries per activity]]+Table112[[#This Row],[Targeted MALE unique beneficiaries per activity]]</calculatedColumnFormula>
    </tableColumn>
    <tableColumn id="4" xr3:uid="{00000000-0010-0000-0900-000004000000}" name="Targeted unique FEMALE beneficiares per project" dataDxfId="143"/>
    <tableColumn id="12" xr3:uid="{C6867C9B-60BA-420D-AF1E-58A99CD2ACA0}" name="Targeted unique MALE beneficiares per project" dataDxfId="142"/>
    <tableColumn id="16" xr3:uid="{7D6BF825-4313-4946-BBFC-EFBCE89C39F1}" name="TOTAL unique beneficiaries per PROJECT" dataDxfId="141"/>
    <tableColumn id="5" xr3:uid="{00000000-0010-0000-0900-000005000000}" name="Explanation " dataDxfId="140"/>
  </tableColumns>
  <tableStyleInfo name="TableStyleMedium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4" displayName="Table4" ref="A4:B175" totalsRowShown="0" headerRowDxfId="71" dataDxfId="70">
  <autoFilter ref="A4:B175" xr:uid="{00000000-0009-0000-0100-000004000000}"/>
  <tableColumns count="2">
    <tableColumn id="1" xr3:uid="{00000000-0010-0000-0000-000001000000}" name="Code" dataDxfId="69">
      <calculatedColumnFormula>F5</calculatedColumnFormula>
    </tableColumn>
    <tableColumn id="2" xr3:uid="{00000000-0010-0000-0000-000002000000}" name="Code and Unique Identifier" dataDxfId="68">
      <calculatedColumnFormula>CONCATENATE(A5,C5)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7000000}" name="Table18" displayName="Table18" ref="A3:I20" totalsRowShown="0" headerRowDxfId="67" tableBorderDxfId="66">
  <autoFilter ref="A3:I20" xr:uid="{00000000-0009-0000-0100-000007000000}"/>
  <tableColumns count="9">
    <tableColumn id="6" xr3:uid="{00000000-0010-0000-0700-000006000000}" name="2024 Code"/>
    <tableColumn id="2" xr3:uid="{00000000-0010-0000-0700-000002000000}" name="Activity" dataDxfId="65"/>
    <tableColumn id="3" xr3:uid="{00000000-0010-0000-0700-000003000000}" name="Actual FEMALE unique beneficiaries per activity" dataDxfId="64"/>
    <tableColumn id="7" xr3:uid="{185A1F9C-6E51-4885-9D88-A4ED3678F2D1}" name="Actual MALE unique beneficiaries per activity"/>
    <tableColumn id="10" xr3:uid="{1DAC08A1-78CE-4C88-ABA7-29687117CF89}" name="TOTAL unique beneficiaries per activity"/>
    <tableColumn id="4" xr3:uid="{00000000-0010-0000-0700-000004000000}" name="Actual FEMALE unique beneficiares per project" dataDxfId="63"/>
    <tableColumn id="8" xr3:uid="{63A9AC58-99E7-4B57-9139-8FAD42808D5E}" name="Actual MALE unique beneficiaries per project" dataDxfId="62"/>
    <tableColumn id="9" xr3:uid="{02C9BB78-1DA4-4A1B-ADB2-1ED7E9837C37}" name="TOTAL unique beneficiaries per PROJECT" dataDxfId="61"/>
    <tableColumn id="5" xr3:uid="{00000000-0010-0000-0700-000005000000}" name="Explanation " dataDxfId="60"/>
  </tableColumns>
  <tableStyleInfo name="TableStyleMedium1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8000000}" name="Table169" displayName="Table169" ref="A1:I18" totalsRowShown="0" headerRowDxfId="59" tableBorderDxfId="58">
  <autoFilter ref="A1:I18" xr:uid="{00000000-0009-0000-0100-000008000000}"/>
  <tableColumns count="9">
    <tableColumn id="6" xr3:uid="{00000000-0010-0000-0800-000006000000}" name="2024 code"/>
    <tableColumn id="2" xr3:uid="{00000000-0010-0000-0800-000002000000}" name="Activity" dataDxfId="57"/>
    <tableColumn id="3" xr3:uid="{00000000-0010-0000-0800-000003000000}" name="Actual FEMALE unique beneficiaries per activity" dataDxfId="56"/>
    <tableColumn id="8" xr3:uid="{AAF52099-7DA1-45AA-B8A9-C6AB44DF1B4A}" name="Actual MALE unique beneficiaries per activity"/>
    <tableColumn id="10" xr3:uid="{2E5D6F0C-BAF7-4113-B5AD-1066E25120AF}" name="TOTAL unique beneficiaries per activity"/>
    <tableColumn id="4" xr3:uid="{00000000-0010-0000-0800-000004000000}" name="Actual FEMALE unique beneficiaries per project" dataDxfId="55"/>
    <tableColumn id="9" xr3:uid="{55809EED-93BC-4B2F-B9C8-BAF451CF2268}" name="Actual MALE unique beneficiaries per project" dataDxfId="54"/>
    <tableColumn id="11" xr3:uid="{CF61F99F-498C-4FE8-84C2-75B391BEC1EA}" name="TOTAL unique beneficiaries per PROJECT" dataDxfId="53"/>
    <tableColumn id="5" xr3:uid="{00000000-0010-0000-0800-000005000000}" name="Explanation " dataDxfId="52"/>
  </tableColumns>
  <tableStyleInfo name="TableStyleMedium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32" displayName="Table132" ref="D1:I228" totalsRowShown="0" headerRowDxfId="51" headerRowBorderDxfId="50">
  <autoFilter ref="D1:I228" xr:uid="{00000000-0009-0000-0100-000001000000}"/>
  <tableColumns count="6">
    <tableColumn id="1" xr3:uid="{00000000-0010-0000-0100-000001000000}" name="B" dataDxfId="49">
      <calculatedColumnFormula>IF(LEFT(A2,1)="B",A2,"")</calculatedColumnFormula>
    </tableColumn>
    <tableColumn id="2" xr3:uid="{00000000-0010-0000-0100-000002000000}" name="P" dataDxfId="48">
      <calculatedColumnFormula>IF(LEN(IF(LEFT(A2,1)="P",A2,""))=7,IF(LEFT(A2,1)="P",A2,""),"")</calculatedColumnFormula>
    </tableColumn>
    <tableColumn id="3" xr3:uid="{00000000-0010-0000-0100-000003000000}" name="Indicator Code (4 Characters" dataDxfId="47">
      <calculatedColumnFormula>IF(ISNUMBER(SEARCH("Code",A:A)),"",IF(LEN(A2)=4,A2,""))</calculatedColumnFormula>
    </tableColumn>
    <tableColumn id="4" xr3:uid="{00000000-0010-0000-0100-000004000000}" name="Indicator Code (3 Characters)" dataDxfId="46">
      <calculatedColumnFormula>IF(LEN(A2)=3,A2,"")</calculatedColumnFormula>
    </tableColumn>
    <tableColumn id="6" xr3:uid="{00000000-0010-0000-0100-000006000000}" name="Indicator Code (5 Characters)" dataDxfId="45">
      <calculatedColumnFormula>IF(LEN(A2)=5,A2,"")</calculatedColumnFormula>
    </tableColumn>
    <tableColumn id="5" xr3:uid="{00000000-0010-0000-0100-000005000000}" name="Combined List" dataDxfId="44">
      <calculatedColumnFormula>CONCATENATE(F:F,G:G,H:H)</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64" displayName="Table264" ref="K1:O228" totalsRowShown="0" headerRowDxfId="43" dataDxfId="42">
  <autoFilter ref="K1:O228" xr:uid="{00000000-0009-0000-0100-000003000000}"/>
  <tableColumns count="5">
    <tableColumn id="1" xr3:uid="{00000000-0010-0000-0200-000001000000}" name="B" dataDxfId="41">
      <calculatedColumnFormula>IF(LEN(CONCATENATE(B:B,D:D))&gt;4,CONCATENATE(B:B,D:D),"")</calculatedColumnFormula>
    </tableColumn>
    <tableColumn id="2" xr3:uid="{00000000-0010-0000-0200-000002000000}" name="P" dataDxfId="40">
      <calculatedColumnFormula>IF(LEN(CONCATENATE(B:B,E:E))&gt;4,CONCATENATE(B:B,E:E),"")</calculatedColumnFormula>
    </tableColumn>
    <tableColumn id="5" xr3:uid="{00000000-0010-0000-0200-000005000000}" name="Column1" dataDxfId="39"/>
    <tableColumn id="3" xr3:uid="{00000000-0010-0000-0200-000003000000}" name="Combined List" dataDxfId="38">
      <calculatedColumnFormula>IF(LEN(CONCATENATE(B:B,I:I))&gt;4,CONCATENATE(B:B,I:I),"")</calculatedColumnFormula>
    </tableColumn>
    <tableColumn id="4" xr3:uid="{00000000-0010-0000-0200-000004000000}" name="Reference to Other Table" dataDxfId="37">
      <calculatedColumnFormula>Table132[[#This Row],[Combined List]]</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13" displayName="Table13" ref="D1:I228" totalsRowShown="0" headerRowDxfId="36" headerRowBorderDxfId="35">
  <autoFilter ref="D1:I228" xr:uid="{00000000-0009-0000-0100-000002000000}"/>
  <tableColumns count="6">
    <tableColumn id="1" xr3:uid="{00000000-0010-0000-0300-000001000000}" name="B" dataDxfId="34">
      <calculatedColumnFormula>IF(LEFT(A2,1)="B",A2,"")</calculatedColumnFormula>
    </tableColumn>
    <tableColumn id="2" xr3:uid="{00000000-0010-0000-0300-000002000000}" name="P" dataDxfId="33">
      <calculatedColumnFormula>IF(LEN(IF(LEFT(A2,1)="P",A2,""))=7,IF(LEFT(A2,1)="P",A2,""),"")</calculatedColumnFormula>
    </tableColumn>
    <tableColumn id="3" xr3:uid="{00000000-0010-0000-0300-000003000000}" name="Indicator Code (4 Characters" dataDxfId="32">
      <calculatedColumnFormula>IF(ISNUMBER(SEARCH("Code",A:A)),"",IF(LEN(A2)=4,A2,""))</calculatedColumnFormula>
    </tableColumn>
    <tableColumn id="4" xr3:uid="{00000000-0010-0000-0300-000004000000}" name="Indicator Code (3 Characters)" dataDxfId="31">
      <calculatedColumnFormula>IF(LEN(A2)=3,A2,"")</calculatedColumnFormula>
    </tableColumn>
    <tableColumn id="6" xr3:uid="{00000000-0010-0000-0300-000006000000}" name="Indicator Code (5 Characters)" dataDxfId="30">
      <calculatedColumnFormula>IF(LEN(A2)=5,A2,"")</calculatedColumnFormula>
    </tableColumn>
    <tableColumn id="5" xr3:uid="{00000000-0010-0000-0300-000005000000}" name="Combined List" dataDxfId="29">
      <calculatedColumnFormula>CONCATENATE(F:F,G:G,H:H)</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26" displayName="Table26" ref="K1:O228" totalsRowShown="0" headerRowDxfId="28" dataDxfId="27">
  <autoFilter ref="K1:O228" xr:uid="{00000000-0009-0000-0100-000005000000}"/>
  <tableColumns count="5">
    <tableColumn id="1" xr3:uid="{00000000-0010-0000-0400-000001000000}" name="B" dataDxfId="26">
      <calculatedColumnFormula>IF(LEN(CONCATENATE(B:B,D:D))&gt;4,CONCATENATE(B:B,D:D),"")</calculatedColumnFormula>
    </tableColumn>
    <tableColumn id="2" xr3:uid="{00000000-0010-0000-0400-000002000000}" name="P" dataDxfId="25">
      <calculatedColumnFormula>IF(LEN(CONCATENATE(B:B,E:E))&gt;4,CONCATENATE(B:B,E:E),"")</calculatedColumnFormula>
    </tableColumn>
    <tableColumn id="5" xr3:uid="{00000000-0010-0000-0400-000005000000}" name="Column1" dataDxfId="24"/>
    <tableColumn id="3" xr3:uid="{00000000-0010-0000-0400-000003000000}" name="Combined List" dataDxfId="23">
      <calculatedColumnFormula>IF(LEN(CONCATENATE(B:B,I:I))&gt;4,CONCATENATE(B:B,I:I),"")</calculatedColumnFormula>
    </tableColumn>
    <tableColumn id="4" xr3:uid="{00000000-0010-0000-0400-000004000000}" name="Reference to Other Table" dataDxfId="22">
      <calculatedColumnFormula>Table13[[#This Row],[Combined List]]</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EE14A39-45EC-4C4D-9056-8B32A0117725}" name="MDClst" displayName="MDClst" ref="X1:X19" totalsRowShown="0" headerRowDxfId="7" dataDxfId="6">
  <autoFilter ref="X1:X19" xr:uid="{037239CC-BD2C-47C1-BE5E-4E79583D495F}"/>
  <tableColumns count="1">
    <tableColumn id="1" xr3:uid="{B51830D3-2104-4A7B-9746-58B1523ABC7F}" name="Method of Data collection"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3" dT="2023-08-03T13:27:28.42" personId="{5DA81BFE-4A20-42BD-BD4C-B626511B6DF1}" id="{FA05C34C-A6D0-44EF-BC2F-B23EF7B7183E}">
    <text>Edited. Please review</text>
  </threadedComment>
  <threadedComment ref="B51" dT="2023-08-03T15:05:11.33" personId="{5DA81BFE-4A20-42BD-BD4C-B626511B6DF1}" id="{DC6724C9-93D7-49D7-934E-7A29B0443531}">
    <text>Added text. Please review.</text>
  </threadedComment>
  <threadedComment ref="B62" dT="2023-08-03T15:07:17.66" personId="{5DA81BFE-4A20-42BD-BD4C-B626511B6DF1}" id="{9FF2CCA8-F5DD-4021-84C4-741BDD77077F}">
    <text>Should these populate automatically now?</text>
  </threadedComment>
  <threadedComment ref="B72" dT="2023-08-03T15:08:08.99" personId="{5DA81BFE-4A20-42BD-BD4C-B626511B6DF1}" id="{4D18399D-A438-4F56-98C3-D774897CEBF9}">
    <text>Populate automatically?</text>
  </threadedComment>
</ThreadedComments>
</file>

<file path=xl/threadedComments/threadedComment2.xml><?xml version="1.0" encoding="utf-8"?>
<ThreadedComments xmlns="http://schemas.microsoft.com/office/spreadsheetml/2018/threadedcomments" xmlns:x="http://schemas.openxmlformats.org/spreadsheetml/2006/main">
  <threadedComment ref="G1" dT="2023-08-03T14:19:00.46" personId="{5DA81BFE-4A20-42BD-BD4C-B626511B6DF1}" id="{2AFD8D03-1DE0-4B86-A76F-51CE0E19B60F}">
    <text>Should the codes and activity descriptions populate from the logframe?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pivotTable" Target="../pivotTables/pivotTable3.xml"/><Relationship Id="rId7"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1.vml"/><Relationship Id="rId5" Type="http://schemas.openxmlformats.org/officeDocument/2006/relationships/drawing" Target="../drawings/drawing10.xml"/><Relationship Id="rId4" Type="http://schemas.openxmlformats.org/officeDocument/2006/relationships/printerSettings" Target="../printerSettings/printerSettings14.bin"/><Relationship Id="rId9"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pivotTable" Target="../pivotTables/pivotTable6.xml"/><Relationship Id="rId7" Type="http://schemas.openxmlformats.org/officeDocument/2006/relationships/table" Target="../tables/table10.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table" Target="../tables/table9.xml"/><Relationship Id="rId5" Type="http://schemas.openxmlformats.org/officeDocument/2006/relationships/vmlDrawing" Target="../drawings/vmlDrawing12.vml"/><Relationship Id="rId4"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C81"/>
  <sheetViews>
    <sheetView topLeftCell="A14" zoomScale="130" zoomScaleNormal="130" workbookViewId="0">
      <selection activeCell="B13" sqref="B13"/>
    </sheetView>
  </sheetViews>
  <sheetFormatPr defaultColWidth="9.1796875" defaultRowHeight="14.5" x14ac:dyDescent="0.35"/>
  <cols>
    <col min="1" max="1" width="14.7265625" style="194" customWidth="1"/>
    <col min="2" max="2" width="119.1796875" style="195" customWidth="1"/>
    <col min="3" max="16384" width="9.1796875" style="192"/>
  </cols>
  <sheetData>
    <row r="1" spans="1:2" s="191" customFormat="1" ht="12.75" customHeight="1" x14ac:dyDescent="0.35">
      <c r="A1" s="1134" t="s">
        <v>2186</v>
      </c>
      <c r="B1" s="1135"/>
    </row>
    <row r="2" spans="1:2" s="191" customFormat="1" ht="39.75" customHeight="1" thickBot="1" x14ac:dyDescent="0.4">
      <c r="A2" s="1136"/>
      <c r="B2" s="1137"/>
    </row>
    <row r="3" spans="1:2" s="191" customFormat="1" ht="62.25" customHeight="1" x14ac:dyDescent="0.35">
      <c r="A3" s="1138" t="s">
        <v>2187</v>
      </c>
      <c r="B3" s="1139"/>
    </row>
    <row r="4" spans="1:2" x14ac:dyDescent="0.35">
      <c r="A4" s="384" t="s">
        <v>0</v>
      </c>
      <c r="B4" s="385" t="s">
        <v>1</v>
      </c>
    </row>
    <row r="5" spans="1:2" x14ac:dyDescent="0.35">
      <c r="A5" s="363" t="s">
        <v>2</v>
      </c>
      <c r="B5" s="445" t="s">
        <v>3</v>
      </c>
    </row>
    <row r="6" spans="1:2" x14ac:dyDescent="0.35">
      <c r="A6" s="363" t="s">
        <v>4</v>
      </c>
      <c r="B6" s="446" t="s">
        <v>5</v>
      </c>
    </row>
    <row r="7" spans="1:2" ht="29" x14ac:dyDescent="0.35">
      <c r="A7" s="363" t="s">
        <v>6</v>
      </c>
      <c r="B7" s="446" t="s">
        <v>7</v>
      </c>
    </row>
    <row r="8" spans="1:2" ht="43.5" x14ac:dyDescent="0.35">
      <c r="A8" s="363" t="e">
        <v>#N/A</v>
      </c>
      <c r="B8" s="446" t="s">
        <v>8</v>
      </c>
    </row>
    <row r="9" spans="1:2" ht="29" x14ac:dyDescent="0.35">
      <c r="A9" s="363" t="s">
        <v>9</v>
      </c>
      <c r="B9" s="446" t="s">
        <v>10</v>
      </c>
    </row>
    <row r="10" spans="1:2" x14ac:dyDescent="0.35">
      <c r="A10" s="363" t="s">
        <v>11</v>
      </c>
      <c r="B10" s="446" t="s">
        <v>12</v>
      </c>
    </row>
    <row r="11" spans="1:2" ht="29.5" thickBot="1" x14ac:dyDescent="0.4">
      <c r="A11" s="365" t="s">
        <v>13</v>
      </c>
      <c r="B11" s="447" t="s">
        <v>14</v>
      </c>
    </row>
    <row r="12" spans="1:2" x14ac:dyDescent="0.35">
      <c r="A12" s="854" t="s">
        <v>15</v>
      </c>
      <c r="B12" s="855"/>
    </row>
    <row r="13" spans="1:2" ht="29" x14ac:dyDescent="0.35">
      <c r="A13" s="367"/>
      <c r="B13" s="364" t="s">
        <v>16</v>
      </c>
    </row>
    <row r="14" spans="1:2" ht="29" x14ac:dyDescent="0.35">
      <c r="A14" s="367"/>
      <c r="B14" s="364" t="s">
        <v>17</v>
      </c>
    </row>
    <row r="15" spans="1:2" ht="29" x14ac:dyDescent="0.35">
      <c r="A15" s="368"/>
      <c r="B15" s="369" t="s">
        <v>18</v>
      </c>
    </row>
    <row r="16" spans="1:2" x14ac:dyDescent="0.35">
      <c r="A16" s="363" t="s">
        <v>19</v>
      </c>
      <c r="B16" s="445"/>
    </row>
    <row r="17" spans="1:2" x14ac:dyDescent="0.35">
      <c r="A17" s="1133" t="s">
        <v>20</v>
      </c>
      <c r="B17" s="448" t="s">
        <v>21</v>
      </c>
    </row>
    <row r="18" spans="1:2" ht="29" x14ac:dyDescent="0.35">
      <c r="A18" s="1133"/>
      <c r="B18" s="448" t="s">
        <v>22</v>
      </c>
    </row>
    <row r="19" spans="1:2" ht="43.5" x14ac:dyDescent="0.35">
      <c r="A19" s="370" t="s">
        <v>23</v>
      </c>
      <c r="B19" s="449" t="s">
        <v>24</v>
      </c>
    </row>
    <row r="20" spans="1:2" ht="29" x14ac:dyDescent="0.35">
      <c r="A20" s="371" t="s">
        <v>25</v>
      </c>
      <c r="B20" s="448" t="s">
        <v>26</v>
      </c>
    </row>
    <row r="21" spans="1:2" ht="29" x14ac:dyDescent="0.35">
      <c r="A21" s="865" t="s">
        <v>2</v>
      </c>
      <c r="B21" s="859" t="s">
        <v>27</v>
      </c>
    </row>
    <row r="22" spans="1:2" ht="29" x14ac:dyDescent="0.35">
      <c r="A22" s="865"/>
      <c r="B22" s="448" t="s">
        <v>28</v>
      </c>
    </row>
    <row r="23" spans="1:2" ht="43.5" x14ac:dyDescent="0.35">
      <c r="A23" s="865" t="s">
        <v>4</v>
      </c>
      <c r="B23" s="448" t="s">
        <v>29</v>
      </c>
    </row>
    <row r="24" spans="1:2" ht="29" x14ac:dyDescent="0.35">
      <c r="A24" s="865"/>
      <c r="B24" s="448" t="s">
        <v>30</v>
      </c>
    </row>
    <row r="25" spans="1:2" ht="29" x14ac:dyDescent="0.35">
      <c r="A25" s="372" t="s">
        <v>31</v>
      </c>
      <c r="B25" s="448" t="s">
        <v>32</v>
      </c>
    </row>
    <row r="26" spans="1:2" ht="29" x14ac:dyDescent="0.35">
      <c r="A26" s="372"/>
      <c r="B26" s="448" t="s">
        <v>33</v>
      </c>
    </row>
    <row r="27" spans="1:2" ht="63" customHeight="1" x14ac:dyDescent="0.35">
      <c r="A27" s="373" t="s">
        <v>34</v>
      </c>
      <c r="B27" s="860" t="s">
        <v>35</v>
      </c>
    </row>
    <row r="28" spans="1:2" ht="72.5" x14ac:dyDescent="0.35">
      <c r="A28" s="372"/>
      <c r="B28" s="448" t="s">
        <v>36</v>
      </c>
    </row>
    <row r="29" spans="1:2" ht="29" x14ac:dyDescent="0.35">
      <c r="A29" s="374"/>
      <c r="B29" s="450" t="s">
        <v>37</v>
      </c>
    </row>
    <row r="30" spans="1:2" ht="29" x14ac:dyDescent="0.35">
      <c r="A30" s="375" t="s">
        <v>38</v>
      </c>
      <c r="B30" s="451" t="s">
        <v>39</v>
      </c>
    </row>
    <row r="31" spans="1:2" x14ac:dyDescent="0.35">
      <c r="A31" s="363" t="s">
        <v>40</v>
      </c>
      <c r="B31" s="446" t="s">
        <v>41</v>
      </c>
    </row>
    <row r="32" spans="1:2" ht="43.5" x14ac:dyDescent="0.35">
      <c r="A32" s="367" t="s">
        <v>42</v>
      </c>
      <c r="B32" s="452" t="s">
        <v>43</v>
      </c>
    </row>
    <row r="33" spans="1:3" ht="60.75" customHeight="1" x14ac:dyDescent="0.35">
      <c r="A33" s="367"/>
      <c r="B33" s="446" t="s">
        <v>44</v>
      </c>
    </row>
    <row r="34" spans="1:3" s="191" customFormat="1" x14ac:dyDescent="0.35">
      <c r="A34" s="367" t="s">
        <v>45</v>
      </c>
      <c r="B34" s="453" t="s">
        <v>46</v>
      </c>
    </row>
    <row r="35" spans="1:3" s="191" customFormat="1" x14ac:dyDescent="0.35">
      <c r="A35" s="367"/>
      <c r="B35" s="454" t="s">
        <v>47</v>
      </c>
    </row>
    <row r="36" spans="1:3" s="191" customFormat="1" x14ac:dyDescent="0.35">
      <c r="A36" s="367"/>
      <c r="B36" s="454" t="s">
        <v>48</v>
      </c>
    </row>
    <row r="37" spans="1:3" s="191" customFormat="1" x14ac:dyDescent="0.35">
      <c r="A37" s="367"/>
      <c r="B37" s="454" t="s">
        <v>49</v>
      </c>
    </row>
    <row r="38" spans="1:3" s="191" customFormat="1" x14ac:dyDescent="0.35">
      <c r="A38" s="367"/>
      <c r="B38" s="454" t="s">
        <v>50</v>
      </c>
    </row>
    <row r="39" spans="1:3" s="191" customFormat="1" x14ac:dyDescent="0.35">
      <c r="A39" s="367"/>
      <c r="B39" s="454" t="s">
        <v>51</v>
      </c>
    </row>
    <row r="40" spans="1:3" ht="116" x14ac:dyDescent="0.35">
      <c r="A40" s="378" t="s">
        <v>52</v>
      </c>
      <c r="B40" s="861" t="s">
        <v>53</v>
      </c>
    </row>
    <row r="41" spans="1:3" x14ac:dyDescent="0.35">
      <c r="A41" s="367"/>
      <c r="B41" s="454" t="s">
        <v>54</v>
      </c>
    </row>
    <row r="42" spans="1:3" ht="29" x14ac:dyDescent="0.35">
      <c r="A42" s="367"/>
      <c r="B42" s="454" t="s">
        <v>55</v>
      </c>
    </row>
    <row r="43" spans="1:3" ht="29" x14ac:dyDescent="0.35">
      <c r="A43" s="367"/>
      <c r="B43" s="454" t="s">
        <v>56</v>
      </c>
    </row>
    <row r="44" spans="1:3" ht="58" x14ac:dyDescent="0.35">
      <c r="A44" s="368"/>
      <c r="B44" s="862" t="s">
        <v>57</v>
      </c>
    </row>
    <row r="45" spans="1:3" ht="217.5" x14ac:dyDescent="0.35">
      <c r="A45" s="379" t="s">
        <v>58</v>
      </c>
      <c r="B45" s="863" t="s">
        <v>59</v>
      </c>
      <c r="C45" s="193"/>
    </row>
    <row r="46" spans="1:3" ht="29" x14ac:dyDescent="0.35">
      <c r="A46" s="375" t="s">
        <v>60</v>
      </c>
      <c r="B46" s="451" t="s">
        <v>61</v>
      </c>
    </row>
    <row r="47" spans="1:3" ht="29" x14ac:dyDescent="0.35">
      <c r="A47" s="380" t="s">
        <v>62</v>
      </c>
      <c r="B47" s="450" t="s">
        <v>63</v>
      </c>
    </row>
    <row r="48" spans="1:3" ht="72.5" x14ac:dyDescent="0.35">
      <c r="A48" s="375" t="s">
        <v>64</v>
      </c>
      <c r="B48" s="1065" t="s">
        <v>2195</v>
      </c>
      <c r="C48" s="192" t="s">
        <v>65</v>
      </c>
    </row>
    <row r="49" spans="1:3" ht="43.5" x14ac:dyDescent="0.35">
      <c r="A49" s="375" t="s">
        <v>66</v>
      </c>
      <c r="B49" s="1065" t="s">
        <v>2196</v>
      </c>
      <c r="C49" s="192" t="s">
        <v>67</v>
      </c>
    </row>
    <row r="50" spans="1:3" ht="44" thickBot="1" x14ac:dyDescent="0.4">
      <c r="A50" s="381" t="s">
        <v>68</v>
      </c>
      <c r="B50" s="447" t="s">
        <v>69</v>
      </c>
    </row>
    <row r="51" spans="1:3" x14ac:dyDescent="0.35">
      <c r="A51" s="856" t="s">
        <v>70</v>
      </c>
      <c r="B51" s="857"/>
    </row>
    <row r="52" spans="1:3" s="191" customFormat="1" x14ac:dyDescent="0.35">
      <c r="A52" s="382"/>
      <c r="B52" s="377" t="s">
        <v>71</v>
      </c>
    </row>
    <row r="53" spans="1:3" x14ac:dyDescent="0.35">
      <c r="A53" s="368" t="s">
        <v>72</v>
      </c>
      <c r="B53" s="369" t="s">
        <v>73</v>
      </c>
    </row>
    <row r="54" spans="1:3" x14ac:dyDescent="0.35">
      <c r="A54" s="383" t="s">
        <v>25</v>
      </c>
      <c r="B54" s="376" t="s">
        <v>74</v>
      </c>
    </row>
    <row r="55" spans="1:3" ht="29" x14ac:dyDescent="0.35">
      <c r="A55" s="383" t="s">
        <v>75</v>
      </c>
      <c r="B55" s="376" t="s">
        <v>76</v>
      </c>
    </row>
    <row r="56" spans="1:3" x14ac:dyDescent="0.35">
      <c r="A56" s="383" t="s">
        <v>77</v>
      </c>
      <c r="B56" s="376" t="s">
        <v>78</v>
      </c>
    </row>
    <row r="57" spans="1:3" x14ac:dyDescent="0.35">
      <c r="A57" s="368" t="s">
        <v>79</v>
      </c>
      <c r="B57" s="369" t="s">
        <v>80</v>
      </c>
      <c r="C57" s="170"/>
    </row>
    <row r="58" spans="1:3" ht="16.5" customHeight="1" thickBot="1" x14ac:dyDescent="0.4">
      <c r="A58" s="367" t="s">
        <v>81</v>
      </c>
      <c r="B58" s="364" t="s">
        <v>82</v>
      </c>
    </row>
    <row r="59" spans="1:3" x14ac:dyDescent="0.35">
      <c r="A59" s="856" t="s">
        <v>83</v>
      </c>
      <c r="B59" s="857"/>
    </row>
    <row r="60" spans="1:3" s="191" customFormat="1" ht="29" x14ac:dyDescent="0.35">
      <c r="A60" s="382"/>
      <c r="B60" s="455" t="s">
        <v>84</v>
      </c>
    </row>
    <row r="61" spans="1:3" ht="29" x14ac:dyDescent="0.35">
      <c r="A61" s="368" t="s">
        <v>85</v>
      </c>
      <c r="B61" s="450" t="s">
        <v>86</v>
      </c>
    </row>
    <row r="62" spans="1:3" x14ac:dyDescent="0.35">
      <c r="A62" s="367" t="s">
        <v>38</v>
      </c>
      <c r="B62" s="446" t="s">
        <v>87</v>
      </c>
    </row>
    <row r="63" spans="1:3" x14ac:dyDescent="0.35">
      <c r="A63" s="367" t="s">
        <v>88</v>
      </c>
      <c r="B63" s="446" t="s">
        <v>89</v>
      </c>
    </row>
    <row r="64" spans="1:3" x14ac:dyDescent="0.35">
      <c r="A64" s="368"/>
      <c r="B64" s="450" t="s">
        <v>90</v>
      </c>
    </row>
    <row r="65" spans="1:3" ht="29" x14ac:dyDescent="0.35">
      <c r="A65" s="383" t="s">
        <v>91</v>
      </c>
      <c r="B65" s="451" t="s">
        <v>92</v>
      </c>
    </row>
    <row r="66" spans="1:3" ht="29" x14ac:dyDescent="0.35">
      <c r="A66" s="383" t="s">
        <v>79</v>
      </c>
      <c r="B66" s="451" t="s">
        <v>93</v>
      </c>
    </row>
    <row r="67" spans="1:3" x14ac:dyDescent="0.35">
      <c r="A67" s="383" t="s">
        <v>81</v>
      </c>
      <c r="B67" s="451" t="s">
        <v>94</v>
      </c>
      <c r="C67" s="170"/>
    </row>
    <row r="68" spans="1:3" ht="21" customHeight="1" thickBot="1" x14ac:dyDescent="0.4">
      <c r="A68" s="366" t="s">
        <v>95</v>
      </c>
      <c r="B68" s="447" t="s">
        <v>82</v>
      </c>
    </row>
    <row r="69" spans="1:3" x14ac:dyDescent="0.35">
      <c r="A69" s="856" t="s">
        <v>96</v>
      </c>
      <c r="B69" s="857"/>
    </row>
    <row r="70" spans="1:3" x14ac:dyDescent="0.35">
      <c r="A70" s="367" t="s">
        <v>97</v>
      </c>
      <c r="B70" s="445" t="s">
        <v>98</v>
      </c>
    </row>
    <row r="71" spans="1:3" ht="29" x14ac:dyDescent="0.35">
      <c r="A71" s="368"/>
      <c r="B71" s="450" t="s">
        <v>99</v>
      </c>
    </row>
    <row r="72" spans="1:3" x14ac:dyDescent="0.35">
      <c r="A72" s="383" t="s">
        <v>100</v>
      </c>
      <c r="B72" s="451" t="s">
        <v>101</v>
      </c>
    </row>
    <row r="73" spans="1:3" ht="29" x14ac:dyDescent="0.35">
      <c r="A73" s="383" t="s">
        <v>40</v>
      </c>
      <c r="B73" s="451" t="s">
        <v>102</v>
      </c>
    </row>
    <row r="74" spans="1:3" x14ac:dyDescent="0.35">
      <c r="A74" s="383" t="s">
        <v>58</v>
      </c>
      <c r="B74" s="451" t="s">
        <v>103</v>
      </c>
    </row>
    <row r="75" spans="1:3" x14ac:dyDescent="0.35">
      <c r="A75" s="383" t="s">
        <v>60</v>
      </c>
      <c r="B75" s="451" t="s">
        <v>104</v>
      </c>
    </row>
    <row r="76" spans="1:3" ht="58" x14ac:dyDescent="0.35">
      <c r="A76" s="383" t="s">
        <v>105</v>
      </c>
      <c r="B76" s="451" t="s">
        <v>106</v>
      </c>
    </row>
    <row r="77" spans="1:3" x14ac:dyDescent="0.35">
      <c r="A77" s="383" t="s">
        <v>95</v>
      </c>
      <c r="B77" s="451" t="s">
        <v>107</v>
      </c>
    </row>
    <row r="78" spans="1:3" ht="29" x14ac:dyDescent="0.35">
      <c r="A78" s="383" t="s">
        <v>108</v>
      </c>
      <c r="B78" s="451" t="s">
        <v>109</v>
      </c>
    </row>
    <row r="79" spans="1:3" ht="29" x14ac:dyDescent="0.35">
      <c r="A79" s="383" t="s">
        <v>110</v>
      </c>
      <c r="B79" s="451" t="s">
        <v>111</v>
      </c>
    </row>
    <row r="80" spans="1:3" x14ac:dyDescent="0.35">
      <c r="A80" s="383" t="s">
        <v>112</v>
      </c>
      <c r="B80" s="451" t="s">
        <v>113</v>
      </c>
    </row>
    <row r="81" spans="1:2" x14ac:dyDescent="0.35">
      <c r="A81" s="366" t="s">
        <v>114</v>
      </c>
      <c r="B81" s="447" t="s">
        <v>115</v>
      </c>
    </row>
  </sheetData>
  <mergeCells count="3">
    <mergeCell ref="A17:A18"/>
    <mergeCell ref="A1:B2"/>
    <mergeCell ref="A3:B3"/>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FF0000"/>
  </sheetPr>
  <dimension ref="A1:F31"/>
  <sheetViews>
    <sheetView topLeftCell="A14" workbookViewId="0">
      <selection activeCell="E22" sqref="E22"/>
    </sheetView>
  </sheetViews>
  <sheetFormatPr defaultColWidth="9.1796875" defaultRowHeight="14.5" x14ac:dyDescent="0.35"/>
  <cols>
    <col min="1" max="3" width="13.453125" style="439" customWidth="1"/>
    <col min="4" max="4" width="54" style="441" customWidth="1"/>
    <col min="5" max="5" width="43.81640625" style="441" customWidth="1"/>
    <col min="6" max="6" width="55.26953125" style="441" customWidth="1"/>
    <col min="7" max="16384" width="9.1796875" style="439"/>
  </cols>
  <sheetData>
    <row r="1" spans="1:6" s="442" customFormat="1" x14ac:dyDescent="0.35">
      <c r="A1" s="442" t="s">
        <v>206</v>
      </c>
      <c r="B1" s="442" t="s">
        <v>220</v>
      </c>
      <c r="C1" s="442" t="s">
        <v>221</v>
      </c>
      <c r="D1" s="443" t="s">
        <v>222</v>
      </c>
      <c r="E1" s="443" t="s">
        <v>223</v>
      </c>
      <c r="F1" s="443" t="s">
        <v>224</v>
      </c>
    </row>
    <row r="2" spans="1:6" ht="58" x14ac:dyDescent="0.35">
      <c r="A2" s="440">
        <v>44084</v>
      </c>
      <c r="B2" s="440" t="s">
        <v>225</v>
      </c>
      <c r="C2" s="440" t="s">
        <v>226</v>
      </c>
      <c r="D2" s="441" t="s">
        <v>227</v>
      </c>
      <c r="E2" s="441" t="s">
        <v>228</v>
      </c>
      <c r="F2" s="441" t="s">
        <v>229</v>
      </c>
    </row>
    <row r="3" spans="1:6" ht="29" x14ac:dyDescent="0.35">
      <c r="A3" s="440">
        <v>44084</v>
      </c>
      <c r="B3" s="440" t="s">
        <v>6</v>
      </c>
      <c r="C3" s="439" t="s">
        <v>230</v>
      </c>
      <c r="D3" s="441" t="s">
        <v>231</v>
      </c>
      <c r="E3" s="441" t="s">
        <v>232</v>
      </c>
      <c r="F3" s="441" t="s">
        <v>233</v>
      </c>
    </row>
    <row r="4" spans="1:6" ht="101.5" x14ac:dyDescent="0.35">
      <c r="A4" s="440">
        <v>44090</v>
      </c>
      <c r="B4" s="439" t="s">
        <v>225</v>
      </c>
      <c r="C4" s="456" t="s">
        <v>234</v>
      </c>
      <c r="D4" s="441" t="s">
        <v>235</v>
      </c>
      <c r="E4" s="457" t="s">
        <v>236</v>
      </c>
      <c r="F4" s="457" t="s">
        <v>237</v>
      </c>
    </row>
    <row r="5" spans="1:6" ht="101.5" x14ac:dyDescent="0.35">
      <c r="A5" s="440">
        <v>44429</v>
      </c>
      <c r="B5" s="456" t="s">
        <v>238</v>
      </c>
      <c r="C5" s="456" t="s">
        <v>239</v>
      </c>
      <c r="D5" s="441" t="s">
        <v>240</v>
      </c>
      <c r="E5" s="441" t="s">
        <v>241</v>
      </c>
      <c r="F5" s="441" t="s">
        <v>242</v>
      </c>
    </row>
    <row r="6" spans="1:6" ht="58" x14ac:dyDescent="0.35">
      <c r="A6" s="440">
        <v>44435</v>
      </c>
      <c r="B6" s="439" t="s">
        <v>238</v>
      </c>
      <c r="C6" s="439" t="s">
        <v>239</v>
      </c>
      <c r="E6" s="441" t="s">
        <v>243</v>
      </c>
      <c r="F6" s="441" t="s">
        <v>242</v>
      </c>
    </row>
    <row r="7" spans="1:6" ht="43.5" x14ac:dyDescent="0.35">
      <c r="A7" s="440">
        <v>44435</v>
      </c>
      <c r="B7" s="439" t="s">
        <v>244</v>
      </c>
      <c r="C7" s="439" t="s">
        <v>245</v>
      </c>
      <c r="E7" s="441" t="s">
        <v>246</v>
      </c>
      <c r="F7" s="441" t="s">
        <v>247</v>
      </c>
    </row>
    <row r="8" spans="1:6" x14ac:dyDescent="0.35">
      <c r="A8" s="440">
        <v>44435</v>
      </c>
      <c r="B8" s="439" t="s">
        <v>225</v>
      </c>
      <c r="C8" s="439" t="s">
        <v>226</v>
      </c>
      <c r="D8" s="441" t="s">
        <v>248</v>
      </c>
      <c r="E8" s="441" t="s">
        <v>249</v>
      </c>
      <c r="F8" s="441" t="s">
        <v>247</v>
      </c>
    </row>
    <row r="9" spans="1:6" ht="72.5" x14ac:dyDescent="0.35">
      <c r="A9" s="440">
        <v>44438</v>
      </c>
      <c r="B9" s="439" t="s">
        <v>225</v>
      </c>
      <c r="C9" s="439" t="s">
        <v>250</v>
      </c>
      <c r="E9" s="457" t="s">
        <v>251</v>
      </c>
      <c r="F9" s="441" t="s">
        <v>242</v>
      </c>
    </row>
    <row r="10" spans="1:6" ht="29" x14ac:dyDescent="0.35">
      <c r="A10" s="440">
        <v>44444</v>
      </c>
      <c r="B10" s="456" t="s">
        <v>225</v>
      </c>
      <c r="C10" s="456" t="s">
        <v>239</v>
      </c>
      <c r="D10" s="457" t="s">
        <v>252</v>
      </c>
      <c r="E10" s="457" t="s">
        <v>253</v>
      </c>
    </row>
    <row r="11" spans="1:6" ht="43.5" x14ac:dyDescent="0.35">
      <c r="A11" s="440">
        <v>44790</v>
      </c>
      <c r="B11" s="456" t="s">
        <v>238</v>
      </c>
      <c r="C11" s="456" t="s">
        <v>226</v>
      </c>
      <c r="D11" s="457" t="s">
        <v>254</v>
      </c>
      <c r="E11" s="457" t="s">
        <v>255</v>
      </c>
      <c r="F11" s="457" t="s">
        <v>256</v>
      </c>
    </row>
    <row r="12" spans="1:6" ht="43.5" x14ac:dyDescent="0.35">
      <c r="A12" s="440">
        <v>44790</v>
      </c>
      <c r="B12" s="456" t="s">
        <v>238</v>
      </c>
      <c r="C12" s="456" t="s">
        <v>257</v>
      </c>
      <c r="D12" s="457" t="s">
        <v>258</v>
      </c>
      <c r="E12" s="457" t="s">
        <v>259</v>
      </c>
      <c r="F12" s="299" t="s">
        <v>260</v>
      </c>
    </row>
    <row r="13" spans="1:6" ht="58" x14ac:dyDescent="0.35">
      <c r="A13" s="440">
        <v>44790</v>
      </c>
      <c r="B13" s="456" t="s">
        <v>238</v>
      </c>
      <c r="C13" s="456" t="s">
        <v>257</v>
      </c>
      <c r="D13" s="457" t="s">
        <v>261</v>
      </c>
      <c r="E13" s="457" t="s">
        <v>262</v>
      </c>
      <c r="F13" s="457" t="s">
        <v>263</v>
      </c>
    </row>
    <row r="14" spans="1:6" x14ac:dyDescent="0.35">
      <c r="A14" s="440">
        <v>44790</v>
      </c>
      <c r="B14" s="456" t="s">
        <v>225</v>
      </c>
      <c r="C14" s="456" t="s">
        <v>250</v>
      </c>
      <c r="D14" s="457" t="s">
        <v>264</v>
      </c>
      <c r="E14" s="457" t="s">
        <v>265</v>
      </c>
      <c r="F14" s="457" t="s">
        <v>247</v>
      </c>
    </row>
    <row r="15" spans="1:6" ht="29" x14ac:dyDescent="0.35">
      <c r="A15" s="440">
        <v>44839</v>
      </c>
      <c r="B15" s="439" t="s">
        <v>238</v>
      </c>
      <c r="C15" s="439" t="s">
        <v>239</v>
      </c>
      <c r="D15" s="441" t="s">
        <v>266</v>
      </c>
      <c r="E15" s="441" t="s">
        <v>267</v>
      </c>
      <c r="F15" s="441" t="s">
        <v>247</v>
      </c>
    </row>
    <row r="16" spans="1:6" ht="43.5" x14ac:dyDescent="0.35">
      <c r="A16" s="440">
        <v>44855</v>
      </c>
      <c r="B16" s="456" t="s">
        <v>238</v>
      </c>
      <c r="C16" s="456" t="s">
        <v>239</v>
      </c>
      <c r="D16" s="457" t="s">
        <v>268</v>
      </c>
      <c r="E16" s="457" t="s">
        <v>269</v>
      </c>
      <c r="F16" s="457" t="s">
        <v>247</v>
      </c>
    </row>
    <row r="17" spans="1:6" ht="29" x14ac:dyDescent="0.35">
      <c r="A17" s="440">
        <v>44855</v>
      </c>
      <c r="B17" s="456" t="s">
        <v>225</v>
      </c>
      <c r="C17" s="456" t="s">
        <v>226</v>
      </c>
      <c r="D17" s="457" t="s">
        <v>270</v>
      </c>
      <c r="E17" s="457" t="s">
        <v>271</v>
      </c>
      <c r="F17" s="457" t="s">
        <v>247</v>
      </c>
    </row>
    <row r="18" spans="1:6" ht="116" x14ac:dyDescent="0.35">
      <c r="A18" s="440">
        <v>45139</v>
      </c>
      <c r="B18" s="456" t="s">
        <v>225</v>
      </c>
      <c r="C18" s="456" t="s">
        <v>250</v>
      </c>
      <c r="E18" s="457" t="s">
        <v>2188</v>
      </c>
      <c r="F18" s="457" t="s">
        <v>2189</v>
      </c>
    </row>
    <row r="19" spans="1:6" ht="58" x14ac:dyDescent="0.35">
      <c r="A19" s="440">
        <v>45139</v>
      </c>
      <c r="B19" s="456" t="s">
        <v>225</v>
      </c>
      <c r="C19" s="456" t="s">
        <v>250</v>
      </c>
      <c r="E19" s="457" t="s">
        <v>2190</v>
      </c>
    </row>
    <row r="20" spans="1:6" ht="29" x14ac:dyDescent="0.35">
      <c r="A20" s="440">
        <v>45139</v>
      </c>
      <c r="B20" s="439" t="s">
        <v>225</v>
      </c>
      <c r="C20" s="439" t="s">
        <v>250</v>
      </c>
      <c r="E20" s="441" t="s">
        <v>2194</v>
      </c>
      <c r="F20" s="441" t="s">
        <v>2201</v>
      </c>
    </row>
    <row r="21" spans="1:6" ht="29" x14ac:dyDescent="0.35">
      <c r="A21" s="440">
        <v>45153</v>
      </c>
      <c r="B21" s="439" t="s">
        <v>225</v>
      </c>
      <c r="C21" s="439" t="s">
        <v>2197</v>
      </c>
      <c r="E21" s="441" t="s">
        <v>2198</v>
      </c>
      <c r="F21" s="441" t="s">
        <v>2201</v>
      </c>
    </row>
    <row r="22" spans="1:6" ht="29" x14ac:dyDescent="0.35">
      <c r="A22" s="440">
        <v>45156</v>
      </c>
      <c r="B22" s="439" t="s">
        <v>225</v>
      </c>
      <c r="C22" s="439" t="s">
        <v>2199</v>
      </c>
      <c r="E22" s="441" t="s">
        <v>2200</v>
      </c>
      <c r="F22" s="441" t="s">
        <v>2201</v>
      </c>
    </row>
    <row r="23" spans="1:6" ht="29" x14ac:dyDescent="0.35">
      <c r="A23" s="440">
        <v>45156</v>
      </c>
      <c r="B23" s="439" t="s">
        <v>225</v>
      </c>
      <c r="C23" s="439" t="s">
        <v>2202</v>
      </c>
      <c r="E23" s="441" t="s">
        <v>2203</v>
      </c>
      <c r="F23" s="441" t="s">
        <v>2201</v>
      </c>
    </row>
    <row r="31" spans="1:6" x14ac:dyDescent="0.35">
      <c r="D31" s="444"/>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9" tint="0.39997558519241921"/>
  </sheetPr>
  <dimension ref="A1:W175"/>
  <sheetViews>
    <sheetView topLeftCell="C1" zoomScaleNormal="100" workbookViewId="0">
      <pane ySplit="4" topLeftCell="A5" activePane="bottomLeft" state="frozen"/>
      <selection activeCell="C4" sqref="C4"/>
      <selection pane="bottomLeft" activeCell="H17" sqref="H17"/>
    </sheetView>
  </sheetViews>
  <sheetFormatPr defaultColWidth="9.1796875" defaultRowHeight="14.5" x14ac:dyDescent="0.35"/>
  <cols>
    <col min="1" max="1" width="11" style="187" hidden="1" customWidth="1"/>
    <col min="2" max="2" width="49.54296875" style="187" hidden="1" customWidth="1"/>
    <col min="3" max="3" width="7.54296875" style="209" customWidth="1"/>
    <col min="4" max="4" width="14.81640625" style="187" customWidth="1"/>
    <col min="5" max="5" width="64.81640625" style="187" bestFit="1" customWidth="1"/>
    <col min="6" max="6" width="12" style="187" bestFit="1" customWidth="1"/>
    <col min="7" max="7" width="77.1796875" style="187" bestFit="1" customWidth="1"/>
    <col min="8" max="8" width="17.7265625" style="187" bestFit="1" customWidth="1"/>
    <col min="9" max="9" width="10.26953125" style="187" bestFit="1" customWidth="1"/>
    <col min="10" max="10" width="20.1796875" style="187" bestFit="1" customWidth="1"/>
    <col min="11" max="11" width="108.453125" style="187" customWidth="1"/>
    <col min="12" max="12" width="12.1796875" style="187" bestFit="1" customWidth="1"/>
    <col min="13" max="13" width="9.1796875" style="187"/>
    <col min="14" max="14" width="60.26953125" style="187" bestFit="1" customWidth="1"/>
    <col min="15" max="16384" width="9.1796875" style="187"/>
  </cols>
  <sheetData>
    <row r="1" spans="1:23" s="67" customFormat="1" ht="37.5" thickBot="1" x14ac:dyDescent="0.4">
      <c r="A1" s="180"/>
      <c r="B1" s="181"/>
      <c r="C1" s="197"/>
      <c r="D1" s="205"/>
      <c r="E1" s="218" t="s">
        <v>116</v>
      </c>
      <c r="F1" s="219" t="s">
        <v>117</v>
      </c>
      <c r="G1" s="219" t="s">
        <v>118</v>
      </c>
      <c r="H1" s="219" t="s">
        <v>119</v>
      </c>
      <c r="I1" s="219" t="s">
        <v>120</v>
      </c>
      <c r="J1" s="219" t="s">
        <v>121</v>
      </c>
      <c r="K1" s="220" t="s">
        <v>122</v>
      </c>
    </row>
    <row r="2" spans="1:23" s="67" customFormat="1" ht="18.5" x14ac:dyDescent="0.35">
      <c r="A2" s="182"/>
      <c r="B2" s="78"/>
      <c r="C2" s="1146" t="s">
        <v>123</v>
      </c>
      <c r="D2" s="1147"/>
      <c r="E2" s="1147"/>
      <c r="F2" s="1147"/>
      <c r="G2" s="1147"/>
      <c r="H2" s="1147"/>
      <c r="I2" s="1147"/>
      <c r="J2" s="1147"/>
      <c r="K2" s="1148"/>
    </row>
    <row r="3" spans="1:23" s="78" customFormat="1" ht="15" thickBot="1" x14ac:dyDescent="0.4">
      <c r="A3" s="182"/>
      <c r="C3" s="1160"/>
      <c r="D3" s="1161"/>
      <c r="E3" s="1161"/>
      <c r="F3" s="1161"/>
      <c r="G3" s="1161"/>
      <c r="H3" s="1161"/>
      <c r="I3" s="1161"/>
      <c r="J3" s="1161"/>
      <c r="K3" s="1162"/>
    </row>
    <row r="4" spans="1:23" s="186" customFormat="1" ht="19" thickBot="1" x14ac:dyDescent="0.4">
      <c r="A4" s="870">
        <f>F4</f>
        <v>0</v>
      </c>
      <c r="B4" s="871" t="str">
        <f t="shared" ref="B4:B67" si="0">CONCATENATE(A4,G4)</f>
        <v>0</v>
      </c>
      <c r="C4" s="1157" t="s">
        <v>124</v>
      </c>
      <c r="D4" s="1158"/>
      <c r="E4" s="1158"/>
      <c r="F4" s="1158"/>
      <c r="G4" s="1158"/>
      <c r="H4" s="1158"/>
      <c r="I4" s="1158"/>
      <c r="J4" s="1158"/>
      <c r="K4" s="1159"/>
    </row>
    <row r="5" spans="1:23" ht="37" x14ac:dyDescent="0.35">
      <c r="A5" s="216" t="s">
        <v>117</v>
      </c>
      <c r="B5" s="217" t="s">
        <v>125</v>
      </c>
      <c r="C5" s="297"/>
      <c r="D5" s="386" t="s">
        <v>126</v>
      </c>
      <c r="E5" s="387" t="s">
        <v>116</v>
      </c>
      <c r="F5" s="219" t="s">
        <v>117</v>
      </c>
      <c r="G5" s="219" t="s">
        <v>118</v>
      </c>
      <c r="H5" s="219" t="s">
        <v>119</v>
      </c>
      <c r="I5" s="219" t="s">
        <v>120</v>
      </c>
      <c r="J5" s="219" t="s">
        <v>121</v>
      </c>
      <c r="K5" s="220" t="s">
        <v>122</v>
      </c>
      <c r="L5" s="872"/>
      <c r="M5" s="872"/>
      <c r="N5" s="872"/>
      <c r="O5" s="872"/>
      <c r="P5" s="872"/>
      <c r="Q5" s="872"/>
      <c r="R5" s="872"/>
      <c r="S5" s="872"/>
      <c r="T5" s="872"/>
      <c r="U5" s="872"/>
      <c r="V5" s="872"/>
      <c r="W5" s="872"/>
    </row>
    <row r="6" spans="1:23" x14ac:dyDescent="0.35">
      <c r="A6" s="873">
        <f t="shared" ref="A6:A11" si="1">F6</f>
        <v>0</v>
      </c>
      <c r="B6" s="874" t="str">
        <f t="shared" si="0"/>
        <v>0</v>
      </c>
      <c r="C6" s="875">
        <v>1</v>
      </c>
      <c r="D6" s="876" t="s">
        <v>2</v>
      </c>
      <c r="E6" s="877"/>
      <c r="F6" s="1075"/>
      <c r="G6" s="878" t="str">
        <f>_xlfn.IFNA(VLOOKUP(F:F,'indicator lists'!L:M,2,FALSE),"")</f>
        <v/>
      </c>
      <c r="H6" s="150"/>
      <c r="I6" s="150"/>
      <c r="J6" s="114"/>
      <c r="K6" s="868"/>
      <c r="L6" s="872"/>
      <c r="M6" s="872"/>
      <c r="N6" s="872"/>
      <c r="O6" s="872"/>
      <c r="P6" s="872"/>
      <c r="Q6" s="872"/>
      <c r="R6" s="872"/>
      <c r="S6" s="872"/>
      <c r="T6" s="872"/>
      <c r="U6" s="872"/>
      <c r="V6" s="872"/>
      <c r="W6" s="872"/>
    </row>
    <row r="7" spans="1:23" x14ac:dyDescent="0.35">
      <c r="A7" s="873">
        <f t="shared" si="1"/>
        <v>0</v>
      </c>
      <c r="B7" s="874" t="str">
        <f t="shared" si="0"/>
        <v>0</v>
      </c>
      <c r="C7" s="875">
        <v>1.1000000000000001</v>
      </c>
      <c r="D7" s="876" t="s">
        <v>4</v>
      </c>
      <c r="E7" s="879"/>
      <c r="F7" s="1075"/>
      <c r="G7" s="878" t="str">
        <f>_xlfn.IFNA(VLOOKUP(F:F,'indicator lists'!L:M,2,FALSE),"")</f>
        <v/>
      </c>
      <c r="H7" s="150"/>
      <c r="I7" s="150"/>
      <c r="J7" s="114"/>
      <c r="K7" s="296"/>
      <c r="L7" s="872"/>
      <c r="M7" s="872"/>
      <c r="N7" s="872"/>
      <c r="O7" s="872"/>
      <c r="P7" s="872"/>
      <c r="Q7" s="872"/>
      <c r="R7" s="872"/>
      <c r="S7" s="872"/>
      <c r="T7" s="872"/>
      <c r="U7" s="872"/>
      <c r="V7" s="872"/>
      <c r="W7" s="872"/>
    </row>
    <row r="8" spans="1:23" x14ac:dyDescent="0.35">
      <c r="A8" s="873">
        <f t="shared" si="1"/>
        <v>0</v>
      </c>
      <c r="B8" s="874" t="str">
        <f t="shared" si="0"/>
        <v>0</v>
      </c>
      <c r="C8" s="880" t="s">
        <v>128</v>
      </c>
      <c r="D8" s="876" t="s">
        <v>129</v>
      </c>
      <c r="E8" s="879"/>
      <c r="F8" s="699"/>
      <c r="G8" s="878" t="str">
        <f>_xlfn.IFNA(VLOOKUP(F:F,'indicator lists'!L:M,2,FALSE),"")</f>
        <v/>
      </c>
      <c r="H8" s="881"/>
      <c r="I8" s="882"/>
      <c r="J8" s="883"/>
      <c r="K8" s="296"/>
      <c r="L8" s="872"/>
      <c r="M8" s="872"/>
      <c r="N8" s="872"/>
      <c r="O8" s="872"/>
      <c r="P8" s="872"/>
      <c r="Q8" s="872"/>
      <c r="R8" s="872"/>
      <c r="S8" s="872"/>
      <c r="T8" s="872"/>
      <c r="U8" s="872"/>
      <c r="V8" s="872"/>
      <c r="W8" s="872"/>
    </row>
    <row r="9" spans="1:23" x14ac:dyDescent="0.35">
      <c r="A9" s="873">
        <f t="shared" si="1"/>
        <v>0</v>
      </c>
      <c r="B9" s="874" t="str">
        <f t="shared" si="0"/>
        <v>0</v>
      </c>
      <c r="C9" s="880"/>
      <c r="D9" s="876"/>
      <c r="E9" s="877"/>
      <c r="F9" s="390"/>
      <c r="G9" s="878" t="str">
        <f>_xlfn.IFNA(VLOOKUP(F:F,'indicator lists'!L:M,2,FALSE),"")</f>
        <v/>
      </c>
      <c r="H9" s="881"/>
      <c r="I9" s="882"/>
      <c r="J9" s="883"/>
      <c r="K9" s="296"/>
      <c r="L9" s="872"/>
      <c r="M9" s="872"/>
      <c r="N9" s="872"/>
      <c r="O9" s="872"/>
      <c r="P9" s="872"/>
      <c r="Q9" s="872"/>
      <c r="R9" s="872"/>
      <c r="S9" s="872"/>
      <c r="T9" s="872"/>
      <c r="U9" s="872"/>
      <c r="V9" s="872"/>
      <c r="W9" s="872"/>
    </row>
    <row r="10" spans="1:23" x14ac:dyDescent="0.35">
      <c r="A10" s="873">
        <f t="shared" si="1"/>
        <v>0</v>
      </c>
      <c r="B10" s="874" t="str">
        <f t="shared" si="0"/>
        <v>0</v>
      </c>
      <c r="C10" s="880"/>
      <c r="D10" s="876"/>
      <c r="E10" s="879"/>
      <c r="F10" s="390"/>
      <c r="G10" s="878" t="str">
        <f>_xlfn.IFNA(VLOOKUP(F:F,'indicator lists'!L:M,2,FALSE),"")</f>
        <v/>
      </c>
      <c r="H10" s="150"/>
      <c r="I10" s="150"/>
      <c r="J10" s="114"/>
      <c r="K10" s="296"/>
      <c r="L10" s="872"/>
      <c r="M10" s="872"/>
      <c r="N10" s="872"/>
      <c r="O10" s="872"/>
      <c r="P10" s="872"/>
      <c r="Q10" s="872"/>
      <c r="R10" s="872"/>
      <c r="S10" s="872"/>
      <c r="T10" s="872"/>
      <c r="U10" s="872"/>
      <c r="V10" s="872"/>
      <c r="W10" s="872"/>
    </row>
    <row r="11" spans="1:23" x14ac:dyDescent="0.35">
      <c r="A11" s="873">
        <f t="shared" si="1"/>
        <v>0</v>
      </c>
      <c r="B11" s="874" t="str">
        <f t="shared" si="0"/>
        <v>0</v>
      </c>
      <c r="C11" s="880"/>
      <c r="D11" s="876"/>
      <c r="E11" s="879"/>
      <c r="F11" s="390"/>
      <c r="G11" s="878" t="str">
        <f>_xlfn.IFNA(VLOOKUP(F:F,'indicator lists'!L:M,2,FALSE),"")</f>
        <v/>
      </c>
      <c r="H11" s="150"/>
      <c r="I11" s="150"/>
      <c r="J11" s="114"/>
      <c r="K11" s="296"/>
      <c r="L11" s="872"/>
      <c r="M11" s="872"/>
      <c r="N11" s="872"/>
      <c r="O11" s="872"/>
      <c r="P11" s="872"/>
      <c r="Q11" s="872"/>
      <c r="R11" s="872"/>
      <c r="S11" s="872"/>
      <c r="T11" s="872"/>
      <c r="U11" s="872"/>
      <c r="V11" s="872"/>
      <c r="W11" s="872"/>
    </row>
    <row r="12" spans="1:23" x14ac:dyDescent="0.35">
      <c r="A12" s="873">
        <f t="shared" ref="A12:A70" si="2">F12</f>
        <v>0</v>
      </c>
      <c r="B12" s="874" t="str">
        <f t="shared" si="0"/>
        <v>0</v>
      </c>
      <c r="C12" s="884"/>
      <c r="D12" s="876"/>
      <c r="E12" s="879"/>
      <c r="F12" s="390"/>
      <c r="G12" s="878" t="str">
        <f>_xlfn.IFNA(VLOOKUP(F:F,'indicator lists'!L:M,2,FALSE),"")</f>
        <v/>
      </c>
      <c r="H12" s="883"/>
      <c r="I12" s="885"/>
      <c r="J12" s="883"/>
      <c r="K12" s="296"/>
      <c r="L12" s="872"/>
      <c r="M12" s="872"/>
      <c r="N12" s="872"/>
      <c r="O12" s="872"/>
      <c r="P12" s="872"/>
      <c r="Q12" s="872"/>
      <c r="R12" s="872"/>
      <c r="S12" s="872"/>
      <c r="T12" s="872"/>
      <c r="U12" s="872"/>
      <c r="V12" s="872"/>
      <c r="W12" s="872"/>
    </row>
    <row r="13" spans="1:23" x14ac:dyDescent="0.35">
      <c r="A13" s="873">
        <f t="shared" si="2"/>
        <v>0</v>
      </c>
      <c r="B13" s="874" t="str">
        <f t="shared" si="0"/>
        <v>0</v>
      </c>
      <c r="C13" s="886"/>
      <c r="D13" s="876"/>
      <c r="E13" s="879"/>
      <c r="F13" s="390"/>
      <c r="G13" s="878" t="str">
        <f>_xlfn.IFNA(VLOOKUP(F:F,'indicator lists'!L:M,2,FALSE),"")</f>
        <v/>
      </c>
      <c r="H13" s="883"/>
      <c r="I13" s="885"/>
      <c r="J13" s="883"/>
      <c r="K13" s="887"/>
      <c r="L13" s="872"/>
      <c r="M13" s="872"/>
      <c r="N13" s="872"/>
      <c r="O13" s="872"/>
      <c r="P13" s="872"/>
      <c r="Q13" s="872"/>
      <c r="R13" s="872"/>
      <c r="S13" s="872"/>
      <c r="T13" s="872"/>
      <c r="U13" s="872"/>
      <c r="V13" s="872"/>
      <c r="W13" s="872"/>
    </row>
    <row r="14" spans="1:23" x14ac:dyDescent="0.35">
      <c r="A14" s="873">
        <f t="shared" si="2"/>
        <v>0</v>
      </c>
      <c r="B14" s="874" t="str">
        <f t="shared" si="0"/>
        <v>0</v>
      </c>
      <c r="C14" s="884"/>
      <c r="D14" s="876"/>
      <c r="E14" s="879"/>
      <c r="F14" s="390"/>
      <c r="G14" s="878" t="str">
        <f>_xlfn.IFNA(VLOOKUP(F:F,'indicator lists'!L:M,2,FALSE),"")</f>
        <v/>
      </c>
      <c r="H14" s="883"/>
      <c r="I14" s="885"/>
      <c r="J14" s="883"/>
      <c r="K14" s="887"/>
      <c r="L14" s="872"/>
      <c r="M14" s="872"/>
      <c r="N14" s="872"/>
      <c r="O14" s="872"/>
      <c r="P14" s="872"/>
      <c r="Q14" s="872"/>
      <c r="R14" s="872"/>
      <c r="S14" s="872"/>
      <c r="T14" s="872"/>
      <c r="U14" s="872"/>
      <c r="V14" s="872"/>
      <c r="W14" s="872"/>
    </row>
    <row r="15" spans="1:23" x14ac:dyDescent="0.35">
      <c r="A15" s="873">
        <f t="shared" si="2"/>
        <v>0</v>
      </c>
      <c r="B15" s="874" t="str">
        <f t="shared" si="0"/>
        <v>0</v>
      </c>
      <c r="C15" s="884"/>
      <c r="D15" s="876"/>
      <c r="E15" s="877"/>
      <c r="F15" s="390"/>
      <c r="G15" s="878" t="str">
        <f>_xlfn.IFNA(VLOOKUP(F:F,'indicator lists'!L:M,2,FALSE),"")</f>
        <v/>
      </c>
      <c r="H15" s="883"/>
      <c r="I15" s="885"/>
      <c r="J15" s="883"/>
      <c r="K15" s="887"/>
      <c r="L15" s="872"/>
      <c r="M15" s="872"/>
      <c r="N15" s="872"/>
      <c r="O15" s="872"/>
      <c r="P15" s="872"/>
      <c r="Q15" s="872"/>
      <c r="R15" s="872"/>
      <c r="S15" s="872"/>
      <c r="T15" s="872"/>
      <c r="U15" s="872"/>
      <c r="V15" s="872"/>
      <c r="W15" s="872"/>
    </row>
    <row r="16" spans="1:23" x14ac:dyDescent="0.35">
      <c r="A16" s="873">
        <f t="shared" si="2"/>
        <v>0</v>
      </c>
      <c r="B16" s="874" t="str">
        <f t="shared" si="0"/>
        <v>0</v>
      </c>
      <c r="C16" s="884"/>
      <c r="D16" s="876"/>
      <c r="E16" s="877"/>
      <c r="F16" s="1076"/>
      <c r="G16" s="878" t="str">
        <f>_xlfn.IFNA(VLOOKUP(F:F,'indicator lists'!L:M,2,FALSE),"")</f>
        <v/>
      </c>
      <c r="H16" s="883"/>
      <c r="I16" s="885"/>
      <c r="J16" s="883"/>
      <c r="K16" s="887"/>
      <c r="L16" s="872"/>
      <c r="M16" s="872"/>
      <c r="N16" s="872"/>
      <c r="O16" s="872"/>
      <c r="P16" s="872"/>
      <c r="Q16" s="872"/>
      <c r="R16" s="872"/>
      <c r="S16" s="872"/>
      <c r="T16" s="872"/>
      <c r="U16" s="872"/>
      <c r="V16" s="872"/>
      <c r="W16" s="872"/>
    </row>
    <row r="17" spans="1:11" x14ac:dyDescent="0.35">
      <c r="A17" s="873">
        <f t="shared" si="2"/>
        <v>0</v>
      </c>
      <c r="B17" s="874" t="str">
        <f t="shared" si="0"/>
        <v>0</v>
      </c>
      <c r="C17" s="884"/>
      <c r="D17" s="876"/>
      <c r="E17" s="877"/>
      <c r="F17" s="1076"/>
      <c r="G17" s="878" t="str">
        <f>_xlfn.IFNA(VLOOKUP(F:F,'indicator lists'!L:M,2,FALSE),"")</f>
        <v/>
      </c>
      <c r="H17" s="883"/>
      <c r="I17" s="885"/>
      <c r="J17" s="883"/>
      <c r="K17" s="887"/>
    </row>
    <row r="18" spans="1:11" x14ac:dyDescent="0.35">
      <c r="A18" s="873">
        <f t="shared" si="2"/>
        <v>0</v>
      </c>
      <c r="B18" s="874" t="str">
        <f t="shared" si="0"/>
        <v>0</v>
      </c>
      <c r="C18" s="884"/>
      <c r="D18" s="876"/>
      <c r="E18" s="877"/>
      <c r="F18" s="1076"/>
      <c r="G18" s="878" t="str">
        <f>_xlfn.IFNA(VLOOKUP(F:F,'indicator lists'!L:M,2,FALSE),"")</f>
        <v/>
      </c>
      <c r="H18" s="883"/>
      <c r="I18" s="885"/>
      <c r="J18" s="883"/>
      <c r="K18" s="887"/>
    </row>
    <row r="19" spans="1:11" x14ac:dyDescent="0.35">
      <c r="A19" s="873">
        <f t="shared" si="2"/>
        <v>0</v>
      </c>
      <c r="B19" s="874" t="str">
        <f t="shared" si="0"/>
        <v>0</v>
      </c>
      <c r="C19" s="884"/>
      <c r="D19" s="876"/>
      <c r="E19" s="877"/>
      <c r="F19" s="1076"/>
      <c r="G19" s="878" t="str">
        <f>_xlfn.IFNA(VLOOKUP(F:F,'indicator lists'!L:M,2,FALSE),"")</f>
        <v/>
      </c>
      <c r="H19" s="883"/>
      <c r="I19" s="885"/>
      <c r="J19" s="883"/>
      <c r="K19" s="887"/>
    </row>
    <row r="20" spans="1:11" x14ac:dyDescent="0.35">
      <c r="A20" s="873">
        <f t="shared" si="2"/>
        <v>0</v>
      </c>
      <c r="B20" s="874" t="str">
        <f t="shared" si="0"/>
        <v>0</v>
      </c>
      <c r="C20" s="884"/>
      <c r="D20" s="876"/>
      <c r="E20" s="877"/>
      <c r="F20" s="877"/>
      <c r="G20" s="878" t="str">
        <f>_xlfn.IFNA(VLOOKUP(F:F,'indicator lists'!L:M,2,FALSE),"")</f>
        <v/>
      </c>
      <c r="H20" s="883"/>
      <c r="I20" s="885"/>
      <c r="J20" s="883"/>
      <c r="K20" s="887"/>
    </row>
    <row r="21" spans="1:11" x14ac:dyDescent="0.35">
      <c r="A21" s="873">
        <f t="shared" si="2"/>
        <v>0</v>
      </c>
      <c r="B21" s="874" t="str">
        <f t="shared" si="0"/>
        <v>0</v>
      </c>
      <c r="C21" s="884"/>
      <c r="D21" s="876"/>
      <c r="E21" s="877"/>
      <c r="F21" s="1075"/>
      <c r="G21" s="878" t="str">
        <f>_xlfn.IFNA(VLOOKUP(F:F,'indicator lists'!L:M,2,FALSE),"")</f>
        <v/>
      </c>
      <c r="H21" s="883"/>
      <c r="I21" s="885"/>
      <c r="J21" s="883"/>
      <c r="K21" s="887"/>
    </row>
    <row r="22" spans="1:11" x14ac:dyDescent="0.35">
      <c r="A22" s="873">
        <f t="shared" si="2"/>
        <v>0</v>
      </c>
      <c r="B22" s="874" t="str">
        <f t="shared" si="0"/>
        <v>0</v>
      </c>
      <c r="C22" s="884"/>
      <c r="D22" s="876"/>
      <c r="E22" s="877"/>
      <c r="F22" s="877"/>
      <c r="G22" s="878" t="str">
        <f>_xlfn.IFNA(VLOOKUP(F:F,'indicator lists'!L:M,2,FALSE),"")</f>
        <v/>
      </c>
      <c r="H22" s="883"/>
      <c r="I22" s="885"/>
      <c r="J22" s="883"/>
      <c r="K22" s="887"/>
    </row>
    <row r="23" spans="1:11" x14ac:dyDescent="0.35">
      <c r="A23" s="873">
        <f t="shared" si="2"/>
        <v>0</v>
      </c>
      <c r="B23" s="874" t="str">
        <f t="shared" si="0"/>
        <v>0</v>
      </c>
      <c r="C23" s="884"/>
      <c r="D23" s="876"/>
      <c r="E23" s="877"/>
      <c r="F23" s="877"/>
      <c r="G23" s="878" t="str">
        <f>_xlfn.IFNA(VLOOKUP(F:F,'indicator lists'!L:M,2,FALSE),"")</f>
        <v/>
      </c>
      <c r="H23" s="883"/>
      <c r="I23" s="885"/>
      <c r="J23" s="883"/>
      <c r="K23" s="887"/>
    </row>
    <row r="24" spans="1:11" x14ac:dyDescent="0.35">
      <c r="A24" s="873">
        <f t="shared" si="2"/>
        <v>0</v>
      </c>
      <c r="B24" s="874" t="str">
        <f t="shared" si="0"/>
        <v>0</v>
      </c>
      <c r="C24" s="884"/>
      <c r="D24" s="876"/>
      <c r="E24" s="877"/>
      <c r="F24" s="877"/>
      <c r="G24" s="878" t="str">
        <f>_xlfn.IFNA(VLOOKUP(F:F,'indicator lists'!L:M,2,FALSE),"")</f>
        <v/>
      </c>
      <c r="H24" s="883"/>
      <c r="I24" s="885"/>
      <c r="J24" s="883"/>
      <c r="K24" s="887"/>
    </row>
    <row r="25" spans="1:11" x14ac:dyDescent="0.35">
      <c r="A25" s="873">
        <f t="shared" si="2"/>
        <v>0</v>
      </c>
      <c r="B25" s="874" t="str">
        <f t="shared" si="0"/>
        <v>0</v>
      </c>
      <c r="C25" s="884"/>
      <c r="D25" s="876"/>
      <c r="E25" s="877"/>
      <c r="F25" s="877"/>
      <c r="G25" s="878" t="str">
        <f>_xlfn.IFNA(VLOOKUP(F:F,'indicator lists'!L:M,2,FALSE),"")</f>
        <v/>
      </c>
      <c r="H25" s="883"/>
      <c r="I25" s="885"/>
      <c r="J25" s="883"/>
      <c r="K25" s="887"/>
    </row>
    <row r="26" spans="1:11" s="188" customFormat="1" ht="19" thickBot="1" x14ac:dyDescent="0.4">
      <c r="A26" s="873">
        <f t="shared" si="2"/>
        <v>0</v>
      </c>
      <c r="B26" s="874" t="str">
        <f t="shared" si="0"/>
        <v>0</v>
      </c>
      <c r="C26" s="1149" t="s">
        <v>34</v>
      </c>
      <c r="D26" s="1150"/>
      <c r="E26" s="1151"/>
      <c r="F26" s="1151"/>
      <c r="G26" s="1151"/>
      <c r="H26" s="1151"/>
      <c r="I26" s="1151"/>
      <c r="J26" s="1151"/>
      <c r="K26" s="1152"/>
    </row>
    <row r="27" spans="1:11" x14ac:dyDescent="0.35">
      <c r="A27" s="873">
        <f t="shared" si="2"/>
        <v>0</v>
      </c>
      <c r="B27" s="874" t="str">
        <f t="shared" si="0"/>
        <v>0</v>
      </c>
      <c r="C27" s="189" t="s">
        <v>130</v>
      </c>
      <c r="D27" s="876"/>
      <c r="E27" s="122"/>
      <c r="F27" s="122"/>
      <c r="G27" s="878" t="str">
        <f>_xlfn.IFNA(VLOOKUP(F:F,'indicator lists'!L:M,2,FALSE),"")</f>
        <v/>
      </c>
      <c r="H27" s="888"/>
      <c r="I27" s="888"/>
      <c r="J27" s="888"/>
      <c r="K27" s="889"/>
    </row>
    <row r="28" spans="1:11" x14ac:dyDescent="0.35">
      <c r="A28" s="873">
        <f t="shared" si="2"/>
        <v>0</v>
      </c>
      <c r="B28" s="874" t="str">
        <f t="shared" si="0"/>
        <v>0</v>
      </c>
      <c r="C28" s="884" t="s">
        <v>130</v>
      </c>
      <c r="D28" s="876"/>
      <c r="E28" s="877"/>
      <c r="F28" s="877"/>
      <c r="G28" s="878" t="str">
        <f>_xlfn.IFNA(VLOOKUP(F:F,'indicator lists'!L:M,2,FALSE),"")</f>
        <v/>
      </c>
      <c r="H28" s="890"/>
      <c r="I28" s="891"/>
      <c r="J28" s="892"/>
      <c r="K28" s="893"/>
    </row>
    <row r="29" spans="1:11" x14ac:dyDescent="0.35">
      <c r="A29" s="873">
        <f t="shared" si="2"/>
        <v>0</v>
      </c>
      <c r="B29" s="874" t="str">
        <f t="shared" si="0"/>
        <v>0</v>
      </c>
      <c r="C29" s="884" t="s">
        <v>130</v>
      </c>
      <c r="D29" s="876"/>
      <c r="E29" s="877"/>
      <c r="F29" s="877"/>
      <c r="G29" s="878" t="str">
        <f>_xlfn.IFNA(VLOOKUP(F:F,'indicator lists'!L:M,2,FALSE),"")</f>
        <v/>
      </c>
      <c r="H29" s="891"/>
      <c r="I29" s="891"/>
      <c r="J29" s="892"/>
      <c r="K29" s="893"/>
    </row>
    <row r="30" spans="1:11" x14ac:dyDescent="0.35">
      <c r="A30" s="873">
        <f t="shared" si="2"/>
        <v>0</v>
      </c>
      <c r="B30" s="874" t="str">
        <f t="shared" si="0"/>
        <v>0</v>
      </c>
      <c r="C30" s="884" t="s">
        <v>130</v>
      </c>
      <c r="D30" s="876"/>
      <c r="E30" s="877"/>
      <c r="F30" s="877"/>
      <c r="G30" s="878" t="str">
        <f>_xlfn.IFNA(VLOOKUP(F:F,'indicator lists'!L:M,2,FALSE),"")</f>
        <v/>
      </c>
      <c r="H30" s="891"/>
      <c r="I30" s="891"/>
      <c r="J30" s="892"/>
      <c r="K30" s="893"/>
    </row>
    <row r="31" spans="1:11" x14ac:dyDescent="0.35">
      <c r="A31" s="873">
        <f t="shared" si="2"/>
        <v>0</v>
      </c>
      <c r="B31" s="874" t="str">
        <f t="shared" si="0"/>
        <v>0</v>
      </c>
      <c r="C31" s="884" t="s">
        <v>130</v>
      </c>
      <c r="D31" s="876"/>
      <c r="E31" s="877"/>
      <c r="F31" s="877"/>
      <c r="G31" s="878" t="str">
        <f>_xlfn.IFNA(VLOOKUP(F:F,'indicator lists'!L:M,2,FALSE),"")</f>
        <v/>
      </c>
      <c r="H31" s="891"/>
      <c r="I31" s="891"/>
      <c r="J31" s="892"/>
      <c r="K31" s="1144"/>
    </row>
    <row r="32" spans="1:11" ht="15" thickBot="1" x14ac:dyDescent="0.4">
      <c r="A32" s="873">
        <f t="shared" si="2"/>
        <v>0</v>
      </c>
      <c r="B32" s="874" t="str">
        <f t="shared" si="0"/>
        <v>0</v>
      </c>
      <c r="C32" s="894" t="s">
        <v>130</v>
      </c>
      <c r="D32" s="876"/>
      <c r="E32" s="895"/>
      <c r="F32" s="895"/>
      <c r="G32" s="878" t="str">
        <f>_xlfn.IFNA(VLOOKUP(F:F,'indicator lists'!L:M,2,FALSE),"")</f>
        <v/>
      </c>
      <c r="H32" s="896"/>
      <c r="I32" s="896"/>
      <c r="J32" s="897"/>
      <c r="K32" s="1145"/>
    </row>
    <row r="33" spans="1:11" ht="19" thickBot="1" x14ac:dyDescent="0.4">
      <c r="A33" s="873">
        <f t="shared" si="2"/>
        <v>0</v>
      </c>
      <c r="B33" s="874" t="str">
        <f t="shared" si="0"/>
        <v>0</v>
      </c>
      <c r="C33" s="1157" t="s">
        <v>124</v>
      </c>
      <c r="D33" s="1158"/>
      <c r="E33" s="1158"/>
      <c r="F33" s="1158"/>
      <c r="G33" s="1158"/>
      <c r="H33" s="1158"/>
      <c r="I33" s="1158"/>
      <c r="J33" s="1158"/>
      <c r="K33" s="1159"/>
    </row>
    <row r="34" spans="1:11" ht="37" x14ac:dyDescent="0.35">
      <c r="A34" s="873" t="str">
        <f t="shared" si="2"/>
        <v>Code</v>
      </c>
      <c r="B34" s="874" t="str">
        <f t="shared" si="0"/>
        <v>CodeIndicators</v>
      </c>
      <c r="C34" s="297"/>
      <c r="D34" s="386" t="s">
        <v>126</v>
      </c>
      <c r="E34" s="387" t="s">
        <v>116</v>
      </c>
      <c r="F34" s="219" t="s">
        <v>117</v>
      </c>
      <c r="G34" s="219" t="s">
        <v>118</v>
      </c>
      <c r="H34" s="219" t="s">
        <v>119</v>
      </c>
      <c r="I34" s="219" t="s">
        <v>120</v>
      </c>
      <c r="J34" s="219" t="s">
        <v>121</v>
      </c>
      <c r="K34" s="220" t="s">
        <v>122</v>
      </c>
    </row>
    <row r="35" spans="1:11" x14ac:dyDescent="0.35">
      <c r="A35" s="873">
        <f t="shared" si="2"/>
        <v>0</v>
      </c>
      <c r="B35" s="874" t="str">
        <f t="shared" si="0"/>
        <v>0</v>
      </c>
      <c r="C35" s="875">
        <v>2</v>
      </c>
      <c r="D35" s="876" t="s">
        <v>2</v>
      </c>
      <c r="E35" s="877"/>
      <c r="F35" s="877"/>
      <c r="G35" s="878" t="str">
        <f>_xlfn.IFNA(VLOOKUP(F:F,'indicator lists'!L:M,2,FALSE),"")</f>
        <v/>
      </c>
      <c r="H35" s="150"/>
      <c r="I35" s="150"/>
      <c r="J35" s="114"/>
      <c r="K35" s="887"/>
    </row>
    <row r="36" spans="1:11" x14ac:dyDescent="0.35">
      <c r="A36" s="873">
        <f t="shared" si="2"/>
        <v>0</v>
      </c>
      <c r="B36" s="874" t="str">
        <f t="shared" si="0"/>
        <v>0</v>
      </c>
      <c r="C36" s="875">
        <v>2.1</v>
      </c>
      <c r="D36" s="876" t="s">
        <v>4</v>
      </c>
      <c r="E36" s="877"/>
      <c r="F36" s="877"/>
      <c r="G36" s="878" t="str">
        <f>_xlfn.IFNA(VLOOKUP(F:F,'indicator lists'!L:M,2,FALSE),"")</f>
        <v/>
      </c>
      <c r="H36" s="150"/>
      <c r="I36" s="150"/>
      <c r="J36" s="114"/>
      <c r="K36" s="887"/>
    </row>
    <row r="37" spans="1:11" x14ac:dyDescent="0.35">
      <c r="A37" s="873">
        <f t="shared" si="2"/>
        <v>0</v>
      </c>
      <c r="B37" s="874" t="str">
        <f t="shared" si="0"/>
        <v>0</v>
      </c>
      <c r="C37" s="875" t="s">
        <v>131</v>
      </c>
      <c r="D37" s="876" t="s">
        <v>129</v>
      </c>
      <c r="E37" s="877"/>
      <c r="F37" s="877"/>
      <c r="G37" s="878" t="str">
        <f>_xlfn.IFNA(VLOOKUP(F:F,'indicator lists'!L:M,2,FALSE),"")</f>
        <v/>
      </c>
      <c r="H37" s="883"/>
      <c r="I37" s="883"/>
      <c r="J37" s="878"/>
      <c r="K37" s="887"/>
    </row>
    <row r="38" spans="1:11" x14ac:dyDescent="0.35">
      <c r="A38" s="873">
        <f t="shared" si="2"/>
        <v>0</v>
      </c>
      <c r="B38" s="874" t="str">
        <f t="shared" si="0"/>
        <v>0</v>
      </c>
      <c r="C38" s="875"/>
      <c r="D38" s="876"/>
      <c r="E38" s="877"/>
      <c r="F38" s="877"/>
      <c r="G38" s="878" t="str">
        <f>_xlfn.IFNA(VLOOKUP(F:F,'indicator lists'!L:M,2,FALSE),"")</f>
        <v/>
      </c>
      <c r="H38" s="883"/>
      <c r="I38" s="883"/>
      <c r="J38" s="878"/>
      <c r="K38" s="887"/>
    </row>
    <row r="39" spans="1:11" x14ac:dyDescent="0.35">
      <c r="A39" s="873">
        <f t="shared" si="2"/>
        <v>0</v>
      </c>
      <c r="B39" s="874" t="str">
        <f t="shared" si="0"/>
        <v>0</v>
      </c>
      <c r="C39" s="875"/>
      <c r="D39" s="876"/>
      <c r="E39" s="877"/>
      <c r="F39" s="877"/>
      <c r="G39" s="878" t="str">
        <f>_xlfn.IFNA(VLOOKUP(F:F,'indicator lists'!L:M,2,FALSE),"")</f>
        <v/>
      </c>
      <c r="H39" s="883"/>
      <c r="I39" s="883"/>
      <c r="J39" s="878"/>
      <c r="K39" s="887"/>
    </row>
    <row r="40" spans="1:11" x14ac:dyDescent="0.35">
      <c r="A40" s="873">
        <f t="shared" si="2"/>
        <v>0</v>
      </c>
      <c r="B40" s="874" t="str">
        <f t="shared" si="0"/>
        <v>0</v>
      </c>
      <c r="C40" s="875"/>
      <c r="D40" s="876"/>
      <c r="E40" s="877"/>
      <c r="F40" s="877"/>
      <c r="G40" s="878" t="str">
        <f>_xlfn.IFNA(VLOOKUP(F:F,'indicator lists'!L:M,2,FALSE),"")</f>
        <v/>
      </c>
      <c r="H40" s="883"/>
      <c r="I40" s="883"/>
      <c r="J40" s="878"/>
      <c r="K40" s="887"/>
    </row>
    <row r="41" spans="1:11" x14ac:dyDescent="0.35">
      <c r="A41" s="873">
        <f t="shared" si="2"/>
        <v>0</v>
      </c>
      <c r="B41" s="874" t="str">
        <f t="shared" si="0"/>
        <v>0</v>
      </c>
      <c r="C41" s="875"/>
      <c r="D41" s="876"/>
      <c r="E41" s="877"/>
      <c r="F41" s="877"/>
      <c r="G41" s="878" t="str">
        <f>_xlfn.IFNA(VLOOKUP(F:F,'indicator lists'!L:M,2,FALSE),"")</f>
        <v/>
      </c>
      <c r="H41" s="883"/>
      <c r="I41" s="883"/>
      <c r="J41" s="878"/>
      <c r="K41" s="887"/>
    </row>
    <row r="42" spans="1:11" x14ac:dyDescent="0.35">
      <c r="A42" s="873">
        <f t="shared" si="2"/>
        <v>0</v>
      </c>
      <c r="B42" s="874" t="str">
        <f t="shared" si="0"/>
        <v>0</v>
      </c>
      <c r="C42" s="875"/>
      <c r="D42" s="876"/>
      <c r="E42" s="877"/>
      <c r="F42" s="877"/>
      <c r="G42" s="878" t="str">
        <f>_xlfn.IFNA(VLOOKUP(F:F,'indicator lists'!L:M,2,FALSE),"")</f>
        <v/>
      </c>
      <c r="H42" s="883"/>
      <c r="I42" s="883"/>
      <c r="J42" s="878"/>
      <c r="K42" s="887"/>
    </row>
    <row r="43" spans="1:11" x14ac:dyDescent="0.35">
      <c r="A43" s="873">
        <f t="shared" si="2"/>
        <v>0</v>
      </c>
      <c r="B43" s="874" t="str">
        <f t="shared" si="0"/>
        <v>0</v>
      </c>
      <c r="C43" s="875"/>
      <c r="D43" s="876"/>
      <c r="E43" s="877"/>
      <c r="F43" s="877"/>
      <c r="G43" s="878" t="str">
        <f>_xlfn.IFNA(VLOOKUP(F:F,'indicator lists'!L:M,2,FALSE),"")</f>
        <v/>
      </c>
      <c r="H43" s="883"/>
      <c r="I43" s="883"/>
      <c r="J43" s="878"/>
      <c r="K43" s="887"/>
    </row>
    <row r="44" spans="1:11" x14ac:dyDescent="0.35">
      <c r="A44" s="873">
        <f t="shared" si="2"/>
        <v>0</v>
      </c>
      <c r="B44" s="874" t="str">
        <f t="shared" si="0"/>
        <v>0</v>
      </c>
      <c r="C44" s="875"/>
      <c r="D44" s="876"/>
      <c r="E44" s="877"/>
      <c r="F44" s="877"/>
      <c r="G44" s="878" t="str">
        <f>_xlfn.IFNA(VLOOKUP(F:F,'indicator lists'!L:M,2,FALSE),"")</f>
        <v/>
      </c>
      <c r="H44" s="883"/>
      <c r="I44" s="883"/>
      <c r="J44" s="878"/>
      <c r="K44" s="887"/>
    </row>
    <row r="45" spans="1:11" x14ac:dyDescent="0.35">
      <c r="A45" s="873">
        <f t="shared" si="2"/>
        <v>0</v>
      </c>
      <c r="B45" s="874" t="str">
        <f t="shared" si="0"/>
        <v>0</v>
      </c>
      <c r="C45" s="875"/>
      <c r="D45" s="876"/>
      <c r="E45" s="877"/>
      <c r="F45" s="877"/>
      <c r="G45" s="878" t="str">
        <f>_xlfn.IFNA(VLOOKUP(F:F,'indicator lists'!L:M,2,FALSE),"")</f>
        <v/>
      </c>
      <c r="H45" s="883"/>
      <c r="I45" s="883"/>
      <c r="J45" s="878"/>
      <c r="K45" s="887"/>
    </row>
    <row r="46" spans="1:11" x14ac:dyDescent="0.35">
      <c r="A46" s="873">
        <f t="shared" si="2"/>
        <v>0</v>
      </c>
      <c r="B46" s="874" t="str">
        <f t="shared" si="0"/>
        <v>0</v>
      </c>
      <c r="C46" s="875"/>
      <c r="D46" s="876"/>
      <c r="E46" s="877"/>
      <c r="F46" s="877"/>
      <c r="G46" s="878" t="str">
        <f>_xlfn.IFNA(VLOOKUP(F:F,'indicator lists'!L:M,2,FALSE),"")</f>
        <v/>
      </c>
      <c r="H46" s="883"/>
      <c r="I46" s="883"/>
      <c r="J46" s="878"/>
      <c r="K46" s="887"/>
    </row>
    <row r="47" spans="1:11" x14ac:dyDescent="0.35">
      <c r="A47" s="873">
        <f t="shared" si="2"/>
        <v>0</v>
      </c>
      <c r="B47" s="874" t="str">
        <f t="shared" si="0"/>
        <v>0</v>
      </c>
      <c r="C47" s="875"/>
      <c r="D47" s="876"/>
      <c r="E47" s="877"/>
      <c r="F47" s="877"/>
      <c r="G47" s="878" t="str">
        <f>_xlfn.IFNA(VLOOKUP(F:F,'indicator lists'!L:M,2,FALSE),"")</f>
        <v/>
      </c>
      <c r="H47" s="883"/>
      <c r="I47" s="883"/>
      <c r="J47" s="878"/>
      <c r="K47" s="887"/>
    </row>
    <row r="48" spans="1:11" x14ac:dyDescent="0.35">
      <c r="A48" s="873">
        <f t="shared" si="2"/>
        <v>0</v>
      </c>
      <c r="B48" s="874" t="str">
        <f t="shared" si="0"/>
        <v>0</v>
      </c>
      <c r="C48" s="875"/>
      <c r="D48" s="876"/>
      <c r="E48" s="877"/>
      <c r="F48" s="877"/>
      <c r="G48" s="878" t="str">
        <f>_xlfn.IFNA(VLOOKUP(F:F,'indicator lists'!L:M,2,FALSE),"")</f>
        <v/>
      </c>
      <c r="H48" s="883"/>
      <c r="I48" s="883"/>
      <c r="J48" s="878"/>
      <c r="K48" s="887"/>
    </row>
    <row r="49" spans="1:11" x14ac:dyDescent="0.35">
      <c r="A49" s="873">
        <f t="shared" si="2"/>
        <v>0</v>
      </c>
      <c r="B49" s="874" t="str">
        <f t="shared" si="0"/>
        <v>0</v>
      </c>
      <c r="C49" s="875"/>
      <c r="D49" s="876"/>
      <c r="E49" s="877"/>
      <c r="F49" s="877"/>
      <c r="G49" s="878" t="str">
        <f>_xlfn.IFNA(VLOOKUP(F:F,'indicator lists'!L:M,2,FALSE),"")</f>
        <v/>
      </c>
      <c r="H49" s="883"/>
      <c r="I49" s="883"/>
      <c r="J49" s="878"/>
      <c r="K49" s="887"/>
    </row>
    <row r="50" spans="1:11" x14ac:dyDescent="0.35">
      <c r="A50" s="873">
        <f t="shared" si="2"/>
        <v>0</v>
      </c>
      <c r="B50" s="874" t="str">
        <f t="shared" si="0"/>
        <v>0</v>
      </c>
      <c r="C50" s="875"/>
      <c r="D50" s="876"/>
      <c r="E50" s="877"/>
      <c r="F50" s="877"/>
      <c r="G50" s="878" t="str">
        <f>_xlfn.IFNA(VLOOKUP(F:F,'indicator lists'!L:M,2,FALSE),"")</f>
        <v/>
      </c>
      <c r="H50" s="883"/>
      <c r="I50" s="883"/>
      <c r="J50" s="878"/>
      <c r="K50" s="887"/>
    </row>
    <row r="51" spans="1:11" x14ac:dyDescent="0.35">
      <c r="A51" s="873">
        <f t="shared" si="2"/>
        <v>0</v>
      </c>
      <c r="B51" s="874" t="str">
        <f t="shared" si="0"/>
        <v>0</v>
      </c>
      <c r="C51" s="875"/>
      <c r="D51" s="876"/>
      <c r="E51" s="877"/>
      <c r="F51" s="877"/>
      <c r="G51" s="878" t="str">
        <f>_xlfn.IFNA(VLOOKUP(F:F,'indicator lists'!L:M,2,FALSE),"")</f>
        <v/>
      </c>
      <c r="H51" s="883"/>
      <c r="I51" s="883"/>
      <c r="J51" s="878"/>
      <c r="K51" s="887"/>
    </row>
    <row r="52" spans="1:11" x14ac:dyDescent="0.35">
      <c r="A52" s="873">
        <f t="shared" si="2"/>
        <v>0</v>
      </c>
      <c r="B52" s="874" t="str">
        <f t="shared" si="0"/>
        <v>0</v>
      </c>
      <c r="C52" s="875"/>
      <c r="D52" s="876"/>
      <c r="E52" s="877"/>
      <c r="F52" s="877"/>
      <c r="G52" s="878" t="str">
        <f>_xlfn.IFNA(VLOOKUP(F:F,'indicator lists'!L:M,2,FALSE),"")</f>
        <v/>
      </c>
      <c r="H52" s="883"/>
      <c r="I52" s="883"/>
      <c r="J52" s="878"/>
      <c r="K52" s="887"/>
    </row>
    <row r="53" spans="1:11" x14ac:dyDescent="0.35">
      <c r="A53" s="873">
        <f t="shared" si="2"/>
        <v>0</v>
      </c>
      <c r="B53" s="874" t="str">
        <f t="shared" si="0"/>
        <v>0</v>
      </c>
      <c r="C53" s="875"/>
      <c r="D53" s="876"/>
      <c r="E53" s="877"/>
      <c r="F53" s="877"/>
      <c r="G53" s="878" t="str">
        <f>_xlfn.IFNA(VLOOKUP(F:F,'indicator lists'!L:M,2,FALSE),"")</f>
        <v/>
      </c>
      <c r="H53" s="883"/>
      <c r="I53" s="883"/>
      <c r="J53" s="878"/>
      <c r="K53" s="887"/>
    </row>
    <row r="54" spans="1:11" x14ac:dyDescent="0.35">
      <c r="A54" s="873">
        <f t="shared" si="2"/>
        <v>0</v>
      </c>
      <c r="B54" s="874" t="str">
        <f t="shared" si="0"/>
        <v>0</v>
      </c>
      <c r="C54" s="875"/>
      <c r="D54" s="876"/>
      <c r="E54" s="877"/>
      <c r="F54" s="877"/>
      <c r="G54" s="878" t="str">
        <f>_xlfn.IFNA(VLOOKUP(F:F,'indicator lists'!L:M,2,FALSE),"")</f>
        <v/>
      </c>
      <c r="H54" s="883"/>
      <c r="I54" s="883"/>
      <c r="J54" s="878"/>
      <c r="K54" s="887"/>
    </row>
    <row r="55" spans="1:11" ht="18.5" x14ac:dyDescent="0.35">
      <c r="A55" s="873">
        <f t="shared" si="2"/>
        <v>0</v>
      </c>
      <c r="B55" s="874" t="str">
        <f t="shared" si="0"/>
        <v>0</v>
      </c>
      <c r="C55" s="1153" t="s">
        <v>132</v>
      </c>
      <c r="D55" s="1154"/>
      <c r="E55" s="1155"/>
      <c r="F55" s="1155"/>
      <c r="G55" s="1155"/>
      <c r="H55" s="1155"/>
      <c r="I55" s="1155"/>
      <c r="J55" s="1155"/>
      <c r="K55" s="1156"/>
    </row>
    <row r="56" spans="1:11" x14ac:dyDescent="0.35">
      <c r="A56" s="873">
        <f t="shared" si="2"/>
        <v>0</v>
      </c>
      <c r="B56" s="874" t="str">
        <f t="shared" si="0"/>
        <v>0</v>
      </c>
      <c r="C56" s="190" t="s">
        <v>130</v>
      </c>
      <c r="D56" s="876"/>
      <c r="E56" s="298"/>
      <c r="F56" s="298"/>
      <c r="G56" s="878" t="str">
        <f>_xlfn.IFNA(VLOOKUP(F:F,'indicator lists'!L:M,2,FALSE),"")</f>
        <v/>
      </c>
      <c r="H56" s="891"/>
      <c r="I56" s="891"/>
      <c r="J56" s="891"/>
      <c r="K56" s="893"/>
    </row>
    <row r="57" spans="1:11" x14ac:dyDescent="0.35">
      <c r="A57" s="873">
        <f t="shared" si="2"/>
        <v>0</v>
      </c>
      <c r="B57" s="874" t="str">
        <f t="shared" si="0"/>
        <v>0</v>
      </c>
      <c r="C57" s="875" t="s">
        <v>130</v>
      </c>
      <c r="D57" s="876"/>
      <c r="E57" s="877"/>
      <c r="F57" s="877"/>
      <c r="G57" s="878" t="str">
        <f>_xlfn.IFNA(VLOOKUP(F:F,'indicator lists'!L:M,2,FALSE),"")</f>
        <v/>
      </c>
      <c r="H57" s="891"/>
      <c r="I57" s="891"/>
      <c r="J57" s="891"/>
      <c r="K57" s="893"/>
    </row>
    <row r="58" spans="1:11" x14ac:dyDescent="0.35">
      <c r="A58" s="873">
        <f t="shared" si="2"/>
        <v>0</v>
      </c>
      <c r="B58" s="874" t="str">
        <f t="shared" si="0"/>
        <v>0</v>
      </c>
      <c r="C58" s="875" t="s">
        <v>130</v>
      </c>
      <c r="D58" s="876"/>
      <c r="E58" s="877"/>
      <c r="F58" s="877"/>
      <c r="G58" s="878" t="str">
        <f>_xlfn.IFNA(VLOOKUP(F:F,'indicator lists'!L:M,2,FALSE),"")</f>
        <v/>
      </c>
      <c r="H58" s="891"/>
      <c r="I58" s="891"/>
      <c r="J58" s="891"/>
      <c r="K58" s="893"/>
    </row>
    <row r="59" spans="1:11" x14ac:dyDescent="0.35">
      <c r="A59" s="873">
        <f t="shared" si="2"/>
        <v>0</v>
      </c>
      <c r="B59" s="874" t="str">
        <f t="shared" si="0"/>
        <v>0</v>
      </c>
      <c r="C59" s="875" t="s">
        <v>130</v>
      </c>
      <c r="D59" s="876"/>
      <c r="E59" s="877"/>
      <c r="F59" s="877"/>
      <c r="G59" s="878" t="str">
        <f>_xlfn.IFNA(VLOOKUP(F:F,'indicator lists'!L:M,2,FALSE),"")</f>
        <v/>
      </c>
      <c r="H59" s="891"/>
      <c r="I59" s="891"/>
      <c r="J59" s="891"/>
      <c r="K59" s="893"/>
    </row>
    <row r="60" spans="1:11" x14ac:dyDescent="0.35">
      <c r="A60" s="873">
        <f t="shared" si="2"/>
        <v>0</v>
      </c>
      <c r="B60" s="874" t="str">
        <f t="shared" si="0"/>
        <v>0</v>
      </c>
      <c r="C60" s="880" t="s">
        <v>130</v>
      </c>
      <c r="D60" s="876"/>
      <c r="E60" s="879"/>
      <c r="F60" s="879"/>
      <c r="G60" s="878" t="str">
        <f>_xlfn.IFNA(VLOOKUP(F:F,'indicator lists'!L:M,2,FALSE),"")</f>
        <v/>
      </c>
      <c r="H60" s="898"/>
      <c r="I60" s="898"/>
      <c r="J60" s="898"/>
      <c r="K60" s="899"/>
    </row>
    <row r="61" spans="1:11" ht="15" thickBot="1" x14ac:dyDescent="0.4">
      <c r="A61" s="873">
        <f t="shared" si="2"/>
        <v>0</v>
      </c>
      <c r="B61" s="874" t="str">
        <f t="shared" si="0"/>
        <v>0</v>
      </c>
      <c r="C61" s="894" t="s">
        <v>130</v>
      </c>
      <c r="D61" s="876"/>
      <c r="E61" s="895"/>
      <c r="F61" s="895"/>
      <c r="G61" s="878" t="str">
        <f>_xlfn.IFNA(VLOOKUP(F:F,'indicator lists'!L:M,2,FALSE),"")</f>
        <v/>
      </c>
      <c r="H61" s="896"/>
      <c r="I61" s="896"/>
      <c r="J61" s="896"/>
      <c r="K61" s="900"/>
    </row>
    <row r="62" spans="1:11" ht="19" thickBot="1" x14ac:dyDescent="0.4">
      <c r="A62" s="873">
        <f t="shared" si="2"/>
        <v>0</v>
      </c>
      <c r="B62" s="874" t="str">
        <f t="shared" si="0"/>
        <v>0</v>
      </c>
      <c r="C62" s="1157" t="s">
        <v>124</v>
      </c>
      <c r="D62" s="1158"/>
      <c r="E62" s="1158"/>
      <c r="F62" s="1158"/>
      <c r="G62" s="1158"/>
      <c r="H62" s="1158"/>
      <c r="I62" s="1158"/>
      <c r="J62" s="1158"/>
      <c r="K62" s="1159"/>
    </row>
    <row r="63" spans="1:11" ht="37" x14ac:dyDescent="0.35">
      <c r="A63" s="873" t="str">
        <f t="shared" si="2"/>
        <v>Code</v>
      </c>
      <c r="B63" s="874" t="str">
        <f t="shared" si="0"/>
        <v>CodeIndicators</v>
      </c>
      <c r="C63" s="297"/>
      <c r="D63" s="386" t="s">
        <v>126</v>
      </c>
      <c r="E63" s="387" t="s">
        <v>116</v>
      </c>
      <c r="F63" s="219" t="s">
        <v>117</v>
      </c>
      <c r="G63" s="219" t="s">
        <v>118</v>
      </c>
      <c r="H63" s="219" t="s">
        <v>119</v>
      </c>
      <c r="I63" s="219" t="s">
        <v>120</v>
      </c>
      <c r="J63" s="219" t="s">
        <v>121</v>
      </c>
      <c r="K63" s="220" t="s">
        <v>122</v>
      </c>
    </row>
    <row r="64" spans="1:11" x14ac:dyDescent="0.35">
      <c r="A64" s="873">
        <f t="shared" si="2"/>
        <v>0</v>
      </c>
      <c r="B64" s="874" t="str">
        <f t="shared" si="0"/>
        <v>0</v>
      </c>
      <c r="C64" s="875"/>
      <c r="D64" s="876" t="s">
        <v>2</v>
      </c>
      <c r="E64" s="877"/>
      <c r="F64" s="877"/>
      <c r="G64" s="878" t="str">
        <f>_xlfn.IFNA(VLOOKUP(F:F,'indicator lists'!L:M,2,FALSE),"")</f>
        <v/>
      </c>
      <c r="H64" s="883"/>
      <c r="I64" s="883"/>
      <c r="J64" s="878"/>
      <c r="K64" s="887"/>
    </row>
    <row r="65" spans="1:11" x14ac:dyDescent="0.35">
      <c r="A65" s="873">
        <f t="shared" si="2"/>
        <v>0</v>
      </c>
      <c r="B65" s="874" t="str">
        <f t="shared" si="0"/>
        <v>0</v>
      </c>
      <c r="C65" s="875"/>
      <c r="D65" s="876" t="s">
        <v>4</v>
      </c>
      <c r="E65" s="877"/>
      <c r="F65" s="877"/>
      <c r="G65" s="878" t="str">
        <f>_xlfn.IFNA(VLOOKUP(F:F,'indicator lists'!L:M,2,FALSE),"")</f>
        <v/>
      </c>
      <c r="H65" s="883"/>
      <c r="I65" s="883"/>
      <c r="J65" s="878"/>
      <c r="K65" s="901"/>
    </row>
    <row r="66" spans="1:11" x14ac:dyDescent="0.35">
      <c r="A66" s="873">
        <f t="shared" si="2"/>
        <v>0</v>
      </c>
      <c r="B66" s="874" t="str">
        <f t="shared" si="0"/>
        <v>0</v>
      </c>
      <c r="C66" s="875"/>
      <c r="D66" s="876" t="s">
        <v>129</v>
      </c>
      <c r="E66" s="877"/>
      <c r="F66" s="877"/>
      <c r="G66" s="878" t="str">
        <f>_xlfn.IFNA(VLOOKUP(F:F,'indicator lists'!L:M,2,FALSE),"")</f>
        <v/>
      </c>
      <c r="H66" s="883"/>
      <c r="I66" s="883"/>
      <c r="J66" s="878"/>
      <c r="K66" s="901"/>
    </row>
    <row r="67" spans="1:11" x14ac:dyDescent="0.35">
      <c r="A67" s="873">
        <f t="shared" si="2"/>
        <v>0</v>
      </c>
      <c r="B67" s="874" t="str">
        <f t="shared" si="0"/>
        <v>0</v>
      </c>
      <c r="C67" s="875"/>
      <c r="D67" s="876"/>
      <c r="E67" s="877"/>
      <c r="F67" s="877"/>
      <c r="G67" s="878" t="str">
        <f>_xlfn.IFNA(VLOOKUP(F:F,'indicator lists'!L:M,2,FALSE),"")</f>
        <v/>
      </c>
      <c r="H67" s="883"/>
      <c r="I67" s="883"/>
      <c r="J67" s="878"/>
      <c r="K67" s="901"/>
    </row>
    <row r="68" spans="1:11" x14ac:dyDescent="0.35">
      <c r="A68" s="873">
        <f t="shared" si="2"/>
        <v>0</v>
      </c>
      <c r="B68" s="874" t="str">
        <f t="shared" ref="B68:B131" si="3">CONCATENATE(A68,G68)</f>
        <v>0</v>
      </c>
      <c r="C68" s="875"/>
      <c r="D68" s="876"/>
      <c r="E68" s="877"/>
      <c r="F68" s="877"/>
      <c r="G68" s="878" t="str">
        <f>_xlfn.IFNA(VLOOKUP(F:F,'indicator lists'!L:M,2,FALSE),"")</f>
        <v/>
      </c>
      <c r="H68" s="883"/>
      <c r="I68" s="883"/>
      <c r="J68" s="878"/>
      <c r="K68" s="887"/>
    </row>
    <row r="69" spans="1:11" x14ac:dyDescent="0.35">
      <c r="A69" s="873">
        <f t="shared" si="2"/>
        <v>0</v>
      </c>
      <c r="B69" s="874" t="str">
        <f t="shared" si="3"/>
        <v>0</v>
      </c>
      <c r="C69" s="875"/>
      <c r="D69" s="876"/>
      <c r="E69" s="877"/>
      <c r="F69" s="877"/>
      <c r="G69" s="878" t="str">
        <f>_xlfn.IFNA(VLOOKUP(F:F,'indicator lists'!L:M,2,FALSE),"")</f>
        <v/>
      </c>
      <c r="H69" s="883"/>
      <c r="I69" s="883"/>
      <c r="J69" s="878"/>
      <c r="K69" s="887"/>
    </row>
    <row r="70" spans="1:11" x14ac:dyDescent="0.35">
      <c r="A70" s="873">
        <f t="shared" si="2"/>
        <v>0</v>
      </c>
      <c r="B70" s="874" t="str">
        <f t="shared" si="3"/>
        <v>0</v>
      </c>
      <c r="C70" s="875"/>
      <c r="D70" s="876"/>
      <c r="E70" s="877"/>
      <c r="F70" s="877"/>
      <c r="G70" s="878" t="str">
        <f>_xlfn.IFNA(VLOOKUP(F:F,'indicator lists'!L:M,2,FALSE),"")</f>
        <v/>
      </c>
      <c r="H70" s="883"/>
      <c r="I70" s="883"/>
      <c r="J70" s="878"/>
      <c r="K70" s="887"/>
    </row>
    <row r="71" spans="1:11" x14ac:dyDescent="0.35">
      <c r="A71" s="873">
        <f t="shared" ref="A71:A133" si="4">F71</f>
        <v>0</v>
      </c>
      <c r="B71" s="874" t="str">
        <f t="shared" si="3"/>
        <v>0</v>
      </c>
      <c r="C71" s="875"/>
      <c r="D71" s="876"/>
      <c r="E71" s="877"/>
      <c r="F71" s="877"/>
      <c r="G71" s="878" t="str">
        <f>_xlfn.IFNA(VLOOKUP(F:F,'indicator lists'!L:M,2,FALSE),"")</f>
        <v/>
      </c>
      <c r="H71" s="883"/>
      <c r="I71" s="883"/>
      <c r="J71" s="878"/>
      <c r="K71" s="887"/>
    </row>
    <row r="72" spans="1:11" x14ac:dyDescent="0.35">
      <c r="A72" s="873">
        <f t="shared" si="4"/>
        <v>0</v>
      </c>
      <c r="B72" s="874" t="str">
        <f t="shared" si="3"/>
        <v>0</v>
      </c>
      <c r="C72" s="875"/>
      <c r="D72" s="876"/>
      <c r="E72" s="877"/>
      <c r="F72" s="877"/>
      <c r="G72" s="878" t="str">
        <f>_xlfn.IFNA(VLOOKUP(F:F,'indicator lists'!L:M,2,FALSE),"")</f>
        <v/>
      </c>
      <c r="H72" s="883"/>
      <c r="I72" s="883"/>
      <c r="J72" s="878"/>
      <c r="K72" s="887"/>
    </row>
    <row r="73" spans="1:11" x14ac:dyDescent="0.35">
      <c r="A73" s="873">
        <f t="shared" si="4"/>
        <v>0</v>
      </c>
      <c r="B73" s="874" t="str">
        <f t="shared" si="3"/>
        <v>0</v>
      </c>
      <c r="C73" s="875"/>
      <c r="D73" s="876"/>
      <c r="E73" s="877"/>
      <c r="F73" s="877"/>
      <c r="G73" s="878" t="str">
        <f>_xlfn.IFNA(VLOOKUP(F:F,'indicator lists'!L:M,2,FALSE),"")</f>
        <v/>
      </c>
      <c r="H73" s="883"/>
      <c r="I73" s="883"/>
      <c r="J73" s="878"/>
      <c r="K73" s="887"/>
    </row>
    <row r="74" spans="1:11" x14ac:dyDescent="0.35">
      <c r="A74" s="873">
        <f t="shared" si="4"/>
        <v>0</v>
      </c>
      <c r="B74" s="874" t="str">
        <f t="shared" si="3"/>
        <v>0</v>
      </c>
      <c r="C74" s="875"/>
      <c r="D74" s="876"/>
      <c r="E74" s="877"/>
      <c r="F74" s="877"/>
      <c r="G74" s="878" t="str">
        <f>_xlfn.IFNA(VLOOKUP(F:F,'indicator lists'!L:M,2,FALSE),"")</f>
        <v/>
      </c>
      <c r="H74" s="883"/>
      <c r="I74" s="883"/>
      <c r="J74" s="878"/>
      <c r="K74" s="887"/>
    </row>
    <row r="75" spans="1:11" x14ac:dyDescent="0.35">
      <c r="A75" s="873">
        <f t="shared" si="4"/>
        <v>0</v>
      </c>
      <c r="B75" s="874" t="str">
        <f t="shared" si="3"/>
        <v>0</v>
      </c>
      <c r="C75" s="875"/>
      <c r="D75" s="876"/>
      <c r="E75" s="877"/>
      <c r="F75" s="877"/>
      <c r="G75" s="878" t="str">
        <f>_xlfn.IFNA(VLOOKUP(F:F,'indicator lists'!L:M,2,FALSE),"")</f>
        <v/>
      </c>
      <c r="H75" s="883"/>
      <c r="I75" s="883"/>
      <c r="J75" s="878"/>
      <c r="K75" s="887"/>
    </row>
    <row r="76" spans="1:11" x14ac:dyDescent="0.35">
      <c r="A76" s="873">
        <f t="shared" si="4"/>
        <v>0</v>
      </c>
      <c r="B76" s="874" t="str">
        <f t="shared" si="3"/>
        <v>0</v>
      </c>
      <c r="C76" s="875"/>
      <c r="D76" s="876"/>
      <c r="E76" s="877"/>
      <c r="F76" s="877"/>
      <c r="G76" s="878" t="str">
        <f>_xlfn.IFNA(VLOOKUP(F:F,'indicator lists'!L:M,2,FALSE),"")</f>
        <v/>
      </c>
      <c r="H76" s="883"/>
      <c r="I76" s="883"/>
      <c r="J76" s="878"/>
      <c r="K76" s="887"/>
    </row>
    <row r="77" spans="1:11" x14ac:dyDescent="0.35">
      <c r="A77" s="873">
        <f t="shared" si="4"/>
        <v>0</v>
      </c>
      <c r="B77" s="874" t="str">
        <f t="shared" si="3"/>
        <v>0</v>
      </c>
      <c r="C77" s="875"/>
      <c r="D77" s="876"/>
      <c r="E77" s="877"/>
      <c r="F77" s="877"/>
      <c r="G77" s="878" t="str">
        <f>_xlfn.IFNA(VLOOKUP(F:F,'indicator lists'!L:M,2,FALSE),"")</f>
        <v/>
      </c>
      <c r="H77" s="883"/>
      <c r="I77" s="883"/>
      <c r="J77" s="878"/>
      <c r="K77" s="887"/>
    </row>
    <row r="78" spans="1:11" x14ac:dyDescent="0.35">
      <c r="A78" s="873">
        <f t="shared" si="4"/>
        <v>0</v>
      </c>
      <c r="B78" s="874" t="str">
        <f t="shared" si="3"/>
        <v>0</v>
      </c>
      <c r="C78" s="875"/>
      <c r="D78" s="876"/>
      <c r="E78" s="877"/>
      <c r="F78" s="877"/>
      <c r="G78" s="878" t="str">
        <f>_xlfn.IFNA(VLOOKUP(F:F,'indicator lists'!L:M,2,FALSE),"")</f>
        <v/>
      </c>
      <c r="H78" s="883"/>
      <c r="I78" s="883"/>
      <c r="J78" s="878"/>
      <c r="K78" s="887"/>
    </row>
    <row r="79" spans="1:11" x14ac:dyDescent="0.35">
      <c r="A79" s="873">
        <f t="shared" si="4"/>
        <v>0</v>
      </c>
      <c r="B79" s="874" t="str">
        <f t="shared" si="3"/>
        <v>0</v>
      </c>
      <c r="C79" s="875"/>
      <c r="D79" s="876"/>
      <c r="E79" s="877"/>
      <c r="F79" s="877"/>
      <c r="G79" s="878" t="str">
        <f>_xlfn.IFNA(VLOOKUP(F:F,'indicator lists'!L:M,2,FALSE),"")</f>
        <v/>
      </c>
      <c r="H79" s="883"/>
      <c r="I79" s="883"/>
      <c r="J79" s="878"/>
      <c r="K79" s="887"/>
    </row>
    <row r="80" spans="1:11" x14ac:dyDescent="0.35">
      <c r="A80" s="873">
        <f t="shared" si="4"/>
        <v>0</v>
      </c>
      <c r="B80" s="874" t="str">
        <f t="shared" si="3"/>
        <v>0</v>
      </c>
      <c r="C80" s="875"/>
      <c r="D80" s="876"/>
      <c r="E80" s="877"/>
      <c r="F80" s="877"/>
      <c r="G80" s="878" t="str">
        <f>_xlfn.IFNA(VLOOKUP(F:F,'indicator lists'!L:M,2,FALSE),"")</f>
        <v/>
      </c>
      <c r="H80" s="883"/>
      <c r="I80" s="883"/>
      <c r="J80" s="878"/>
      <c r="K80" s="887"/>
    </row>
    <row r="81" spans="1:11" x14ac:dyDescent="0.35">
      <c r="A81" s="873">
        <f t="shared" si="4"/>
        <v>0</v>
      </c>
      <c r="B81" s="874" t="str">
        <f t="shared" si="3"/>
        <v>0</v>
      </c>
      <c r="C81" s="875"/>
      <c r="D81" s="876"/>
      <c r="E81" s="877"/>
      <c r="F81" s="877"/>
      <c r="G81" s="878" t="str">
        <f>_xlfn.IFNA(VLOOKUP(F:F,'indicator lists'!L:M,2,FALSE),"")</f>
        <v/>
      </c>
      <c r="H81" s="883"/>
      <c r="I81" s="883"/>
      <c r="J81" s="878"/>
      <c r="K81" s="887"/>
    </row>
    <row r="82" spans="1:11" x14ac:dyDescent="0.35">
      <c r="A82" s="873">
        <f t="shared" si="4"/>
        <v>0</v>
      </c>
      <c r="B82" s="874" t="str">
        <f t="shared" si="3"/>
        <v>0</v>
      </c>
      <c r="C82" s="875"/>
      <c r="D82" s="876"/>
      <c r="E82" s="877"/>
      <c r="F82" s="877"/>
      <c r="G82" s="878" t="str">
        <f>_xlfn.IFNA(VLOOKUP(F:F,'indicator lists'!L:M,2,FALSE),"")</f>
        <v/>
      </c>
      <c r="H82" s="883"/>
      <c r="I82" s="883"/>
      <c r="J82" s="878"/>
      <c r="K82" s="887"/>
    </row>
    <row r="83" spans="1:11" ht="15" thickBot="1" x14ac:dyDescent="0.4">
      <c r="A83" s="873">
        <f t="shared" si="4"/>
        <v>0</v>
      </c>
      <c r="B83" s="874" t="str">
        <f t="shared" si="3"/>
        <v>0</v>
      </c>
      <c r="C83" s="880"/>
      <c r="D83" s="876"/>
      <c r="E83" s="879"/>
      <c r="F83" s="879"/>
      <c r="G83" s="902" t="str">
        <f>_xlfn.IFNA(VLOOKUP(F:F,'indicator lists'!L:M,2,FALSE),"")</f>
        <v/>
      </c>
      <c r="H83" s="881"/>
      <c r="I83" s="881"/>
      <c r="J83" s="902"/>
      <c r="K83" s="903"/>
    </row>
    <row r="84" spans="1:11" ht="19" thickBot="1" x14ac:dyDescent="0.4">
      <c r="A84" s="873">
        <f t="shared" si="4"/>
        <v>0</v>
      </c>
      <c r="B84" s="874" t="str">
        <f t="shared" si="3"/>
        <v>0</v>
      </c>
      <c r="C84" s="1140" t="s">
        <v>132</v>
      </c>
      <c r="D84" s="1141"/>
      <c r="E84" s="1142"/>
      <c r="F84" s="1142"/>
      <c r="G84" s="1142"/>
      <c r="H84" s="1142"/>
      <c r="I84" s="1142"/>
      <c r="J84" s="1142"/>
      <c r="K84" s="1143"/>
    </row>
    <row r="85" spans="1:11" x14ac:dyDescent="0.35">
      <c r="A85" s="873">
        <f t="shared" si="4"/>
        <v>0</v>
      </c>
      <c r="B85" s="874" t="str">
        <f t="shared" si="3"/>
        <v>0</v>
      </c>
      <c r="C85" s="300" t="s">
        <v>130</v>
      </c>
      <c r="D85" s="876"/>
      <c r="E85" s="113"/>
      <c r="F85" s="113"/>
      <c r="G85" s="904" t="str">
        <f>_xlfn.IFNA(VLOOKUP(F:F,'indicator lists'!L:M,2,FALSE),"")</f>
        <v/>
      </c>
      <c r="H85" s="905"/>
      <c r="I85" s="906"/>
      <c r="J85" s="906"/>
      <c r="K85" s="907"/>
    </row>
    <row r="86" spans="1:11" x14ac:dyDescent="0.35">
      <c r="A86" s="873">
        <f t="shared" si="4"/>
        <v>0</v>
      </c>
      <c r="B86" s="874" t="str">
        <f t="shared" si="3"/>
        <v>0</v>
      </c>
      <c r="C86" s="875" t="s">
        <v>130</v>
      </c>
      <c r="D86" s="876"/>
      <c r="E86" s="877"/>
      <c r="F86" s="877"/>
      <c r="G86" s="887" t="str">
        <f>_xlfn.IFNA(VLOOKUP(F:F,'indicator lists'!L:M,2,FALSE),"")</f>
        <v/>
      </c>
      <c r="H86" s="890"/>
      <c r="I86" s="891"/>
      <c r="J86" s="891"/>
      <c r="K86" s="893"/>
    </row>
    <row r="87" spans="1:11" x14ac:dyDescent="0.35">
      <c r="A87" s="873">
        <f t="shared" si="4"/>
        <v>0</v>
      </c>
      <c r="B87" s="874" t="str">
        <f t="shared" si="3"/>
        <v>0</v>
      </c>
      <c r="C87" s="875" t="s">
        <v>130</v>
      </c>
      <c r="D87" s="876"/>
      <c r="E87" s="877"/>
      <c r="F87" s="877"/>
      <c r="G87" s="887" t="str">
        <f>_xlfn.IFNA(VLOOKUP(F:F,'indicator lists'!L:M,2,FALSE),"")</f>
        <v/>
      </c>
      <c r="H87" s="890"/>
      <c r="I87" s="891"/>
      <c r="J87" s="891"/>
      <c r="K87" s="893"/>
    </row>
    <row r="88" spans="1:11" x14ac:dyDescent="0.35">
      <c r="A88" s="873">
        <f t="shared" si="4"/>
        <v>0</v>
      </c>
      <c r="B88" s="874" t="str">
        <f t="shared" si="3"/>
        <v>0</v>
      </c>
      <c r="C88" s="875" t="s">
        <v>130</v>
      </c>
      <c r="D88" s="876"/>
      <c r="E88" s="877"/>
      <c r="F88" s="877"/>
      <c r="G88" s="887" t="str">
        <f>_xlfn.IFNA(VLOOKUP(F:F,'indicator lists'!L:M,2,FALSE),"")</f>
        <v/>
      </c>
      <c r="H88" s="890"/>
      <c r="I88" s="891"/>
      <c r="J88" s="891"/>
      <c r="K88" s="893"/>
    </row>
    <row r="89" spans="1:11" x14ac:dyDescent="0.35">
      <c r="A89" s="873">
        <f t="shared" si="4"/>
        <v>0</v>
      </c>
      <c r="B89" s="874" t="str">
        <f t="shared" si="3"/>
        <v>0</v>
      </c>
      <c r="C89" s="875" t="s">
        <v>130</v>
      </c>
      <c r="D89" s="876"/>
      <c r="E89" s="877"/>
      <c r="F89" s="877"/>
      <c r="G89" s="887" t="str">
        <f>_xlfn.IFNA(VLOOKUP(F:F,'indicator lists'!L:M,2,FALSE),"")</f>
        <v/>
      </c>
      <c r="H89" s="890"/>
      <c r="I89" s="891"/>
      <c r="J89" s="891"/>
      <c r="K89" s="893"/>
    </row>
    <row r="90" spans="1:11" ht="15" thickBot="1" x14ac:dyDescent="0.4">
      <c r="A90" s="873">
        <f t="shared" si="4"/>
        <v>0</v>
      </c>
      <c r="B90" s="874" t="str">
        <f t="shared" si="3"/>
        <v>0</v>
      </c>
      <c r="C90" s="894" t="s">
        <v>130</v>
      </c>
      <c r="D90" s="908"/>
      <c r="E90" s="895"/>
      <c r="F90" s="895"/>
      <c r="G90" s="909" t="str">
        <f>_xlfn.IFNA(VLOOKUP(F:F,'indicator lists'!L:M,2,FALSE),"")</f>
        <v/>
      </c>
      <c r="H90" s="910"/>
      <c r="I90" s="896"/>
      <c r="J90" s="896"/>
      <c r="K90" s="900"/>
    </row>
    <row r="91" spans="1:11" x14ac:dyDescent="0.35">
      <c r="A91" s="873">
        <f t="shared" si="4"/>
        <v>0</v>
      </c>
      <c r="B91" s="874" t="str">
        <f t="shared" si="3"/>
        <v>0</v>
      </c>
      <c r="C91" s="911"/>
      <c r="D91" s="872"/>
      <c r="E91" s="872"/>
      <c r="F91" s="872"/>
      <c r="G91" s="872"/>
      <c r="H91" s="872"/>
      <c r="I91" s="872"/>
      <c r="J91" s="872"/>
      <c r="K91" s="872"/>
    </row>
    <row r="92" spans="1:11" x14ac:dyDescent="0.35">
      <c r="A92" s="873">
        <f t="shared" si="4"/>
        <v>0</v>
      </c>
      <c r="B92" s="874" t="str">
        <f t="shared" si="3"/>
        <v>0</v>
      </c>
      <c r="C92" s="911"/>
      <c r="D92" s="872"/>
      <c r="E92" s="872"/>
      <c r="F92" s="872"/>
      <c r="G92" s="872"/>
      <c r="H92" s="872"/>
      <c r="I92" s="872"/>
      <c r="J92" s="872"/>
      <c r="K92" s="872"/>
    </row>
    <row r="93" spans="1:11" x14ac:dyDescent="0.35">
      <c r="A93" s="873">
        <f t="shared" si="4"/>
        <v>0</v>
      </c>
      <c r="B93" s="874" t="str">
        <f t="shared" si="3"/>
        <v>0</v>
      </c>
      <c r="C93" s="911"/>
      <c r="D93" s="872"/>
      <c r="E93" s="872"/>
      <c r="F93" s="872"/>
      <c r="G93" s="872"/>
      <c r="H93" s="872"/>
      <c r="I93" s="872"/>
      <c r="J93" s="872"/>
      <c r="K93" s="872"/>
    </row>
    <row r="94" spans="1:11" x14ac:dyDescent="0.35">
      <c r="A94" s="873">
        <f t="shared" si="4"/>
        <v>0</v>
      </c>
      <c r="B94" s="874" t="str">
        <f t="shared" si="3"/>
        <v>0</v>
      </c>
      <c r="C94" s="911"/>
      <c r="D94" s="872"/>
      <c r="E94" s="872"/>
      <c r="F94" s="872"/>
      <c r="G94" s="872"/>
      <c r="H94" s="872"/>
      <c r="I94" s="872"/>
      <c r="J94" s="872"/>
      <c r="K94" s="872"/>
    </row>
    <row r="95" spans="1:11" x14ac:dyDescent="0.35">
      <c r="A95" s="873">
        <f t="shared" si="4"/>
        <v>0</v>
      </c>
      <c r="B95" s="874" t="str">
        <f t="shared" si="3"/>
        <v>0</v>
      </c>
      <c r="C95" s="911"/>
      <c r="D95" s="872"/>
      <c r="E95" s="872"/>
      <c r="F95" s="872"/>
      <c r="G95" s="872"/>
      <c r="H95" s="872"/>
      <c r="I95" s="872"/>
      <c r="J95" s="872"/>
      <c r="K95" s="872"/>
    </row>
    <row r="96" spans="1:11" x14ac:dyDescent="0.35">
      <c r="A96" s="873">
        <f t="shared" si="4"/>
        <v>0</v>
      </c>
      <c r="B96" s="874" t="str">
        <f t="shared" si="3"/>
        <v>0</v>
      </c>
      <c r="C96" s="911"/>
      <c r="D96" s="872"/>
      <c r="E96" s="872"/>
      <c r="F96" s="872"/>
      <c r="G96" s="872"/>
      <c r="H96" s="872"/>
      <c r="I96" s="872"/>
      <c r="J96" s="872"/>
      <c r="K96" s="872"/>
    </row>
    <row r="97" spans="1:2" x14ac:dyDescent="0.35">
      <c r="A97" s="873">
        <f t="shared" si="4"/>
        <v>0</v>
      </c>
      <c r="B97" s="874" t="str">
        <f t="shared" si="3"/>
        <v>0</v>
      </c>
    </row>
    <row r="98" spans="1:2" x14ac:dyDescent="0.35">
      <c r="A98" s="873">
        <f t="shared" si="4"/>
        <v>0</v>
      </c>
      <c r="B98" s="874" t="str">
        <f t="shared" si="3"/>
        <v>0</v>
      </c>
    </row>
    <row r="99" spans="1:2" x14ac:dyDescent="0.35">
      <c r="A99" s="873">
        <f t="shared" si="4"/>
        <v>0</v>
      </c>
      <c r="B99" s="874" t="str">
        <f t="shared" si="3"/>
        <v>0</v>
      </c>
    </row>
    <row r="100" spans="1:2" x14ac:dyDescent="0.35">
      <c r="A100" s="873">
        <f t="shared" si="4"/>
        <v>0</v>
      </c>
      <c r="B100" s="874" t="str">
        <f t="shared" si="3"/>
        <v>0</v>
      </c>
    </row>
    <row r="101" spans="1:2" x14ac:dyDescent="0.35">
      <c r="A101" s="873">
        <f t="shared" si="4"/>
        <v>0</v>
      </c>
      <c r="B101" s="874" t="str">
        <f t="shared" si="3"/>
        <v>0</v>
      </c>
    </row>
    <row r="102" spans="1:2" x14ac:dyDescent="0.35">
      <c r="A102" s="873">
        <f t="shared" si="4"/>
        <v>0</v>
      </c>
      <c r="B102" s="874" t="str">
        <f t="shared" si="3"/>
        <v>0</v>
      </c>
    </row>
    <row r="103" spans="1:2" x14ac:dyDescent="0.35">
      <c r="A103" s="873">
        <f t="shared" si="4"/>
        <v>0</v>
      </c>
      <c r="B103" s="874" t="str">
        <f t="shared" si="3"/>
        <v>0</v>
      </c>
    </row>
    <row r="104" spans="1:2" x14ac:dyDescent="0.35">
      <c r="A104" s="873">
        <f t="shared" si="4"/>
        <v>0</v>
      </c>
      <c r="B104" s="874" t="str">
        <f t="shared" si="3"/>
        <v>0</v>
      </c>
    </row>
    <row r="105" spans="1:2" x14ac:dyDescent="0.35">
      <c r="A105" s="873">
        <f t="shared" si="4"/>
        <v>0</v>
      </c>
      <c r="B105" s="874" t="str">
        <f t="shared" si="3"/>
        <v>0</v>
      </c>
    </row>
    <row r="106" spans="1:2" x14ac:dyDescent="0.35">
      <c r="A106" s="873">
        <f t="shared" si="4"/>
        <v>0</v>
      </c>
      <c r="B106" s="874" t="str">
        <f t="shared" si="3"/>
        <v>0</v>
      </c>
    </row>
    <row r="107" spans="1:2" x14ac:dyDescent="0.35">
      <c r="A107" s="873">
        <f t="shared" si="4"/>
        <v>0</v>
      </c>
      <c r="B107" s="874" t="str">
        <f t="shared" si="3"/>
        <v>0</v>
      </c>
    </row>
    <row r="108" spans="1:2" x14ac:dyDescent="0.35">
      <c r="A108" s="873">
        <f t="shared" si="4"/>
        <v>0</v>
      </c>
      <c r="B108" s="874" t="str">
        <f t="shared" si="3"/>
        <v>0</v>
      </c>
    </row>
    <row r="109" spans="1:2" x14ac:dyDescent="0.35">
      <c r="A109" s="873">
        <f t="shared" si="4"/>
        <v>0</v>
      </c>
      <c r="B109" s="874" t="str">
        <f t="shared" si="3"/>
        <v>0</v>
      </c>
    </row>
    <row r="110" spans="1:2" x14ac:dyDescent="0.35">
      <c r="A110" s="873">
        <f t="shared" si="4"/>
        <v>0</v>
      </c>
      <c r="B110" s="874" t="str">
        <f t="shared" si="3"/>
        <v>0</v>
      </c>
    </row>
    <row r="111" spans="1:2" x14ac:dyDescent="0.35">
      <c r="A111" s="873">
        <f t="shared" si="4"/>
        <v>0</v>
      </c>
      <c r="B111" s="874" t="str">
        <f t="shared" si="3"/>
        <v>0</v>
      </c>
    </row>
    <row r="112" spans="1:2" x14ac:dyDescent="0.35">
      <c r="A112" s="873">
        <f t="shared" si="4"/>
        <v>0</v>
      </c>
      <c r="B112" s="874" t="str">
        <f t="shared" si="3"/>
        <v>0</v>
      </c>
    </row>
    <row r="113" spans="1:2" x14ac:dyDescent="0.35">
      <c r="A113" s="873">
        <f t="shared" si="4"/>
        <v>0</v>
      </c>
      <c r="B113" s="874" t="str">
        <f t="shared" si="3"/>
        <v>0</v>
      </c>
    </row>
    <row r="114" spans="1:2" x14ac:dyDescent="0.35">
      <c r="A114" s="873">
        <f t="shared" si="4"/>
        <v>0</v>
      </c>
      <c r="B114" s="874" t="str">
        <f t="shared" si="3"/>
        <v>0</v>
      </c>
    </row>
    <row r="115" spans="1:2" x14ac:dyDescent="0.35">
      <c r="A115" s="873">
        <f t="shared" si="4"/>
        <v>0</v>
      </c>
      <c r="B115" s="874" t="str">
        <f t="shared" si="3"/>
        <v>0</v>
      </c>
    </row>
    <row r="116" spans="1:2" x14ac:dyDescent="0.35">
      <c r="A116" s="873">
        <f t="shared" si="4"/>
        <v>0</v>
      </c>
      <c r="B116" s="874" t="str">
        <f t="shared" si="3"/>
        <v>0</v>
      </c>
    </row>
    <row r="117" spans="1:2" x14ac:dyDescent="0.35">
      <c r="A117" s="873">
        <f t="shared" si="4"/>
        <v>0</v>
      </c>
      <c r="B117" s="874" t="str">
        <f t="shared" si="3"/>
        <v>0</v>
      </c>
    </row>
    <row r="118" spans="1:2" x14ac:dyDescent="0.35">
      <c r="A118" s="873">
        <f t="shared" si="4"/>
        <v>0</v>
      </c>
      <c r="B118" s="874" t="str">
        <f t="shared" si="3"/>
        <v>0</v>
      </c>
    </row>
    <row r="119" spans="1:2" x14ac:dyDescent="0.35">
      <c r="A119" s="873">
        <f t="shared" si="4"/>
        <v>0</v>
      </c>
      <c r="B119" s="874" t="str">
        <f t="shared" si="3"/>
        <v>0</v>
      </c>
    </row>
    <row r="120" spans="1:2" x14ac:dyDescent="0.35">
      <c r="A120" s="873">
        <f t="shared" si="4"/>
        <v>0</v>
      </c>
      <c r="B120" s="874" t="str">
        <f t="shared" si="3"/>
        <v>0</v>
      </c>
    </row>
    <row r="121" spans="1:2" x14ac:dyDescent="0.35">
      <c r="A121" s="873">
        <f t="shared" si="4"/>
        <v>0</v>
      </c>
      <c r="B121" s="874" t="str">
        <f t="shared" si="3"/>
        <v>0</v>
      </c>
    </row>
    <row r="122" spans="1:2" x14ac:dyDescent="0.35">
      <c r="A122" s="873">
        <f t="shared" si="4"/>
        <v>0</v>
      </c>
      <c r="B122" s="874" t="str">
        <f t="shared" si="3"/>
        <v>0</v>
      </c>
    </row>
    <row r="123" spans="1:2" x14ac:dyDescent="0.35">
      <c r="A123" s="873">
        <f t="shared" si="4"/>
        <v>0</v>
      </c>
      <c r="B123" s="874" t="str">
        <f t="shared" si="3"/>
        <v>0</v>
      </c>
    </row>
    <row r="124" spans="1:2" x14ac:dyDescent="0.35">
      <c r="A124" s="873">
        <f t="shared" si="4"/>
        <v>0</v>
      </c>
      <c r="B124" s="874" t="str">
        <f t="shared" si="3"/>
        <v>0</v>
      </c>
    </row>
    <row r="125" spans="1:2" x14ac:dyDescent="0.35">
      <c r="A125" s="873">
        <f t="shared" si="4"/>
        <v>0</v>
      </c>
      <c r="B125" s="874" t="str">
        <f t="shared" si="3"/>
        <v>0</v>
      </c>
    </row>
    <row r="126" spans="1:2" x14ac:dyDescent="0.35">
      <c r="A126" s="873">
        <f t="shared" si="4"/>
        <v>0</v>
      </c>
      <c r="B126" s="874" t="str">
        <f t="shared" si="3"/>
        <v>0</v>
      </c>
    </row>
    <row r="127" spans="1:2" x14ac:dyDescent="0.35">
      <c r="A127" s="873">
        <f t="shared" si="4"/>
        <v>0</v>
      </c>
      <c r="B127" s="874" t="str">
        <f t="shared" si="3"/>
        <v>0</v>
      </c>
    </row>
    <row r="128" spans="1:2" x14ac:dyDescent="0.35">
      <c r="A128" s="873">
        <f t="shared" si="4"/>
        <v>0</v>
      </c>
      <c r="B128" s="874" t="str">
        <f t="shared" si="3"/>
        <v>0</v>
      </c>
    </row>
    <row r="129" spans="1:2" x14ac:dyDescent="0.35">
      <c r="A129" s="873">
        <f t="shared" si="4"/>
        <v>0</v>
      </c>
      <c r="B129" s="874" t="str">
        <f t="shared" si="3"/>
        <v>0</v>
      </c>
    </row>
    <row r="130" spans="1:2" x14ac:dyDescent="0.35">
      <c r="A130" s="873">
        <f t="shared" si="4"/>
        <v>0</v>
      </c>
      <c r="B130" s="874" t="str">
        <f t="shared" si="3"/>
        <v>0</v>
      </c>
    </row>
    <row r="131" spans="1:2" x14ac:dyDescent="0.35">
      <c r="A131" s="873">
        <f t="shared" si="4"/>
        <v>0</v>
      </c>
      <c r="B131" s="874" t="str">
        <f t="shared" si="3"/>
        <v>0</v>
      </c>
    </row>
    <row r="132" spans="1:2" x14ac:dyDescent="0.35">
      <c r="A132" s="873">
        <f t="shared" si="4"/>
        <v>0</v>
      </c>
      <c r="B132" s="874" t="str">
        <f t="shared" ref="B132:B175" si="5">CONCATENATE(A132,G132)</f>
        <v>0</v>
      </c>
    </row>
    <row r="133" spans="1:2" x14ac:dyDescent="0.35">
      <c r="A133" s="873">
        <f t="shared" si="4"/>
        <v>0</v>
      </c>
      <c r="B133" s="874" t="str">
        <f t="shared" si="5"/>
        <v>0</v>
      </c>
    </row>
    <row r="134" spans="1:2" x14ac:dyDescent="0.35">
      <c r="A134" s="873">
        <f t="shared" ref="A134:A175" si="6">F134</f>
        <v>0</v>
      </c>
      <c r="B134" s="874" t="str">
        <f t="shared" si="5"/>
        <v>0</v>
      </c>
    </row>
    <row r="135" spans="1:2" x14ac:dyDescent="0.35">
      <c r="A135" s="873">
        <f t="shared" si="6"/>
        <v>0</v>
      </c>
      <c r="B135" s="874" t="str">
        <f t="shared" si="5"/>
        <v>0</v>
      </c>
    </row>
    <row r="136" spans="1:2" x14ac:dyDescent="0.35">
      <c r="A136" s="873">
        <f t="shared" si="6"/>
        <v>0</v>
      </c>
      <c r="B136" s="874" t="str">
        <f t="shared" si="5"/>
        <v>0</v>
      </c>
    </row>
    <row r="137" spans="1:2" x14ac:dyDescent="0.35">
      <c r="A137" s="873">
        <f t="shared" si="6"/>
        <v>0</v>
      </c>
      <c r="B137" s="874" t="str">
        <f t="shared" si="5"/>
        <v>0</v>
      </c>
    </row>
    <row r="138" spans="1:2" x14ac:dyDescent="0.35">
      <c r="A138" s="873">
        <f t="shared" si="6"/>
        <v>0</v>
      </c>
      <c r="B138" s="874" t="str">
        <f t="shared" si="5"/>
        <v>0</v>
      </c>
    </row>
    <row r="139" spans="1:2" x14ac:dyDescent="0.35">
      <c r="A139" s="873">
        <f t="shared" si="6"/>
        <v>0</v>
      </c>
      <c r="B139" s="874" t="str">
        <f t="shared" si="5"/>
        <v>0</v>
      </c>
    </row>
    <row r="140" spans="1:2" x14ac:dyDescent="0.35">
      <c r="A140" s="873">
        <f t="shared" si="6"/>
        <v>0</v>
      </c>
      <c r="B140" s="874" t="str">
        <f t="shared" si="5"/>
        <v>0</v>
      </c>
    </row>
    <row r="141" spans="1:2" x14ac:dyDescent="0.35">
      <c r="A141" s="873">
        <f t="shared" si="6"/>
        <v>0</v>
      </c>
      <c r="B141" s="874" t="str">
        <f t="shared" si="5"/>
        <v>0</v>
      </c>
    </row>
    <row r="142" spans="1:2" x14ac:dyDescent="0.35">
      <c r="A142" s="873">
        <f t="shared" si="6"/>
        <v>0</v>
      </c>
      <c r="B142" s="874" t="str">
        <f t="shared" si="5"/>
        <v>0</v>
      </c>
    </row>
    <row r="143" spans="1:2" x14ac:dyDescent="0.35">
      <c r="A143" s="873">
        <f t="shared" si="6"/>
        <v>0</v>
      </c>
      <c r="B143" s="874" t="str">
        <f t="shared" si="5"/>
        <v>0</v>
      </c>
    </row>
    <row r="144" spans="1:2" x14ac:dyDescent="0.35">
      <c r="A144" s="873">
        <f t="shared" si="6"/>
        <v>0</v>
      </c>
      <c r="B144" s="874" t="str">
        <f t="shared" si="5"/>
        <v>0</v>
      </c>
    </row>
    <row r="145" spans="1:2" x14ac:dyDescent="0.35">
      <c r="A145" s="873">
        <f t="shared" si="6"/>
        <v>0</v>
      </c>
      <c r="B145" s="874" t="str">
        <f t="shared" si="5"/>
        <v>0</v>
      </c>
    </row>
    <row r="146" spans="1:2" x14ac:dyDescent="0.35">
      <c r="A146" s="873">
        <f t="shared" si="6"/>
        <v>0</v>
      </c>
      <c r="B146" s="874" t="str">
        <f t="shared" si="5"/>
        <v>0</v>
      </c>
    </row>
    <row r="147" spans="1:2" x14ac:dyDescent="0.35">
      <c r="A147" s="873">
        <f t="shared" si="6"/>
        <v>0</v>
      </c>
      <c r="B147" s="874" t="str">
        <f t="shared" si="5"/>
        <v>0</v>
      </c>
    </row>
    <row r="148" spans="1:2" x14ac:dyDescent="0.35">
      <c r="A148" s="873">
        <f t="shared" si="6"/>
        <v>0</v>
      </c>
      <c r="B148" s="874" t="str">
        <f t="shared" si="5"/>
        <v>0</v>
      </c>
    </row>
    <row r="149" spans="1:2" x14ac:dyDescent="0.35">
      <c r="A149" s="873">
        <f t="shared" si="6"/>
        <v>0</v>
      </c>
      <c r="B149" s="874" t="str">
        <f t="shared" si="5"/>
        <v>0</v>
      </c>
    </row>
    <row r="150" spans="1:2" x14ac:dyDescent="0.35">
      <c r="A150" s="873">
        <f t="shared" si="6"/>
        <v>0</v>
      </c>
      <c r="B150" s="874" t="str">
        <f t="shared" si="5"/>
        <v>0</v>
      </c>
    </row>
    <row r="151" spans="1:2" x14ac:dyDescent="0.35">
      <c r="A151" s="873">
        <f t="shared" si="6"/>
        <v>0</v>
      </c>
      <c r="B151" s="874" t="str">
        <f t="shared" si="5"/>
        <v>0</v>
      </c>
    </row>
    <row r="152" spans="1:2" x14ac:dyDescent="0.35">
      <c r="A152" s="873">
        <f t="shared" si="6"/>
        <v>0</v>
      </c>
      <c r="B152" s="874" t="str">
        <f t="shared" si="5"/>
        <v>0</v>
      </c>
    </row>
    <row r="153" spans="1:2" x14ac:dyDescent="0.35">
      <c r="A153" s="873">
        <f t="shared" si="6"/>
        <v>0</v>
      </c>
      <c r="B153" s="874" t="str">
        <f t="shared" si="5"/>
        <v>0</v>
      </c>
    </row>
    <row r="154" spans="1:2" x14ac:dyDescent="0.35">
      <c r="A154" s="873">
        <f t="shared" si="6"/>
        <v>0</v>
      </c>
      <c r="B154" s="874" t="str">
        <f t="shared" si="5"/>
        <v>0</v>
      </c>
    </row>
    <row r="155" spans="1:2" x14ac:dyDescent="0.35">
      <c r="A155" s="873">
        <f t="shared" si="6"/>
        <v>0</v>
      </c>
      <c r="B155" s="874" t="str">
        <f t="shared" si="5"/>
        <v>0</v>
      </c>
    </row>
    <row r="156" spans="1:2" x14ac:dyDescent="0.35">
      <c r="A156" s="873">
        <f t="shared" si="6"/>
        <v>0</v>
      </c>
      <c r="B156" s="874" t="str">
        <f t="shared" si="5"/>
        <v>0</v>
      </c>
    </row>
    <row r="157" spans="1:2" x14ac:dyDescent="0.35">
      <c r="A157" s="873">
        <f t="shared" si="6"/>
        <v>0</v>
      </c>
      <c r="B157" s="874" t="str">
        <f t="shared" si="5"/>
        <v>0</v>
      </c>
    </row>
    <row r="158" spans="1:2" x14ac:dyDescent="0.35">
      <c r="A158" s="873">
        <f t="shared" si="6"/>
        <v>0</v>
      </c>
      <c r="B158" s="874" t="str">
        <f t="shared" si="5"/>
        <v>0</v>
      </c>
    </row>
    <row r="159" spans="1:2" x14ac:dyDescent="0.35">
      <c r="A159" s="873">
        <f t="shared" si="6"/>
        <v>0</v>
      </c>
      <c r="B159" s="874" t="str">
        <f t="shared" si="5"/>
        <v>0</v>
      </c>
    </row>
    <row r="160" spans="1:2" x14ac:dyDescent="0.35">
      <c r="A160" s="873">
        <f t="shared" si="6"/>
        <v>0</v>
      </c>
      <c r="B160" s="874" t="str">
        <f t="shared" si="5"/>
        <v>0</v>
      </c>
    </row>
    <row r="161" spans="1:2" x14ac:dyDescent="0.35">
      <c r="A161" s="873">
        <f t="shared" si="6"/>
        <v>0</v>
      </c>
      <c r="B161" s="874" t="str">
        <f t="shared" si="5"/>
        <v>0</v>
      </c>
    </row>
    <row r="162" spans="1:2" x14ac:dyDescent="0.35">
      <c r="A162" s="873">
        <f t="shared" si="6"/>
        <v>0</v>
      </c>
      <c r="B162" s="874" t="str">
        <f t="shared" si="5"/>
        <v>0</v>
      </c>
    </row>
    <row r="163" spans="1:2" x14ac:dyDescent="0.35">
      <c r="A163" s="873">
        <f t="shared" si="6"/>
        <v>0</v>
      </c>
      <c r="B163" s="874" t="str">
        <f t="shared" si="5"/>
        <v>0</v>
      </c>
    </row>
    <row r="164" spans="1:2" x14ac:dyDescent="0.35">
      <c r="A164" s="873">
        <f t="shared" si="6"/>
        <v>0</v>
      </c>
      <c r="B164" s="874" t="str">
        <f t="shared" si="5"/>
        <v>0</v>
      </c>
    </row>
    <row r="165" spans="1:2" x14ac:dyDescent="0.35">
      <c r="A165" s="873">
        <f t="shared" si="6"/>
        <v>0</v>
      </c>
      <c r="B165" s="874" t="str">
        <f t="shared" si="5"/>
        <v>0</v>
      </c>
    </row>
    <row r="166" spans="1:2" x14ac:dyDescent="0.35">
      <c r="A166" s="873">
        <f t="shared" si="6"/>
        <v>0</v>
      </c>
      <c r="B166" s="874" t="str">
        <f t="shared" si="5"/>
        <v>0</v>
      </c>
    </row>
    <row r="167" spans="1:2" x14ac:dyDescent="0.35">
      <c r="A167" s="873">
        <f t="shared" si="6"/>
        <v>0</v>
      </c>
      <c r="B167" s="874" t="str">
        <f t="shared" si="5"/>
        <v>0</v>
      </c>
    </row>
    <row r="168" spans="1:2" x14ac:dyDescent="0.35">
      <c r="A168" s="873">
        <f t="shared" si="6"/>
        <v>0</v>
      </c>
      <c r="B168" s="874" t="str">
        <f t="shared" si="5"/>
        <v>0</v>
      </c>
    </row>
    <row r="169" spans="1:2" x14ac:dyDescent="0.35">
      <c r="A169" s="873">
        <f t="shared" si="6"/>
        <v>0</v>
      </c>
      <c r="B169" s="874" t="str">
        <f t="shared" si="5"/>
        <v>0</v>
      </c>
    </row>
    <row r="170" spans="1:2" x14ac:dyDescent="0.35">
      <c r="A170" s="873">
        <f t="shared" si="6"/>
        <v>0</v>
      </c>
      <c r="B170" s="874" t="str">
        <f t="shared" si="5"/>
        <v>0</v>
      </c>
    </row>
    <row r="171" spans="1:2" x14ac:dyDescent="0.35">
      <c r="A171" s="873">
        <f t="shared" si="6"/>
        <v>0</v>
      </c>
      <c r="B171" s="874" t="str">
        <f t="shared" si="5"/>
        <v>0</v>
      </c>
    </row>
    <row r="172" spans="1:2" x14ac:dyDescent="0.35">
      <c r="A172" s="873">
        <f t="shared" si="6"/>
        <v>0</v>
      </c>
      <c r="B172" s="874" t="str">
        <f t="shared" si="5"/>
        <v>0</v>
      </c>
    </row>
    <row r="173" spans="1:2" x14ac:dyDescent="0.35">
      <c r="A173" s="873">
        <f t="shared" si="6"/>
        <v>0</v>
      </c>
      <c r="B173" s="874" t="str">
        <f t="shared" si="5"/>
        <v>0</v>
      </c>
    </row>
    <row r="174" spans="1:2" x14ac:dyDescent="0.35">
      <c r="A174" s="873">
        <f t="shared" si="6"/>
        <v>0</v>
      </c>
      <c r="B174" s="874" t="str">
        <f t="shared" si="5"/>
        <v>0</v>
      </c>
    </row>
    <row r="175" spans="1:2" x14ac:dyDescent="0.35">
      <c r="A175" s="873">
        <f t="shared" si="6"/>
        <v>0</v>
      </c>
      <c r="B175" s="874" t="str">
        <f t="shared" si="5"/>
        <v>0</v>
      </c>
    </row>
  </sheetData>
  <mergeCells count="9">
    <mergeCell ref="C84:K84"/>
    <mergeCell ref="K31:K32"/>
    <mergeCell ref="C2:K2"/>
    <mergeCell ref="C26:K26"/>
    <mergeCell ref="C55:K55"/>
    <mergeCell ref="C4:K4"/>
    <mergeCell ref="C33:K33"/>
    <mergeCell ref="C62:K62"/>
    <mergeCell ref="C3:K3"/>
  </mergeCells>
  <conditionalFormatting sqref="D5 D12:D26 D84 D55 D91:D1048576">
    <cfRule type="containsText" dxfId="234" priority="118" operator="containsText" text="Global Indicator">
      <formula>NOT(ISERROR(SEARCH("Global Indicator",D5)))</formula>
    </cfRule>
    <cfRule type="containsText" dxfId="233" priority="119" operator="containsText" text="MTO">
      <formula>NOT(ISERROR(SEARCH("MTO",D5)))</formula>
    </cfRule>
    <cfRule type="containsText" dxfId="232" priority="120" operator="containsText" text="STO">
      <formula>NOT(ISERROR(SEARCH("STO",D5)))</formula>
    </cfRule>
    <cfRule type="cellIs" dxfId="231" priority="121" operator="equal">
      <formula>"Activity"</formula>
    </cfRule>
  </conditionalFormatting>
  <conditionalFormatting sqref="D34">
    <cfRule type="containsText" dxfId="230" priority="110" operator="containsText" text="Global Indicator">
      <formula>NOT(ISERROR(SEARCH("Global Indicator",D34)))</formula>
    </cfRule>
    <cfRule type="containsText" dxfId="229" priority="111" operator="containsText" text="MTO">
      <formula>NOT(ISERROR(SEARCH("MTO",D34)))</formula>
    </cfRule>
    <cfRule type="containsText" dxfId="228" priority="112" operator="containsText" text="STO">
      <formula>NOT(ISERROR(SEARCH("STO",D34)))</formula>
    </cfRule>
    <cfRule type="cellIs" dxfId="227" priority="113" operator="equal">
      <formula>"Activity"</formula>
    </cfRule>
  </conditionalFormatting>
  <conditionalFormatting sqref="D63">
    <cfRule type="containsText" dxfId="226" priority="106" operator="containsText" text="Global Indicator">
      <formula>NOT(ISERROR(SEARCH("Global Indicator",D63)))</formula>
    </cfRule>
    <cfRule type="containsText" dxfId="225" priority="107" operator="containsText" text="MTO">
      <formula>NOT(ISERROR(SEARCH("MTO",D63)))</formula>
    </cfRule>
    <cfRule type="containsText" dxfId="224" priority="108" operator="containsText" text="STO">
      <formula>NOT(ISERROR(SEARCH("STO",D63)))</formula>
    </cfRule>
    <cfRule type="cellIs" dxfId="223" priority="109" operator="equal">
      <formula>"Activity"</formula>
    </cfRule>
  </conditionalFormatting>
  <conditionalFormatting sqref="D12:D25">
    <cfRule type="containsText" dxfId="222" priority="105" operator="containsText" text="Impact">
      <formula>NOT(ISERROR(SEARCH("Impact",D12)))</formula>
    </cfRule>
  </conditionalFormatting>
  <conditionalFormatting sqref="D11">
    <cfRule type="containsText" dxfId="221" priority="96" operator="containsText" text="Global Indicator">
      <formula>NOT(ISERROR(SEARCH("Global Indicator",D11)))</formula>
    </cfRule>
    <cfRule type="containsText" dxfId="220" priority="97" operator="containsText" text="MTO">
      <formula>NOT(ISERROR(SEARCH("MTO",D11)))</formula>
    </cfRule>
    <cfRule type="containsText" dxfId="219" priority="98" operator="containsText" text="STO">
      <formula>NOT(ISERROR(SEARCH("STO",D11)))</formula>
    </cfRule>
    <cfRule type="cellIs" dxfId="218" priority="99" operator="equal">
      <formula>"Activity"</formula>
    </cfRule>
  </conditionalFormatting>
  <conditionalFormatting sqref="D11">
    <cfRule type="containsText" dxfId="217" priority="95" operator="containsText" text="Impact">
      <formula>NOT(ISERROR(SEARCH("Impact",D11)))</formula>
    </cfRule>
  </conditionalFormatting>
  <conditionalFormatting sqref="D6:D10">
    <cfRule type="containsText" dxfId="216" priority="81" operator="containsText" text="Global Indicator">
      <formula>NOT(ISERROR(SEARCH("Global Indicator",D6)))</formula>
    </cfRule>
    <cfRule type="containsText" dxfId="215" priority="82" operator="containsText" text="MTO">
      <formula>NOT(ISERROR(SEARCH("MTO",D6)))</formula>
    </cfRule>
    <cfRule type="containsText" dxfId="214" priority="83" operator="containsText" text="STO">
      <formula>NOT(ISERROR(SEARCH("STO",D6)))</formula>
    </cfRule>
    <cfRule type="cellIs" dxfId="213" priority="84" operator="equal">
      <formula>"Activity"</formula>
    </cfRule>
  </conditionalFormatting>
  <conditionalFormatting sqref="D6:D10">
    <cfRule type="containsText" dxfId="212" priority="80" operator="containsText" text="Impact">
      <formula>NOT(ISERROR(SEARCH("Impact",D6)))</formula>
    </cfRule>
  </conditionalFormatting>
  <conditionalFormatting sqref="D35:D54">
    <cfRule type="containsText" dxfId="211" priority="66" operator="containsText" text="Global Indicator">
      <formula>NOT(ISERROR(SEARCH("Global Indicator",D35)))</formula>
    </cfRule>
    <cfRule type="containsText" dxfId="210" priority="67" operator="containsText" text="MTO">
      <formula>NOT(ISERROR(SEARCH("MTO",D35)))</formula>
    </cfRule>
    <cfRule type="containsText" dxfId="209" priority="68" operator="containsText" text="STO">
      <formula>NOT(ISERROR(SEARCH("STO",D35)))</formula>
    </cfRule>
    <cfRule type="cellIs" dxfId="208" priority="69" operator="equal">
      <formula>"Activity"</formula>
    </cfRule>
  </conditionalFormatting>
  <conditionalFormatting sqref="D35:D54">
    <cfRule type="containsText" dxfId="207" priority="65" operator="containsText" text="Impact">
      <formula>NOT(ISERROR(SEARCH("Impact",D35)))</formula>
    </cfRule>
  </conditionalFormatting>
  <conditionalFormatting sqref="D35:D54">
    <cfRule type="containsText" dxfId="206" priority="61" operator="containsText" text="Global Indicator">
      <formula>NOT(ISERROR(SEARCH("Global Indicator",D35)))</formula>
    </cfRule>
    <cfRule type="containsText" dxfId="205" priority="62" operator="containsText" text="MTO">
      <formula>NOT(ISERROR(SEARCH("MTO",D35)))</formula>
    </cfRule>
    <cfRule type="containsText" dxfId="204" priority="63" operator="containsText" text="STO">
      <formula>NOT(ISERROR(SEARCH("STO",D35)))</formula>
    </cfRule>
    <cfRule type="cellIs" dxfId="203" priority="64" operator="equal">
      <formula>"Activity"</formula>
    </cfRule>
  </conditionalFormatting>
  <conditionalFormatting sqref="D35:D54">
    <cfRule type="containsText" dxfId="202" priority="60" operator="containsText" text="Impact">
      <formula>NOT(ISERROR(SEARCH("Impact",D35)))</formula>
    </cfRule>
  </conditionalFormatting>
  <conditionalFormatting sqref="D27:D32">
    <cfRule type="containsText" dxfId="201" priority="53" operator="containsText" text="Global Indicator">
      <formula>NOT(ISERROR(SEARCH("Global Indicator",D27)))</formula>
    </cfRule>
    <cfRule type="containsText" dxfId="200" priority="54" operator="containsText" text="MTO">
      <formula>NOT(ISERROR(SEARCH("MTO",D27)))</formula>
    </cfRule>
    <cfRule type="containsText" dxfId="199" priority="55" operator="containsText" text="STO">
      <formula>NOT(ISERROR(SEARCH("STO",D27)))</formula>
    </cfRule>
    <cfRule type="cellIs" dxfId="198" priority="56" operator="equal">
      <formula>"Activity"</formula>
    </cfRule>
  </conditionalFormatting>
  <conditionalFormatting sqref="D27:D32">
    <cfRule type="containsText" dxfId="197" priority="52" operator="containsText" text="Impact">
      <formula>NOT(ISERROR(SEARCH("Impact",D27)))</formula>
    </cfRule>
  </conditionalFormatting>
  <conditionalFormatting sqref="D56:D61">
    <cfRule type="containsText" dxfId="196" priority="27" operator="containsText" text="Global Indicator">
      <formula>NOT(ISERROR(SEARCH("Global Indicator",D56)))</formula>
    </cfRule>
    <cfRule type="containsText" dxfId="195" priority="28" operator="containsText" text="MTO">
      <formula>NOT(ISERROR(SEARCH("MTO",D56)))</formula>
    </cfRule>
    <cfRule type="containsText" dxfId="194" priority="29" operator="containsText" text="STO">
      <formula>NOT(ISERROR(SEARCH("STO",D56)))</formula>
    </cfRule>
    <cfRule type="cellIs" dxfId="193" priority="30" operator="equal">
      <formula>"Activity"</formula>
    </cfRule>
  </conditionalFormatting>
  <conditionalFormatting sqref="D56:D61">
    <cfRule type="containsText" dxfId="192" priority="26" operator="containsText" text="Impact">
      <formula>NOT(ISERROR(SEARCH("Impact",D56)))</formula>
    </cfRule>
  </conditionalFormatting>
  <conditionalFormatting sqref="D56:D61">
    <cfRule type="containsText" dxfId="191" priority="22" operator="containsText" text="Global Indicator">
      <formula>NOT(ISERROR(SEARCH("Global Indicator",D56)))</formula>
    </cfRule>
    <cfRule type="containsText" dxfId="190" priority="23" operator="containsText" text="MTO">
      <formula>NOT(ISERROR(SEARCH("MTO",D56)))</formula>
    </cfRule>
    <cfRule type="containsText" dxfId="189" priority="24" operator="containsText" text="STO">
      <formula>NOT(ISERROR(SEARCH("STO",D56)))</formula>
    </cfRule>
    <cfRule type="cellIs" dxfId="188" priority="25" operator="equal">
      <formula>"Activity"</formula>
    </cfRule>
  </conditionalFormatting>
  <conditionalFormatting sqref="D56:D61">
    <cfRule type="containsText" dxfId="187" priority="21" operator="containsText" text="Impact">
      <formula>NOT(ISERROR(SEARCH("Impact",D56)))</formula>
    </cfRule>
  </conditionalFormatting>
  <conditionalFormatting sqref="D64:D83">
    <cfRule type="containsText" dxfId="186" priority="17" operator="containsText" text="Global Indicator">
      <formula>NOT(ISERROR(SEARCH("Global Indicator",D64)))</formula>
    </cfRule>
    <cfRule type="containsText" dxfId="185" priority="18" operator="containsText" text="MTO">
      <formula>NOT(ISERROR(SEARCH("MTO",D64)))</formula>
    </cfRule>
    <cfRule type="containsText" dxfId="184" priority="19" operator="containsText" text="STO">
      <formula>NOT(ISERROR(SEARCH("STO",D64)))</formula>
    </cfRule>
    <cfRule type="cellIs" dxfId="183" priority="20" operator="equal">
      <formula>"Activity"</formula>
    </cfRule>
  </conditionalFormatting>
  <conditionalFormatting sqref="D64:D83">
    <cfRule type="containsText" dxfId="182" priority="16" operator="containsText" text="Impact">
      <formula>NOT(ISERROR(SEARCH("Impact",D64)))</formula>
    </cfRule>
  </conditionalFormatting>
  <conditionalFormatting sqref="D64:D83">
    <cfRule type="containsText" dxfId="181" priority="12" operator="containsText" text="Global Indicator">
      <formula>NOT(ISERROR(SEARCH("Global Indicator",D64)))</formula>
    </cfRule>
    <cfRule type="containsText" dxfId="180" priority="13" operator="containsText" text="MTO">
      <formula>NOT(ISERROR(SEARCH("MTO",D64)))</formula>
    </cfRule>
    <cfRule type="containsText" dxfId="179" priority="14" operator="containsText" text="STO">
      <formula>NOT(ISERROR(SEARCH("STO",D64)))</formula>
    </cfRule>
    <cfRule type="cellIs" dxfId="178" priority="15" operator="equal">
      <formula>"Activity"</formula>
    </cfRule>
  </conditionalFormatting>
  <conditionalFormatting sqref="D64:D83">
    <cfRule type="containsText" dxfId="177" priority="11" operator="containsText" text="Impact">
      <formula>NOT(ISERROR(SEARCH("Impact",D64)))</formula>
    </cfRule>
  </conditionalFormatting>
  <conditionalFormatting sqref="D85:D90">
    <cfRule type="containsText" dxfId="176" priority="7" operator="containsText" text="Global Indicator">
      <formula>NOT(ISERROR(SEARCH("Global Indicator",D85)))</formula>
    </cfRule>
    <cfRule type="containsText" dxfId="175" priority="8" operator="containsText" text="MTO">
      <formula>NOT(ISERROR(SEARCH("MTO",D85)))</formula>
    </cfRule>
    <cfRule type="containsText" dxfId="174" priority="9" operator="containsText" text="STO">
      <formula>NOT(ISERROR(SEARCH("STO",D85)))</formula>
    </cfRule>
    <cfRule type="cellIs" dxfId="173" priority="10" operator="equal">
      <formula>"Activity"</formula>
    </cfRule>
  </conditionalFormatting>
  <conditionalFormatting sqref="D85:D90">
    <cfRule type="containsText" dxfId="172" priority="6" operator="containsText" text="Impact">
      <formula>NOT(ISERROR(SEARCH("Impact",D85)))</formula>
    </cfRule>
  </conditionalFormatting>
  <conditionalFormatting sqref="D85:D90">
    <cfRule type="containsText" dxfId="171" priority="2" operator="containsText" text="Global Indicator">
      <formula>NOT(ISERROR(SEARCH("Global Indicator",D85)))</formula>
    </cfRule>
    <cfRule type="containsText" dxfId="170" priority="3" operator="containsText" text="MTO">
      <formula>NOT(ISERROR(SEARCH("MTO",D85)))</formula>
    </cfRule>
    <cfRule type="containsText" dxfId="169" priority="4" operator="containsText" text="STO">
      <formula>NOT(ISERROR(SEARCH("STO",D85)))</formula>
    </cfRule>
    <cfRule type="cellIs" dxfId="168" priority="5" operator="equal">
      <formula>"Activity"</formula>
    </cfRule>
  </conditionalFormatting>
  <conditionalFormatting sqref="D85:D90">
    <cfRule type="containsText" dxfId="167" priority="1" operator="containsText" text="Impact">
      <formula>NOT(ISERROR(SEARCH("Impact",D85)))</formula>
    </cfRule>
  </conditionalFormatting>
  <dataValidations count="1">
    <dataValidation type="list" allowBlank="1" showInputMessage="1" showErrorMessage="1" sqref="J6:J25 J64:J83 J35:J38 J40:J54 J39" xr:uid="{6D826B42-F163-4820-8F7B-D1B08ED4B3CE}">
      <formula1>INDIRECT("'indicator lists'!$X$2:$X$19")</formula1>
    </dataValidation>
  </dataValidations>
  <pageMargins left="0.7" right="0.7" top="0.75" bottom="0.75" header="0.3" footer="0.3"/>
  <pageSetup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115" operator="containsText" text="Activity" id="{32A89F13-908E-4D1C-9A3D-0C88B979194C}">
            <xm:f>NOT(ISERROR(SEARCH("Activity",'Example Logframe'!D1)))</xm:f>
            <x14:dxf>
              <font>
                <color theme="0"/>
              </font>
              <fill>
                <patternFill>
                  <bgColor rgb="FF7030A0"/>
                </patternFill>
              </fill>
            </x14:dxf>
          </x14:cfRule>
          <x14:cfRule type="containsText" priority="116" operator="containsText" text="STO" id="{BDD78E57-4488-4C89-A3F5-BB6ACD36EF3D}">
            <xm:f>NOT(ISERROR(SEARCH("STO",'Example Logframe'!D1)))</xm:f>
            <x14:dxf>
              <font>
                <color auto="1"/>
              </font>
              <fill>
                <patternFill>
                  <bgColor rgb="FFFFEB9C"/>
                </patternFill>
              </fill>
            </x14:dxf>
          </x14:cfRule>
          <x14:cfRule type="containsText" priority="117" operator="containsText" text="MTO" id="{D17E8201-8B6C-4563-8F51-66F1408B8B55}">
            <xm:f>NOT(ISERROR(SEARCH("MTO",'Example Logframe'!D1)))</xm:f>
            <x14:dxf>
              <font>
                <color theme="0"/>
              </font>
              <fill>
                <patternFill>
                  <bgColor rgb="FF0000FF"/>
                </patternFill>
              </fill>
            </x14:dxf>
          </x14:cfRule>
          <xm:sqref>D1:D2</xm:sqref>
        </x14:conditionalFormatting>
        <x14:conditionalFormatting xmlns:xm="http://schemas.microsoft.com/office/excel/2006/main">
          <x14:cfRule type="containsText" priority="114" operator="containsText" text="Global Indicator" id="{02531A85-8114-4756-B408-13590CE3BAAD}">
            <xm:f>NOT(ISERROR(SEARCH("Global Indicator",'Example Logframe'!D1)))</xm:f>
            <x14:dxf>
              <font>
                <b/>
                <i val="0"/>
                <strike val="0"/>
              </font>
              <fill>
                <patternFill>
                  <bgColor rgb="FFFFFF00"/>
                </patternFill>
              </fill>
            </x14:dxf>
          </x14:cfRule>
          <xm:sqref>D1:D2</xm:sqref>
        </x14:conditionalFormatting>
      </x14:conditionalFormattings>
    </ext>
    <ext xmlns:x14="http://schemas.microsoft.com/office/spreadsheetml/2009/9/main" uri="{CCE6A557-97BC-4b89-ADB6-D9C93CAAB3DF}">
      <x14:dataValidations xmlns:xm="http://schemas.microsoft.com/office/excel/2006/main" count="1">
        <x14:dataValidation type="list" showInputMessage="1" showErrorMessage="1" xr:uid="{F1CB60F6-35A5-4BB1-A9EF-4F20986763E8}">
          <x14:formula1>
            <xm:f>'indicator lists'!$V$1:$V$6</xm:f>
          </x14:formula1>
          <xm:sqref>D27:D32 D85:D90 D6:D25 D35:D54 D56:D61 D64:D83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theme="9" tint="0.39997558519241921"/>
  </sheetPr>
  <dimension ref="A1:O19"/>
  <sheetViews>
    <sheetView topLeftCell="G2" zoomScale="110" zoomScaleNormal="110" workbookViewId="0">
      <selection activeCell="K19" sqref="K19"/>
    </sheetView>
  </sheetViews>
  <sheetFormatPr defaultColWidth="9.1796875" defaultRowHeight="14.5" x14ac:dyDescent="0.35"/>
  <cols>
    <col min="1" max="1" width="20.54296875" style="22" hidden="1" customWidth="1"/>
    <col min="2" max="6" width="16" style="22" hidden="1" customWidth="1"/>
    <col min="7" max="7" width="16" style="22" customWidth="1"/>
    <col min="8" max="8" width="50.7265625" style="242" customWidth="1"/>
    <col min="9" max="9" width="18.7265625" style="242" customWidth="1"/>
    <col min="10" max="11" width="18.26953125" style="242" customWidth="1"/>
    <col min="12" max="12" width="21.1796875" style="242" customWidth="1"/>
    <col min="13" max="14" width="18.7265625" style="242" customWidth="1"/>
    <col min="15" max="15" width="46.81640625" style="242" customWidth="1"/>
    <col min="16" max="16384" width="9.1796875" style="22"/>
  </cols>
  <sheetData>
    <row r="1" spans="1:15" x14ac:dyDescent="0.35">
      <c r="G1" s="864" t="s">
        <v>133</v>
      </c>
    </row>
    <row r="2" spans="1:15" ht="15" thickBot="1" x14ac:dyDescent="0.4"/>
    <row r="3" spans="1:15" ht="74.5" thickBot="1" x14ac:dyDescent="0.4">
      <c r="A3" s="1042" t="s">
        <v>134</v>
      </c>
      <c r="B3" s="228" t="s">
        <v>135</v>
      </c>
      <c r="C3" s="228" t="s">
        <v>136</v>
      </c>
      <c r="D3" s="228" t="s">
        <v>137</v>
      </c>
      <c r="E3" s="228" t="s">
        <v>138</v>
      </c>
      <c r="F3" s="753" t="s">
        <v>139</v>
      </c>
      <c r="G3" s="752" t="s">
        <v>140</v>
      </c>
      <c r="H3" s="229" t="s">
        <v>129</v>
      </c>
      <c r="I3" s="840" t="s">
        <v>141</v>
      </c>
      <c r="J3" s="839" t="s">
        <v>142</v>
      </c>
      <c r="K3" s="837" t="s">
        <v>143</v>
      </c>
      <c r="L3" s="840" t="s">
        <v>144</v>
      </c>
      <c r="M3" s="839" t="s">
        <v>145</v>
      </c>
      <c r="N3" s="837" t="s">
        <v>146</v>
      </c>
      <c r="O3" s="229" t="s">
        <v>147</v>
      </c>
    </row>
    <row r="4" spans="1:15" s="760" customFormat="1" ht="15" thickTop="1" x14ac:dyDescent="0.35">
      <c r="A4" s="1043">
        <f>Table112[[#This Row],[2024 code]]</f>
        <v>0</v>
      </c>
      <c r="B4" s="757" t="str">
        <f>_xlfn.IFNA(VLOOKUP($A:$A,'indicator lists'!$A:$F,2,FALSE),"")</f>
        <v/>
      </c>
      <c r="C4" s="757" t="str">
        <f>_xlfn.IFNA(VLOOKUP($A:$A,'indicator lists'!$A:$F,3,FALSE),"")</f>
        <v/>
      </c>
      <c r="D4" s="757" t="str">
        <f>_xlfn.IFNA(VLOOKUP($A:$A,'indicator lists'!$A:$F,4,FALSE),"")</f>
        <v/>
      </c>
      <c r="E4" s="757" t="str">
        <f>_xlfn.IFNA(VLOOKUP($A:$A,'indicator lists'!$A:$F,4,FALSE),"")</f>
        <v/>
      </c>
      <c r="F4" s="757" t="str">
        <f>_xlfn.IFNA(VLOOKUP($A:$A,'indicator lists'!$A:$F,5,FALSE),"")</f>
        <v/>
      </c>
      <c r="G4" s="1064"/>
      <c r="H4" s="765" t="str">
        <f>_xlfn.IFNA(VLOOKUP(G:G,'indicator lists'!F:G,2,FALSE),"")</f>
        <v/>
      </c>
      <c r="I4" s="841"/>
      <c r="J4" s="759"/>
      <c r="K4" s="835">
        <f>Table112[[#This Row],[Targeted FEMALE unique beneficiaries per activity]]+Table112[[#This Row],[Targeted MALE unique beneficiaries per activity]]</f>
        <v>0</v>
      </c>
      <c r="L4" s="841"/>
      <c r="M4" s="759"/>
      <c r="N4" s="835">
        <f>Table112[[#This Row],[Targeted unique FEMALE beneficiares per project]]+Table112[[#This Row],[Targeted unique MALE beneficiares per project]]</f>
        <v>0</v>
      </c>
      <c r="O4" s="758"/>
    </row>
    <row r="5" spans="1:15" s="760" customFormat="1" x14ac:dyDescent="0.35">
      <c r="A5" s="1044">
        <f>Table112[[#This Row],[2024 code]]</f>
        <v>0</v>
      </c>
      <c r="B5" s="757" t="str">
        <f>_xlfn.IFNA(VLOOKUP($A:$A,'indicator lists'!$A:$F,2,FALSE),"")</f>
        <v/>
      </c>
      <c r="C5" s="757" t="str">
        <f>_xlfn.IFNA(VLOOKUP($A:$A,'indicator lists'!$A:$F,3,FALSE),"")</f>
        <v/>
      </c>
      <c r="D5" s="757" t="str">
        <f>_xlfn.IFNA(VLOOKUP($A:$A,'indicator lists'!$A:$F,4,FALSE),"")</f>
        <v/>
      </c>
      <c r="E5" s="757" t="str">
        <f>_xlfn.IFNA(VLOOKUP($A:$A,'indicator lists'!$A:$F,4,FALSE),"")</f>
        <v/>
      </c>
      <c r="F5" s="757" t="str">
        <f>_xlfn.IFNA(VLOOKUP($A:$A,'indicator lists'!$A:$F,5,FALSE),"")</f>
        <v/>
      </c>
      <c r="G5" s="1062"/>
      <c r="H5" s="765" t="str">
        <f>_xlfn.IFNA(VLOOKUP(G:G,'indicator lists'!F:G,2,FALSE),"")</f>
        <v/>
      </c>
      <c r="I5" s="841"/>
      <c r="J5" s="759"/>
      <c r="K5" s="835">
        <f>Table112[[#This Row],[Targeted FEMALE unique beneficiaries per activity]]+Table112[[#This Row],[Targeted MALE unique beneficiaries per activity]]</f>
        <v>0</v>
      </c>
      <c r="L5" s="841"/>
      <c r="M5" s="759"/>
      <c r="N5" s="835">
        <f>Table112[[#This Row],[Targeted unique FEMALE beneficiares per project]]+Table112[[#This Row],[Targeted unique MALE beneficiares per project]]</f>
        <v>0</v>
      </c>
      <c r="O5" s="758"/>
    </row>
    <row r="6" spans="1:15" s="760" customFormat="1" x14ac:dyDescent="0.35">
      <c r="A6" s="1043">
        <f>Table112[[#This Row],[2024 code]]</f>
        <v>0</v>
      </c>
      <c r="B6" s="757" t="str">
        <f>_xlfn.IFNA(VLOOKUP($A:$A,'indicator lists'!$A:$F,2,FALSE),"")</f>
        <v/>
      </c>
      <c r="C6" s="757" t="str">
        <f>_xlfn.IFNA(VLOOKUP($A:$A,'indicator lists'!$A:$F,3,FALSE),"")</f>
        <v/>
      </c>
      <c r="D6" s="757" t="str">
        <f>_xlfn.IFNA(VLOOKUP($A:$A,'indicator lists'!$A:$F,4,FALSE),"")</f>
        <v/>
      </c>
      <c r="E6" s="757" t="str">
        <f>_xlfn.IFNA(VLOOKUP($A:$A,'indicator lists'!$A:$F,4,FALSE),"")</f>
        <v/>
      </c>
      <c r="F6" s="757" t="str">
        <f>_xlfn.IFNA(VLOOKUP($A:$A,'indicator lists'!$A:$F,5,FALSE),"")</f>
        <v/>
      </c>
      <c r="G6" s="1062"/>
      <c r="H6" s="765" t="str">
        <f>_xlfn.IFNA(VLOOKUP(G:G,'indicator lists'!F:G,2,FALSE),"")</f>
        <v/>
      </c>
      <c r="I6" s="841"/>
      <c r="J6" s="759"/>
      <c r="K6" s="835">
        <f>Table112[[#This Row],[Targeted FEMALE unique beneficiaries per activity]]+Table112[[#This Row],[Targeted MALE unique beneficiaries per activity]]</f>
        <v>0</v>
      </c>
      <c r="L6" s="841"/>
      <c r="M6" s="759"/>
      <c r="N6" s="835">
        <f>Table112[[#This Row],[Targeted unique FEMALE beneficiares per project]]+Table112[[#This Row],[Targeted unique MALE beneficiares per project]]</f>
        <v>0</v>
      </c>
      <c r="O6" s="758"/>
    </row>
    <row r="7" spans="1:15" s="760" customFormat="1" ht="18.5" x14ac:dyDescent="0.35">
      <c r="A7" s="1044">
        <f>Table112[[#This Row],[2024 code]]</f>
        <v>0</v>
      </c>
      <c r="B7" s="757" t="str">
        <f>_xlfn.IFNA(VLOOKUP($A:$A,'indicator lists'!$A:$F,2,FALSE),"")</f>
        <v/>
      </c>
      <c r="C7" s="757" t="str">
        <f>_xlfn.IFNA(VLOOKUP($A:$A,'indicator lists'!$A:$F,3,FALSE),"")</f>
        <v/>
      </c>
      <c r="D7" s="757" t="str">
        <f>_xlfn.IFNA(VLOOKUP($A:$A,'indicator lists'!$A:$F,4,FALSE),"")</f>
        <v/>
      </c>
      <c r="E7" s="757" t="str">
        <f>_xlfn.IFNA(VLOOKUP($A:$A,'indicator lists'!$A:$F,4,FALSE),"")</f>
        <v/>
      </c>
      <c r="F7" s="757" t="str">
        <f>_xlfn.IFNA(VLOOKUP($A:$A,'indicator lists'!$A:$F,5,FALSE),"")</f>
        <v/>
      </c>
      <c r="G7" s="243"/>
      <c r="H7" s="765" t="str">
        <f>_xlfn.IFNA(VLOOKUP(G:G,'indicator lists'!F:G,2,FALSE),"")</f>
        <v/>
      </c>
      <c r="I7" s="842"/>
      <c r="J7" s="761"/>
      <c r="K7" s="835">
        <f>Table112[[#This Row],[Targeted FEMALE unique beneficiaries per activity]]+Table112[[#This Row],[Targeted MALE unique beneficiaries per activity]]</f>
        <v>0</v>
      </c>
      <c r="L7" s="842"/>
      <c r="M7" s="761"/>
      <c r="N7" s="835">
        <f>Table112[[#This Row],[Targeted unique FEMALE beneficiares per project]]+Table112[[#This Row],[Targeted unique MALE beneficiares per project]]</f>
        <v>0</v>
      </c>
      <c r="O7" s="762"/>
    </row>
    <row r="8" spans="1:15" s="760" customFormat="1" x14ac:dyDescent="0.35">
      <c r="A8" s="1043">
        <f>Table112[[#This Row],[2024 code]]</f>
        <v>0</v>
      </c>
      <c r="B8" s="757" t="str">
        <f>_xlfn.IFNA(VLOOKUP($A:$A,'indicator lists'!$A:$F,2,FALSE),"")</f>
        <v/>
      </c>
      <c r="C8" s="757" t="str">
        <f>_xlfn.IFNA(VLOOKUP($A:$A,'indicator lists'!$A:$F,3,FALSE),"")</f>
        <v/>
      </c>
      <c r="D8" s="757" t="str">
        <f>_xlfn.IFNA(VLOOKUP($A:$A,'indicator lists'!$A:$F,4,FALSE),"")</f>
        <v/>
      </c>
      <c r="E8" s="757" t="str">
        <f>_xlfn.IFNA(VLOOKUP($A:$A,'indicator lists'!$A:$F,4,FALSE),"")</f>
        <v/>
      </c>
      <c r="F8" s="757" t="str">
        <f>_xlfn.IFNA(VLOOKUP($A:$A,'indicator lists'!$A:$F,5,FALSE),"")</f>
        <v/>
      </c>
      <c r="G8" s="230"/>
      <c r="H8" s="765" t="str">
        <f>_xlfn.IFNA(VLOOKUP(G:G,'indicator lists'!F:G,2,FALSE),"")</f>
        <v/>
      </c>
      <c r="I8" s="843"/>
      <c r="J8" s="763"/>
      <c r="K8" s="835">
        <f>Table112[[#This Row],[Targeted FEMALE unique beneficiaries per activity]]+Table112[[#This Row],[Targeted MALE unique beneficiaries per activity]]</f>
        <v>0</v>
      </c>
      <c r="L8" s="843"/>
      <c r="M8" s="763"/>
      <c r="N8" s="835">
        <f>Table112[[#This Row],[Targeted unique FEMALE beneficiares per project]]+Table112[[#This Row],[Targeted unique MALE beneficiares per project]]</f>
        <v>0</v>
      </c>
      <c r="O8" s="757"/>
    </row>
    <row r="9" spans="1:15" s="760" customFormat="1" x14ac:dyDescent="0.35">
      <c r="A9" s="1044">
        <f>Table112[[#This Row],[2024 code]]</f>
        <v>0</v>
      </c>
      <c r="B9" s="757" t="str">
        <f>_xlfn.IFNA(VLOOKUP($A:$A,'indicator lists'!$A:$F,2,FALSE),"")</f>
        <v/>
      </c>
      <c r="C9" s="757" t="str">
        <f>_xlfn.IFNA(VLOOKUP($A:$A,'indicator lists'!$A:$F,3,FALSE),"")</f>
        <v/>
      </c>
      <c r="D9" s="757" t="str">
        <f>_xlfn.IFNA(VLOOKUP($A:$A,'indicator lists'!$A:$F,4,FALSE),"")</f>
        <v/>
      </c>
      <c r="E9" s="757" t="str">
        <f>_xlfn.IFNA(VLOOKUP($A:$A,'indicator lists'!$A:$F,4,FALSE),"")</f>
        <v/>
      </c>
      <c r="F9" s="757" t="str">
        <f>_xlfn.IFNA(VLOOKUP($A:$A,'indicator lists'!$A:$F,5,FALSE),"")</f>
        <v/>
      </c>
      <c r="G9" s="230"/>
      <c r="H9" s="765" t="str">
        <f>_xlfn.IFNA(VLOOKUP(G:G,'indicator lists'!F:G,2,FALSE),"")</f>
        <v/>
      </c>
      <c r="I9" s="841"/>
      <c r="J9" s="759"/>
      <c r="K9" s="835">
        <f>Table112[[#This Row],[Targeted FEMALE unique beneficiaries per activity]]+Table112[[#This Row],[Targeted MALE unique beneficiaries per activity]]</f>
        <v>0</v>
      </c>
      <c r="L9" s="841"/>
      <c r="M9" s="759"/>
      <c r="N9" s="835">
        <f>Table112[[#This Row],[Targeted unique FEMALE beneficiares per project]]+Table112[[#This Row],[Targeted unique MALE beneficiares per project]]</f>
        <v>0</v>
      </c>
      <c r="O9" s="758"/>
    </row>
    <row r="10" spans="1:15" s="760" customFormat="1" x14ac:dyDescent="0.35">
      <c r="A10" s="1043">
        <f>Table112[[#This Row],[2024 code]]</f>
        <v>0</v>
      </c>
      <c r="B10" s="757" t="str">
        <f>_xlfn.IFNA(VLOOKUP($A:$A,'indicator lists'!$A:$F,2,FALSE),"")</f>
        <v/>
      </c>
      <c r="C10" s="757" t="str">
        <f>_xlfn.IFNA(VLOOKUP($A:$A,'indicator lists'!$A:$F,3,FALSE),"")</f>
        <v/>
      </c>
      <c r="D10" s="757" t="str">
        <f>_xlfn.IFNA(VLOOKUP($A:$A,'indicator lists'!$A:$F,4,FALSE),"")</f>
        <v/>
      </c>
      <c r="E10" s="757" t="str">
        <f>_xlfn.IFNA(VLOOKUP($A:$A,'indicator lists'!$A:$F,4,FALSE),"")</f>
        <v/>
      </c>
      <c r="F10" s="757" t="str">
        <f>_xlfn.IFNA(VLOOKUP($A:$A,'indicator lists'!$A:$F,5,FALSE),"")</f>
        <v/>
      </c>
      <c r="G10" s="230"/>
      <c r="H10" s="765" t="str">
        <f>_xlfn.IFNA(VLOOKUP(G:G,'indicator lists'!F:G,2,FALSE),"")</f>
        <v/>
      </c>
      <c r="I10" s="841"/>
      <c r="J10" s="759"/>
      <c r="K10" s="835">
        <f>Table112[[#This Row],[Targeted FEMALE unique beneficiaries per activity]]+Table112[[#This Row],[Targeted MALE unique beneficiaries per activity]]</f>
        <v>0</v>
      </c>
      <c r="L10" s="841"/>
      <c r="M10" s="759"/>
      <c r="N10" s="835">
        <f>Table112[[#This Row],[Targeted unique FEMALE beneficiares per project]]+Table112[[#This Row],[Targeted unique MALE beneficiares per project]]</f>
        <v>0</v>
      </c>
      <c r="O10" s="758"/>
    </row>
    <row r="11" spans="1:15" s="760" customFormat="1" x14ac:dyDescent="0.35">
      <c r="A11" s="1044">
        <f>Table112[[#This Row],[2024 code]]</f>
        <v>0</v>
      </c>
      <c r="B11" s="757" t="str">
        <f>_xlfn.IFNA(VLOOKUP($A:$A,'indicator lists'!$A:$F,2,FALSE),"")</f>
        <v/>
      </c>
      <c r="C11" s="757" t="str">
        <f>_xlfn.IFNA(VLOOKUP($A:$A,'indicator lists'!$A:$F,3,FALSE),"")</f>
        <v/>
      </c>
      <c r="D11" s="757" t="str">
        <f>_xlfn.IFNA(VLOOKUP($A:$A,'indicator lists'!$A:$F,4,FALSE),"")</f>
        <v/>
      </c>
      <c r="E11" s="757" t="str">
        <f>_xlfn.IFNA(VLOOKUP($A:$A,'indicator lists'!$A:$F,4,FALSE),"")</f>
        <v/>
      </c>
      <c r="F11" s="757" t="str">
        <f>_xlfn.IFNA(VLOOKUP($A:$A,'indicator lists'!$A:$F,5,FALSE),"")</f>
        <v/>
      </c>
      <c r="G11" s="230"/>
      <c r="H11" s="765" t="str">
        <f>_xlfn.IFNA(VLOOKUP(G:G,'indicator lists'!F:G,2,FALSE),"")</f>
        <v/>
      </c>
      <c r="I11" s="843"/>
      <c r="J11" s="763"/>
      <c r="K11" s="835">
        <f>Table112[[#This Row],[Targeted FEMALE unique beneficiaries per activity]]+Table112[[#This Row],[Targeted MALE unique beneficiaries per activity]]</f>
        <v>0</v>
      </c>
      <c r="L11" s="841"/>
      <c r="M11" s="759"/>
      <c r="N11" s="835">
        <f>Table112[[#This Row],[Targeted unique FEMALE beneficiares per project]]+Table112[[#This Row],[Targeted unique MALE beneficiares per project]]</f>
        <v>0</v>
      </c>
      <c r="O11" s="758"/>
    </row>
    <row r="12" spans="1:15" s="764" customFormat="1" ht="18.5" x14ac:dyDescent="0.35">
      <c r="A12" s="1043">
        <f>Table112[[#This Row],[2024 code]]</f>
        <v>0</v>
      </c>
      <c r="B12" s="757" t="str">
        <f>_xlfn.IFNA(VLOOKUP($A:$A,'indicator lists'!$A:$F,2,FALSE),"")</f>
        <v/>
      </c>
      <c r="C12" s="757" t="str">
        <f>_xlfn.IFNA(VLOOKUP($A:$A,'indicator lists'!$A:$F,3,FALSE),"")</f>
        <v/>
      </c>
      <c r="D12" s="757" t="str">
        <f>_xlfn.IFNA(VLOOKUP($A:$A,'indicator lists'!$A:$F,4,FALSE),"")</f>
        <v/>
      </c>
      <c r="E12" s="757" t="str">
        <f>_xlfn.IFNA(VLOOKUP($A:$A,'indicator lists'!$A:$F,4,FALSE),"")</f>
        <v/>
      </c>
      <c r="F12" s="757" t="str">
        <f>_xlfn.IFNA(VLOOKUP($A:$A,'indicator lists'!$A:$F,5,FALSE),"")</f>
        <v/>
      </c>
      <c r="G12" s="243"/>
      <c r="H12" s="765" t="str">
        <f>_xlfn.IFNA(VLOOKUP(G:G,'indicator lists'!F:G,2,FALSE),"")</f>
        <v/>
      </c>
      <c r="I12" s="842"/>
      <c r="J12" s="761"/>
      <c r="K12" s="835">
        <f>Table112[[#This Row],[Targeted FEMALE unique beneficiaries per activity]]+Table112[[#This Row],[Targeted MALE unique beneficiaries per activity]]</f>
        <v>0</v>
      </c>
      <c r="L12" s="842"/>
      <c r="M12" s="761"/>
      <c r="N12" s="835">
        <f>Table112[[#This Row],[Targeted unique FEMALE beneficiares per project]]+Table112[[#This Row],[Targeted unique MALE beneficiares per project]]</f>
        <v>0</v>
      </c>
      <c r="O12" s="762"/>
    </row>
    <row r="13" spans="1:15" s="760" customFormat="1" x14ac:dyDescent="0.35">
      <c r="A13" s="1044">
        <f>Table112[[#This Row],[2024 code]]</f>
        <v>0</v>
      </c>
      <c r="B13" s="757" t="str">
        <f>_xlfn.IFNA(VLOOKUP($A:$A,'indicator lists'!$A:$F,2,FALSE),"")</f>
        <v/>
      </c>
      <c r="C13" s="757" t="str">
        <f>_xlfn.IFNA(VLOOKUP($A:$A,'indicator lists'!$A:$F,3,FALSE),"")</f>
        <v/>
      </c>
      <c r="D13" s="757" t="str">
        <f>_xlfn.IFNA(VLOOKUP($A:$A,'indicator lists'!$A:$F,4,FALSE),"")</f>
        <v/>
      </c>
      <c r="E13" s="757" t="str">
        <f>_xlfn.IFNA(VLOOKUP($A:$A,'indicator lists'!$A:$F,4,FALSE),"")</f>
        <v/>
      </c>
      <c r="F13" s="757" t="str">
        <f>_xlfn.IFNA(VLOOKUP($A:$A,'indicator lists'!$A:$F,5,FALSE),"")</f>
        <v/>
      </c>
      <c r="G13" s="230"/>
      <c r="H13" s="765" t="str">
        <f>_xlfn.IFNA(VLOOKUP(G:G,'indicator lists'!F:G,2,FALSE),"")</f>
        <v/>
      </c>
      <c r="I13" s="843"/>
      <c r="J13" s="763"/>
      <c r="K13" s="835">
        <f>Table112[[#This Row],[Targeted FEMALE unique beneficiaries per activity]]+Table112[[#This Row],[Targeted MALE unique beneficiaries per activity]]</f>
        <v>0</v>
      </c>
      <c r="L13" s="843"/>
      <c r="M13" s="763"/>
      <c r="N13" s="835">
        <f>Table112[[#This Row],[Targeted unique FEMALE beneficiares per project]]+Table112[[#This Row],[Targeted unique MALE beneficiares per project]]</f>
        <v>0</v>
      </c>
      <c r="O13" s="757"/>
    </row>
    <row r="14" spans="1:15" s="760" customFormat="1" x14ac:dyDescent="0.35">
      <c r="A14" s="1043">
        <f>Table112[[#This Row],[2024 code]]</f>
        <v>0</v>
      </c>
      <c r="B14" s="757" t="str">
        <f>_xlfn.IFNA(VLOOKUP($A:$A,'indicator lists'!$A:$F,2,FALSE),"")</f>
        <v/>
      </c>
      <c r="C14" s="757" t="str">
        <f>_xlfn.IFNA(VLOOKUP($A:$A,'indicator lists'!$A:$F,3,FALSE),"")</f>
        <v/>
      </c>
      <c r="D14" s="757" t="str">
        <f>_xlfn.IFNA(VLOOKUP($A:$A,'indicator lists'!$A:$F,4,FALSE),"")</f>
        <v/>
      </c>
      <c r="E14" s="757" t="str">
        <f>_xlfn.IFNA(VLOOKUP($A:$A,'indicator lists'!$A:$F,4,FALSE),"")</f>
        <v/>
      </c>
      <c r="F14" s="757" t="str">
        <f>_xlfn.IFNA(VLOOKUP($A:$A,'indicator lists'!$A:$F,5,FALSE),"")</f>
        <v/>
      </c>
      <c r="G14" s="230"/>
      <c r="H14" s="765" t="str">
        <f>_xlfn.IFNA(VLOOKUP(G:G,'indicator lists'!F:G,2,FALSE),"")</f>
        <v/>
      </c>
      <c r="I14" s="843"/>
      <c r="J14" s="763"/>
      <c r="K14" s="835">
        <f>Table112[[#This Row],[Targeted FEMALE unique beneficiaries per activity]]+Table112[[#This Row],[Targeted MALE unique beneficiaries per activity]]</f>
        <v>0</v>
      </c>
      <c r="L14" s="843"/>
      <c r="M14" s="763"/>
      <c r="N14" s="835">
        <f>Table112[[#This Row],[Targeted unique FEMALE beneficiares per project]]+Table112[[#This Row],[Targeted unique MALE beneficiares per project]]</f>
        <v>0</v>
      </c>
      <c r="O14" s="758"/>
    </row>
    <row r="15" spans="1:15" s="760" customFormat="1" x14ac:dyDescent="0.35">
      <c r="A15" s="1044">
        <f>Table112[[#This Row],[2024 code]]</f>
        <v>0</v>
      </c>
      <c r="B15" s="757" t="str">
        <f>_xlfn.IFNA(VLOOKUP($A:$A,'indicator lists'!$A:$F,2,FALSE),"")</f>
        <v/>
      </c>
      <c r="C15" s="757" t="str">
        <f>_xlfn.IFNA(VLOOKUP($A:$A,'indicator lists'!$A:$F,3,FALSE),"")</f>
        <v/>
      </c>
      <c r="D15" s="757" t="str">
        <f>_xlfn.IFNA(VLOOKUP($A:$A,'indicator lists'!$A:$F,4,FALSE),"")</f>
        <v/>
      </c>
      <c r="E15" s="757" t="str">
        <f>_xlfn.IFNA(VLOOKUP($A:$A,'indicator lists'!$A:$F,4,FALSE),"")</f>
        <v/>
      </c>
      <c r="F15" s="757" t="str">
        <f>_xlfn.IFNA(VLOOKUP($A:$A,'indicator lists'!$A:$F,5,FALSE),"")</f>
        <v/>
      </c>
      <c r="G15" s="230"/>
      <c r="H15" s="765" t="str">
        <f>_xlfn.IFNA(VLOOKUP(G:G,'indicator lists'!F:G,2,FALSE),"")</f>
        <v/>
      </c>
      <c r="I15" s="843"/>
      <c r="J15" s="763"/>
      <c r="K15" s="835">
        <f>Table112[[#This Row],[Targeted FEMALE unique beneficiaries per activity]]+Table112[[#This Row],[Targeted MALE unique beneficiaries per activity]]</f>
        <v>0</v>
      </c>
      <c r="L15" s="843"/>
      <c r="M15" s="763"/>
      <c r="N15" s="835">
        <f>Table112[[#This Row],[Targeted unique FEMALE beneficiares per project]]+Table112[[#This Row],[Targeted unique MALE beneficiares per project]]</f>
        <v>0</v>
      </c>
      <c r="O15" s="758"/>
    </row>
    <row r="16" spans="1:15" s="760" customFormat="1" ht="19" thickBot="1" x14ac:dyDescent="0.4">
      <c r="A16" s="1043">
        <f>Table112[[#This Row],[2024 code]]</f>
        <v>0</v>
      </c>
      <c r="B16" s="757" t="str">
        <f>_xlfn.IFNA(VLOOKUP($A:$A,'indicator lists'!$A:$F,2,FALSE),"")</f>
        <v/>
      </c>
      <c r="C16" s="757" t="str">
        <f>_xlfn.IFNA(VLOOKUP($A:$A,'indicator lists'!$A:$F,3,FALSE),"")</f>
        <v/>
      </c>
      <c r="D16" s="757" t="str">
        <f>_xlfn.IFNA(VLOOKUP($A:$A,'indicator lists'!$A:$F,4,FALSE),"")</f>
        <v/>
      </c>
      <c r="E16" s="757" t="str">
        <f>_xlfn.IFNA(VLOOKUP($A:$A,'indicator lists'!$A:$F,4,FALSE),"")</f>
        <v/>
      </c>
      <c r="F16" s="757" t="str">
        <f>_xlfn.IFNA(VLOOKUP($A:$A,'indicator lists'!$A:$F,5,FALSE),"")</f>
        <v/>
      </c>
      <c r="G16" s="243"/>
      <c r="H16" s="765" t="str">
        <f>_xlfn.IFNA(VLOOKUP(G:G,'indicator lists'!F:G,2,FALSE),"")</f>
        <v/>
      </c>
      <c r="I16" s="844"/>
      <c r="J16" s="845"/>
      <c r="K16" s="846">
        <f>Table112[[#This Row],[Targeted FEMALE unique beneficiaries per activity]]+Table112[[#This Row],[Targeted MALE unique beneficiaries per activity]]</f>
        <v>0</v>
      </c>
      <c r="L16" s="844"/>
      <c r="M16" s="845"/>
      <c r="N16" s="846">
        <f>Table112[[#This Row],[Targeted unique FEMALE beneficiares per project]]+Table112[[#This Row],[Targeted unique MALE beneficiares per project]]</f>
        <v>0</v>
      </c>
      <c r="O16" s="757"/>
    </row>
    <row r="17" spans="1:15" s="760" customFormat="1" ht="19" thickBot="1" x14ac:dyDescent="0.4">
      <c r="A17" s="1044">
        <f>Table112[[#This Row],[2024 code]]</f>
        <v>0</v>
      </c>
      <c r="B17" s="757" t="str">
        <f>_xlfn.IFNA(VLOOKUP($A:$A,'indicator lists'!$A:$F,2,FALSE),"")</f>
        <v/>
      </c>
      <c r="C17" s="757" t="str">
        <f>_xlfn.IFNA(VLOOKUP($A:$A,'indicator lists'!$A:$F,3,FALSE),"")</f>
        <v/>
      </c>
      <c r="D17" s="757" t="str">
        <f>_xlfn.IFNA(VLOOKUP($A:$A,'indicator lists'!$A:$F,4,FALSE),"")</f>
        <v/>
      </c>
      <c r="E17" s="757" t="str">
        <f>_xlfn.IFNA(VLOOKUP($A:$A,'indicator lists'!$A:$F,4,FALSE),"")</f>
        <v/>
      </c>
      <c r="F17" s="757" t="str">
        <f>_xlfn.IFNA(VLOOKUP($A:$A,'indicator lists'!$A:$F,5,FALSE),"")</f>
        <v/>
      </c>
      <c r="G17" s="1063"/>
      <c r="H17" s="838"/>
      <c r="I17" s="849"/>
      <c r="J17" s="850"/>
      <c r="K17" s="851" t="s">
        <v>2166</v>
      </c>
      <c r="L17" s="847">
        <f>SUBTOTAL(109,L4:L16)</f>
        <v>0</v>
      </c>
      <c r="M17" s="848">
        <f>SUBTOTAL(109,M4:M16)</f>
        <v>0</v>
      </c>
      <c r="N17" s="836"/>
      <c r="O17" s="758"/>
    </row>
    <row r="18" spans="1:15" s="760" customFormat="1" ht="19" thickBot="1" x14ac:dyDescent="0.4">
      <c r="A18" s="1043">
        <f>Table112[[#This Row],[2024 code]]</f>
        <v>0</v>
      </c>
      <c r="B18" s="757" t="str">
        <f>_xlfn.IFNA(VLOOKUP($A:$A,'indicator lists'!$A:$F,2,FALSE),"")</f>
        <v/>
      </c>
      <c r="C18" s="757" t="str">
        <f>_xlfn.IFNA(VLOOKUP($A:$A,'indicator lists'!$A:$F,3,FALSE),"")</f>
        <v/>
      </c>
      <c r="D18" s="757" t="str">
        <f>_xlfn.IFNA(VLOOKUP($A:$A,'indicator lists'!$A:$F,4,FALSE),"")</f>
        <v/>
      </c>
      <c r="E18" s="757" t="str">
        <f>_xlfn.IFNA(VLOOKUP($A:$A,'indicator lists'!$A:$F,4,FALSE),"")</f>
        <v/>
      </c>
      <c r="F18" s="757" t="str">
        <f>_xlfn.IFNA(VLOOKUP($A:$A,'indicator lists'!$A:$F,5,FALSE),"")</f>
        <v/>
      </c>
      <c r="G18" s="1063"/>
      <c r="H18" s="838"/>
      <c r="I18" s="849"/>
      <c r="J18" s="850"/>
      <c r="K18" s="851" t="s">
        <v>148</v>
      </c>
      <c r="L18" s="847"/>
      <c r="M18" s="848"/>
      <c r="N18" s="836">
        <f>SUBTOTAL(109,N4:N16)</f>
        <v>0</v>
      </c>
      <c r="O18" s="758"/>
    </row>
    <row r="19" spans="1:15" x14ac:dyDescent="0.35">
      <c r="I19" s="244"/>
      <c r="J19" s="244"/>
      <c r="K19" s="244"/>
      <c r="L19" s="244"/>
      <c r="M19" s="244"/>
      <c r="N19" s="244"/>
    </row>
  </sheetData>
  <sheetProtection selectLockedCells="1" selectUnlockedCells="1"/>
  <pageMargins left="0.7" right="0.7" top="0.75" bottom="0.75" header="0.3" footer="0.3"/>
  <pageSetup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8AACB-C199-4108-A3C0-1094026CD14B}">
  <dimension ref="A1:FH79"/>
  <sheetViews>
    <sheetView tabSelected="1" topLeftCell="A2" zoomScale="80" zoomScaleNormal="80" workbookViewId="0">
      <selection activeCell="D11" sqref="D11"/>
    </sheetView>
  </sheetViews>
  <sheetFormatPr defaultRowHeight="14.5" x14ac:dyDescent="0.35"/>
  <cols>
    <col min="1" max="1" width="14.1796875" style="463" customWidth="1"/>
    <col min="2" max="2" width="17.1796875" style="463" customWidth="1"/>
    <col min="3" max="3" width="45" style="1119" customWidth="1"/>
    <col min="4" max="4" width="17.08984375" style="1121" customWidth="1"/>
    <col min="5" max="5" width="8.453125" style="1132" customWidth="1"/>
    <col min="6" max="164" width="3.08984375" style="1132" customWidth="1"/>
    <col min="165" max="16384" width="8.7265625" style="1132"/>
  </cols>
  <sheetData>
    <row r="1" spans="1:164" s="1105" customFormat="1" hidden="1" x14ac:dyDescent="0.35">
      <c r="A1" s="1102"/>
      <c r="B1" s="1102"/>
      <c r="C1" s="1103"/>
      <c r="D1" s="1104"/>
    </row>
    <row r="2" spans="1:164" s="1105" customFormat="1" ht="15" thickBot="1" x14ac:dyDescent="0.4">
      <c r="A2" s="1102"/>
      <c r="B2" s="1102"/>
      <c r="C2" s="1103"/>
      <c r="D2" s="1104"/>
      <c r="F2" s="1174">
        <f>F4</f>
        <v>45292</v>
      </c>
      <c r="G2" s="1172"/>
      <c r="H2" s="1172"/>
      <c r="I2" s="1172"/>
      <c r="J2" s="1172"/>
      <c r="K2" s="1172">
        <f>L4</f>
        <v>45334</v>
      </c>
      <c r="L2" s="1172"/>
      <c r="M2" s="1172"/>
      <c r="N2" s="1172"/>
      <c r="O2" s="1172">
        <f>P4</f>
        <v>45362</v>
      </c>
      <c r="P2" s="1172"/>
      <c r="Q2" s="1172"/>
      <c r="R2" s="1172"/>
      <c r="S2" s="1172">
        <f>S4</f>
        <v>45383</v>
      </c>
      <c r="T2" s="1172"/>
      <c r="U2" s="1172"/>
      <c r="V2" s="1172"/>
      <c r="W2" s="1172"/>
      <c r="X2" s="1172">
        <f>Y4</f>
        <v>45425</v>
      </c>
      <c r="Y2" s="1172"/>
      <c r="Z2" s="1172"/>
      <c r="AA2" s="1172"/>
      <c r="AB2" s="1172">
        <f>AC4</f>
        <v>45453</v>
      </c>
      <c r="AC2" s="1172"/>
      <c r="AD2" s="1172"/>
      <c r="AE2" s="1172"/>
      <c r="AF2" s="1172">
        <f>AF4</f>
        <v>45474</v>
      </c>
      <c r="AG2" s="1172"/>
      <c r="AH2" s="1172"/>
      <c r="AI2" s="1172"/>
      <c r="AJ2" s="1172"/>
      <c r="AK2" s="1172">
        <f>AL4</f>
        <v>45516</v>
      </c>
      <c r="AL2" s="1172"/>
      <c r="AM2" s="1172"/>
      <c r="AN2" s="1172"/>
      <c r="AO2" s="1172">
        <f>AP4</f>
        <v>45544</v>
      </c>
      <c r="AP2" s="1172"/>
      <c r="AQ2" s="1172"/>
      <c r="AR2" s="1172"/>
      <c r="AS2" s="1172">
        <f>AS4</f>
        <v>45565</v>
      </c>
      <c r="AT2" s="1172"/>
      <c r="AU2" s="1172"/>
      <c r="AV2" s="1172"/>
      <c r="AW2" s="1172"/>
      <c r="AX2" s="1172">
        <f>AY4</f>
        <v>45607</v>
      </c>
      <c r="AY2" s="1172"/>
      <c r="AZ2" s="1172"/>
      <c r="BA2" s="1172"/>
      <c r="BB2" s="1172">
        <f>BB4</f>
        <v>45628</v>
      </c>
      <c r="BC2" s="1172"/>
      <c r="BD2" s="1172"/>
      <c r="BE2" s="1172"/>
      <c r="BF2" s="1173"/>
      <c r="BG2" s="1171">
        <f>BG4</f>
        <v>45657</v>
      </c>
      <c r="BH2" s="1169"/>
      <c r="BI2" s="1169"/>
      <c r="BJ2" s="1169"/>
      <c r="BK2" s="1169"/>
      <c r="BL2" s="1169">
        <f>BM4</f>
        <v>45699</v>
      </c>
      <c r="BM2" s="1169"/>
      <c r="BN2" s="1169"/>
      <c r="BO2" s="1169"/>
      <c r="BP2" s="1169">
        <f>BQ4</f>
        <v>45727</v>
      </c>
      <c r="BQ2" s="1169"/>
      <c r="BR2" s="1169"/>
      <c r="BS2" s="1169"/>
      <c r="BT2" s="1169">
        <f>BT4</f>
        <v>45748</v>
      </c>
      <c r="BU2" s="1169"/>
      <c r="BV2" s="1169"/>
      <c r="BW2" s="1169"/>
      <c r="BX2" s="1169"/>
      <c r="BY2" s="1169">
        <f>BZ4</f>
        <v>45790</v>
      </c>
      <c r="BZ2" s="1169"/>
      <c r="CA2" s="1169"/>
      <c r="CB2" s="1169"/>
      <c r="CC2" s="1169">
        <f>CD4</f>
        <v>45818</v>
      </c>
      <c r="CD2" s="1169"/>
      <c r="CE2" s="1169"/>
      <c r="CF2" s="1169"/>
      <c r="CG2" s="1169">
        <f>CG4</f>
        <v>45839</v>
      </c>
      <c r="CH2" s="1169"/>
      <c r="CI2" s="1169"/>
      <c r="CJ2" s="1169"/>
      <c r="CK2" s="1169"/>
      <c r="CL2" s="1169">
        <f>CM4</f>
        <v>45881</v>
      </c>
      <c r="CM2" s="1169"/>
      <c r="CN2" s="1169"/>
      <c r="CO2" s="1169"/>
      <c r="CP2" s="1169">
        <f>CQ4</f>
        <v>45909</v>
      </c>
      <c r="CQ2" s="1169"/>
      <c r="CR2" s="1169"/>
      <c r="CS2" s="1169"/>
      <c r="CT2" s="1169">
        <f>CT4</f>
        <v>45930</v>
      </c>
      <c r="CU2" s="1169"/>
      <c r="CV2" s="1169"/>
      <c r="CW2" s="1169"/>
      <c r="CX2" s="1169"/>
      <c r="CY2" s="1169">
        <f>CZ4</f>
        <v>45972</v>
      </c>
      <c r="CZ2" s="1169"/>
      <c r="DA2" s="1169"/>
      <c r="DB2" s="1169"/>
      <c r="DC2" s="1169">
        <f>DC4</f>
        <v>45993</v>
      </c>
      <c r="DD2" s="1169"/>
      <c r="DE2" s="1169"/>
      <c r="DF2" s="1169"/>
      <c r="DG2" s="1170"/>
      <c r="DH2" s="1168">
        <f>DH4</f>
        <v>46022</v>
      </c>
      <c r="DI2" s="1165"/>
      <c r="DJ2" s="1165"/>
      <c r="DK2" s="1165"/>
      <c r="DL2" s="1165"/>
      <c r="DM2" s="1165">
        <f>DN4</f>
        <v>46064</v>
      </c>
      <c r="DN2" s="1165"/>
      <c r="DO2" s="1165"/>
      <c r="DP2" s="1165"/>
      <c r="DQ2" s="1165">
        <f>DR4</f>
        <v>46092</v>
      </c>
      <c r="DR2" s="1165"/>
      <c r="DS2" s="1165"/>
      <c r="DT2" s="1165"/>
      <c r="DU2" s="1165">
        <f>DU4</f>
        <v>46113</v>
      </c>
      <c r="DV2" s="1165"/>
      <c r="DW2" s="1165"/>
      <c r="DX2" s="1165"/>
      <c r="DY2" s="1165"/>
      <c r="DZ2" s="1165">
        <f>EA4</f>
        <v>46155</v>
      </c>
      <c r="EA2" s="1165"/>
      <c r="EB2" s="1165"/>
      <c r="EC2" s="1165"/>
      <c r="ED2" s="1165">
        <f>EE4</f>
        <v>46183</v>
      </c>
      <c r="EE2" s="1165"/>
      <c r="EF2" s="1165"/>
      <c r="EG2" s="1165"/>
      <c r="EH2" s="1165">
        <f>EH4</f>
        <v>46204</v>
      </c>
      <c r="EI2" s="1165"/>
      <c r="EJ2" s="1165"/>
      <c r="EK2" s="1165"/>
      <c r="EL2" s="1165"/>
      <c r="EM2" s="1165">
        <f>EN4</f>
        <v>46246</v>
      </c>
      <c r="EN2" s="1165"/>
      <c r="EO2" s="1165"/>
      <c r="EP2" s="1165"/>
      <c r="EQ2" s="1165">
        <f>ER4</f>
        <v>46274</v>
      </c>
      <c r="ER2" s="1165"/>
      <c r="ES2" s="1165"/>
      <c r="ET2" s="1165"/>
      <c r="EU2" s="1165">
        <f>EU4</f>
        <v>46295</v>
      </c>
      <c r="EV2" s="1165"/>
      <c r="EW2" s="1165"/>
      <c r="EX2" s="1165"/>
      <c r="EY2" s="1165"/>
      <c r="EZ2" s="1165">
        <f>FA4</f>
        <v>46337</v>
      </c>
      <c r="FA2" s="1165"/>
      <c r="FB2" s="1165"/>
      <c r="FC2" s="1165"/>
      <c r="FD2" s="1165">
        <f>FD4</f>
        <v>46358</v>
      </c>
      <c r="FE2" s="1165"/>
      <c r="FF2" s="1165"/>
      <c r="FG2" s="1165"/>
      <c r="FH2" s="1166"/>
    </row>
    <row r="3" spans="1:164" s="1105" customFormat="1" ht="15" customHeight="1" thickBot="1" x14ac:dyDescent="0.4">
      <c r="A3" s="1102"/>
      <c r="B3" s="1102"/>
      <c r="C3" s="1101" t="s">
        <v>2221</v>
      </c>
      <c r="D3" s="1106">
        <v>45292</v>
      </c>
      <c r="F3" s="1167">
        <f>G4</f>
        <v>45299</v>
      </c>
      <c r="G3" s="1163"/>
      <c r="H3" s="1163"/>
      <c r="I3" s="1163"/>
      <c r="J3" s="1163"/>
      <c r="K3" s="1163">
        <f>L4</f>
        <v>45334</v>
      </c>
      <c r="L3" s="1163"/>
      <c r="M3" s="1163"/>
      <c r="N3" s="1163"/>
      <c r="O3" s="1163">
        <f>P4</f>
        <v>45362</v>
      </c>
      <c r="P3" s="1163"/>
      <c r="Q3" s="1163"/>
      <c r="R3" s="1163"/>
      <c r="S3" s="1163">
        <f>T4</f>
        <v>45390</v>
      </c>
      <c r="T3" s="1163"/>
      <c r="U3" s="1163"/>
      <c r="V3" s="1163"/>
      <c r="W3" s="1163"/>
      <c r="X3" s="1163">
        <f>Y4</f>
        <v>45425</v>
      </c>
      <c r="Y3" s="1163"/>
      <c r="Z3" s="1163"/>
      <c r="AA3" s="1163"/>
      <c r="AB3" s="1163">
        <f>AC4</f>
        <v>45453</v>
      </c>
      <c r="AC3" s="1163"/>
      <c r="AD3" s="1163"/>
      <c r="AE3" s="1163"/>
      <c r="AF3" s="1163">
        <f>AG4</f>
        <v>45481</v>
      </c>
      <c r="AG3" s="1163"/>
      <c r="AH3" s="1163"/>
      <c r="AI3" s="1163"/>
      <c r="AJ3" s="1163"/>
      <c r="AK3" s="1163">
        <f>AL4</f>
        <v>45516</v>
      </c>
      <c r="AL3" s="1163"/>
      <c r="AM3" s="1163"/>
      <c r="AN3" s="1163"/>
      <c r="AO3" s="1163">
        <f>AP4</f>
        <v>45544</v>
      </c>
      <c r="AP3" s="1163"/>
      <c r="AQ3" s="1163"/>
      <c r="AR3" s="1163"/>
      <c r="AS3" s="1163">
        <f>AT4</f>
        <v>45572</v>
      </c>
      <c r="AT3" s="1163"/>
      <c r="AU3" s="1163"/>
      <c r="AV3" s="1163"/>
      <c r="AW3" s="1163"/>
      <c r="AX3" s="1163">
        <f>AY4</f>
        <v>45607</v>
      </c>
      <c r="AY3" s="1163"/>
      <c r="AZ3" s="1163"/>
      <c r="BA3" s="1163"/>
      <c r="BB3" s="1163">
        <f>BC4</f>
        <v>45635</v>
      </c>
      <c r="BC3" s="1163"/>
      <c r="BD3" s="1163"/>
      <c r="BE3" s="1163"/>
      <c r="BF3" s="1164"/>
      <c r="BG3" s="1167">
        <f>BH4</f>
        <v>45664</v>
      </c>
      <c r="BH3" s="1163"/>
      <c r="BI3" s="1163"/>
      <c r="BJ3" s="1163"/>
      <c r="BK3" s="1163"/>
      <c r="BL3" s="1163">
        <f>BM4</f>
        <v>45699</v>
      </c>
      <c r="BM3" s="1163"/>
      <c r="BN3" s="1163"/>
      <c r="BO3" s="1163"/>
      <c r="BP3" s="1163">
        <f>BQ4</f>
        <v>45727</v>
      </c>
      <c r="BQ3" s="1163"/>
      <c r="BR3" s="1163"/>
      <c r="BS3" s="1163"/>
      <c r="BT3" s="1163">
        <f>BU4</f>
        <v>45755</v>
      </c>
      <c r="BU3" s="1163"/>
      <c r="BV3" s="1163"/>
      <c r="BW3" s="1163"/>
      <c r="BX3" s="1163"/>
      <c r="BY3" s="1163">
        <f>BZ4</f>
        <v>45790</v>
      </c>
      <c r="BZ3" s="1163"/>
      <c r="CA3" s="1163"/>
      <c r="CB3" s="1163"/>
      <c r="CC3" s="1163">
        <f>CD4</f>
        <v>45818</v>
      </c>
      <c r="CD3" s="1163"/>
      <c r="CE3" s="1163"/>
      <c r="CF3" s="1163"/>
      <c r="CG3" s="1163">
        <f>CH4</f>
        <v>45846</v>
      </c>
      <c r="CH3" s="1163"/>
      <c r="CI3" s="1163"/>
      <c r="CJ3" s="1163"/>
      <c r="CK3" s="1163"/>
      <c r="CL3" s="1163">
        <f>CM4</f>
        <v>45881</v>
      </c>
      <c r="CM3" s="1163"/>
      <c r="CN3" s="1163"/>
      <c r="CO3" s="1163"/>
      <c r="CP3" s="1163">
        <f>CQ4</f>
        <v>45909</v>
      </c>
      <c r="CQ3" s="1163"/>
      <c r="CR3" s="1163"/>
      <c r="CS3" s="1163"/>
      <c r="CT3" s="1163">
        <f>CU4</f>
        <v>45937</v>
      </c>
      <c r="CU3" s="1163"/>
      <c r="CV3" s="1163"/>
      <c r="CW3" s="1163"/>
      <c r="CX3" s="1163"/>
      <c r="CY3" s="1163">
        <f>CZ4</f>
        <v>45972</v>
      </c>
      <c r="CZ3" s="1163"/>
      <c r="DA3" s="1163"/>
      <c r="DB3" s="1163"/>
      <c r="DC3" s="1163">
        <f>DD4</f>
        <v>46000</v>
      </c>
      <c r="DD3" s="1163"/>
      <c r="DE3" s="1163"/>
      <c r="DF3" s="1163"/>
      <c r="DG3" s="1164"/>
      <c r="DH3" s="1167">
        <f>DI4</f>
        <v>46029</v>
      </c>
      <c r="DI3" s="1163"/>
      <c r="DJ3" s="1163"/>
      <c r="DK3" s="1163"/>
      <c r="DL3" s="1163"/>
      <c r="DM3" s="1163">
        <f>DN4</f>
        <v>46064</v>
      </c>
      <c r="DN3" s="1163"/>
      <c r="DO3" s="1163"/>
      <c r="DP3" s="1163"/>
      <c r="DQ3" s="1163">
        <f>DR4</f>
        <v>46092</v>
      </c>
      <c r="DR3" s="1163"/>
      <c r="DS3" s="1163"/>
      <c r="DT3" s="1163"/>
      <c r="DU3" s="1163">
        <f>DV4</f>
        <v>46120</v>
      </c>
      <c r="DV3" s="1163"/>
      <c r="DW3" s="1163"/>
      <c r="DX3" s="1163"/>
      <c r="DY3" s="1163"/>
      <c r="DZ3" s="1163">
        <f>EA4</f>
        <v>46155</v>
      </c>
      <c r="EA3" s="1163"/>
      <c r="EB3" s="1163"/>
      <c r="EC3" s="1163"/>
      <c r="ED3" s="1163">
        <f>EE4</f>
        <v>46183</v>
      </c>
      <c r="EE3" s="1163"/>
      <c r="EF3" s="1163"/>
      <c r="EG3" s="1163"/>
      <c r="EH3" s="1163">
        <f>EI4</f>
        <v>46211</v>
      </c>
      <c r="EI3" s="1163"/>
      <c r="EJ3" s="1163"/>
      <c r="EK3" s="1163"/>
      <c r="EL3" s="1163"/>
      <c r="EM3" s="1163">
        <f>EN4</f>
        <v>46246</v>
      </c>
      <c r="EN3" s="1163"/>
      <c r="EO3" s="1163"/>
      <c r="EP3" s="1163"/>
      <c r="EQ3" s="1163">
        <f>ER4</f>
        <v>46274</v>
      </c>
      <c r="ER3" s="1163"/>
      <c r="ES3" s="1163"/>
      <c r="ET3" s="1163"/>
      <c r="EU3" s="1163">
        <f>EV4</f>
        <v>46302</v>
      </c>
      <c r="EV3" s="1163"/>
      <c r="EW3" s="1163"/>
      <c r="EX3" s="1163"/>
      <c r="EY3" s="1163"/>
      <c r="EZ3" s="1163">
        <f>FA4</f>
        <v>46337</v>
      </c>
      <c r="FA3" s="1163"/>
      <c r="FB3" s="1163"/>
      <c r="FC3" s="1163"/>
      <c r="FD3" s="1163">
        <f>FE4</f>
        <v>46365</v>
      </c>
      <c r="FE3" s="1163"/>
      <c r="FF3" s="1163"/>
      <c r="FG3" s="1163"/>
      <c r="FH3" s="1164"/>
    </row>
    <row r="4" spans="1:164" s="1112" customFormat="1" ht="41" customHeight="1" thickBot="1" x14ac:dyDescent="0.4">
      <c r="A4" s="1102"/>
      <c r="B4" s="1102"/>
      <c r="C4" s="1107"/>
      <c r="D4" s="1108"/>
      <c r="E4" s="1109"/>
      <c r="F4" s="1110">
        <f>D3</f>
        <v>45292</v>
      </c>
      <c r="G4" s="1111">
        <f>F4 + 7</f>
        <v>45299</v>
      </c>
      <c r="H4" s="1111">
        <f t="shared" ref="H4:BF4" si="0">G4 + 7</f>
        <v>45306</v>
      </c>
      <c r="I4" s="1111">
        <f t="shared" si="0"/>
        <v>45313</v>
      </c>
      <c r="J4" s="1111">
        <f t="shared" si="0"/>
        <v>45320</v>
      </c>
      <c r="K4" s="1111">
        <f t="shared" si="0"/>
        <v>45327</v>
      </c>
      <c r="L4" s="1111">
        <f t="shared" si="0"/>
        <v>45334</v>
      </c>
      <c r="M4" s="1111">
        <f t="shared" si="0"/>
        <v>45341</v>
      </c>
      <c r="N4" s="1111">
        <f t="shared" si="0"/>
        <v>45348</v>
      </c>
      <c r="O4" s="1111">
        <f t="shared" si="0"/>
        <v>45355</v>
      </c>
      <c r="P4" s="1111">
        <f t="shared" si="0"/>
        <v>45362</v>
      </c>
      <c r="Q4" s="1111">
        <f t="shared" si="0"/>
        <v>45369</v>
      </c>
      <c r="R4" s="1111">
        <f t="shared" si="0"/>
        <v>45376</v>
      </c>
      <c r="S4" s="1111">
        <f t="shared" si="0"/>
        <v>45383</v>
      </c>
      <c r="T4" s="1111">
        <f t="shared" si="0"/>
        <v>45390</v>
      </c>
      <c r="U4" s="1111">
        <f t="shared" si="0"/>
        <v>45397</v>
      </c>
      <c r="V4" s="1111">
        <f t="shared" si="0"/>
        <v>45404</v>
      </c>
      <c r="W4" s="1111">
        <f t="shared" si="0"/>
        <v>45411</v>
      </c>
      <c r="X4" s="1111">
        <f t="shared" si="0"/>
        <v>45418</v>
      </c>
      <c r="Y4" s="1111">
        <f t="shared" si="0"/>
        <v>45425</v>
      </c>
      <c r="Z4" s="1111">
        <f t="shared" si="0"/>
        <v>45432</v>
      </c>
      <c r="AA4" s="1111">
        <f t="shared" si="0"/>
        <v>45439</v>
      </c>
      <c r="AB4" s="1111">
        <f t="shared" si="0"/>
        <v>45446</v>
      </c>
      <c r="AC4" s="1111">
        <f t="shared" si="0"/>
        <v>45453</v>
      </c>
      <c r="AD4" s="1111">
        <f t="shared" si="0"/>
        <v>45460</v>
      </c>
      <c r="AE4" s="1111">
        <f t="shared" si="0"/>
        <v>45467</v>
      </c>
      <c r="AF4" s="1111">
        <f t="shared" si="0"/>
        <v>45474</v>
      </c>
      <c r="AG4" s="1111">
        <f t="shared" si="0"/>
        <v>45481</v>
      </c>
      <c r="AH4" s="1111">
        <f t="shared" si="0"/>
        <v>45488</v>
      </c>
      <c r="AI4" s="1111">
        <f t="shared" si="0"/>
        <v>45495</v>
      </c>
      <c r="AJ4" s="1111">
        <f t="shared" si="0"/>
        <v>45502</v>
      </c>
      <c r="AK4" s="1111">
        <f t="shared" si="0"/>
        <v>45509</v>
      </c>
      <c r="AL4" s="1111">
        <f t="shared" si="0"/>
        <v>45516</v>
      </c>
      <c r="AM4" s="1111">
        <f t="shared" si="0"/>
        <v>45523</v>
      </c>
      <c r="AN4" s="1111">
        <f t="shared" si="0"/>
        <v>45530</v>
      </c>
      <c r="AO4" s="1111">
        <f t="shared" si="0"/>
        <v>45537</v>
      </c>
      <c r="AP4" s="1111">
        <f t="shared" si="0"/>
        <v>45544</v>
      </c>
      <c r="AQ4" s="1111">
        <f t="shared" si="0"/>
        <v>45551</v>
      </c>
      <c r="AR4" s="1111">
        <f t="shared" si="0"/>
        <v>45558</v>
      </c>
      <c r="AS4" s="1111">
        <f t="shared" si="0"/>
        <v>45565</v>
      </c>
      <c r="AT4" s="1111">
        <f t="shared" si="0"/>
        <v>45572</v>
      </c>
      <c r="AU4" s="1111">
        <f t="shared" si="0"/>
        <v>45579</v>
      </c>
      <c r="AV4" s="1111">
        <f t="shared" si="0"/>
        <v>45586</v>
      </c>
      <c r="AW4" s="1111">
        <f t="shared" si="0"/>
        <v>45593</v>
      </c>
      <c r="AX4" s="1111">
        <f t="shared" si="0"/>
        <v>45600</v>
      </c>
      <c r="AY4" s="1111">
        <f t="shared" si="0"/>
        <v>45607</v>
      </c>
      <c r="AZ4" s="1111">
        <f t="shared" si="0"/>
        <v>45614</v>
      </c>
      <c r="BA4" s="1111">
        <f t="shared" si="0"/>
        <v>45621</v>
      </c>
      <c r="BB4" s="1111">
        <f t="shared" si="0"/>
        <v>45628</v>
      </c>
      <c r="BC4" s="1111">
        <f t="shared" si="0"/>
        <v>45635</v>
      </c>
      <c r="BD4" s="1111">
        <f t="shared" si="0"/>
        <v>45642</v>
      </c>
      <c r="BE4" s="1111">
        <f t="shared" si="0"/>
        <v>45649</v>
      </c>
      <c r="BF4" s="1111">
        <f t="shared" si="0"/>
        <v>45656</v>
      </c>
      <c r="BG4" s="1110">
        <f>D3+365</f>
        <v>45657</v>
      </c>
      <c r="BH4" s="1111">
        <f>BG4 + 7</f>
        <v>45664</v>
      </c>
      <c r="BI4" s="1111">
        <f t="shared" ref="BI4" si="1">BH4 + 7</f>
        <v>45671</v>
      </c>
      <c r="BJ4" s="1111">
        <f t="shared" ref="BJ4" si="2">BI4 + 7</f>
        <v>45678</v>
      </c>
      <c r="BK4" s="1111">
        <f t="shared" ref="BK4" si="3">BJ4 + 7</f>
        <v>45685</v>
      </c>
      <c r="BL4" s="1111">
        <f t="shared" ref="BL4" si="4">BK4 + 7</f>
        <v>45692</v>
      </c>
      <c r="BM4" s="1111">
        <f t="shared" ref="BM4" si="5">BL4 + 7</f>
        <v>45699</v>
      </c>
      <c r="BN4" s="1111">
        <f t="shared" ref="BN4" si="6">BM4 + 7</f>
        <v>45706</v>
      </c>
      <c r="BO4" s="1111">
        <f t="shared" ref="BO4" si="7">BN4 + 7</f>
        <v>45713</v>
      </c>
      <c r="BP4" s="1111">
        <f t="shared" ref="BP4" si="8">BO4 + 7</f>
        <v>45720</v>
      </c>
      <c r="BQ4" s="1111">
        <f t="shared" ref="BQ4" si="9">BP4 + 7</f>
        <v>45727</v>
      </c>
      <c r="BR4" s="1111">
        <f t="shared" ref="BR4" si="10">BQ4 + 7</f>
        <v>45734</v>
      </c>
      <c r="BS4" s="1111">
        <f t="shared" ref="BS4" si="11">BR4 + 7</f>
        <v>45741</v>
      </c>
      <c r="BT4" s="1111">
        <f t="shared" ref="BT4" si="12">BS4 + 7</f>
        <v>45748</v>
      </c>
      <c r="BU4" s="1111">
        <f t="shared" ref="BU4" si="13">BT4 + 7</f>
        <v>45755</v>
      </c>
      <c r="BV4" s="1111">
        <f t="shared" ref="BV4" si="14">BU4 + 7</f>
        <v>45762</v>
      </c>
      <c r="BW4" s="1111">
        <f t="shared" ref="BW4" si="15">BV4 + 7</f>
        <v>45769</v>
      </c>
      <c r="BX4" s="1111">
        <f t="shared" ref="BX4" si="16">BW4 + 7</f>
        <v>45776</v>
      </c>
      <c r="BY4" s="1111">
        <f t="shared" ref="BY4" si="17">BX4 + 7</f>
        <v>45783</v>
      </c>
      <c r="BZ4" s="1111">
        <f t="shared" ref="BZ4" si="18">BY4 + 7</f>
        <v>45790</v>
      </c>
      <c r="CA4" s="1111">
        <f t="shared" ref="CA4" si="19">BZ4 + 7</f>
        <v>45797</v>
      </c>
      <c r="CB4" s="1111">
        <f t="shared" ref="CB4" si="20">CA4 + 7</f>
        <v>45804</v>
      </c>
      <c r="CC4" s="1111">
        <f t="shared" ref="CC4" si="21">CB4 + 7</f>
        <v>45811</v>
      </c>
      <c r="CD4" s="1111">
        <f t="shared" ref="CD4" si="22">CC4 + 7</f>
        <v>45818</v>
      </c>
      <c r="CE4" s="1111">
        <f t="shared" ref="CE4" si="23">CD4 + 7</f>
        <v>45825</v>
      </c>
      <c r="CF4" s="1111">
        <f t="shared" ref="CF4" si="24">CE4 + 7</f>
        <v>45832</v>
      </c>
      <c r="CG4" s="1111">
        <f t="shared" ref="CG4" si="25">CF4 + 7</f>
        <v>45839</v>
      </c>
      <c r="CH4" s="1111">
        <f t="shared" ref="CH4" si="26">CG4 + 7</f>
        <v>45846</v>
      </c>
      <c r="CI4" s="1111">
        <f t="shared" ref="CI4" si="27">CH4 + 7</f>
        <v>45853</v>
      </c>
      <c r="CJ4" s="1111">
        <f t="shared" ref="CJ4" si="28">CI4 + 7</f>
        <v>45860</v>
      </c>
      <c r="CK4" s="1111">
        <f t="shared" ref="CK4" si="29">CJ4 + 7</f>
        <v>45867</v>
      </c>
      <c r="CL4" s="1111">
        <f t="shared" ref="CL4" si="30">CK4 + 7</f>
        <v>45874</v>
      </c>
      <c r="CM4" s="1111">
        <f t="shared" ref="CM4" si="31">CL4 + 7</f>
        <v>45881</v>
      </c>
      <c r="CN4" s="1111">
        <f t="shared" ref="CN4" si="32">CM4 + 7</f>
        <v>45888</v>
      </c>
      <c r="CO4" s="1111">
        <f t="shared" ref="CO4" si="33">CN4 + 7</f>
        <v>45895</v>
      </c>
      <c r="CP4" s="1111">
        <f t="shared" ref="CP4" si="34">CO4 + 7</f>
        <v>45902</v>
      </c>
      <c r="CQ4" s="1111">
        <f t="shared" ref="CQ4" si="35">CP4 + 7</f>
        <v>45909</v>
      </c>
      <c r="CR4" s="1111">
        <f t="shared" ref="CR4" si="36">CQ4 + 7</f>
        <v>45916</v>
      </c>
      <c r="CS4" s="1111">
        <f t="shared" ref="CS4" si="37">CR4 + 7</f>
        <v>45923</v>
      </c>
      <c r="CT4" s="1111">
        <f t="shared" ref="CT4" si="38">CS4 + 7</f>
        <v>45930</v>
      </c>
      <c r="CU4" s="1111">
        <f t="shared" ref="CU4" si="39">CT4 + 7</f>
        <v>45937</v>
      </c>
      <c r="CV4" s="1111">
        <f t="shared" ref="CV4" si="40">CU4 + 7</f>
        <v>45944</v>
      </c>
      <c r="CW4" s="1111">
        <f t="shared" ref="CW4" si="41">CV4 + 7</f>
        <v>45951</v>
      </c>
      <c r="CX4" s="1111">
        <f t="shared" ref="CX4" si="42">CW4 + 7</f>
        <v>45958</v>
      </c>
      <c r="CY4" s="1111">
        <f t="shared" ref="CY4" si="43">CX4 + 7</f>
        <v>45965</v>
      </c>
      <c r="CZ4" s="1111">
        <f t="shared" ref="CZ4" si="44">CY4 + 7</f>
        <v>45972</v>
      </c>
      <c r="DA4" s="1111">
        <f t="shared" ref="DA4" si="45">CZ4 + 7</f>
        <v>45979</v>
      </c>
      <c r="DB4" s="1111">
        <f t="shared" ref="DB4" si="46">DA4 + 7</f>
        <v>45986</v>
      </c>
      <c r="DC4" s="1111">
        <f t="shared" ref="DC4" si="47">DB4 + 7</f>
        <v>45993</v>
      </c>
      <c r="DD4" s="1111">
        <f t="shared" ref="DD4" si="48">DC4 + 7</f>
        <v>46000</v>
      </c>
      <c r="DE4" s="1111">
        <f t="shared" ref="DE4" si="49">DD4 + 7</f>
        <v>46007</v>
      </c>
      <c r="DF4" s="1111">
        <f t="shared" ref="DF4" si="50">DE4 + 7</f>
        <v>46014</v>
      </c>
      <c r="DG4" s="1111">
        <f t="shared" ref="DG4" si="51">DF4 + 7</f>
        <v>46021</v>
      </c>
      <c r="DH4" s="1110">
        <f>D3+730</f>
        <v>46022</v>
      </c>
      <c r="DI4" s="1111">
        <f>DH4 + 7</f>
        <v>46029</v>
      </c>
      <c r="DJ4" s="1111">
        <f t="shared" ref="DJ4" si="52">DI4 + 7</f>
        <v>46036</v>
      </c>
      <c r="DK4" s="1111">
        <f t="shared" ref="DK4" si="53">DJ4 + 7</f>
        <v>46043</v>
      </c>
      <c r="DL4" s="1111">
        <f t="shared" ref="DL4" si="54">DK4 + 7</f>
        <v>46050</v>
      </c>
      <c r="DM4" s="1111">
        <f t="shared" ref="DM4" si="55">DL4 + 7</f>
        <v>46057</v>
      </c>
      <c r="DN4" s="1111">
        <f t="shared" ref="DN4" si="56">DM4 + 7</f>
        <v>46064</v>
      </c>
      <c r="DO4" s="1111">
        <f t="shared" ref="DO4" si="57">DN4 + 7</f>
        <v>46071</v>
      </c>
      <c r="DP4" s="1111">
        <f t="shared" ref="DP4" si="58">DO4 + 7</f>
        <v>46078</v>
      </c>
      <c r="DQ4" s="1111">
        <f t="shared" ref="DQ4" si="59">DP4 + 7</f>
        <v>46085</v>
      </c>
      <c r="DR4" s="1111">
        <f t="shared" ref="DR4" si="60">DQ4 + 7</f>
        <v>46092</v>
      </c>
      <c r="DS4" s="1111">
        <f t="shared" ref="DS4" si="61">DR4 + 7</f>
        <v>46099</v>
      </c>
      <c r="DT4" s="1111">
        <f t="shared" ref="DT4" si="62">DS4 + 7</f>
        <v>46106</v>
      </c>
      <c r="DU4" s="1111">
        <f t="shared" ref="DU4" si="63">DT4 + 7</f>
        <v>46113</v>
      </c>
      <c r="DV4" s="1111">
        <f t="shared" ref="DV4" si="64">DU4 + 7</f>
        <v>46120</v>
      </c>
      <c r="DW4" s="1111">
        <f t="shared" ref="DW4" si="65">DV4 + 7</f>
        <v>46127</v>
      </c>
      <c r="DX4" s="1111">
        <f t="shared" ref="DX4" si="66">DW4 + 7</f>
        <v>46134</v>
      </c>
      <c r="DY4" s="1111">
        <f t="shared" ref="DY4" si="67">DX4 + 7</f>
        <v>46141</v>
      </c>
      <c r="DZ4" s="1111">
        <f t="shared" ref="DZ4" si="68">DY4 + 7</f>
        <v>46148</v>
      </c>
      <c r="EA4" s="1111">
        <f t="shared" ref="EA4" si="69">DZ4 + 7</f>
        <v>46155</v>
      </c>
      <c r="EB4" s="1111">
        <f t="shared" ref="EB4" si="70">EA4 + 7</f>
        <v>46162</v>
      </c>
      <c r="EC4" s="1111">
        <f t="shared" ref="EC4" si="71">EB4 + 7</f>
        <v>46169</v>
      </c>
      <c r="ED4" s="1111">
        <f t="shared" ref="ED4" si="72">EC4 + 7</f>
        <v>46176</v>
      </c>
      <c r="EE4" s="1111">
        <f t="shared" ref="EE4" si="73">ED4 + 7</f>
        <v>46183</v>
      </c>
      <c r="EF4" s="1111">
        <f t="shared" ref="EF4" si="74">EE4 + 7</f>
        <v>46190</v>
      </c>
      <c r="EG4" s="1111">
        <f t="shared" ref="EG4" si="75">EF4 + 7</f>
        <v>46197</v>
      </c>
      <c r="EH4" s="1111">
        <f t="shared" ref="EH4" si="76">EG4 + 7</f>
        <v>46204</v>
      </c>
      <c r="EI4" s="1111">
        <f t="shared" ref="EI4" si="77">EH4 + 7</f>
        <v>46211</v>
      </c>
      <c r="EJ4" s="1111">
        <f t="shared" ref="EJ4" si="78">EI4 + 7</f>
        <v>46218</v>
      </c>
      <c r="EK4" s="1111">
        <f t="shared" ref="EK4" si="79">EJ4 + 7</f>
        <v>46225</v>
      </c>
      <c r="EL4" s="1111">
        <f t="shared" ref="EL4" si="80">EK4 + 7</f>
        <v>46232</v>
      </c>
      <c r="EM4" s="1111">
        <f t="shared" ref="EM4" si="81">EL4 + 7</f>
        <v>46239</v>
      </c>
      <c r="EN4" s="1111">
        <f t="shared" ref="EN4" si="82">EM4 + 7</f>
        <v>46246</v>
      </c>
      <c r="EO4" s="1111">
        <f t="shared" ref="EO4" si="83">EN4 + 7</f>
        <v>46253</v>
      </c>
      <c r="EP4" s="1111">
        <f t="shared" ref="EP4" si="84">EO4 + 7</f>
        <v>46260</v>
      </c>
      <c r="EQ4" s="1111">
        <f t="shared" ref="EQ4" si="85">EP4 + 7</f>
        <v>46267</v>
      </c>
      <c r="ER4" s="1111">
        <f t="shared" ref="ER4" si="86">EQ4 + 7</f>
        <v>46274</v>
      </c>
      <c r="ES4" s="1111">
        <f t="shared" ref="ES4" si="87">ER4 + 7</f>
        <v>46281</v>
      </c>
      <c r="ET4" s="1111">
        <f t="shared" ref="ET4" si="88">ES4 + 7</f>
        <v>46288</v>
      </c>
      <c r="EU4" s="1111">
        <f t="shared" ref="EU4" si="89">ET4 + 7</f>
        <v>46295</v>
      </c>
      <c r="EV4" s="1111">
        <f t="shared" ref="EV4" si="90">EU4 + 7</f>
        <v>46302</v>
      </c>
      <c r="EW4" s="1111">
        <f t="shared" ref="EW4" si="91">EV4 + 7</f>
        <v>46309</v>
      </c>
      <c r="EX4" s="1111">
        <f t="shared" ref="EX4" si="92">EW4 + 7</f>
        <v>46316</v>
      </c>
      <c r="EY4" s="1111">
        <f t="shared" ref="EY4" si="93">EX4 + 7</f>
        <v>46323</v>
      </c>
      <c r="EZ4" s="1111">
        <f t="shared" ref="EZ4" si="94">EY4 + 7</f>
        <v>46330</v>
      </c>
      <c r="FA4" s="1111">
        <f t="shared" ref="FA4" si="95">EZ4 + 7</f>
        <v>46337</v>
      </c>
      <c r="FB4" s="1111">
        <f t="shared" ref="FB4" si="96">FA4 + 7</f>
        <v>46344</v>
      </c>
      <c r="FC4" s="1111">
        <f t="shared" ref="FC4" si="97">FB4 + 7</f>
        <v>46351</v>
      </c>
      <c r="FD4" s="1111">
        <f t="shared" ref="FD4" si="98">FC4 + 7</f>
        <v>46358</v>
      </c>
      <c r="FE4" s="1111">
        <f t="shared" ref="FE4" si="99">FD4 + 7</f>
        <v>46365</v>
      </c>
      <c r="FF4" s="1111">
        <f t="shared" ref="FF4" si="100">FE4 + 7</f>
        <v>46372</v>
      </c>
      <c r="FG4" s="1111">
        <f t="shared" ref="FG4" si="101">FF4 + 7</f>
        <v>46379</v>
      </c>
      <c r="FH4" s="1111">
        <f t="shared" ref="FH4" si="102">FG4 + 7</f>
        <v>46386</v>
      </c>
    </row>
    <row r="5" spans="1:164" s="1105" customFormat="1" ht="15.5" thickTop="1" thickBot="1" x14ac:dyDescent="0.4">
      <c r="A5" s="1117" t="s">
        <v>2220</v>
      </c>
      <c r="B5" s="1117" t="s">
        <v>2222</v>
      </c>
      <c r="C5" s="1117" t="s">
        <v>2219</v>
      </c>
      <c r="D5" s="1117" t="s">
        <v>171</v>
      </c>
      <c r="E5" s="1117" t="s">
        <v>2223</v>
      </c>
      <c r="F5" s="1113"/>
      <c r="G5" s="1113"/>
      <c r="H5" s="1113"/>
      <c r="I5" s="1113"/>
      <c r="J5" s="1113"/>
      <c r="K5" s="1113"/>
      <c r="L5" s="1113"/>
      <c r="M5" s="1113"/>
      <c r="N5" s="1113"/>
      <c r="O5" s="1113"/>
      <c r="P5" s="1113"/>
      <c r="Q5" s="1113"/>
      <c r="R5" s="1113"/>
      <c r="S5" s="1113"/>
      <c r="T5" s="1113"/>
      <c r="U5" s="1113"/>
      <c r="V5" s="1113"/>
      <c r="W5" s="1113"/>
      <c r="X5" s="1113"/>
      <c r="Y5" s="1113"/>
      <c r="Z5" s="1113"/>
      <c r="AA5" s="1113"/>
      <c r="AB5" s="1113"/>
      <c r="AC5" s="1113"/>
      <c r="AD5" s="1113"/>
      <c r="AE5" s="1113"/>
      <c r="AF5" s="1113"/>
      <c r="AG5" s="1113"/>
      <c r="AH5" s="1113"/>
      <c r="AI5" s="1113"/>
      <c r="AJ5" s="1113"/>
      <c r="AK5" s="1113"/>
      <c r="AL5" s="1113"/>
      <c r="AM5" s="1113"/>
      <c r="AN5" s="1113"/>
      <c r="AO5" s="1113"/>
      <c r="AP5" s="1113"/>
      <c r="AQ5" s="1113"/>
      <c r="AR5" s="1113"/>
      <c r="AS5" s="1113"/>
      <c r="AT5" s="1113"/>
      <c r="AU5" s="1113"/>
      <c r="AV5" s="1113"/>
      <c r="AW5" s="1113"/>
      <c r="AX5" s="1113"/>
      <c r="AY5" s="1113"/>
      <c r="AZ5" s="1113"/>
      <c r="BA5" s="1113"/>
      <c r="BB5" s="1113"/>
      <c r="BC5" s="1113"/>
      <c r="BD5" s="1113"/>
      <c r="BE5" s="1113"/>
      <c r="BF5" s="1113"/>
      <c r="BG5" s="1113"/>
      <c r="BH5" s="1113"/>
      <c r="BI5" s="1113"/>
      <c r="BJ5" s="1113"/>
      <c r="BK5" s="1113"/>
      <c r="BL5" s="1113"/>
      <c r="BM5" s="1113"/>
      <c r="BN5" s="1113"/>
      <c r="BO5" s="1113"/>
      <c r="BP5" s="1113"/>
      <c r="BQ5" s="1113"/>
      <c r="BR5" s="1113"/>
      <c r="BS5" s="1113"/>
      <c r="BT5" s="1113"/>
      <c r="BU5" s="1113"/>
      <c r="BV5" s="1113"/>
      <c r="BW5" s="1113"/>
      <c r="BX5" s="1113"/>
      <c r="BY5" s="1113"/>
      <c r="BZ5" s="1113"/>
      <c r="CA5" s="1113"/>
      <c r="CB5" s="1113"/>
      <c r="CC5" s="1113"/>
      <c r="CD5" s="1113"/>
      <c r="CE5" s="1113"/>
      <c r="CF5" s="1113"/>
      <c r="CG5" s="1113"/>
      <c r="CH5" s="1113"/>
      <c r="CI5" s="1113"/>
      <c r="CJ5" s="1113"/>
      <c r="CK5" s="1113"/>
      <c r="CL5" s="1113"/>
      <c r="CM5" s="1113"/>
      <c r="CN5" s="1113"/>
      <c r="CO5" s="1113"/>
      <c r="CP5" s="1113"/>
      <c r="CQ5" s="1113"/>
      <c r="CR5" s="1113"/>
      <c r="CS5" s="1113"/>
      <c r="CT5" s="1113"/>
      <c r="CU5" s="1113"/>
      <c r="CV5" s="1113"/>
      <c r="CW5" s="1113"/>
      <c r="CX5" s="1113"/>
      <c r="CY5" s="1113"/>
      <c r="CZ5" s="1113"/>
      <c r="DA5" s="1113"/>
      <c r="DB5" s="1113"/>
      <c r="DC5" s="1113"/>
      <c r="DD5" s="1113"/>
      <c r="DE5" s="1113"/>
      <c r="DF5" s="1113"/>
      <c r="DG5" s="1113"/>
      <c r="DH5" s="1113"/>
      <c r="DI5" s="1113"/>
      <c r="DJ5" s="1113"/>
      <c r="DK5" s="1113"/>
      <c r="DL5" s="1113"/>
      <c r="DM5" s="1113"/>
      <c r="DN5" s="1113"/>
      <c r="DO5" s="1113"/>
      <c r="DP5" s="1113"/>
      <c r="DQ5" s="1113"/>
      <c r="DR5" s="1113"/>
      <c r="DS5" s="1113"/>
      <c r="DT5" s="1113"/>
      <c r="DU5" s="1113"/>
      <c r="DV5" s="1113"/>
      <c r="DW5" s="1113"/>
      <c r="DX5" s="1113"/>
      <c r="DY5" s="1113"/>
      <c r="DZ5" s="1113"/>
      <c r="EA5" s="1113"/>
      <c r="EB5" s="1113"/>
      <c r="EC5" s="1113"/>
      <c r="ED5" s="1113"/>
      <c r="EE5" s="1113"/>
      <c r="EF5" s="1113"/>
      <c r="EG5" s="1113"/>
      <c r="EH5" s="1113"/>
      <c r="EI5" s="1113"/>
      <c r="EJ5" s="1113"/>
      <c r="EK5" s="1113"/>
      <c r="EL5" s="1113"/>
      <c r="EM5" s="1113"/>
      <c r="EN5" s="1113"/>
      <c r="EO5" s="1113"/>
      <c r="EP5" s="1113"/>
      <c r="EQ5" s="1113"/>
      <c r="ER5" s="1113"/>
      <c r="ES5" s="1113"/>
      <c r="ET5" s="1113"/>
      <c r="EU5" s="1113"/>
      <c r="EV5" s="1113"/>
      <c r="EW5" s="1113"/>
      <c r="EX5" s="1113"/>
      <c r="EY5" s="1113"/>
      <c r="EZ5" s="1113"/>
      <c r="FA5" s="1113"/>
      <c r="FB5" s="1113"/>
      <c r="FC5" s="1113"/>
      <c r="FD5" s="1113"/>
      <c r="FE5" s="1113"/>
      <c r="FF5" s="1113"/>
      <c r="FG5" s="1113"/>
      <c r="FH5" s="1113"/>
    </row>
    <row r="6" spans="1:164" s="1105" customFormat="1" ht="18" customHeight="1" thickBot="1" x14ac:dyDescent="0.4">
      <c r="A6" s="1122"/>
      <c r="B6" s="1116" t="s">
        <v>2224</v>
      </c>
      <c r="C6" s="1123"/>
      <c r="D6" s="1124"/>
      <c r="E6" s="1120"/>
      <c r="F6" s="1114"/>
      <c r="G6" s="1115"/>
      <c r="H6" s="1115"/>
      <c r="I6" s="1115"/>
      <c r="J6" s="1115"/>
      <c r="K6" s="1115"/>
      <c r="L6" s="1115"/>
      <c r="M6" s="1115"/>
      <c r="N6" s="1115"/>
      <c r="O6" s="1115"/>
      <c r="P6" s="1115"/>
      <c r="Q6" s="1115"/>
      <c r="R6" s="1115"/>
      <c r="S6" s="1115"/>
      <c r="T6" s="1115"/>
      <c r="U6" s="1115"/>
      <c r="V6" s="1115"/>
      <c r="W6" s="1115"/>
      <c r="X6" s="1115"/>
      <c r="Y6" s="1115"/>
      <c r="Z6" s="1115"/>
      <c r="AA6" s="1115"/>
      <c r="AB6" s="1115"/>
      <c r="AC6" s="1115"/>
      <c r="AD6" s="1115"/>
      <c r="AE6" s="1115"/>
      <c r="AF6" s="1115"/>
      <c r="AG6" s="1115"/>
      <c r="AH6" s="1115"/>
      <c r="AI6" s="1115"/>
      <c r="AJ6" s="1115"/>
      <c r="AK6" s="1115"/>
      <c r="AL6" s="1115"/>
      <c r="AM6" s="1115"/>
      <c r="AN6" s="1115"/>
      <c r="AO6" s="1115"/>
      <c r="AP6" s="1115"/>
      <c r="AQ6" s="1115"/>
      <c r="AR6" s="1115"/>
      <c r="AS6" s="1115"/>
      <c r="AT6" s="1115"/>
      <c r="AU6" s="1115"/>
      <c r="AV6" s="1115"/>
      <c r="AW6" s="1115"/>
      <c r="AX6" s="1115"/>
      <c r="AY6" s="1115"/>
      <c r="AZ6" s="1115"/>
      <c r="BA6" s="1115"/>
      <c r="BB6" s="1115"/>
      <c r="BC6" s="1115"/>
      <c r="BD6" s="1115"/>
      <c r="BE6" s="1115"/>
      <c r="BF6" s="1118"/>
      <c r="BG6" s="1114"/>
      <c r="BH6" s="1115"/>
      <c r="BI6" s="1115"/>
      <c r="BJ6" s="1115"/>
      <c r="BK6" s="1115"/>
      <c r="BL6" s="1115"/>
      <c r="BM6" s="1115"/>
      <c r="BN6" s="1115"/>
      <c r="BO6" s="1115"/>
      <c r="BP6" s="1115"/>
      <c r="BQ6" s="1115"/>
      <c r="BR6" s="1115"/>
      <c r="BS6" s="1115"/>
      <c r="BT6" s="1115"/>
      <c r="BU6" s="1115"/>
      <c r="BV6" s="1115"/>
      <c r="BW6" s="1115"/>
      <c r="BX6" s="1115"/>
      <c r="BY6" s="1115"/>
      <c r="BZ6" s="1115"/>
      <c r="CA6" s="1115"/>
      <c r="CB6" s="1115"/>
      <c r="CC6" s="1115"/>
      <c r="CD6" s="1115"/>
      <c r="CE6" s="1115"/>
      <c r="CF6" s="1115"/>
      <c r="CG6" s="1115"/>
      <c r="CH6" s="1115"/>
      <c r="CI6" s="1115"/>
      <c r="CJ6" s="1115"/>
      <c r="CK6" s="1115"/>
      <c r="CL6" s="1115"/>
      <c r="CM6" s="1115"/>
      <c r="CN6" s="1115"/>
      <c r="CO6" s="1115"/>
      <c r="CP6" s="1115"/>
      <c r="CQ6" s="1115"/>
      <c r="CR6" s="1115"/>
      <c r="CS6" s="1115"/>
      <c r="CT6" s="1115"/>
      <c r="CU6" s="1115"/>
      <c r="CV6" s="1115"/>
      <c r="CW6" s="1115"/>
      <c r="CX6" s="1115"/>
      <c r="CY6" s="1115"/>
      <c r="CZ6" s="1115"/>
      <c r="DA6" s="1115"/>
      <c r="DB6" s="1115"/>
      <c r="DC6" s="1115"/>
      <c r="DD6" s="1115"/>
      <c r="DE6" s="1115"/>
      <c r="DF6" s="1115"/>
      <c r="DG6" s="1118"/>
      <c r="DH6" s="1114"/>
      <c r="DI6" s="1115"/>
      <c r="DJ6" s="1115"/>
      <c r="DK6" s="1115"/>
      <c r="DL6" s="1115"/>
      <c r="DM6" s="1115"/>
      <c r="DN6" s="1115"/>
      <c r="DO6" s="1115"/>
      <c r="DP6" s="1115"/>
      <c r="DQ6" s="1115"/>
      <c r="DR6" s="1115"/>
      <c r="DS6" s="1115"/>
      <c r="DT6" s="1115"/>
      <c r="DU6" s="1115"/>
      <c r="DV6" s="1115"/>
      <c r="DW6" s="1115"/>
      <c r="DX6" s="1115"/>
      <c r="DY6" s="1115"/>
      <c r="DZ6" s="1115"/>
      <c r="EA6" s="1115"/>
      <c r="EB6" s="1115"/>
      <c r="EC6" s="1115"/>
      <c r="ED6" s="1115"/>
      <c r="EE6" s="1115"/>
      <c r="EF6" s="1115"/>
      <c r="EG6" s="1115"/>
      <c r="EH6" s="1115"/>
      <c r="EI6" s="1115"/>
      <c r="EJ6" s="1115"/>
      <c r="EK6" s="1115"/>
      <c r="EL6" s="1115"/>
      <c r="EM6" s="1115"/>
      <c r="EN6" s="1115"/>
      <c r="EO6" s="1115"/>
      <c r="EP6" s="1115"/>
      <c r="EQ6" s="1115"/>
      <c r="ER6" s="1115"/>
      <c r="ES6" s="1115"/>
      <c r="ET6" s="1115"/>
      <c r="EU6" s="1115"/>
      <c r="EV6" s="1115"/>
      <c r="EW6" s="1115"/>
      <c r="EX6" s="1115"/>
      <c r="EY6" s="1115"/>
      <c r="EZ6" s="1115"/>
      <c r="FA6" s="1115"/>
      <c r="FB6" s="1115"/>
      <c r="FC6" s="1115"/>
      <c r="FD6" s="1115"/>
      <c r="FE6" s="1115"/>
      <c r="FF6" s="1115"/>
      <c r="FG6" s="1115"/>
      <c r="FH6" s="1118"/>
    </row>
    <row r="7" spans="1:164" s="1105" customFormat="1" ht="18" customHeight="1" thickBot="1" x14ac:dyDescent="0.4">
      <c r="A7" s="1122"/>
      <c r="B7" s="1125" t="s">
        <v>2225</v>
      </c>
      <c r="C7" s="1126"/>
      <c r="D7" s="1124"/>
      <c r="E7" s="1120"/>
      <c r="F7" s="1114"/>
      <c r="G7" s="1115"/>
      <c r="H7" s="1115"/>
      <c r="I7" s="1115"/>
      <c r="J7" s="1115"/>
      <c r="K7" s="1115"/>
      <c r="L7" s="1115"/>
      <c r="M7" s="1115"/>
      <c r="N7" s="1115"/>
      <c r="O7" s="1115"/>
      <c r="P7" s="1115"/>
      <c r="Q7" s="1115"/>
      <c r="R7" s="1115"/>
      <c r="S7" s="1115"/>
      <c r="T7" s="1115"/>
      <c r="U7" s="1115"/>
      <c r="V7" s="1115"/>
      <c r="W7" s="1115"/>
      <c r="X7" s="1115"/>
      <c r="Y7" s="1115"/>
      <c r="Z7" s="1115"/>
      <c r="AA7" s="1115"/>
      <c r="AB7" s="1115"/>
      <c r="AC7" s="1115"/>
      <c r="AD7" s="1115"/>
      <c r="AE7" s="1115"/>
      <c r="AF7" s="1115"/>
      <c r="AG7" s="1115"/>
      <c r="AH7" s="1115"/>
      <c r="AI7" s="1115"/>
      <c r="AJ7" s="1115"/>
      <c r="AK7" s="1115"/>
      <c r="AL7" s="1115"/>
      <c r="AM7" s="1115"/>
      <c r="AN7" s="1115"/>
      <c r="AO7" s="1115"/>
      <c r="AP7" s="1115"/>
      <c r="AQ7" s="1115"/>
      <c r="AR7" s="1115"/>
      <c r="AS7" s="1115"/>
      <c r="AT7" s="1115"/>
      <c r="AU7" s="1115"/>
      <c r="AV7" s="1115"/>
      <c r="AW7" s="1115"/>
      <c r="AX7" s="1115"/>
      <c r="AY7" s="1115"/>
      <c r="AZ7" s="1115"/>
      <c r="BA7" s="1115"/>
      <c r="BB7" s="1115"/>
      <c r="BC7" s="1115"/>
      <c r="BD7" s="1115"/>
      <c r="BE7" s="1115"/>
      <c r="BF7" s="1118"/>
      <c r="BG7" s="1114"/>
      <c r="BH7" s="1115"/>
      <c r="BI7" s="1115"/>
      <c r="BJ7" s="1115"/>
      <c r="BK7" s="1115"/>
      <c r="BL7" s="1115"/>
      <c r="BM7" s="1115"/>
      <c r="BN7" s="1115"/>
      <c r="BO7" s="1115"/>
      <c r="BP7" s="1115"/>
      <c r="BQ7" s="1115"/>
      <c r="BR7" s="1115"/>
      <c r="BS7" s="1115"/>
      <c r="BT7" s="1115"/>
      <c r="BU7" s="1115"/>
      <c r="BV7" s="1115"/>
      <c r="BW7" s="1115"/>
      <c r="BX7" s="1115"/>
      <c r="BY7" s="1115"/>
      <c r="BZ7" s="1115"/>
      <c r="CA7" s="1115"/>
      <c r="CB7" s="1115"/>
      <c r="CC7" s="1115"/>
      <c r="CD7" s="1115"/>
      <c r="CE7" s="1115"/>
      <c r="CF7" s="1115"/>
      <c r="CG7" s="1115"/>
      <c r="CH7" s="1115"/>
      <c r="CI7" s="1115"/>
      <c r="CJ7" s="1115"/>
      <c r="CK7" s="1115"/>
      <c r="CL7" s="1115"/>
      <c r="CM7" s="1115"/>
      <c r="CN7" s="1115"/>
      <c r="CO7" s="1115"/>
      <c r="CP7" s="1115"/>
      <c r="CQ7" s="1115"/>
      <c r="CR7" s="1115"/>
      <c r="CS7" s="1115"/>
      <c r="CT7" s="1115"/>
      <c r="CU7" s="1115"/>
      <c r="CV7" s="1115"/>
      <c r="CW7" s="1115"/>
      <c r="CX7" s="1115"/>
      <c r="CY7" s="1115"/>
      <c r="CZ7" s="1115"/>
      <c r="DA7" s="1115"/>
      <c r="DB7" s="1115"/>
      <c r="DC7" s="1115"/>
      <c r="DD7" s="1115"/>
      <c r="DE7" s="1115"/>
      <c r="DF7" s="1115"/>
      <c r="DG7" s="1118"/>
      <c r="DH7" s="1114"/>
      <c r="DI7" s="1115"/>
      <c r="DJ7" s="1115"/>
      <c r="DK7" s="1115"/>
      <c r="DL7" s="1115"/>
      <c r="DM7" s="1115"/>
      <c r="DN7" s="1115"/>
      <c r="DO7" s="1115"/>
      <c r="DP7" s="1115"/>
      <c r="DQ7" s="1115"/>
      <c r="DR7" s="1115"/>
      <c r="DS7" s="1115"/>
      <c r="DT7" s="1115"/>
      <c r="DU7" s="1115"/>
      <c r="DV7" s="1115"/>
      <c r="DW7" s="1115"/>
      <c r="DX7" s="1115"/>
      <c r="DY7" s="1115"/>
      <c r="DZ7" s="1115"/>
      <c r="EA7" s="1115"/>
      <c r="EB7" s="1115"/>
      <c r="EC7" s="1115"/>
      <c r="ED7" s="1115"/>
      <c r="EE7" s="1115"/>
      <c r="EF7" s="1115"/>
      <c r="EG7" s="1115"/>
      <c r="EH7" s="1115"/>
      <c r="EI7" s="1115"/>
      <c r="EJ7" s="1115"/>
      <c r="EK7" s="1115"/>
      <c r="EL7" s="1115"/>
      <c r="EM7" s="1115"/>
      <c r="EN7" s="1115"/>
      <c r="EO7" s="1115"/>
      <c r="EP7" s="1115"/>
      <c r="EQ7" s="1115"/>
      <c r="ER7" s="1115"/>
      <c r="ES7" s="1115"/>
      <c r="ET7" s="1115"/>
      <c r="EU7" s="1115"/>
      <c r="EV7" s="1115"/>
      <c r="EW7" s="1115"/>
      <c r="EX7" s="1115"/>
      <c r="EY7" s="1115"/>
      <c r="EZ7" s="1115"/>
      <c r="FA7" s="1115"/>
      <c r="FB7" s="1115"/>
      <c r="FC7" s="1115"/>
      <c r="FD7" s="1115"/>
      <c r="FE7" s="1115"/>
      <c r="FF7" s="1115"/>
      <c r="FG7" s="1115"/>
      <c r="FH7" s="1118"/>
    </row>
    <row r="8" spans="1:164" s="1105" customFormat="1" ht="18" customHeight="1" thickBot="1" x14ac:dyDescent="0.4">
      <c r="A8" s="1122"/>
      <c r="B8" s="1125"/>
      <c r="C8" s="1127"/>
      <c r="D8" s="1124"/>
      <c r="E8" s="1120"/>
      <c r="F8" s="1114"/>
      <c r="G8" s="1115"/>
      <c r="H8" s="1115"/>
      <c r="I8" s="1115"/>
      <c r="J8" s="1115"/>
      <c r="K8" s="1115"/>
      <c r="L8" s="1115"/>
      <c r="M8" s="1115"/>
      <c r="N8" s="1115"/>
      <c r="O8" s="1115"/>
      <c r="P8" s="1115"/>
      <c r="Q8" s="1115"/>
      <c r="R8" s="1115"/>
      <c r="S8" s="1115"/>
      <c r="T8" s="1115"/>
      <c r="U8" s="1115"/>
      <c r="V8" s="1115"/>
      <c r="W8" s="1115"/>
      <c r="X8" s="1115"/>
      <c r="Y8" s="1115"/>
      <c r="Z8" s="1115"/>
      <c r="AA8" s="1115"/>
      <c r="AB8" s="1115"/>
      <c r="AC8" s="1115"/>
      <c r="AD8" s="1115"/>
      <c r="AE8" s="1115"/>
      <c r="AF8" s="1115"/>
      <c r="AG8" s="1115"/>
      <c r="AH8" s="1115"/>
      <c r="AI8" s="1115"/>
      <c r="AJ8" s="1115"/>
      <c r="AK8" s="1115"/>
      <c r="AL8" s="1115"/>
      <c r="AM8" s="1115"/>
      <c r="AN8" s="1115"/>
      <c r="AO8" s="1115"/>
      <c r="AP8" s="1115"/>
      <c r="AQ8" s="1115"/>
      <c r="AR8" s="1115"/>
      <c r="AS8" s="1115"/>
      <c r="AT8" s="1115"/>
      <c r="AU8" s="1115"/>
      <c r="AV8" s="1115"/>
      <c r="AW8" s="1115"/>
      <c r="AX8" s="1115"/>
      <c r="AY8" s="1115"/>
      <c r="AZ8" s="1115"/>
      <c r="BA8" s="1115"/>
      <c r="BB8" s="1115"/>
      <c r="BC8" s="1115"/>
      <c r="BD8" s="1115"/>
      <c r="BE8" s="1115"/>
      <c r="BF8" s="1118"/>
      <c r="BG8" s="1114"/>
      <c r="BH8" s="1115"/>
      <c r="BI8" s="1115"/>
      <c r="BJ8" s="1115"/>
      <c r="BK8" s="1115"/>
      <c r="BL8" s="1115"/>
      <c r="BM8" s="1115"/>
      <c r="BN8" s="1115"/>
      <c r="BO8" s="1115"/>
      <c r="BP8" s="1115"/>
      <c r="BQ8" s="1115"/>
      <c r="BR8" s="1115"/>
      <c r="BS8" s="1115"/>
      <c r="BT8" s="1115"/>
      <c r="BU8" s="1115"/>
      <c r="BV8" s="1115"/>
      <c r="BW8" s="1115"/>
      <c r="BX8" s="1115"/>
      <c r="BY8" s="1115"/>
      <c r="BZ8" s="1115"/>
      <c r="CA8" s="1115"/>
      <c r="CB8" s="1115"/>
      <c r="CC8" s="1115"/>
      <c r="CD8" s="1115"/>
      <c r="CE8" s="1115"/>
      <c r="CF8" s="1115"/>
      <c r="CG8" s="1115"/>
      <c r="CH8" s="1115"/>
      <c r="CI8" s="1115"/>
      <c r="CJ8" s="1115"/>
      <c r="CK8" s="1115"/>
      <c r="CL8" s="1115"/>
      <c r="CM8" s="1115"/>
      <c r="CN8" s="1115"/>
      <c r="CO8" s="1115"/>
      <c r="CP8" s="1115"/>
      <c r="CQ8" s="1115"/>
      <c r="CR8" s="1115"/>
      <c r="CS8" s="1115"/>
      <c r="CT8" s="1115"/>
      <c r="CU8" s="1115"/>
      <c r="CV8" s="1115"/>
      <c r="CW8" s="1115"/>
      <c r="CX8" s="1115"/>
      <c r="CY8" s="1115"/>
      <c r="CZ8" s="1115"/>
      <c r="DA8" s="1115"/>
      <c r="DB8" s="1115"/>
      <c r="DC8" s="1115"/>
      <c r="DD8" s="1115"/>
      <c r="DE8" s="1115"/>
      <c r="DF8" s="1115"/>
      <c r="DG8" s="1118"/>
      <c r="DH8" s="1114"/>
      <c r="DI8" s="1115"/>
      <c r="DJ8" s="1115"/>
      <c r="DK8" s="1115"/>
      <c r="DL8" s="1115"/>
      <c r="DM8" s="1115"/>
      <c r="DN8" s="1115"/>
      <c r="DO8" s="1115"/>
      <c r="DP8" s="1115"/>
      <c r="DQ8" s="1115"/>
      <c r="DR8" s="1115"/>
      <c r="DS8" s="1115"/>
      <c r="DT8" s="1115"/>
      <c r="DU8" s="1115"/>
      <c r="DV8" s="1115"/>
      <c r="DW8" s="1115"/>
      <c r="DX8" s="1115"/>
      <c r="DY8" s="1115"/>
      <c r="DZ8" s="1115"/>
      <c r="EA8" s="1115"/>
      <c r="EB8" s="1115"/>
      <c r="EC8" s="1115"/>
      <c r="ED8" s="1115"/>
      <c r="EE8" s="1115"/>
      <c r="EF8" s="1115"/>
      <c r="EG8" s="1115"/>
      <c r="EH8" s="1115"/>
      <c r="EI8" s="1115"/>
      <c r="EJ8" s="1115"/>
      <c r="EK8" s="1115"/>
      <c r="EL8" s="1115"/>
      <c r="EM8" s="1115"/>
      <c r="EN8" s="1115"/>
      <c r="EO8" s="1115"/>
      <c r="EP8" s="1115"/>
      <c r="EQ8" s="1115"/>
      <c r="ER8" s="1115"/>
      <c r="ES8" s="1115"/>
      <c r="ET8" s="1115"/>
      <c r="EU8" s="1115"/>
      <c r="EV8" s="1115"/>
      <c r="EW8" s="1115"/>
      <c r="EX8" s="1115"/>
      <c r="EY8" s="1115"/>
      <c r="EZ8" s="1115"/>
      <c r="FA8" s="1115"/>
      <c r="FB8" s="1115"/>
      <c r="FC8" s="1115"/>
      <c r="FD8" s="1115"/>
      <c r="FE8" s="1115"/>
      <c r="FF8" s="1115"/>
      <c r="FG8" s="1115"/>
      <c r="FH8" s="1118"/>
    </row>
    <row r="9" spans="1:164" s="1105" customFormat="1" ht="18" customHeight="1" thickBot="1" x14ac:dyDescent="0.4">
      <c r="A9" s="1122"/>
      <c r="B9" s="1125"/>
      <c r="C9" s="1127"/>
      <c r="D9" s="1124"/>
      <c r="E9" s="1120"/>
      <c r="F9" s="1114"/>
      <c r="G9" s="1115"/>
      <c r="H9" s="1115"/>
      <c r="I9" s="1115"/>
      <c r="J9" s="1115"/>
      <c r="K9" s="1115"/>
      <c r="L9" s="1115"/>
      <c r="M9" s="1115"/>
      <c r="N9" s="1115"/>
      <c r="O9" s="1115"/>
      <c r="P9" s="1115"/>
      <c r="Q9" s="1115"/>
      <c r="R9" s="1115"/>
      <c r="S9" s="1115"/>
      <c r="T9" s="1115"/>
      <c r="U9" s="1115"/>
      <c r="V9" s="1115"/>
      <c r="W9" s="1115"/>
      <c r="X9" s="1115"/>
      <c r="Y9" s="1115"/>
      <c r="Z9" s="1115"/>
      <c r="AA9" s="1115"/>
      <c r="AB9" s="1115"/>
      <c r="AC9" s="1115"/>
      <c r="AD9" s="1115"/>
      <c r="AE9" s="1115"/>
      <c r="AF9" s="1115"/>
      <c r="AG9" s="1115"/>
      <c r="AH9" s="1115"/>
      <c r="AI9" s="1115"/>
      <c r="AJ9" s="1115"/>
      <c r="AK9" s="1115"/>
      <c r="AL9" s="1115"/>
      <c r="AM9" s="1115"/>
      <c r="AN9" s="1115"/>
      <c r="AO9" s="1115"/>
      <c r="AP9" s="1115"/>
      <c r="AQ9" s="1115"/>
      <c r="AR9" s="1115"/>
      <c r="AS9" s="1115"/>
      <c r="AT9" s="1115"/>
      <c r="AU9" s="1115"/>
      <c r="AV9" s="1115"/>
      <c r="AW9" s="1115"/>
      <c r="AX9" s="1115"/>
      <c r="AY9" s="1115"/>
      <c r="AZ9" s="1115"/>
      <c r="BA9" s="1115"/>
      <c r="BB9" s="1115"/>
      <c r="BC9" s="1115"/>
      <c r="BD9" s="1115"/>
      <c r="BE9" s="1115"/>
      <c r="BF9" s="1118"/>
      <c r="BG9" s="1114"/>
      <c r="BH9" s="1115"/>
      <c r="BI9" s="1115"/>
      <c r="BJ9" s="1115"/>
      <c r="BK9" s="1115"/>
      <c r="BL9" s="1115"/>
      <c r="BM9" s="1115"/>
      <c r="BN9" s="1115"/>
      <c r="BO9" s="1115"/>
      <c r="BP9" s="1115"/>
      <c r="BQ9" s="1115"/>
      <c r="BR9" s="1115"/>
      <c r="BS9" s="1115"/>
      <c r="BT9" s="1115"/>
      <c r="BU9" s="1115"/>
      <c r="BV9" s="1115"/>
      <c r="BW9" s="1115"/>
      <c r="BX9" s="1115"/>
      <c r="BY9" s="1115"/>
      <c r="BZ9" s="1115"/>
      <c r="CA9" s="1115"/>
      <c r="CB9" s="1115"/>
      <c r="CC9" s="1115"/>
      <c r="CD9" s="1115"/>
      <c r="CE9" s="1115"/>
      <c r="CF9" s="1115"/>
      <c r="CG9" s="1115"/>
      <c r="CH9" s="1115"/>
      <c r="CI9" s="1115"/>
      <c r="CJ9" s="1115"/>
      <c r="CK9" s="1115"/>
      <c r="CL9" s="1115"/>
      <c r="CM9" s="1115"/>
      <c r="CN9" s="1115"/>
      <c r="CO9" s="1115"/>
      <c r="CP9" s="1115"/>
      <c r="CQ9" s="1115"/>
      <c r="CR9" s="1115"/>
      <c r="CS9" s="1115"/>
      <c r="CT9" s="1115"/>
      <c r="CU9" s="1115"/>
      <c r="CV9" s="1115"/>
      <c r="CW9" s="1115"/>
      <c r="CX9" s="1115"/>
      <c r="CY9" s="1115"/>
      <c r="CZ9" s="1115"/>
      <c r="DA9" s="1115"/>
      <c r="DB9" s="1115"/>
      <c r="DC9" s="1115"/>
      <c r="DD9" s="1115"/>
      <c r="DE9" s="1115"/>
      <c r="DF9" s="1115"/>
      <c r="DG9" s="1118"/>
      <c r="DH9" s="1114"/>
      <c r="DI9" s="1115"/>
      <c r="DJ9" s="1115"/>
      <c r="DK9" s="1115"/>
      <c r="DL9" s="1115"/>
      <c r="DM9" s="1115"/>
      <c r="DN9" s="1115"/>
      <c r="DO9" s="1115"/>
      <c r="DP9" s="1115"/>
      <c r="DQ9" s="1115"/>
      <c r="DR9" s="1115"/>
      <c r="DS9" s="1115"/>
      <c r="DT9" s="1115"/>
      <c r="DU9" s="1115"/>
      <c r="DV9" s="1115"/>
      <c r="DW9" s="1115"/>
      <c r="DX9" s="1115"/>
      <c r="DY9" s="1115"/>
      <c r="DZ9" s="1115"/>
      <c r="EA9" s="1115"/>
      <c r="EB9" s="1115"/>
      <c r="EC9" s="1115"/>
      <c r="ED9" s="1115"/>
      <c r="EE9" s="1115"/>
      <c r="EF9" s="1115"/>
      <c r="EG9" s="1115"/>
      <c r="EH9" s="1115"/>
      <c r="EI9" s="1115"/>
      <c r="EJ9" s="1115"/>
      <c r="EK9" s="1115"/>
      <c r="EL9" s="1115"/>
      <c r="EM9" s="1115"/>
      <c r="EN9" s="1115"/>
      <c r="EO9" s="1115"/>
      <c r="EP9" s="1115"/>
      <c r="EQ9" s="1115"/>
      <c r="ER9" s="1115"/>
      <c r="ES9" s="1115"/>
      <c r="ET9" s="1115"/>
      <c r="EU9" s="1115"/>
      <c r="EV9" s="1115"/>
      <c r="EW9" s="1115"/>
      <c r="EX9" s="1115"/>
      <c r="EY9" s="1115"/>
      <c r="EZ9" s="1115"/>
      <c r="FA9" s="1115"/>
      <c r="FB9" s="1115"/>
      <c r="FC9" s="1115"/>
      <c r="FD9" s="1115"/>
      <c r="FE9" s="1115"/>
      <c r="FF9" s="1115"/>
      <c r="FG9" s="1115"/>
      <c r="FH9" s="1118"/>
    </row>
    <row r="10" spans="1:164" s="1105" customFormat="1" ht="18" customHeight="1" thickBot="1" x14ac:dyDescent="0.4">
      <c r="A10" s="1122"/>
      <c r="B10" s="1125"/>
      <c r="C10" s="1127"/>
      <c r="D10" s="1124"/>
      <c r="E10" s="1120"/>
      <c r="F10" s="1114"/>
      <c r="G10" s="1115"/>
      <c r="H10" s="1115"/>
      <c r="I10" s="1115"/>
      <c r="J10" s="1115"/>
      <c r="K10" s="1115"/>
      <c r="L10" s="1115"/>
      <c r="M10" s="1115"/>
      <c r="N10" s="1115"/>
      <c r="O10" s="1115"/>
      <c r="P10" s="1115"/>
      <c r="Q10" s="1115"/>
      <c r="R10" s="1115"/>
      <c r="S10" s="1115"/>
      <c r="T10" s="1115"/>
      <c r="U10" s="1115"/>
      <c r="V10" s="1115"/>
      <c r="W10" s="1115"/>
      <c r="X10" s="1115"/>
      <c r="Y10" s="1115"/>
      <c r="Z10" s="1115"/>
      <c r="AA10" s="1115"/>
      <c r="AB10" s="1115"/>
      <c r="AC10" s="1115"/>
      <c r="AD10" s="1115"/>
      <c r="AE10" s="1115"/>
      <c r="AF10" s="1115"/>
      <c r="AG10" s="1115"/>
      <c r="AH10" s="1115"/>
      <c r="AI10" s="1115"/>
      <c r="AJ10" s="1115"/>
      <c r="AK10" s="1115"/>
      <c r="AL10" s="1115"/>
      <c r="AM10" s="1115"/>
      <c r="AN10" s="1115"/>
      <c r="AO10" s="1115"/>
      <c r="AP10" s="1115"/>
      <c r="AQ10" s="1115"/>
      <c r="AR10" s="1115"/>
      <c r="AS10" s="1115"/>
      <c r="AT10" s="1115"/>
      <c r="AU10" s="1115"/>
      <c r="AV10" s="1115"/>
      <c r="AW10" s="1115"/>
      <c r="AX10" s="1115"/>
      <c r="AY10" s="1115"/>
      <c r="AZ10" s="1115"/>
      <c r="BA10" s="1115"/>
      <c r="BB10" s="1115"/>
      <c r="BC10" s="1115"/>
      <c r="BD10" s="1115"/>
      <c r="BE10" s="1115"/>
      <c r="BF10" s="1118"/>
      <c r="BG10" s="1114"/>
      <c r="BH10" s="1115"/>
      <c r="BI10" s="1115"/>
      <c r="BJ10" s="1115"/>
      <c r="BK10" s="1115"/>
      <c r="BL10" s="1115"/>
      <c r="BM10" s="1115"/>
      <c r="BN10" s="1115"/>
      <c r="BO10" s="1115"/>
      <c r="BP10" s="1115"/>
      <c r="BQ10" s="1115"/>
      <c r="BR10" s="1115"/>
      <c r="BS10" s="1115"/>
      <c r="BT10" s="1115"/>
      <c r="BU10" s="1115"/>
      <c r="BV10" s="1115"/>
      <c r="BW10" s="1115"/>
      <c r="BX10" s="1115"/>
      <c r="BY10" s="1115"/>
      <c r="BZ10" s="1115"/>
      <c r="CA10" s="1115"/>
      <c r="CB10" s="1115"/>
      <c r="CC10" s="1115"/>
      <c r="CD10" s="1115"/>
      <c r="CE10" s="1115"/>
      <c r="CF10" s="1115"/>
      <c r="CG10" s="1115"/>
      <c r="CH10" s="1115"/>
      <c r="CI10" s="1115"/>
      <c r="CJ10" s="1115"/>
      <c r="CK10" s="1115"/>
      <c r="CL10" s="1115"/>
      <c r="CM10" s="1115"/>
      <c r="CN10" s="1115"/>
      <c r="CO10" s="1115"/>
      <c r="CP10" s="1115"/>
      <c r="CQ10" s="1115"/>
      <c r="CR10" s="1115"/>
      <c r="CS10" s="1115"/>
      <c r="CT10" s="1115"/>
      <c r="CU10" s="1115"/>
      <c r="CV10" s="1115"/>
      <c r="CW10" s="1115"/>
      <c r="CX10" s="1115"/>
      <c r="CY10" s="1115"/>
      <c r="CZ10" s="1115"/>
      <c r="DA10" s="1115"/>
      <c r="DB10" s="1115"/>
      <c r="DC10" s="1115"/>
      <c r="DD10" s="1115"/>
      <c r="DE10" s="1115"/>
      <c r="DF10" s="1115"/>
      <c r="DG10" s="1118"/>
      <c r="DH10" s="1114"/>
      <c r="DI10" s="1115"/>
      <c r="DJ10" s="1115"/>
      <c r="DK10" s="1115"/>
      <c r="DL10" s="1115"/>
      <c r="DM10" s="1115"/>
      <c r="DN10" s="1115"/>
      <c r="DO10" s="1115"/>
      <c r="DP10" s="1115"/>
      <c r="DQ10" s="1115"/>
      <c r="DR10" s="1115"/>
      <c r="DS10" s="1115"/>
      <c r="DT10" s="1115"/>
      <c r="DU10" s="1115"/>
      <c r="DV10" s="1115"/>
      <c r="DW10" s="1115"/>
      <c r="DX10" s="1115"/>
      <c r="DY10" s="1115"/>
      <c r="DZ10" s="1115"/>
      <c r="EA10" s="1115"/>
      <c r="EB10" s="1115"/>
      <c r="EC10" s="1115"/>
      <c r="ED10" s="1115"/>
      <c r="EE10" s="1115"/>
      <c r="EF10" s="1115"/>
      <c r="EG10" s="1115"/>
      <c r="EH10" s="1115"/>
      <c r="EI10" s="1115"/>
      <c r="EJ10" s="1115"/>
      <c r="EK10" s="1115"/>
      <c r="EL10" s="1115"/>
      <c r="EM10" s="1115"/>
      <c r="EN10" s="1115"/>
      <c r="EO10" s="1115"/>
      <c r="EP10" s="1115"/>
      <c r="EQ10" s="1115"/>
      <c r="ER10" s="1115"/>
      <c r="ES10" s="1115"/>
      <c r="ET10" s="1115"/>
      <c r="EU10" s="1115"/>
      <c r="EV10" s="1115"/>
      <c r="EW10" s="1115"/>
      <c r="EX10" s="1115"/>
      <c r="EY10" s="1115"/>
      <c r="EZ10" s="1115"/>
      <c r="FA10" s="1115"/>
      <c r="FB10" s="1115"/>
      <c r="FC10" s="1115"/>
      <c r="FD10" s="1115"/>
      <c r="FE10" s="1115"/>
      <c r="FF10" s="1115"/>
      <c r="FG10" s="1115"/>
      <c r="FH10" s="1118"/>
    </row>
    <row r="11" spans="1:164" s="1105" customFormat="1" ht="18" customHeight="1" thickBot="1" x14ac:dyDescent="0.4">
      <c r="A11" s="1122"/>
      <c r="B11" s="1125"/>
      <c r="C11" s="1127"/>
      <c r="D11" s="1124"/>
      <c r="E11" s="1120"/>
      <c r="F11" s="1114"/>
      <c r="G11" s="1115"/>
      <c r="H11" s="1115"/>
      <c r="I11" s="1115"/>
      <c r="J11" s="1115"/>
      <c r="K11" s="1115"/>
      <c r="L11" s="1115"/>
      <c r="M11" s="1115"/>
      <c r="N11" s="1115"/>
      <c r="O11" s="1115"/>
      <c r="P11" s="1115"/>
      <c r="Q11" s="1115"/>
      <c r="R11" s="1115"/>
      <c r="S11" s="1115"/>
      <c r="T11" s="1115"/>
      <c r="U11" s="1115"/>
      <c r="V11" s="1115"/>
      <c r="W11" s="1115"/>
      <c r="X11" s="1115"/>
      <c r="Y11" s="1115"/>
      <c r="Z11" s="1115"/>
      <c r="AA11" s="1115"/>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8"/>
      <c r="BG11" s="1114"/>
      <c r="BH11" s="1115"/>
      <c r="BI11" s="1115"/>
      <c r="BJ11" s="1115"/>
      <c r="BK11" s="1115"/>
      <c r="BL11" s="1115"/>
      <c r="BM11" s="1115"/>
      <c r="BN11" s="1115"/>
      <c r="BO11" s="1115"/>
      <c r="BP11" s="1115"/>
      <c r="BQ11" s="1115"/>
      <c r="BR11" s="1115"/>
      <c r="BS11" s="1115"/>
      <c r="BT11" s="1115"/>
      <c r="BU11" s="1115"/>
      <c r="BV11" s="1115"/>
      <c r="BW11" s="1115"/>
      <c r="BX11" s="1115"/>
      <c r="BY11" s="1115"/>
      <c r="BZ11" s="1115"/>
      <c r="CA11" s="1115"/>
      <c r="CB11" s="1115"/>
      <c r="CC11" s="1115"/>
      <c r="CD11" s="1115"/>
      <c r="CE11" s="1115"/>
      <c r="CF11" s="1115"/>
      <c r="CG11" s="1115"/>
      <c r="CH11" s="1115"/>
      <c r="CI11" s="1115"/>
      <c r="CJ11" s="1115"/>
      <c r="CK11" s="1115"/>
      <c r="CL11" s="1115"/>
      <c r="CM11" s="1115"/>
      <c r="CN11" s="1115"/>
      <c r="CO11" s="1115"/>
      <c r="CP11" s="1115"/>
      <c r="CQ11" s="1115"/>
      <c r="CR11" s="1115"/>
      <c r="CS11" s="1115"/>
      <c r="CT11" s="1115"/>
      <c r="CU11" s="1115"/>
      <c r="CV11" s="1115"/>
      <c r="CW11" s="1115"/>
      <c r="CX11" s="1115"/>
      <c r="CY11" s="1115"/>
      <c r="CZ11" s="1115"/>
      <c r="DA11" s="1115"/>
      <c r="DB11" s="1115"/>
      <c r="DC11" s="1115"/>
      <c r="DD11" s="1115"/>
      <c r="DE11" s="1115"/>
      <c r="DF11" s="1115"/>
      <c r="DG11" s="1118"/>
      <c r="DH11" s="1114"/>
      <c r="DI11" s="1115"/>
      <c r="DJ11" s="1115"/>
      <c r="DK11" s="1115"/>
      <c r="DL11" s="1115"/>
      <c r="DM11" s="1115"/>
      <c r="DN11" s="1115"/>
      <c r="DO11" s="1115"/>
      <c r="DP11" s="1115"/>
      <c r="DQ11" s="1115"/>
      <c r="DR11" s="1115"/>
      <c r="DS11" s="1115"/>
      <c r="DT11" s="1115"/>
      <c r="DU11" s="1115"/>
      <c r="DV11" s="1115"/>
      <c r="DW11" s="1115"/>
      <c r="DX11" s="1115"/>
      <c r="DY11" s="1115"/>
      <c r="DZ11" s="1115"/>
      <c r="EA11" s="1115"/>
      <c r="EB11" s="1115"/>
      <c r="EC11" s="1115"/>
      <c r="ED11" s="1115"/>
      <c r="EE11" s="1115"/>
      <c r="EF11" s="1115"/>
      <c r="EG11" s="1115"/>
      <c r="EH11" s="1115"/>
      <c r="EI11" s="1115"/>
      <c r="EJ11" s="1115"/>
      <c r="EK11" s="1115"/>
      <c r="EL11" s="1115"/>
      <c r="EM11" s="1115"/>
      <c r="EN11" s="1115"/>
      <c r="EO11" s="1115"/>
      <c r="EP11" s="1115"/>
      <c r="EQ11" s="1115"/>
      <c r="ER11" s="1115"/>
      <c r="ES11" s="1115"/>
      <c r="ET11" s="1115"/>
      <c r="EU11" s="1115"/>
      <c r="EV11" s="1115"/>
      <c r="EW11" s="1115"/>
      <c r="EX11" s="1115"/>
      <c r="EY11" s="1115"/>
      <c r="EZ11" s="1115"/>
      <c r="FA11" s="1115"/>
      <c r="FB11" s="1115"/>
      <c r="FC11" s="1115"/>
      <c r="FD11" s="1115"/>
      <c r="FE11" s="1115"/>
      <c r="FF11" s="1115"/>
      <c r="FG11" s="1115"/>
      <c r="FH11" s="1118"/>
    </row>
    <row r="12" spans="1:164" s="1105" customFormat="1" ht="18" customHeight="1" thickBot="1" x14ac:dyDescent="0.4">
      <c r="A12" s="1122"/>
      <c r="B12" s="1125"/>
      <c r="C12" s="1127"/>
      <c r="D12" s="1124"/>
      <c r="E12" s="1120"/>
      <c r="F12" s="1114"/>
      <c r="G12" s="1115"/>
      <c r="H12" s="1115"/>
      <c r="I12" s="1115"/>
      <c r="J12" s="1115"/>
      <c r="K12" s="1115"/>
      <c r="L12" s="1115"/>
      <c r="M12" s="1115"/>
      <c r="N12" s="1115"/>
      <c r="O12" s="1115"/>
      <c r="P12" s="1115"/>
      <c r="Q12" s="1115"/>
      <c r="R12" s="1115"/>
      <c r="S12" s="1115"/>
      <c r="T12" s="1115"/>
      <c r="U12" s="1115"/>
      <c r="V12" s="1115"/>
      <c r="W12" s="1115"/>
      <c r="X12" s="1115"/>
      <c r="Y12" s="1115"/>
      <c r="Z12" s="1115"/>
      <c r="AA12" s="1115"/>
      <c r="AB12" s="1115"/>
      <c r="AC12" s="1115"/>
      <c r="AD12" s="1115"/>
      <c r="AE12" s="1115"/>
      <c r="AF12" s="1115"/>
      <c r="AG12" s="1115"/>
      <c r="AH12" s="1115"/>
      <c r="AI12" s="1115"/>
      <c r="AJ12" s="1115"/>
      <c r="AK12" s="1115"/>
      <c r="AL12" s="1115"/>
      <c r="AM12" s="1115"/>
      <c r="AN12" s="1115"/>
      <c r="AO12" s="1115"/>
      <c r="AP12" s="1115"/>
      <c r="AQ12" s="1115"/>
      <c r="AR12" s="1115"/>
      <c r="AS12" s="1115"/>
      <c r="AT12" s="1115"/>
      <c r="AU12" s="1115"/>
      <c r="AV12" s="1115"/>
      <c r="AW12" s="1115"/>
      <c r="AX12" s="1115"/>
      <c r="AY12" s="1115"/>
      <c r="AZ12" s="1115"/>
      <c r="BA12" s="1115"/>
      <c r="BB12" s="1115"/>
      <c r="BC12" s="1115"/>
      <c r="BD12" s="1115"/>
      <c r="BE12" s="1115"/>
      <c r="BF12" s="1118"/>
      <c r="BG12" s="1114"/>
      <c r="BH12" s="1115"/>
      <c r="BI12" s="1115"/>
      <c r="BJ12" s="1115"/>
      <c r="BK12" s="1115"/>
      <c r="BL12" s="1115"/>
      <c r="BM12" s="1115"/>
      <c r="BN12" s="1115"/>
      <c r="BO12" s="1115"/>
      <c r="BP12" s="1115"/>
      <c r="BQ12" s="1115"/>
      <c r="BR12" s="1115"/>
      <c r="BS12" s="1115"/>
      <c r="BT12" s="1115"/>
      <c r="BU12" s="1115"/>
      <c r="BV12" s="1115"/>
      <c r="BW12" s="1115"/>
      <c r="BX12" s="1115"/>
      <c r="BY12" s="1115"/>
      <c r="BZ12" s="1115"/>
      <c r="CA12" s="1115"/>
      <c r="CB12" s="1115"/>
      <c r="CC12" s="1115"/>
      <c r="CD12" s="1115"/>
      <c r="CE12" s="1115"/>
      <c r="CF12" s="1115"/>
      <c r="CG12" s="1115"/>
      <c r="CH12" s="1115"/>
      <c r="CI12" s="1115"/>
      <c r="CJ12" s="1115"/>
      <c r="CK12" s="1115"/>
      <c r="CL12" s="1115"/>
      <c r="CM12" s="1115"/>
      <c r="CN12" s="1115"/>
      <c r="CO12" s="1115"/>
      <c r="CP12" s="1115"/>
      <c r="CQ12" s="1115"/>
      <c r="CR12" s="1115"/>
      <c r="CS12" s="1115"/>
      <c r="CT12" s="1115"/>
      <c r="CU12" s="1115"/>
      <c r="CV12" s="1115"/>
      <c r="CW12" s="1115"/>
      <c r="CX12" s="1115"/>
      <c r="CY12" s="1115"/>
      <c r="CZ12" s="1115"/>
      <c r="DA12" s="1115"/>
      <c r="DB12" s="1115"/>
      <c r="DC12" s="1115"/>
      <c r="DD12" s="1115"/>
      <c r="DE12" s="1115"/>
      <c r="DF12" s="1115"/>
      <c r="DG12" s="1118"/>
      <c r="DH12" s="1114"/>
      <c r="DI12" s="1115"/>
      <c r="DJ12" s="1115"/>
      <c r="DK12" s="1115"/>
      <c r="DL12" s="1115"/>
      <c r="DM12" s="1115"/>
      <c r="DN12" s="1115"/>
      <c r="DO12" s="1115"/>
      <c r="DP12" s="1115"/>
      <c r="DQ12" s="1115"/>
      <c r="DR12" s="1115"/>
      <c r="DS12" s="1115"/>
      <c r="DT12" s="1115"/>
      <c r="DU12" s="1115"/>
      <c r="DV12" s="1115"/>
      <c r="DW12" s="1115"/>
      <c r="DX12" s="1115"/>
      <c r="DY12" s="1115"/>
      <c r="DZ12" s="1115"/>
      <c r="EA12" s="1115"/>
      <c r="EB12" s="1115"/>
      <c r="EC12" s="1115"/>
      <c r="ED12" s="1115"/>
      <c r="EE12" s="1115"/>
      <c r="EF12" s="1115"/>
      <c r="EG12" s="1115"/>
      <c r="EH12" s="1115"/>
      <c r="EI12" s="1115"/>
      <c r="EJ12" s="1115"/>
      <c r="EK12" s="1115"/>
      <c r="EL12" s="1115"/>
      <c r="EM12" s="1115"/>
      <c r="EN12" s="1115"/>
      <c r="EO12" s="1115"/>
      <c r="EP12" s="1115"/>
      <c r="EQ12" s="1115"/>
      <c r="ER12" s="1115"/>
      <c r="ES12" s="1115"/>
      <c r="ET12" s="1115"/>
      <c r="EU12" s="1115"/>
      <c r="EV12" s="1115"/>
      <c r="EW12" s="1115"/>
      <c r="EX12" s="1115"/>
      <c r="EY12" s="1115"/>
      <c r="EZ12" s="1115"/>
      <c r="FA12" s="1115"/>
      <c r="FB12" s="1115"/>
      <c r="FC12" s="1115"/>
      <c r="FD12" s="1115"/>
      <c r="FE12" s="1115"/>
      <c r="FF12" s="1115"/>
      <c r="FG12" s="1115"/>
      <c r="FH12" s="1118"/>
    </row>
    <row r="13" spans="1:164" s="1105" customFormat="1" ht="18" customHeight="1" thickBot="1" x14ac:dyDescent="0.4">
      <c r="A13" s="1122"/>
      <c r="B13" s="1125"/>
      <c r="C13" s="1127"/>
      <c r="D13" s="1124"/>
      <c r="E13" s="1120"/>
      <c r="F13" s="1114"/>
      <c r="G13" s="1115"/>
      <c r="H13" s="1115"/>
      <c r="I13" s="1115"/>
      <c r="J13" s="1115"/>
      <c r="K13" s="1115"/>
      <c r="L13" s="1115"/>
      <c r="M13" s="1115"/>
      <c r="N13" s="1115"/>
      <c r="O13" s="1115"/>
      <c r="P13" s="1115"/>
      <c r="Q13" s="1115"/>
      <c r="R13" s="1115"/>
      <c r="S13" s="1115"/>
      <c r="T13" s="1115"/>
      <c r="U13" s="1115"/>
      <c r="V13" s="1115"/>
      <c r="W13" s="1115"/>
      <c r="X13" s="1115"/>
      <c r="Y13" s="1115"/>
      <c r="Z13" s="1115"/>
      <c r="AA13" s="1115"/>
      <c r="AB13" s="1115"/>
      <c r="AC13" s="1115"/>
      <c r="AD13" s="1115"/>
      <c r="AE13" s="1115"/>
      <c r="AF13" s="1115"/>
      <c r="AG13" s="1115"/>
      <c r="AH13" s="1115"/>
      <c r="AI13" s="1115"/>
      <c r="AJ13" s="1115"/>
      <c r="AK13" s="1115"/>
      <c r="AL13" s="1115"/>
      <c r="AM13" s="1115"/>
      <c r="AN13" s="1115"/>
      <c r="AO13" s="1115"/>
      <c r="AP13" s="1115"/>
      <c r="AQ13" s="1115"/>
      <c r="AR13" s="1115"/>
      <c r="AS13" s="1115"/>
      <c r="AT13" s="1115"/>
      <c r="AU13" s="1115"/>
      <c r="AV13" s="1115"/>
      <c r="AW13" s="1115"/>
      <c r="AX13" s="1115"/>
      <c r="AY13" s="1115"/>
      <c r="AZ13" s="1115"/>
      <c r="BA13" s="1115"/>
      <c r="BB13" s="1115"/>
      <c r="BC13" s="1115"/>
      <c r="BD13" s="1115"/>
      <c r="BE13" s="1115"/>
      <c r="BF13" s="1118"/>
      <c r="BG13" s="1114"/>
      <c r="BH13" s="1115"/>
      <c r="BI13" s="1115"/>
      <c r="BJ13" s="1115"/>
      <c r="BK13" s="1115"/>
      <c r="BL13" s="1115"/>
      <c r="BM13" s="1115"/>
      <c r="BN13" s="1115"/>
      <c r="BO13" s="1115"/>
      <c r="BP13" s="1115"/>
      <c r="BQ13" s="1115"/>
      <c r="BR13" s="1115"/>
      <c r="BS13" s="1115"/>
      <c r="BT13" s="1115"/>
      <c r="BU13" s="1115"/>
      <c r="BV13" s="1115"/>
      <c r="BW13" s="1115"/>
      <c r="BX13" s="1115"/>
      <c r="BY13" s="1115"/>
      <c r="BZ13" s="1115"/>
      <c r="CA13" s="1115"/>
      <c r="CB13" s="1115"/>
      <c r="CC13" s="1115"/>
      <c r="CD13" s="1115"/>
      <c r="CE13" s="1115"/>
      <c r="CF13" s="1115"/>
      <c r="CG13" s="1115"/>
      <c r="CH13" s="1115"/>
      <c r="CI13" s="1115"/>
      <c r="CJ13" s="1115"/>
      <c r="CK13" s="1115"/>
      <c r="CL13" s="1115"/>
      <c r="CM13" s="1115"/>
      <c r="CN13" s="1115"/>
      <c r="CO13" s="1115"/>
      <c r="CP13" s="1115"/>
      <c r="CQ13" s="1115"/>
      <c r="CR13" s="1115"/>
      <c r="CS13" s="1115"/>
      <c r="CT13" s="1115"/>
      <c r="CU13" s="1115"/>
      <c r="CV13" s="1115"/>
      <c r="CW13" s="1115"/>
      <c r="CX13" s="1115"/>
      <c r="CY13" s="1115"/>
      <c r="CZ13" s="1115"/>
      <c r="DA13" s="1115"/>
      <c r="DB13" s="1115"/>
      <c r="DC13" s="1115"/>
      <c r="DD13" s="1115"/>
      <c r="DE13" s="1115"/>
      <c r="DF13" s="1115"/>
      <c r="DG13" s="1118"/>
      <c r="DH13" s="1114"/>
      <c r="DI13" s="1115"/>
      <c r="DJ13" s="1115"/>
      <c r="DK13" s="1115"/>
      <c r="DL13" s="1115"/>
      <c r="DM13" s="1115"/>
      <c r="DN13" s="1115"/>
      <c r="DO13" s="1115"/>
      <c r="DP13" s="1115"/>
      <c r="DQ13" s="1115"/>
      <c r="DR13" s="1115"/>
      <c r="DS13" s="1115"/>
      <c r="DT13" s="1115"/>
      <c r="DU13" s="1115"/>
      <c r="DV13" s="1115"/>
      <c r="DW13" s="1115"/>
      <c r="DX13" s="1115"/>
      <c r="DY13" s="1115"/>
      <c r="DZ13" s="1115"/>
      <c r="EA13" s="1115"/>
      <c r="EB13" s="1115"/>
      <c r="EC13" s="1115"/>
      <c r="ED13" s="1115"/>
      <c r="EE13" s="1115"/>
      <c r="EF13" s="1115"/>
      <c r="EG13" s="1115"/>
      <c r="EH13" s="1115"/>
      <c r="EI13" s="1115"/>
      <c r="EJ13" s="1115"/>
      <c r="EK13" s="1115"/>
      <c r="EL13" s="1115"/>
      <c r="EM13" s="1115"/>
      <c r="EN13" s="1115"/>
      <c r="EO13" s="1115"/>
      <c r="EP13" s="1115"/>
      <c r="EQ13" s="1115"/>
      <c r="ER13" s="1115"/>
      <c r="ES13" s="1115"/>
      <c r="ET13" s="1115"/>
      <c r="EU13" s="1115"/>
      <c r="EV13" s="1115"/>
      <c r="EW13" s="1115"/>
      <c r="EX13" s="1115"/>
      <c r="EY13" s="1115"/>
      <c r="EZ13" s="1115"/>
      <c r="FA13" s="1115"/>
      <c r="FB13" s="1115"/>
      <c r="FC13" s="1115"/>
      <c r="FD13" s="1115"/>
      <c r="FE13" s="1115"/>
      <c r="FF13" s="1115"/>
      <c r="FG13" s="1115"/>
      <c r="FH13" s="1118"/>
    </row>
    <row r="14" spans="1:164" s="1105" customFormat="1" ht="18" customHeight="1" thickBot="1" x14ac:dyDescent="0.4">
      <c r="A14" s="1122"/>
      <c r="B14" s="1125"/>
      <c r="C14" s="1127"/>
      <c r="D14" s="1124"/>
      <c r="E14" s="1120"/>
      <c r="F14" s="1114"/>
      <c r="G14" s="1115"/>
      <c r="H14" s="1115"/>
      <c r="I14" s="1115"/>
      <c r="J14" s="1115"/>
      <c r="K14" s="1115"/>
      <c r="L14" s="1115"/>
      <c r="M14" s="1115"/>
      <c r="N14" s="1115"/>
      <c r="O14" s="1115"/>
      <c r="P14" s="1115"/>
      <c r="Q14" s="1115"/>
      <c r="R14" s="1115"/>
      <c r="S14" s="1115"/>
      <c r="T14" s="1115"/>
      <c r="U14" s="1115"/>
      <c r="V14" s="1115"/>
      <c r="W14" s="1115"/>
      <c r="X14" s="1115"/>
      <c r="Y14" s="1115"/>
      <c r="Z14" s="1115"/>
      <c r="AA14" s="1115"/>
      <c r="AB14" s="1115"/>
      <c r="AC14" s="1115"/>
      <c r="AD14" s="1115"/>
      <c r="AE14" s="1115"/>
      <c r="AF14" s="1115"/>
      <c r="AG14" s="1115"/>
      <c r="AH14" s="1115"/>
      <c r="AI14" s="1115"/>
      <c r="AJ14" s="1115"/>
      <c r="AK14" s="1115"/>
      <c r="AL14" s="1115"/>
      <c r="AM14" s="1115"/>
      <c r="AN14" s="1115"/>
      <c r="AO14" s="1115"/>
      <c r="AP14" s="1115"/>
      <c r="AQ14" s="1115"/>
      <c r="AR14" s="1115"/>
      <c r="AS14" s="1115"/>
      <c r="AT14" s="1115"/>
      <c r="AU14" s="1115"/>
      <c r="AV14" s="1115"/>
      <c r="AW14" s="1115"/>
      <c r="AX14" s="1115"/>
      <c r="AY14" s="1115"/>
      <c r="AZ14" s="1115"/>
      <c r="BA14" s="1115"/>
      <c r="BB14" s="1115"/>
      <c r="BC14" s="1115"/>
      <c r="BD14" s="1115"/>
      <c r="BE14" s="1115"/>
      <c r="BF14" s="1118"/>
      <c r="BG14" s="1114"/>
      <c r="BH14" s="1115"/>
      <c r="BI14" s="1115"/>
      <c r="BJ14" s="1115"/>
      <c r="BK14" s="1115"/>
      <c r="BL14" s="1115"/>
      <c r="BM14" s="1115"/>
      <c r="BN14" s="1115"/>
      <c r="BO14" s="1115"/>
      <c r="BP14" s="1115"/>
      <c r="BQ14" s="1115"/>
      <c r="BR14" s="1115"/>
      <c r="BS14" s="1115"/>
      <c r="BT14" s="1115"/>
      <c r="BU14" s="1115"/>
      <c r="BV14" s="1115"/>
      <c r="BW14" s="1115"/>
      <c r="BX14" s="1115"/>
      <c r="BY14" s="1115"/>
      <c r="BZ14" s="1115"/>
      <c r="CA14" s="1115"/>
      <c r="CB14" s="1115"/>
      <c r="CC14" s="1115"/>
      <c r="CD14" s="1115"/>
      <c r="CE14" s="1115"/>
      <c r="CF14" s="1115"/>
      <c r="CG14" s="1115"/>
      <c r="CH14" s="1115"/>
      <c r="CI14" s="1115"/>
      <c r="CJ14" s="1115"/>
      <c r="CK14" s="1115"/>
      <c r="CL14" s="1115"/>
      <c r="CM14" s="1115"/>
      <c r="CN14" s="1115"/>
      <c r="CO14" s="1115"/>
      <c r="CP14" s="1115"/>
      <c r="CQ14" s="1115"/>
      <c r="CR14" s="1115"/>
      <c r="CS14" s="1115"/>
      <c r="CT14" s="1115"/>
      <c r="CU14" s="1115"/>
      <c r="CV14" s="1115"/>
      <c r="CW14" s="1115"/>
      <c r="CX14" s="1115"/>
      <c r="CY14" s="1115"/>
      <c r="CZ14" s="1115"/>
      <c r="DA14" s="1115"/>
      <c r="DB14" s="1115"/>
      <c r="DC14" s="1115"/>
      <c r="DD14" s="1115"/>
      <c r="DE14" s="1115"/>
      <c r="DF14" s="1115"/>
      <c r="DG14" s="1118"/>
      <c r="DH14" s="1114"/>
      <c r="DI14" s="1115"/>
      <c r="DJ14" s="1115"/>
      <c r="DK14" s="1115"/>
      <c r="DL14" s="1115"/>
      <c r="DM14" s="1115"/>
      <c r="DN14" s="1115"/>
      <c r="DO14" s="1115"/>
      <c r="DP14" s="1115"/>
      <c r="DQ14" s="1115"/>
      <c r="DR14" s="1115"/>
      <c r="DS14" s="1115"/>
      <c r="DT14" s="1115"/>
      <c r="DU14" s="1115"/>
      <c r="DV14" s="1115"/>
      <c r="DW14" s="1115"/>
      <c r="DX14" s="1115"/>
      <c r="DY14" s="1115"/>
      <c r="DZ14" s="1115"/>
      <c r="EA14" s="1115"/>
      <c r="EB14" s="1115"/>
      <c r="EC14" s="1115"/>
      <c r="ED14" s="1115"/>
      <c r="EE14" s="1115"/>
      <c r="EF14" s="1115"/>
      <c r="EG14" s="1115"/>
      <c r="EH14" s="1115"/>
      <c r="EI14" s="1115"/>
      <c r="EJ14" s="1115"/>
      <c r="EK14" s="1115"/>
      <c r="EL14" s="1115"/>
      <c r="EM14" s="1115"/>
      <c r="EN14" s="1115"/>
      <c r="EO14" s="1115"/>
      <c r="EP14" s="1115"/>
      <c r="EQ14" s="1115"/>
      <c r="ER14" s="1115"/>
      <c r="ES14" s="1115"/>
      <c r="ET14" s="1115"/>
      <c r="EU14" s="1115"/>
      <c r="EV14" s="1115"/>
      <c r="EW14" s="1115"/>
      <c r="EX14" s="1115"/>
      <c r="EY14" s="1115"/>
      <c r="EZ14" s="1115"/>
      <c r="FA14" s="1115"/>
      <c r="FB14" s="1115"/>
      <c r="FC14" s="1115"/>
      <c r="FD14" s="1115"/>
      <c r="FE14" s="1115"/>
      <c r="FF14" s="1115"/>
      <c r="FG14" s="1115"/>
      <c r="FH14" s="1118"/>
    </row>
    <row r="15" spans="1:164" s="1105" customFormat="1" ht="18" customHeight="1" thickBot="1" x14ac:dyDescent="0.4">
      <c r="A15" s="1122"/>
      <c r="B15" s="1125"/>
      <c r="C15" s="1127"/>
      <c r="D15" s="1124"/>
      <c r="E15" s="1120"/>
      <c r="F15" s="1114"/>
      <c r="G15" s="1115"/>
      <c r="H15" s="1115"/>
      <c r="I15" s="1115"/>
      <c r="J15" s="1115"/>
      <c r="K15" s="1115"/>
      <c r="L15" s="1115"/>
      <c r="M15" s="1115"/>
      <c r="N15" s="1115"/>
      <c r="O15" s="1115"/>
      <c r="P15" s="1115"/>
      <c r="Q15" s="1115"/>
      <c r="R15" s="1115"/>
      <c r="S15" s="1115"/>
      <c r="T15" s="1115"/>
      <c r="U15" s="1115"/>
      <c r="V15" s="1115"/>
      <c r="W15" s="1115"/>
      <c r="X15" s="1115"/>
      <c r="Y15" s="1115"/>
      <c r="Z15" s="1115"/>
      <c r="AA15" s="1115"/>
      <c r="AB15" s="1115"/>
      <c r="AC15" s="1115"/>
      <c r="AD15" s="1115"/>
      <c r="AE15" s="1115"/>
      <c r="AF15" s="1115"/>
      <c r="AG15" s="1115"/>
      <c r="AH15" s="1115"/>
      <c r="AI15" s="1115"/>
      <c r="AJ15" s="1115"/>
      <c r="AK15" s="1115"/>
      <c r="AL15" s="1115"/>
      <c r="AM15" s="1115"/>
      <c r="AN15" s="1115"/>
      <c r="AO15" s="1115"/>
      <c r="AP15" s="1115"/>
      <c r="AQ15" s="1115"/>
      <c r="AR15" s="1115"/>
      <c r="AS15" s="1115"/>
      <c r="AT15" s="1115"/>
      <c r="AU15" s="1115"/>
      <c r="AV15" s="1115"/>
      <c r="AW15" s="1115"/>
      <c r="AX15" s="1115"/>
      <c r="AY15" s="1115"/>
      <c r="AZ15" s="1115"/>
      <c r="BA15" s="1115"/>
      <c r="BB15" s="1115"/>
      <c r="BC15" s="1115"/>
      <c r="BD15" s="1115"/>
      <c r="BE15" s="1115"/>
      <c r="BF15" s="1118"/>
      <c r="BG15" s="1114"/>
      <c r="BH15" s="1115"/>
      <c r="BI15" s="1115"/>
      <c r="BJ15" s="1115"/>
      <c r="BK15" s="1115"/>
      <c r="BL15" s="1115"/>
      <c r="BM15" s="1115"/>
      <c r="BN15" s="1115"/>
      <c r="BO15" s="1115"/>
      <c r="BP15" s="1115"/>
      <c r="BQ15" s="1115"/>
      <c r="BR15" s="1115"/>
      <c r="BS15" s="1115"/>
      <c r="BT15" s="1115"/>
      <c r="BU15" s="1115"/>
      <c r="BV15" s="1115"/>
      <c r="BW15" s="1115"/>
      <c r="BX15" s="1115"/>
      <c r="BY15" s="1115"/>
      <c r="BZ15" s="1115"/>
      <c r="CA15" s="1115"/>
      <c r="CB15" s="1115"/>
      <c r="CC15" s="1115"/>
      <c r="CD15" s="1115"/>
      <c r="CE15" s="1115"/>
      <c r="CF15" s="1115"/>
      <c r="CG15" s="1115"/>
      <c r="CH15" s="1115"/>
      <c r="CI15" s="1115"/>
      <c r="CJ15" s="1115"/>
      <c r="CK15" s="1115"/>
      <c r="CL15" s="1115"/>
      <c r="CM15" s="1115"/>
      <c r="CN15" s="1115"/>
      <c r="CO15" s="1115"/>
      <c r="CP15" s="1115"/>
      <c r="CQ15" s="1115"/>
      <c r="CR15" s="1115"/>
      <c r="CS15" s="1115"/>
      <c r="CT15" s="1115"/>
      <c r="CU15" s="1115"/>
      <c r="CV15" s="1115"/>
      <c r="CW15" s="1115"/>
      <c r="CX15" s="1115"/>
      <c r="CY15" s="1115"/>
      <c r="CZ15" s="1115"/>
      <c r="DA15" s="1115"/>
      <c r="DB15" s="1115"/>
      <c r="DC15" s="1115"/>
      <c r="DD15" s="1115"/>
      <c r="DE15" s="1115"/>
      <c r="DF15" s="1115"/>
      <c r="DG15" s="1118"/>
      <c r="DH15" s="1114"/>
      <c r="DI15" s="1115"/>
      <c r="DJ15" s="1115"/>
      <c r="DK15" s="1115"/>
      <c r="DL15" s="1115"/>
      <c r="DM15" s="1115"/>
      <c r="DN15" s="1115"/>
      <c r="DO15" s="1115"/>
      <c r="DP15" s="1115"/>
      <c r="DQ15" s="1115"/>
      <c r="DR15" s="1115"/>
      <c r="DS15" s="1115"/>
      <c r="DT15" s="1115"/>
      <c r="DU15" s="1115"/>
      <c r="DV15" s="1115"/>
      <c r="DW15" s="1115"/>
      <c r="DX15" s="1115"/>
      <c r="DY15" s="1115"/>
      <c r="DZ15" s="1115"/>
      <c r="EA15" s="1115"/>
      <c r="EB15" s="1115"/>
      <c r="EC15" s="1115"/>
      <c r="ED15" s="1115"/>
      <c r="EE15" s="1115"/>
      <c r="EF15" s="1115"/>
      <c r="EG15" s="1115"/>
      <c r="EH15" s="1115"/>
      <c r="EI15" s="1115"/>
      <c r="EJ15" s="1115"/>
      <c r="EK15" s="1115"/>
      <c r="EL15" s="1115"/>
      <c r="EM15" s="1115"/>
      <c r="EN15" s="1115"/>
      <c r="EO15" s="1115"/>
      <c r="EP15" s="1115"/>
      <c r="EQ15" s="1115"/>
      <c r="ER15" s="1115"/>
      <c r="ES15" s="1115"/>
      <c r="ET15" s="1115"/>
      <c r="EU15" s="1115"/>
      <c r="EV15" s="1115"/>
      <c r="EW15" s="1115"/>
      <c r="EX15" s="1115"/>
      <c r="EY15" s="1115"/>
      <c r="EZ15" s="1115"/>
      <c r="FA15" s="1115"/>
      <c r="FB15" s="1115"/>
      <c r="FC15" s="1115"/>
      <c r="FD15" s="1115"/>
      <c r="FE15" s="1115"/>
      <c r="FF15" s="1115"/>
      <c r="FG15" s="1115"/>
      <c r="FH15" s="1118"/>
    </row>
    <row r="16" spans="1:164" s="1105" customFormat="1" ht="18" customHeight="1" thickBot="1" x14ac:dyDescent="0.4">
      <c r="A16" s="1122"/>
      <c r="B16" s="1125"/>
      <c r="C16" s="1127"/>
      <c r="D16" s="1124"/>
      <c r="E16" s="1120"/>
      <c r="F16" s="1114"/>
      <c r="G16" s="1115"/>
      <c r="H16" s="1115"/>
      <c r="I16" s="1115"/>
      <c r="J16" s="1115"/>
      <c r="K16" s="1115"/>
      <c r="L16" s="1115"/>
      <c r="M16" s="1115"/>
      <c r="N16" s="1115"/>
      <c r="O16" s="1115"/>
      <c r="P16" s="1115"/>
      <c r="Q16" s="1115"/>
      <c r="R16" s="1115"/>
      <c r="S16" s="1115"/>
      <c r="T16" s="1115"/>
      <c r="U16" s="1115"/>
      <c r="V16" s="1115"/>
      <c r="W16" s="1115"/>
      <c r="X16" s="1115"/>
      <c r="Y16" s="1115"/>
      <c r="Z16" s="1115"/>
      <c r="AA16" s="1115"/>
      <c r="AB16" s="1115"/>
      <c r="AC16" s="1115"/>
      <c r="AD16" s="1115"/>
      <c r="AE16" s="1115"/>
      <c r="AF16" s="1115"/>
      <c r="AG16" s="1115"/>
      <c r="AH16" s="1115"/>
      <c r="AI16" s="1115"/>
      <c r="AJ16" s="1115"/>
      <c r="AK16" s="1115"/>
      <c r="AL16" s="1115"/>
      <c r="AM16" s="1115"/>
      <c r="AN16" s="1115"/>
      <c r="AO16" s="1115"/>
      <c r="AP16" s="1115"/>
      <c r="AQ16" s="1115"/>
      <c r="AR16" s="1115"/>
      <c r="AS16" s="1115"/>
      <c r="AT16" s="1115"/>
      <c r="AU16" s="1115"/>
      <c r="AV16" s="1115"/>
      <c r="AW16" s="1115"/>
      <c r="AX16" s="1115"/>
      <c r="AY16" s="1115"/>
      <c r="AZ16" s="1115"/>
      <c r="BA16" s="1115"/>
      <c r="BB16" s="1115"/>
      <c r="BC16" s="1115"/>
      <c r="BD16" s="1115"/>
      <c r="BE16" s="1115"/>
      <c r="BF16" s="1118"/>
      <c r="BG16" s="1114"/>
      <c r="BH16" s="1115"/>
      <c r="BI16" s="1115"/>
      <c r="BJ16" s="1115"/>
      <c r="BK16" s="1115"/>
      <c r="BL16" s="1115"/>
      <c r="BM16" s="1115"/>
      <c r="BN16" s="1115"/>
      <c r="BO16" s="1115"/>
      <c r="BP16" s="1115"/>
      <c r="BQ16" s="1115"/>
      <c r="BR16" s="1115"/>
      <c r="BS16" s="1115"/>
      <c r="BT16" s="1115"/>
      <c r="BU16" s="1115"/>
      <c r="BV16" s="1115"/>
      <c r="BW16" s="1115"/>
      <c r="BX16" s="1115"/>
      <c r="BY16" s="1115"/>
      <c r="BZ16" s="1115"/>
      <c r="CA16" s="1115"/>
      <c r="CB16" s="1115"/>
      <c r="CC16" s="1115"/>
      <c r="CD16" s="1115"/>
      <c r="CE16" s="1115"/>
      <c r="CF16" s="1115"/>
      <c r="CG16" s="1115"/>
      <c r="CH16" s="1115"/>
      <c r="CI16" s="1115"/>
      <c r="CJ16" s="1115"/>
      <c r="CK16" s="1115"/>
      <c r="CL16" s="1115"/>
      <c r="CM16" s="1115"/>
      <c r="CN16" s="1115"/>
      <c r="CO16" s="1115"/>
      <c r="CP16" s="1115"/>
      <c r="CQ16" s="1115"/>
      <c r="CR16" s="1115"/>
      <c r="CS16" s="1115"/>
      <c r="CT16" s="1115"/>
      <c r="CU16" s="1115"/>
      <c r="CV16" s="1115"/>
      <c r="CW16" s="1115"/>
      <c r="CX16" s="1115"/>
      <c r="CY16" s="1115"/>
      <c r="CZ16" s="1115"/>
      <c r="DA16" s="1115"/>
      <c r="DB16" s="1115"/>
      <c r="DC16" s="1115"/>
      <c r="DD16" s="1115"/>
      <c r="DE16" s="1115"/>
      <c r="DF16" s="1115"/>
      <c r="DG16" s="1118"/>
      <c r="DH16" s="1114"/>
      <c r="DI16" s="1115"/>
      <c r="DJ16" s="1115"/>
      <c r="DK16" s="1115"/>
      <c r="DL16" s="1115"/>
      <c r="DM16" s="1115"/>
      <c r="DN16" s="1115"/>
      <c r="DO16" s="1115"/>
      <c r="DP16" s="1115"/>
      <c r="DQ16" s="1115"/>
      <c r="DR16" s="1115"/>
      <c r="DS16" s="1115"/>
      <c r="DT16" s="1115"/>
      <c r="DU16" s="1115"/>
      <c r="DV16" s="1115"/>
      <c r="DW16" s="1115"/>
      <c r="DX16" s="1115"/>
      <c r="DY16" s="1115"/>
      <c r="DZ16" s="1115"/>
      <c r="EA16" s="1115"/>
      <c r="EB16" s="1115"/>
      <c r="EC16" s="1115"/>
      <c r="ED16" s="1115"/>
      <c r="EE16" s="1115"/>
      <c r="EF16" s="1115"/>
      <c r="EG16" s="1115"/>
      <c r="EH16" s="1115"/>
      <c r="EI16" s="1115"/>
      <c r="EJ16" s="1115"/>
      <c r="EK16" s="1115"/>
      <c r="EL16" s="1115"/>
      <c r="EM16" s="1115"/>
      <c r="EN16" s="1115"/>
      <c r="EO16" s="1115"/>
      <c r="EP16" s="1115"/>
      <c r="EQ16" s="1115"/>
      <c r="ER16" s="1115"/>
      <c r="ES16" s="1115"/>
      <c r="ET16" s="1115"/>
      <c r="EU16" s="1115"/>
      <c r="EV16" s="1115"/>
      <c r="EW16" s="1115"/>
      <c r="EX16" s="1115"/>
      <c r="EY16" s="1115"/>
      <c r="EZ16" s="1115"/>
      <c r="FA16" s="1115"/>
      <c r="FB16" s="1115"/>
      <c r="FC16" s="1115"/>
      <c r="FD16" s="1115"/>
      <c r="FE16" s="1115"/>
      <c r="FF16" s="1115"/>
      <c r="FG16" s="1115"/>
      <c r="FH16" s="1118"/>
    </row>
    <row r="17" spans="1:164" s="1105" customFormat="1" ht="18" customHeight="1" thickBot="1" x14ac:dyDescent="0.4">
      <c r="A17" s="1122"/>
      <c r="B17" s="1125"/>
      <c r="C17" s="1127"/>
      <c r="D17" s="1124"/>
      <c r="E17" s="1120"/>
      <c r="F17" s="1114"/>
      <c r="G17" s="1115"/>
      <c r="H17" s="1115"/>
      <c r="I17" s="1115"/>
      <c r="J17" s="1115"/>
      <c r="K17" s="1115"/>
      <c r="L17" s="1115"/>
      <c r="M17" s="1115"/>
      <c r="N17" s="1115"/>
      <c r="O17" s="1115"/>
      <c r="P17" s="1115"/>
      <c r="Q17" s="1115"/>
      <c r="R17" s="1115"/>
      <c r="S17" s="1115"/>
      <c r="T17" s="1115"/>
      <c r="U17" s="1115"/>
      <c r="V17" s="1115"/>
      <c r="W17" s="1115"/>
      <c r="X17" s="1115"/>
      <c r="Y17" s="1115"/>
      <c r="Z17" s="1115"/>
      <c r="AA17" s="1115"/>
      <c r="AB17" s="1115"/>
      <c r="AC17" s="1115"/>
      <c r="AD17" s="1115"/>
      <c r="AE17" s="1115"/>
      <c r="AF17" s="1115"/>
      <c r="AG17" s="1115"/>
      <c r="AH17" s="1115"/>
      <c r="AI17" s="1115"/>
      <c r="AJ17" s="1115"/>
      <c r="AK17" s="1115"/>
      <c r="AL17" s="1115"/>
      <c r="AM17" s="1115"/>
      <c r="AN17" s="1115"/>
      <c r="AO17" s="1115"/>
      <c r="AP17" s="1115"/>
      <c r="AQ17" s="1115"/>
      <c r="AR17" s="1115"/>
      <c r="AS17" s="1115"/>
      <c r="AT17" s="1115"/>
      <c r="AU17" s="1115"/>
      <c r="AV17" s="1115"/>
      <c r="AW17" s="1115"/>
      <c r="AX17" s="1115"/>
      <c r="AY17" s="1115"/>
      <c r="AZ17" s="1115"/>
      <c r="BA17" s="1115"/>
      <c r="BB17" s="1115"/>
      <c r="BC17" s="1115"/>
      <c r="BD17" s="1115"/>
      <c r="BE17" s="1115"/>
      <c r="BF17" s="1118"/>
      <c r="BG17" s="1114"/>
      <c r="BH17" s="1115"/>
      <c r="BI17" s="1115"/>
      <c r="BJ17" s="1115"/>
      <c r="BK17" s="1115"/>
      <c r="BL17" s="1115"/>
      <c r="BM17" s="1115"/>
      <c r="BN17" s="1115"/>
      <c r="BO17" s="1115"/>
      <c r="BP17" s="1115"/>
      <c r="BQ17" s="1115"/>
      <c r="BR17" s="1115"/>
      <c r="BS17" s="1115"/>
      <c r="BT17" s="1115"/>
      <c r="BU17" s="1115"/>
      <c r="BV17" s="1115"/>
      <c r="BW17" s="1115"/>
      <c r="BX17" s="1115"/>
      <c r="BY17" s="1115"/>
      <c r="BZ17" s="1115"/>
      <c r="CA17" s="1115"/>
      <c r="CB17" s="1115"/>
      <c r="CC17" s="1115"/>
      <c r="CD17" s="1115"/>
      <c r="CE17" s="1115"/>
      <c r="CF17" s="1115"/>
      <c r="CG17" s="1115"/>
      <c r="CH17" s="1115"/>
      <c r="CI17" s="1115"/>
      <c r="CJ17" s="1115"/>
      <c r="CK17" s="1115"/>
      <c r="CL17" s="1115"/>
      <c r="CM17" s="1115"/>
      <c r="CN17" s="1115"/>
      <c r="CO17" s="1115"/>
      <c r="CP17" s="1115"/>
      <c r="CQ17" s="1115"/>
      <c r="CR17" s="1115"/>
      <c r="CS17" s="1115"/>
      <c r="CT17" s="1115"/>
      <c r="CU17" s="1115"/>
      <c r="CV17" s="1115"/>
      <c r="CW17" s="1115"/>
      <c r="CX17" s="1115"/>
      <c r="CY17" s="1115"/>
      <c r="CZ17" s="1115"/>
      <c r="DA17" s="1115"/>
      <c r="DB17" s="1115"/>
      <c r="DC17" s="1115"/>
      <c r="DD17" s="1115"/>
      <c r="DE17" s="1115"/>
      <c r="DF17" s="1115"/>
      <c r="DG17" s="1118"/>
      <c r="DH17" s="1114"/>
      <c r="DI17" s="1115"/>
      <c r="DJ17" s="1115"/>
      <c r="DK17" s="1115"/>
      <c r="DL17" s="1115"/>
      <c r="DM17" s="1115"/>
      <c r="DN17" s="1115"/>
      <c r="DO17" s="1115"/>
      <c r="DP17" s="1115"/>
      <c r="DQ17" s="1115"/>
      <c r="DR17" s="1115"/>
      <c r="DS17" s="1115"/>
      <c r="DT17" s="1115"/>
      <c r="DU17" s="1115"/>
      <c r="DV17" s="1115"/>
      <c r="DW17" s="1115"/>
      <c r="DX17" s="1115"/>
      <c r="DY17" s="1115"/>
      <c r="DZ17" s="1115"/>
      <c r="EA17" s="1115"/>
      <c r="EB17" s="1115"/>
      <c r="EC17" s="1115"/>
      <c r="ED17" s="1115"/>
      <c r="EE17" s="1115"/>
      <c r="EF17" s="1115"/>
      <c r="EG17" s="1115"/>
      <c r="EH17" s="1115"/>
      <c r="EI17" s="1115"/>
      <c r="EJ17" s="1115"/>
      <c r="EK17" s="1115"/>
      <c r="EL17" s="1115"/>
      <c r="EM17" s="1115"/>
      <c r="EN17" s="1115"/>
      <c r="EO17" s="1115"/>
      <c r="EP17" s="1115"/>
      <c r="EQ17" s="1115"/>
      <c r="ER17" s="1115"/>
      <c r="ES17" s="1115"/>
      <c r="ET17" s="1115"/>
      <c r="EU17" s="1115"/>
      <c r="EV17" s="1115"/>
      <c r="EW17" s="1115"/>
      <c r="EX17" s="1115"/>
      <c r="EY17" s="1115"/>
      <c r="EZ17" s="1115"/>
      <c r="FA17" s="1115"/>
      <c r="FB17" s="1115"/>
      <c r="FC17" s="1115"/>
      <c r="FD17" s="1115"/>
      <c r="FE17" s="1115"/>
      <c r="FF17" s="1115"/>
      <c r="FG17" s="1115"/>
      <c r="FH17" s="1118"/>
    </row>
    <row r="18" spans="1:164" s="1105" customFormat="1" ht="18" customHeight="1" thickBot="1" x14ac:dyDescent="0.4">
      <c r="A18" s="1122"/>
      <c r="B18" s="1125"/>
      <c r="C18" s="1127"/>
      <c r="D18" s="1124"/>
      <c r="E18" s="1120"/>
      <c r="F18" s="1114"/>
      <c r="G18" s="1115"/>
      <c r="H18" s="1115"/>
      <c r="I18" s="1115"/>
      <c r="J18" s="1115"/>
      <c r="K18" s="1115"/>
      <c r="L18" s="1115"/>
      <c r="M18" s="1115"/>
      <c r="N18" s="1115"/>
      <c r="O18" s="1115"/>
      <c r="P18" s="1115"/>
      <c r="Q18" s="1115"/>
      <c r="R18" s="1115"/>
      <c r="S18" s="1115"/>
      <c r="T18" s="1115"/>
      <c r="U18" s="1115"/>
      <c r="V18" s="1115"/>
      <c r="W18" s="1115"/>
      <c r="X18" s="1115"/>
      <c r="Y18" s="1115"/>
      <c r="Z18" s="1115"/>
      <c r="AA18" s="1115"/>
      <c r="AB18" s="1115"/>
      <c r="AC18" s="1115"/>
      <c r="AD18" s="1115"/>
      <c r="AE18" s="1115"/>
      <c r="AF18" s="1115"/>
      <c r="AG18" s="1115"/>
      <c r="AH18" s="1115"/>
      <c r="AI18" s="1115"/>
      <c r="AJ18" s="1115"/>
      <c r="AK18" s="1115"/>
      <c r="AL18" s="1115"/>
      <c r="AM18" s="1115"/>
      <c r="AN18" s="1115"/>
      <c r="AO18" s="1115"/>
      <c r="AP18" s="1115"/>
      <c r="AQ18" s="1115"/>
      <c r="AR18" s="1115"/>
      <c r="AS18" s="1115"/>
      <c r="AT18" s="1115"/>
      <c r="AU18" s="1115"/>
      <c r="AV18" s="1115"/>
      <c r="AW18" s="1115"/>
      <c r="AX18" s="1115"/>
      <c r="AY18" s="1115"/>
      <c r="AZ18" s="1115"/>
      <c r="BA18" s="1115"/>
      <c r="BB18" s="1115"/>
      <c r="BC18" s="1115"/>
      <c r="BD18" s="1115"/>
      <c r="BE18" s="1115"/>
      <c r="BF18" s="1118"/>
      <c r="BG18" s="1114"/>
      <c r="BH18" s="1115"/>
      <c r="BI18" s="1115"/>
      <c r="BJ18" s="1115"/>
      <c r="BK18" s="1115"/>
      <c r="BL18" s="1115"/>
      <c r="BM18" s="1115"/>
      <c r="BN18" s="1115"/>
      <c r="BO18" s="1115"/>
      <c r="BP18" s="1115"/>
      <c r="BQ18" s="1115"/>
      <c r="BR18" s="1115"/>
      <c r="BS18" s="1115"/>
      <c r="BT18" s="1115"/>
      <c r="BU18" s="1115"/>
      <c r="BV18" s="1115"/>
      <c r="BW18" s="1115"/>
      <c r="BX18" s="1115"/>
      <c r="BY18" s="1115"/>
      <c r="BZ18" s="1115"/>
      <c r="CA18" s="1115"/>
      <c r="CB18" s="1115"/>
      <c r="CC18" s="1115"/>
      <c r="CD18" s="1115"/>
      <c r="CE18" s="1115"/>
      <c r="CF18" s="1115"/>
      <c r="CG18" s="1115"/>
      <c r="CH18" s="1115"/>
      <c r="CI18" s="1115"/>
      <c r="CJ18" s="1115"/>
      <c r="CK18" s="1115"/>
      <c r="CL18" s="1115"/>
      <c r="CM18" s="1115"/>
      <c r="CN18" s="1115"/>
      <c r="CO18" s="1115"/>
      <c r="CP18" s="1115"/>
      <c r="CQ18" s="1115"/>
      <c r="CR18" s="1115"/>
      <c r="CS18" s="1115"/>
      <c r="CT18" s="1115"/>
      <c r="CU18" s="1115"/>
      <c r="CV18" s="1115"/>
      <c r="CW18" s="1115"/>
      <c r="CX18" s="1115"/>
      <c r="CY18" s="1115"/>
      <c r="CZ18" s="1115"/>
      <c r="DA18" s="1115"/>
      <c r="DB18" s="1115"/>
      <c r="DC18" s="1115"/>
      <c r="DD18" s="1115"/>
      <c r="DE18" s="1115"/>
      <c r="DF18" s="1115"/>
      <c r="DG18" s="1118"/>
      <c r="DH18" s="1114"/>
      <c r="DI18" s="1115"/>
      <c r="DJ18" s="1115"/>
      <c r="DK18" s="1115"/>
      <c r="DL18" s="1115"/>
      <c r="DM18" s="1115"/>
      <c r="DN18" s="1115"/>
      <c r="DO18" s="1115"/>
      <c r="DP18" s="1115"/>
      <c r="DQ18" s="1115"/>
      <c r="DR18" s="1115"/>
      <c r="DS18" s="1115"/>
      <c r="DT18" s="1115"/>
      <c r="DU18" s="1115"/>
      <c r="DV18" s="1115"/>
      <c r="DW18" s="1115"/>
      <c r="DX18" s="1115"/>
      <c r="DY18" s="1115"/>
      <c r="DZ18" s="1115"/>
      <c r="EA18" s="1115"/>
      <c r="EB18" s="1115"/>
      <c r="EC18" s="1115"/>
      <c r="ED18" s="1115"/>
      <c r="EE18" s="1115"/>
      <c r="EF18" s="1115"/>
      <c r="EG18" s="1115"/>
      <c r="EH18" s="1115"/>
      <c r="EI18" s="1115"/>
      <c r="EJ18" s="1115"/>
      <c r="EK18" s="1115"/>
      <c r="EL18" s="1115"/>
      <c r="EM18" s="1115"/>
      <c r="EN18" s="1115"/>
      <c r="EO18" s="1115"/>
      <c r="EP18" s="1115"/>
      <c r="EQ18" s="1115"/>
      <c r="ER18" s="1115"/>
      <c r="ES18" s="1115"/>
      <c r="ET18" s="1115"/>
      <c r="EU18" s="1115"/>
      <c r="EV18" s="1115"/>
      <c r="EW18" s="1115"/>
      <c r="EX18" s="1115"/>
      <c r="EY18" s="1115"/>
      <c r="EZ18" s="1115"/>
      <c r="FA18" s="1115"/>
      <c r="FB18" s="1115"/>
      <c r="FC18" s="1115"/>
      <c r="FD18" s="1115"/>
      <c r="FE18" s="1115"/>
      <c r="FF18" s="1115"/>
      <c r="FG18" s="1115"/>
      <c r="FH18" s="1118"/>
    </row>
    <row r="19" spans="1:164" s="1105" customFormat="1" ht="18" customHeight="1" thickBot="1" x14ac:dyDescent="0.4">
      <c r="A19" s="1122"/>
      <c r="B19" s="1125"/>
      <c r="C19" s="1127"/>
      <c r="D19" s="1124"/>
      <c r="E19" s="1120"/>
      <c r="F19" s="1114"/>
      <c r="G19" s="1115"/>
      <c r="H19" s="1115"/>
      <c r="I19" s="1115"/>
      <c r="J19" s="1115"/>
      <c r="K19" s="1115"/>
      <c r="L19" s="1115"/>
      <c r="M19" s="1115"/>
      <c r="N19" s="1115"/>
      <c r="O19" s="1115"/>
      <c r="P19" s="1115"/>
      <c r="Q19" s="1115"/>
      <c r="R19" s="1115"/>
      <c r="S19" s="1115"/>
      <c r="T19" s="1115"/>
      <c r="U19" s="1115"/>
      <c r="V19" s="1115"/>
      <c r="W19" s="1115"/>
      <c r="X19" s="1115"/>
      <c r="Y19" s="1115"/>
      <c r="Z19" s="1115"/>
      <c r="AA19" s="1115"/>
      <c r="AB19" s="1115"/>
      <c r="AC19" s="1115"/>
      <c r="AD19" s="1115"/>
      <c r="AE19" s="1115"/>
      <c r="AF19" s="1115"/>
      <c r="AG19" s="1115"/>
      <c r="AH19" s="1115"/>
      <c r="AI19" s="1115"/>
      <c r="AJ19" s="1115"/>
      <c r="AK19" s="1115"/>
      <c r="AL19" s="1115"/>
      <c r="AM19" s="1115"/>
      <c r="AN19" s="1115"/>
      <c r="AO19" s="1115"/>
      <c r="AP19" s="1115"/>
      <c r="AQ19" s="1115"/>
      <c r="AR19" s="1115"/>
      <c r="AS19" s="1115"/>
      <c r="AT19" s="1115"/>
      <c r="AU19" s="1115"/>
      <c r="AV19" s="1115"/>
      <c r="AW19" s="1115"/>
      <c r="AX19" s="1115"/>
      <c r="AY19" s="1115"/>
      <c r="AZ19" s="1115"/>
      <c r="BA19" s="1115"/>
      <c r="BB19" s="1115"/>
      <c r="BC19" s="1115"/>
      <c r="BD19" s="1115"/>
      <c r="BE19" s="1115"/>
      <c r="BF19" s="1118"/>
      <c r="BG19" s="1114"/>
      <c r="BH19" s="1115"/>
      <c r="BI19" s="1115"/>
      <c r="BJ19" s="1115"/>
      <c r="BK19" s="1115"/>
      <c r="BL19" s="1115"/>
      <c r="BM19" s="1115"/>
      <c r="BN19" s="1115"/>
      <c r="BO19" s="1115"/>
      <c r="BP19" s="1115"/>
      <c r="BQ19" s="1115"/>
      <c r="BR19" s="1115"/>
      <c r="BS19" s="1115"/>
      <c r="BT19" s="1115"/>
      <c r="BU19" s="1115"/>
      <c r="BV19" s="1115"/>
      <c r="BW19" s="1115"/>
      <c r="BX19" s="1115"/>
      <c r="BY19" s="1115"/>
      <c r="BZ19" s="1115"/>
      <c r="CA19" s="1115"/>
      <c r="CB19" s="1115"/>
      <c r="CC19" s="1115"/>
      <c r="CD19" s="1115"/>
      <c r="CE19" s="1115"/>
      <c r="CF19" s="1115"/>
      <c r="CG19" s="1115"/>
      <c r="CH19" s="1115"/>
      <c r="CI19" s="1115"/>
      <c r="CJ19" s="1115"/>
      <c r="CK19" s="1115"/>
      <c r="CL19" s="1115"/>
      <c r="CM19" s="1115"/>
      <c r="CN19" s="1115"/>
      <c r="CO19" s="1115"/>
      <c r="CP19" s="1115"/>
      <c r="CQ19" s="1115"/>
      <c r="CR19" s="1115"/>
      <c r="CS19" s="1115"/>
      <c r="CT19" s="1115"/>
      <c r="CU19" s="1115"/>
      <c r="CV19" s="1115"/>
      <c r="CW19" s="1115"/>
      <c r="CX19" s="1115"/>
      <c r="CY19" s="1115"/>
      <c r="CZ19" s="1115"/>
      <c r="DA19" s="1115"/>
      <c r="DB19" s="1115"/>
      <c r="DC19" s="1115"/>
      <c r="DD19" s="1115"/>
      <c r="DE19" s="1115"/>
      <c r="DF19" s="1115"/>
      <c r="DG19" s="1118"/>
      <c r="DH19" s="1114"/>
      <c r="DI19" s="1115"/>
      <c r="DJ19" s="1115"/>
      <c r="DK19" s="1115"/>
      <c r="DL19" s="1115"/>
      <c r="DM19" s="1115"/>
      <c r="DN19" s="1115"/>
      <c r="DO19" s="1115"/>
      <c r="DP19" s="1115"/>
      <c r="DQ19" s="1115"/>
      <c r="DR19" s="1115"/>
      <c r="DS19" s="1115"/>
      <c r="DT19" s="1115"/>
      <c r="DU19" s="1115"/>
      <c r="DV19" s="1115"/>
      <c r="DW19" s="1115"/>
      <c r="DX19" s="1115"/>
      <c r="DY19" s="1115"/>
      <c r="DZ19" s="1115"/>
      <c r="EA19" s="1115"/>
      <c r="EB19" s="1115"/>
      <c r="EC19" s="1115"/>
      <c r="ED19" s="1115"/>
      <c r="EE19" s="1115"/>
      <c r="EF19" s="1115"/>
      <c r="EG19" s="1115"/>
      <c r="EH19" s="1115"/>
      <c r="EI19" s="1115"/>
      <c r="EJ19" s="1115"/>
      <c r="EK19" s="1115"/>
      <c r="EL19" s="1115"/>
      <c r="EM19" s="1115"/>
      <c r="EN19" s="1115"/>
      <c r="EO19" s="1115"/>
      <c r="EP19" s="1115"/>
      <c r="EQ19" s="1115"/>
      <c r="ER19" s="1115"/>
      <c r="ES19" s="1115"/>
      <c r="ET19" s="1115"/>
      <c r="EU19" s="1115"/>
      <c r="EV19" s="1115"/>
      <c r="EW19" s="1115"/>
      <c r="EX19" s="1115"/>
      <c r="EY19" s="1115"/>
      <c r="EZ19" s="1115"/>
      <c r="FA19" s="1115"/>
      <c r="FB19" s="1115"/>
      <c r="FC19" s="1115"/>
      <c r="FD19" s="1115"/>
      <c r="FE19" s="1115"/>
      <c r="FF19" s="1115"/>
      <c r="FG19" s="1115"/>
      <c r="FH19" s="1118"/>
    </row>
    <row r="20" spans="1:164" s="1105" customFormat="1" ht="18.5" customHeight="1" thickBot="1" x14ac:dyDescent="0.4">
      <c r="A20" s="1122"/>
      <c r="B20" s="1125"/>
      <c r="C20" s="1126"/>
      <c r="D20" s="1124"/>
      <c r="E20" s="1120"/>
      <c r="F20" s="1115"/>
      <c r="G20" s="1115"/>
      <c r="H20" s="1115"/>
      <c r="I20" s="1115"/>
      <c r="J20" s="1115"/>
      <c r="K20" s="1115"/>
      <c r="L20" s="1115"/>
      <c r="M20" s="1115"/>
      <c r="N20" s="1115"/>
      <c r="O20" s="1115"/>
      <c r="P20" s="1115"/>
      <c r="Q20" s="1115"/>
      <c r="R20" s="1115"/>
      <c r="S20" s="1115"/>
      <c r="T20" s="1115"/>
      <c r="U20" s="1115"/>
      <c r="V20" s="1115"/>
      <c r="W20" s="1115"/>
      <c r="X20" s="1115"/>
      <c r="Y20" s="1115"/>
      <c r="Z20" s="1115"/>
      <c r="AA20" s="1115"/>
      <c r="AB20" s="1115"/>
      <c r="AC20" s="1115"/>
      <c r="AD20" s="1115"/>
      <c r="AE20" s="1115"/>
      <c r="AF20" s="1115"/>
      <c r="AG20" s="1115"/>
      <c r="AH20" s="1115"/>
      <c r="AI20" s="1115"/>
      <c r="AJ20" s="1115"/>
      <c r="AK20" s="1115"/>
      <c r="AL20" s="1115"/>
      <c r="AM20" s="1115"/>
      <c r="AN20" s="1115"/>
      <c r="AO20" s="1115"/>
      <c r="AP20" s="1115"/>
      <c r="AQ20" s="1115"/>
      <c r="AR20" s="1115"/>
      <c r="AS20" s="1115"/>
      <c r="AT20" s="1115"/>
      <c r="AU20" s="1115"/>
      <c r="AV20" s="1115"/>
      <c r="AW20" s="1115"/>
      <c r="AX20" s="1115"/>
      <c r="AY20" s="1115"/>
      <c r="AZ20" s="1115"/>
      <c r="BA20" s="1115"/>
      <c r="BB20" s="1115"/>
      <c r="BC20" s="1115"/>
      <c r="BD20" s="1115"/>
      <c r="BE20" s="1115"/>
      <c r="BF20" s="1118"/>
      <c r="BG20" s="1115"/>
      <c r="BH20" s="1115"/>
      <c r="BI20" s="1115"/>
      <c r="BJ20" s="1115"/>
      <c r="BK20" s="1115"/>
      <c r="BL20" s="1115"/>
      <c r="BM20" s="1115"/>
      <c r="BN20" s="1115"/>
      <c r="BO20" s="1115"/>
      <c r="BP20" s="1115"/>
      <c r="BQ20" s="1115"/>
      <c r="BR20" s="1115"/>
      <c r="BS20" s="1115"/>
      <c r="BT20" s="1115"/>
      <c r="BU20" s="1115"/>
      <c r="BV20" s="1115"/>
      <c r="BW20" s="1115"/>
      <c r="BX20" s="1115"/>
      <c r="BY20" s="1115"/>
      <c r="BZ20" s="1115"/>
      <c r="CA20" s="1115"/>
      <c r="CB20" s="1115"/>
      <c r="CC20" s="1115"/>
      <c r="CD20" s="1115"/>
      <c r="CE20" s="1115"/>
      <c r="CF20" s="1115"/>
      <c r="CG20" s="1115"/>
      <c r="CH20" s="1115"/>
      <c r="CI20" s="1115"/>
      <c r="CJ20" s="1115"/>
      <c r="CK20" s="1115"/>
      <c r="CL20" s="1115"/>
      <c r="CM20" s="1115"/>
      <c r="CN20" s="1115"/>
      <c r="CO20" s="1115"/>
      <c r="CP20" s="1115"/>
      <c r="CQ20" s="1115"/>
      <c r="CR20" s="1115"/>
      <c r="CS20" s="1115"/>
      <c r="CT20" s="1115"/>
      <c r="CU20" s="1115"/>
      <c r="CV20" s="1115"/>
      <c r="CW20" s="1115"/>
      <c r="CX20" s="1115"/>
      <c r="CY20" s="1115"/>
      <c r="CZ20" s="1115"/>
      <c r="DA20" s="1115"/>
      <c r="DB20" s="1115"/>
      <c r="DC20" s="1115"/>
      <c r="DD20" s="1115"/>
      <c r="DE20" s="1115"/>
      <c r="DF20" s="1115"/>
      <c r="DG20" s="1118"/>
      <c r="DH20" s="1115"/>
      <c r="DI20" s="1115"/>
      <c r="DJ20" s="1115"/>
      <c r="DK20" s="1115"/>
      <c r="DL20" s="1115"/>
      <c r="DM20" s="1115"/>
      <c r="DN20" s="1115"/>
      <c r="DO20" s="1115"/>
      <c r="DP20" s="1115"/>
      <c r="DQ20" s="1115"/>
      <c r="DR20" s="1115"/>
      <c r="DS20" s="1115"/>
      <c r="DT20" s="1115"/>
      <c r="DU20" s="1115"/>
      <c r="DV20" s="1115"/>
      <c r="DW20" s="1115"/>
      <c r="DX20" s="1115"/>
      <c r="DY20" s="1115"/>
      <c r="DZ20" s="1115"/>
      <c r="EA20" s="1115"/>
      <c r="EB20" s="1115"/>
      <c r="EC20" s="1115"/>
      <c r="ED20" s="1115"/>
      <c r="EE20" s="1115"/>
      <c r="EF20" s="1115"/>
      <c r="EG20" s="1115"/>
      <c r="EH20" s="1115"/>
      <c r="EI20" s="1115"/>
      <c r="EJ20" s="1115"/>
      <c r="EK20" s="1115"/>
      <c r="EL20" s="1115"/>
      <c r="EM20" s="1115"/>
      <c r="EN20" s="1115"/>
      <c r="EO20" s="1115"/>
      <c r="EP20" s="1115"/>
      <c r="EQ20" s="1115"/>
      <c r="ER20" s="1115"/>
      <c r="ES20" s="1115"/>
      <c r="ET20" s="1115"/>
      <c r="EU20" s="1115"/>
      <c r="EV20" s="1115"/>
      <c r="EW20" s="1115"/>
      <c r="EX20" s="1115"/>
      <c r="EY20" s="1115"/>
      <c r="EZ20" s="1115"/>
      <c r="FA20" s="1115"/>
      <c r="FB20" s="1115"/>
      <c r="FC20" s="1115"/>
      <c r="FD20" s="1115"/>
      <c r="FE20" s="1115"/>
      <c r="FF20" s="1115"/>
      <c r="FG20" s="1115"/>
      <c r="FH20" s="1118"/>
    </row>
    <row r="21" spans="1:164" s="1105" customFormat="1" ht="18" customHeight="1" thickBot="1" x14ac:dyDescent="0.4">
      <c r="A21" s="1122"/>
      <c r="B21" s="1125"/>
      <c r="C21" s="1127"/>
      <c r="D21" s="1124"/>
      <c r="E21" s="1120"/>
      <c r="F21" s="1114"/>
      <c r="G21" s="1115"/>
      <c r="H21" s="1115"/>
      <c r="I21" s="1115"/>
      <c r="J21" s="1115"/>
      <c r="K21" s="1115"/>
      <c r="L21" s="1115"/>
      <c r="M21" s="1115"/>
      <c r="N21" s="1115"/>
      <c r="O21" s="1115"/>
      <c r="P21" s="1115"/>
      <c r="Q21" s="1115"/>
      <c r="R21" s="1115"/>
      <c r="S21" s="1115"/>
      <c r="T21" s="1115"/>
      <c r="U21" s="1115"/>
      <c r="V21" s="1115"/>
      <c r="W21" s="1115"/>
      <c r="X21" s="1115"/>
      <c r="Y21" s="1115"/>
      <c r="Z21" s="1115"/>
      <c r="AA21" s="1115"/>
      <c r="AB21" s="1115"/>
      <c r="AC21" s="1115"/>
      <c r="AD21" s="1115"/>
      <c r="AE21" s="1115"/>
      <c r="AF21" s="1115"/>
      <c r="AG21" s="1115"/>
      <c r="AH21" s="1115"/>
      <c r="AI21" s="1115"/>
      <c r="AJ21" s="1115"/>
      <c r="AK21" s="1115"/>
      <c r="AL21" s="1115"/>
      <c r="AM21" s="1115"/>
      <c r="AN21" s="1115"/>
      <c r="AO21" s="1115"/>
      <c r="AP21" s="1115"/>
      <c r="AQ21" s="1115"/>
      <c r="AR21" s="1115"/>
      <c r="AS21" s="1115"/>
      <c r="AT21" s="1115"/>
      <c r="AU21" s="1115"/>
      <c r="AV21" s="1115"/>
      <c r="AW21" s="1115"/>
      <c r="AX21" s="1115"/>
      <c r="AY21" s="1115"/>
      <c r="AZ21" s="1115"/>
      <c r="BA21" s="1115"/>
      <c r="BB21" s="1115"/>
      <c r="BC21" s="1115"/>
      <c r="BD21" s="1115"/>
      <c r="BE21" s="1115"/>
      <c r="BF21" s="1118"/>
      <c r="BG21" s="1114"/>
      <c r="BH21" s="1115"/>
      <c r="BI21" s="1115"/>
      <c r="BJ21" s="1115"/>
      <c r="BK21" s="1115"/>
      <c r="BL21" s="1115"/>
      <c r="BM21" s="1115"/>
      <c r="BN21" s="1115"/>
      <c r="BO21" s="1115"/>
      <c r="BP21" s="1115"/>
      <c r="BQ21" s="1115"/>
      <c r="BR21" s="1115"/>
      <c r="BS21" s="1115"/>
      <c r="BT21" s="1115"/>
      <c r="BU21" s="1115"/>
      <c r="BV21" s="1115"/>
      <c r="BW21" s="1115"/>
      <c r="BX21" s="1115"/>
      <c r="BY21" s="1115"/>
      <c r="BZ21" s="1115"/>
      <c r="CA21" s="1115"/>
      <c r="CB21" s="1115"/>
      <c r="CC21" s="1115"/>
      <c r="CD21" s="1115"/>
      <c r="CE21" s="1115"/>
      <c r="CF21" s="1115"/>
      <c r="CG21" s="1115"/>
      <c r="CH21" s="1115"/>
      <c r="CI21" s="1115"/>
      <c r="CJ21" s="1115"/>
      <c r="CK21" s="1115"/>
      <c r="CL21" s="1115"/>
      <c r="CM21" s="1115"/>
      <c r="CN21" s="1115"/>
      <c r="CO21" s="1115"/>
      <c r="CP21" s="1115"/>
      <c r="CQ21" s="1115"/>
      <c r="CR21" s="1115"/>
      <c r="CS21" s="1115"/>
      <c r="CT21" s="1115"/>
      <c r="CU21" s="1115"/>
      <c r="CV21" s="1115"/>
      <c r="CW21" s="1115"/>
      <c r="CX21" s="1115"/>
      <c r="CY21" s="1115"/>
      <c r="CZ21" s="1115"/>
      <c r="DA21" s="1115"/>
      <c r="DB21" s="1115"/>
      <c r="DC21" s="1115"/>
      <c r="DD21" s="1115"/>
      <c r="DE21" s="1115"/>
      <c r="DF21" s="1115"/>
      <c r="DG21" s="1118"/>
      <c r="DH21" s="1114"/>
      <c r="DI21" s="1115"/>
      <c r="DJ21" s="1115"/>
      <c r="DK21" s="1115"/>
      <c r="DL21" s="1115"/>
      <c r="DM21" s="1115"/>
      <c r="DN21" s="1115"/>
      <c r="DO21" s="1115"/>
      <c r="DP21" s="1115"/>
      <c r="DQ21" s="1115"/>
      <c r="DR21" s="1115"/>
      <c r="DS21" s="1115"/>
      <c r="DT21" s="1115"/>
      <c r="DU21" s="1115"/>
      <c r="DV21" s="1115"/>
      <c r="DW21" s="1115"/>
      <c r="DX21" s="1115"/>
      <c r="DY21" s="1115"/>
      <c r="DZ21" s="1115"/>
      <c r="EA21" s="1115"/>
      <c r="EB21" s="1115"/>
      <c r="EC21" s="1115"/>
      <c r="ED21" s="1115"/>
      <c r="EE21" s="1115"/>
      <c r="EF21" s="1115"/>
      <c r="EG21" s="1115"/>
      <c r="EH21" s="1115"/>
      <c r="EI21" s="1115"/>
      <c r="EJ21" s="1115"/>
      <c r="EK21" s="1115"/>
      <c r="EL21" s="1115"/>
      <c r="EM21" s="1115"/>
      <c r="EN21" s="1115"/>
      <c r="EO21" s="1115"/>
      <c r="EP21" s="1115"/>
      <c r="EQ21" s="1115"/>
      <c r="ER21" s="1115"/>
      <c r="ES21" s="1115"/>
      <c r="ET21" s="1115"/>
      <c r="EU21" s="1115"/>
      <c r="EV21" s="1115"/>
      <c r="EW21" s="1115"/>
      <c r="EX21" s="1115"/>
      <c r="EY21" s="1115"/>
      <c r="EZ21" s="1115"/>
      <c r="FA21" s="1115"/>
      <c r="FB21" s="1115"/>
      <c r="FC21" s="1115"/>
      <c r="FD21" s="1115"/>
      <c r="FE21" s="1115"/>
      <c r="FF21" s="1115"/>
      <c r="FG21" s="1115"/>
      <c r="FH21" s="1118"/>
    </row>
    <row r="22" spans="1:164" s="1105" customFormat="1" ht="18" customHeight="1" thickBot="1" x14ac:dyDescent="0.4">
      <c r="A22" s="1122"/>
      <c r="B22" s="1125"/>
      <c r="C22" s="1127"/>
      <c r="D22" s="1124"/>
      <c r="E22" s="1120"/>
      <c r="F22" s="1114"/>
      <c r="G22" s="1115"/>
      <c r="H22" s="1115"/>
      <c r="I22" s="1115"/>
      <c r="J22" s="1115"/>
      <c r="K22" s="1115"/>
      <c r="L22" s="1115"/>
      <c r="M22" s="1115"/>
      <c r="N22" s="1115"/>
      <c r="O22" s="1115"/>
      <c r="P22" s="1115"/>
      <c r="Q22" s="1115"/>
      <c r="R22" s="1115"/>
      <c r="S22" s="1115"/>
      <c r="T22" s="1115"/>
      <c r="U22" s="1115"/>
      <c r="V22" s="1115"/>
      <c r="W22" s="1115"/>
      <c r="X22" s="1115"/>
      <c r="Y22" s="1115"/>
      <c r="Z22" s="1115"/>
      <c r="AA22" s="1115"/>
      <c r="AB22" s="1115"/>
      <c r="AC22" s="1115"/>
      <c r="AD22" s="1115"/>
      <c r="AE22" s="1115"/>
      <c r="AF22" s="1115"/>
      <c r="AG22" s="1115"/>
      <c r="AH22" s="1115"/>
      <c r="AI22" s="1115"/>
      <c r="AJ22" s="1115"/>
      <c r="AK22" s="1115"/>
      <c r="AL22" s="1115"/>
      <c r="AM22" s="1115"/>
      <c r="AN22" s="1115"/>
      <c r="AO22" s="1115"/>
      <c r="AP22" s="1115"/>
      <c r="AQ22" s="1115"/>
      <c r="AR22" s="1115"/>
      <c r="AS22" s="1115"/>
      <c r="AT22" s="1115"/>
      <c r="AU22" s="1115"/>
      <c r="AV22" s="1115"/>
      <c r="AW22" s="1115"/>
      <c r="AX22" s="1115"/>
      <c r="AY22" s="1115"/>
      <c r="AZ22" s="1115"/>
      <c r="BA22" s="1115"/>
      <c r="BB22" s="1115"/>
      <c r="BC22" s="1115"/>
      <c r="BD22" s="1115"/>
      <c r="BE22" s="1115"/>
      <c r="BF22" s="1118"/>
      <c r="BG22" s="1114"/>
      <c r="BH22" s="1115"/>
      <c r="BI22" s="1115"/>
      <c r="BJ22" s="1115"/>
      <c r="BK22" s="1115"/>
      <c r="BL22" s="1115"/>
      <c r="BM22" s="1115"/>
      <c r="BN22" s="1115"/>
      <c r="BO22" s="1115"/>
      <c r="BP22" s="1115"/>
      <c r="BQ22" s="1115"/>
      <c r="BR22" s="1115"/>
      <c r="BS22" s="1115"/>
      <c r="BT22" s="1115"/>
      <c r="BU22" s="1115"/>
      <c r="BV22" s="1115"/>
      <c r="BW22" s="1115"/>
      <c r="BX22" s="1115"/>
      <c r="BY22" s="1115"/>
      <c r="BZ22" s="1115"/>
      <c r="CA22" s="1115"/>
      <c r="CB22" s="1115"/>
      <c r="CC22" s="1115"/>
      <c r="CD22" s="1115"/>
      <c r="CE22" s="1115"/>
      <c r="CF22" s="1115"/>
      <c r="CG22" s="1115"/>
      <c r="CH22" s="1115"/>
      <c r="CI22" s="1115"/>
      <c r="CJ22" s="1115"/>
      <c r="CK22" s="1115"/>
      <c r="CL22" s="1115"/>
      <c r="CM22" s="1115"/>
      <c r="CN22" s="1115"/>
      <c r="CO22" s="1115"/>
      <c r="CP22" s="1115"/>
      <c r="CQ22" s="1115"/>
      <c r="CR22" s="1115"/>
      <c r="CS22" s="1115"/>
      <c r="CT22" s="1115"/>
      <c r="CU22" s="1115"/>
      <c r="CV22" s="1115"/>
      <c r="CW22" s="1115"/>
      <c r="CX22" s="1115"/>
      <c r="CY22" s="1115"/>
      <c r="CZ22" s="1115"/>
      <c r="DA22" s="1115"/>
      <c r="DB22" s="1115"/>
      <c r="DC22" s="1115"/>
      <c r="DD22" s="1115"/>
      <c r="DE22" s="1115"/>
      <c r="DF22" s="1115"/>
      <c r="DG22" s="1118"/>
      <c r="DH22" s="1114"/>
      <c r="DI22" s="1115"/>
      <c r="DJ22" s="1115"/>
      <c r="DK22" s="1115"/>
      <c r="DL22" s="1115"/>
      <c r="DM22" s="1115"/>
      <c r="DN22" s="1115"/>
      <c r="DO22" s="1115"/>
      <c r="DP22" s="1115"/>
      <c r="DQ22" s="1115"/>
      <c r="DR22" s="1115"/>
      <c r="DS22" s="1115"/>
      <c r="DT22" s="1115"/>
      <c r="DU22" s="1115"/>
      <c r="DV22" s="1115"/>
      <c r="DW22" s="1115"/>
      <c r="DX22" s="1115"/>
      <c r="DY22" s="1115"/>
      <c r="DZ22" s="1115"/>
      <c r="EA22" s="1115"/>
      <c r="EB22" s="1115"/>
      <c r="EC22" s="1115"/>
      <c r="ED22" s="1115"/>
      <c r="EE22" s="1115"/>
      <c r="EF22" s="1115"/>
      <c r="EG22" s="1115"/>
      <c r="EH22" s="1115"/>
      <c r="EI22" s="1115"/>
      <c r="EJ22" s="1115"/>
      <c r="EK22" s="1115"/>
      <c r="EL22" s="1115"/>
      <c r="EM22" s="1115"/>
      <c r="EN22" s="1115"/>
      <c r="EO22" s="1115"/>
      <c r="EP22" s="1115"/>
      <c r="EQ22" s="1115"/>
      <c r="ER22" s="1115"/>
      <c r="ES22" s="1115"/>
      <c r="ET22" s="1115"/>
      <c r="EU22" s="1115"/>
      <c r="EV22" s="1115"/>
      <c r="EW22" s="1115"/>
      <c r="EX22" s="1115"/>
      <c r="EY22" s="1115"/>
      <c r="EZ22" s="1115"/>
      <c r="FA22" s="1115"/>
      <c r="FB22" s="1115"/>
      <c r="FC22" s="1115"/>
      <c r="FD22" s="1115"/>
      <c r="FE22" s="1115"/>
      <c r="FF22" s="1115"/>
      <c r="FG22" s="1115"/>
      <c r="FH22" s="1118"/>
    </row>
    <row r="23" spans="1:164" s="1105" customFormat="1" ht="18" customHeight="1" thickBot="1" x14ac:dyDescent="0.4">
      <c r="A23" s="1122"/>
      <c r="B23" s="1125"/>
      <c r="C23" s="1127"/>
      <c r="D23" s="1124"/>
      <c r="E23" s="1120"/>
      <c r="F23" s="1114"/>
      <c r="G23" s="1115"/>
      <c r="H23" s="1115"/>
      <c r="I23" s="1115"/>
      <c r="J23" s="1115"/>
      <c r="K23" s="1115"/>
      <c r="L23" s="1115"/>
      <c r="M23" s="1115"/>
      <c r="N23" s="1115"/>
      <c r="O23" s="1115"/>
      <c r="P23" s="1115"/>
      <c r="Q23" s="1115"/>
      <c r="R23" s="1115"/>
      <c r="S23" s="1115"/>
      <c r="T23" s="1115"/>
      <c r="U23" s="1115"/>
      <c r="V23" s="1115"/>
      <c r="W23" s="1115"/>
      <c r="X23" s="1115"/>
      <c r="Y23" s="1115"/>
      <c r="Z23" s="1115"/>
      <c r="AA23" s="1115"/>
      <c r="AB23" s="1115"/>
      <c r="AC23" s="1115"/>
      <c r="AD23" s="1115"/>
      <c r="AE23" s="1115"/>
      <c r="AF23" s="1115"/>
      <c r="AG23" s="1115"/>
      <c r="AH23" s="1115"/>
      <c r="AI23" s="1115"/>
      <c r="AJ23" s="1115"/>
      <c r="AK23" s="1115"/>
      <c r="AL23" s="1115"/>
      <c r="AM23" s="1115"/>
      <c r="AN23" s="1115"/>
      <c r="AO23" s="1115"/>
      <c r="AP23" s="1115"/>
      <c r="AQ23" s="1115"/>
      <c r="AR23" s="1115"/>
      <c r="AS23" s="1115"/>
      <c r="AT23" s="1115"/>
      <c r="AU23" s="1115"/>
      <c r="AV23" s="1115"/>
      <c r="AW23" s="1115"/>
      <c r="AX23" s="1115"/>
      <c r="AY23" s="1115"/>
      <c r="AZ23" s="1115"/>
      <c r="BA23" s="1115"/>
      <c r="BB23" s="1115"/>
      <c r="BC23" s="1115"/>
      <c r="BD23" s="1115"/>
      <c r="BE23" s="1115"/>
      <c r="BF23" s="1118"/>
      <c r="BG23" s="1114"/>
      <c r="BH23" s="1115"/>
      <c r="BI23" s="1115"/>
      <c r="BJ23" s="1115"/>
      <c r="BK23" s="1115"/>
      <c r="BL23" s="1115"/>
      <c r="BM23" s="1115"/>
      <c r="BN23" s="1115"/>
      <c r="BO23" s="1115"/>
      <c r="BP23" s="1115"/>
      <c r="BQ23" s="1115"/>
      <c r="BR23" s="1115"/>
      <c r="BS23" s="1115"/>
      <c r="BT23" s="1115"/>
      <c r="BU23" s="1115"/>
      <c r="BV23" s="1115"/>
      <c r="BW23" s="1115"/>
      <c r="BX23" s="1115"/>
      <c r="BY23" s="1115"/>
      <c r="BZ23" s="1115"/>
      <c r="CA23" s="1115"/>
      <c r="CB23" s="1115"/>
      <c r="CC23" s="1115"/>
      <c r="CD23" s="1115"/>
      <c r="CE23" s="1115"/>
      <c r="CF23" s="1115"/>
      <c r="CG23" s="1115"/>
      <c r="CH23" s="1115"/>
      <c r="CI23" s="1115"/>
      <c r="CJ23" s="1115"/>
      <c r="CK23" s="1115"/>
      <c r="CL23" s="1115"/>
      <c r="CM23" s="1115"/>
      <c r="CN23" s="1115"/>
      <c r="CO23" s="1115"/>
      <c r="CP23" s="1115"/>
      <c r="CQ23" s="1115"/>
      <c r="CR23" s="1115"/>
      <c r="CS23" s="1115"/>
      <c r="CT23" s="1115"/>
      <c r="CU23" s="1115"/>
      <c r="CV23" s="1115"/>
      <c r="CW23" s="1115"/>
      <c r="CX23" s="1115"/>
      <c r="CY23" s="1115"/>
      <c r="CZ23" s="1115"/>
      <c r="DA23" s="1115"/>
      <c r="DB23" s="1115"/>
      <c r="DC23" s="1115"/>
      <c r="DD23" s="1115"/>
      <c r="DE23" s="1115"/>
      <c r="DF23" s="1115"/>
      <c r="DG23" s="1118"/>
      <c r="DH23" s="1114"/>
      <c r="DI23" s="1115"/>
      <c r="DJ23" s="1115"/>
      <c r="DK23" s="1115"/>
      <c r="DL23" s="1115"/>
      <c r="DM23" s="1115"/>
      <c r="DN23" s="1115"/>
      <c r="DO23" s="1115"/>
      <c r="DP23" s="1115"/>
      <c r="DQ23" s="1115"/>
      <c r="DR23" s="1115"/>
      <c r="DS23" s="1115"/>
      <c r="DT23" s="1115"/>
      <c r="DU23" s="1115"/>
      <c r="DV23" s="1115"/>
      <c r="DW23" s="1115"/>
      <c r="DX23" s="1115"/>
      <c r="DY23" s="1115"/>
      <c r="DZ23" s="1115"/>
      <c r="EA23" s="1115"/>
      <c r="EB23" s="1115"/>
      <c r="EC23" s="1115"/>
      <c r="ED23" s="1115"/>
      <c r="EE23" s="1115"/>
      <c r="EF23" s="1115"/>
      <c r="EG23" s="1115"/>
      <c r="EH23" s="1115"/>
      <c r="EI23" s="1115"/>
      <c r="EJ23" s="1115"/>
      <c r="EK23" s="1115"/>
      <c r="EL23" s="1115"/>
      <c r="EM23" s="1115"/>
      <c r="EN23" s="1115"/>
      <c r="EO23" s="1115"/>
      <c r="EP23" s="1115"/>
      <c r="EQ23" s="1115"/>
      <c r="ER23" s="1115"/>
      <c r="ES23" s="1115"/>
      <c r="ET23" s="1115"/>
      <c r="EU23" s="1115"/>
      <c r="EV23" s="1115"/>
      <c r="EW23" s="1115"/>
      <c r="EX23" s="1115"/>
      <c r="EY23" s="1115"/>
      <c r="EZ23" s="1115"/>
      <c r="FA23" s="1115"/>
      <c r="FB23" s="1115"/>
      <c r="FC23" s="1115"/>
      <c r="FD23" s="1115"/>
      <c r="FE23" s="1115"/>
      <c r="FF23" s="1115"/>
      <c r="FG23" s="1115"/>
      <c r="FH23" s="1118"/>
    </row>
    <row r="24" spans="1:164" s="1105" customFormat="1" ht="18" customHeight="1" thickBot="1" x14ac:dyDescent="0.4">
      <c r="A24" s="1122"/>
      <c r="B24" s="1125"/>
      <c r="C24" s="1127"/>
      <c r="D24" s="1124"/>
      <c r="E24" s="1120"/>
      <c r="F24" s="1114"/>
      <c r="G24" s="1115"/>
      <c r="H24" s="1115"/>
      <c r="I24" s="1115"/>
      <c r="J24" s="1115"/>
      <c r="K24" s="1115"/>
      <c r="L24" s="1115"/>
      <c r="M24" s="1115"/>
      <c r="N24" s="1115"/>
      <c r="O24" s="1115"/>
      <c r="P24" s="1115"/>
      <c r="Q24" s="1115"/>
      <c r="R24" s="1115"/>
      <c r="S24" s="1115"/>
      <c r="T24" s="1115"/>
      <c r="U24" s="1115"/>
      <c r="V24" s="1115"/>
      <c r="W24" s="1115"/>
      <c r="X24" s="1115"/>
      <c r="Y24" s="1115"/>
      <c r="Z24" s="1115"/>
      <c r="AA24" s="1115"/>
      <c r="AB24" s="1115"/>
      <c r="AC24" s="1115"/>
      <c r="AD24" s="1115"/>
      <c r="AE24" s="1115"/>
      <c r="AF24" s="1115"/>
      <c r="AG24" s="1115"/>
      <c r="AH24" s="1115"/>
      <c r="AI24" s="1115"/>
      <c r="AJ24" s="1115"/>
      <c r="AK24" s="1115"/>
      <c r="AL24" s="1115"/>
      <c r="AM24" s="1115"/>
      <c r="AN24" s="1115"/>
      <c r="AO24" s="1115"/>
      <c r="AP24" s="1115"/>
      <c r="AQ24" s="1115"/>
      <c r="AR24" s="1115"/>
      <c r="AS24" s="1115"/>
      <c r="AT24" s="1115"/>
      <c r="AU24" s="1115"/>
      <c r="AV24" s="1115"/>
      <c r="AW24" s="1115"/>
      <c r="AX24" s="1115"/>
      <c r="AY24" s="1115"/>
      <c r="AZ24" s="1115"/>
      <c r="BA24" s="1115"/>
      <c r="BB24" s="1115"/>
      <c r="BC24" s="1115"/>
      <c r="BD24" s="1115"/>
      <c r="BE24" s="1115"/>
      <c r="BF24" s="1118"/>
      <c r="BG24" s="1114"/>
      <c r="BH24" s="1115"/>
      <c r="BI24" s="1115"/>
      <c r="BJ24" s="1115"/>
      <c r="BK24" s="1115"/>
      <c r="BL24" s="1115"/>
      <c r="BM24" s="1115"/>
      <c r="BN24" s="1115"/>
      <c r="BO24" s="1115"/>
      <c r="BP24" s="1115"/>
      <c r="BQ24" s="1115"/>
      <c r="BR24" s="1115"/>
      <c r="BS24" s="1115"/>
      <c r="BT24" s="1115"/>
      <c r="BU24" s="1115"/>
      <c r="BV24" s="1115"/>
      <c r="BW24" s="1115"/>
      <c r="BX24" s="1115"/>
      <c r="BY24" s="1115"/>
      <c r="BZ24" s="1115"/>
      <c r="CA24" s="1115"/>
      <c r="CB24" s="1115"/>
      <c r="CC24" s="1115"/>
      <c r="CD24" s="1115"/>
      <c r="CE24" s="1115"/>
      <c r="CF24" s="1115"/>
      <c r="CG24" s="1115"/>
      <c r="CH24" s="1115"/>
      <c r="CI24" s="1115"/>
      <c r="CJ24" s="1115"/>
      <c r="CK24" s="1115"/>
      <c r="CL24" s="1115"/>
      <c r="CM24" s="1115"/>
      <c r="CN24" s="1115"/>
      <c r="CO24" s="1115"/>
      <c r="CP24" s="1115"/>
      <c r="CQ24" s="1115"/>
      <c r="CR24" s="1115"/>
      <c r="CS24" s="1115"/>
      <c r="CT24" s="1115"/>
      <c r="CU24" s="1115"/>
      <c r="CV24" s="1115"/>
      <c r="CW24" s="1115"/>
      <c r="CX24" s="1115"/>
      <c r="CY24" s="1115"/>
      <c r="CZ24" s="1115"/>
      <c r="DA24" s="1115"/>
      <c r="DB24" s="1115"/>
      <c r="DC24" s="1115"/>
      <c r="DD24" s="1115"/>
      <c r="DE24" s="1115"/>
      <c r="DF24" s="1115"/>
      <c r="DG24" s="1118"/>
      <c r="DH24" s="1114"/>
      <c r="DI24" s="1115"/>
      <c r="DJ24" s="1115"/>
      <c r="DK24" s="1115"/>
      <c r="DL24" s="1115"/>
      <c r="DM24" s="1115"/>
      <c r="DN24" s="1115"/>
      <c r="DO24" s="1115"/>
      <c r="DP24" s="1115"/>
      <c r="DQ24" s="1115"/>
      <c r="DR24" s="1115"/>
      <c r="DS24" s="1115"/>
      <c r="DT24" s="1115"/>
      <c r="DU24" s="1115"/>
      <c r="DV24" s="1115"/>
      <c r="DW24" s="1115"/>
      <c r="DX24" s="1115"/>
      <c r="DY24" s="1115"/>
      <c r="DZ24" s="1115"/>
      <c r="EA24" s="1115"/>
      <c r="EB24" s="1115"/>
      <c r="EC24" s="1115"/>
      <c r="ED24" s="1115"/>
      <c r="EE24" s="1115"/>
      <c r="EF24" s="1115"/>
      <c r="EG24" s="1115"/>
      <c r="EH24" s="1115"/>
      <c r="EI24" s="1115"/>
      <c r="EJ24" s="1115"/>
      <c r="EK24" s="1115"/>
      <c r="EL24" s="1115"/>
      <c r="EM24" s="1115"/>
      <c r="EN24" s="1115"/>
      <c r="EO24" s="1115"/>
      <c r="EP24" s="1115"/>
      <c r="EQ24" s="1115"/>
      <c r="ER24" s="1115"/>
      <c r="ES24" s="1115"/>
      <c r="ET24" s="1115"/>
      <c r="EU24" s="1115"/>
      <c r="EV24" s="1115"/>
      <c r="EW24" s="1115"/>
      <c r="EX24" s="1115"/>
      <c r="EY24" s="1115"/>
      <c r="EZ24" s="1115"/>
      <c r="FA24" s="1115"/>
      <c r="FB24" s="1115"/>
      <c r="FC24" s="1115"/>
      <c r="FD24" s="1115"/>
      <c r="FE24" s="1115"/>
      <c r="FF24" s="1115"/>
      <c r="FG24" s="1115"/>
      <c r="FH24" s="1118"/>
    </row>
    <row r="25" spans="1:164" s="1105" customFormat="1" ht="18" customHeight="1" thickBot="1" x14ac:dyDescent="0.4">
      <c r="A25" s="1122"/>
      <c r="B25" s="1125"/>
      <c r="C25" s="1127"/>
      <c r="D25" s="1124"/>
      <c r="E25" s="1120"/>
      <c r="F25" s="1114"/>
      <c r="G25" s="1115"/>
      <c r="H25" s="1115"/>
      <c r="I25" s="1115"/>
      <c r="J25" s="1115"/>
      <c r="K25" s="1115"/>
      <c r="L25" s="1115"/>
      <c r="M25" s="1115"/>
      <c r="N25" s="1115"/>
      <c r="O25" s="1115"/>
      <c r="P25" s="1115"/>
      <c r="Q25" s="1115"/>
      <c r="R25" s="1115"/>
      <c r="S25" s="1115"/>
      <c r="T25" s="1115"/>
      <c r="U25" s="1115"/>
      <c r="V25" s="1115"/>
      <c r="W25" s="1115"/>
      <c r="X25" s="1115"/>
      <c r="Y25" s="1115"/>
      <c r="Z25" s="1115"/>
      <c r="AA25" s="1115"/>
      <c r="AB25" s="1115"/>
      <c r="AC25" s="1115"/>
      <c r="AD25" s="1115"/>
      <c r="AE25" s="1115"/>
      <c r="AF25" s="1115"/>
      <c r="AG25" s="1115"/>
      <c r="AH25" s="1115"/>
      <c r="AI25" s="1115"/>
      <c r="AJ25" s="1115"/>
      <c r="AK25" s="1115"/>
      <c r="AL25" s="1115"/>
      <c r="AM25" s="1115"/>
      <c r="AN25" s="1115"/>
      <c r="AO25" s="1115"/>
      <c r="AP25" s="1115"/>
      <c r="AQ25" s="1115"/>
      <c r="AR25" s="1115"/>
      <c r="AS25" s="1115"/>
      <c r="AT25" s="1115"/>
      <c r="AU25" s="1115"/>
      <c r="AV25" s="1115"/>
      <c r="AW25" s="1115"/>
      <c r="AX25" s="1115"/>
      <c r="AY25" s="1115"/>
      <c r="AZ25" s="1115"/>
      <c r="BA25" s="1115"/>
      <c r="BB25" s="1115"/>
      <c r="BC25" s="1115"/>
      <c r="BD25" s="1115"/>
      <c r="BE25" s="1115"/>
      <c r="BF25" s="1118"/>
      <c r="BG25" s="1114"/>
      <c r="BH25" s="1115"/>
      <c r="BI25" s="1115"/>
      <c r="BJ25" s="1115"/>
      <c r="BK25" s="1115"/>
      <c r="BL25" s="1115"/>
      <c r="BM25" s="1115"/>
      <c r="BN25" s="1115"/>
      <c r="BO25" s="1115"/>
      <c r="BP25" s="1115"/>
      <c r="BQ25" s="1115"/>
      <c r="BR25" s="1115"/>
      <c r="BS25" s="1115"/>
      <c r="BT25" s="1115"/>
      <c r="BU25" s="1115"/>
      <c r="BV25" s="1115"/>
      <c r="BW25" s="1115"/>
      <c r="BX25" s="1115"/>
      <c r="BY25" s="1115"/>
      <c r="BZ25" s="1115"/>
      <c r="CA25" s="1115"/>
      <c r="CB25" s="1115"/>
      <c r="CC25" s="1115"/>
      <c r="CD25" s="1115"/>
      <c r="CE25" s="1115"/>
      <c r="CF25" s="1115"/>
      <c r="CG25" s="1115"/>
      <c r="CH25" s="1115"/>
      <c r="CI25" s="1115"/>
      <c r="CJ25" s="1115"/>
      <c r="CK25" s="1115"/>
      <c r="CL25" s="1115"/>
      <c r="CM25" s="1115"/>
      <c r="CN25" s="1115"/>
      <c r="CO25" s="1115"/>
      <c r="CP25" s="1115"/>
      <c r="CQ25" s="1115"/>
      <c r="CR25" s="1115"/>
      <c r="CS25" s="1115"/>
      <c r="CT25" s="1115"/>
      <c r="CU25" s="1115"/>
      <c r="CV25" s="1115"/>
      <c r="CW25" s="1115"/>
      <c r="CX25" s="1115"/>
      <c r="CY25" s="1115"/>
      <c r="CZ25" s="1115"/>
      <c r="DA25" s="1115"/>
      <c r="DB25" s="1115"/>
      <c r="DC25" s="1115"/>
      <c r="DD25" s="1115"/>
      <c r="DE25" s="1115"/>
      <c r="DF25" s="1115"/>
      <c r="DG25" s="1118"/>
      <c r="DH25" s="1114"/>
      <c r="DI25" s="1115"/>
      <c r="DJ25" s="1115"/>
      <c r="DK25" s="1115"/>
      <c r="DL25" s="1115"/>
      <c r="DM25" s="1115"/>
      <c r="DN25" s="1115"/>
      <c r="DO25" s="1115"/>
      <c r="DP25" s="1115"/>
      <c r="DQ25" s="1115"/>
      <c r="DR25" s="1115"/>
      <c r="DS25" s="1115"/>
      <c r="DT25" s="1115"/>
      <c r="DU25" s="1115"/>
      <c r="DV25" s="1115"/>
      <c r="DW25" s="1115"/>
      <c r="DX25" s="1115"/>
      <c r="DY25" s="1115"/>
      <c r="DZ25" s="1115"/>
      <c r="EA25" s="1115"/>
      <c r="EB25" s="1115"/>
      <c r="EC25" s="1115"/>
      <c r="ED25" s="1115"/>
      <c r="EE25" s="1115"/>
      <c r="EF25" s="1115"/>
      <c r="EG25" s="1115"/>
      <c r="EH25" s="1115"/>
      <c r="EI25" s="1115"/>
      <c r="EJ25" s="1115"/>
      <c r="EK25" s="1115"/>
      <c r="EL25" s="1115"/>
      <c r="EM25" s="1115"/>
      <c r="EN25" s="1115"/>
      <c r="EO25" s="1115"/>
      <c r="EP25" s="1115"/>
      <c r="EQ25" s="1115"/>
      <c r="ER25" s="1115"/>
      <c r="ES25" s="1115"/>
      <c r="ET25" s="1115"/>
      <c r="EU25" s="1115"/>
      <c r="EV25" s="1115"/>
      <c r="EW25" s="1115"/>
      <c r="EX25" s="1115"/>
      <c r="EY25" s="1115"/>
      <c r="EZ25" s="1115"/>
      <c r="FA25" s="1115"/>
      <c r="FB25" s="1115"/>
      <c r="FC25" s="1115"/>
      <c r="FD25" s="1115"/>
      <c r="FE25" s="1115"/>
      <c r="FF25" s="1115"/>
      <c r="FG25" s="1115"/>
      <c r="FH25" s="1118"/>
    </row>
    <row r="26" spans="1:164" s="1105" customFormat="1" ht="18" customHeight="1" thickBot="1" x14ac:dyDescent="0.4">
      <c r="A26" s="1122"/>
      <c r="B26" s="1125"/>
      <c r="C26" s="1127"/>
      <c r="D26" s="1124"/>
      <c r="E26" s="1120"/>
      <c r="F26" s="1114"/>
      <c r="G26" s="1115"/>
      <c r="H26" s="1115"/>
      <c r="I26" s="1115"/>
      <c r="J26" s="1115"/>
      <c r="K26" s="1115"/>
      <c r="L26" s="1115"/>
      <c r="M26" s="1115"/>
      <c r="N26" s="1115"/>
      <c r="O26" s="1115"/>
      <c r="P26" s="1115"/>
      <c r="Q26" s="1115"/>
      <c r="R26" s="1115"/>
      <c r="S26" s="1115"/>
      <c r="T26" s="1115"/>
      <c r="U26" s="1115"/>
      <c r="V26" s="1115"/>
      <c r="W26" s="1115"/>
      <c r="X26" s="1115"/>
      <c r="Y26" s="1115"/>
      <c r="Z26" s="1115"/>
      <c r="AA26" s="1115"/>
      <c r="AB26" s="1115"/>
      <c r="AC26" s="1115"/>
      <c r="AD26" s="1115"/>
      <c r="AE26" s="1115"/>
      <c r="AF26" s="1115"/>
      <c r="AG26" s="1115"/>
      <c r="AH26" s="1115"/>
      <c r="AI26" s="1115"/>
      <c r="AJ26" s="1115"/>
      <c r="AK26" s="1115"/>
      <c r="AL26" s="1115"/>
      <c r="AM26" s="1115"/>
      <c r="AN26" s="1115"/>
      <c r="AO26" s="1115"/>
      <c r="AP26" s="1115"/>
      <c r="AQ26" s="1115"/>
      <c r="AR26" s="1115"/>
      <c r="AS26" s="1115"/>
      <c r="AT26" s="1115"/>
      <c r="AU26" s="1115"/>
      <c r="AV26" s="1115"/>
      <c r="AW26" s="1115"/>
      <c r="AX26" s="1115"/>
      <c r="AY26" s="1115"/>
      <c r="AZ26" s="1115"/>
      <c r="BA26" s="1115"/>
      <c r="BB26" s="1115"/>
      <c r="BC26" s="1115"/>
      <c r="BD26" s="1115"/>
      <c r="BE26" s="1115"/>
      <c r="BF26" s="1118"/>
      <c r="BG26" s="1114"/>
      <c r="BH26" s="1115"/>
      <c r="BI26" s="1115"/>
      <c r="BJ26" s="1115"/>
      <c r="BK26" s="1115"/>
      <c r="BL26" s="1115"/>
      <c r="BM26" s="1115"/>
      <c r="BN26" s="1115"/>
      <c r="BO26" s="1115"/>
      <c r="BP26" s="1115"/>
      <c r="BQ26" s="1115"/>
      <c r="BR26" s="1115"/>
      <c r="BS26" s="1115"/>
      <c r="BT26" s="1115"/>
      <c r="BU26" s="1115"/>
      <c r="BV26" s="1115"/>
      <c r="BW26" s="1115"/>
      <c r="BX26" s="1115"/>
      <c r="BY26" s="1115"/>
      <c r="BZ26" s="1115"/>
      <c r="CA26" s="1115"/>
      <c r="CB26" s="1115"/>
      <c r="CC26" s="1115"/>
      <c r="CD26" s="1115"/>
      <c r="CE26" s="1115"/>
      <c r="CF26" s="1115"/>
      <c r="CG26" s="1115"/>
      <c r="CH26" s="1115"/>
      <c r="CI26" s="1115"/>
      <c r="CJ26" s="1115"/>
      <c r="CK26" s="1115"/>
      <c r="CL26" s="1115"/>
      <c r="CM26" s="1115"/>
      <c r="CN26" s="1115"/>
      <c r="CO26" s="1115"/>
      <c r="CP26" s="1115"/>
      <c r="CQ26" s="1115"/>
      <c r="CR26" s="1115"/>
      <c r="CS26" s="1115"/>
      <c r="CT26" s="1115"/>
      <c r="CU26" s="1115"/>
      <c r="CV26" s="1115"/>
      <c r="CW26" s="1115"/>
      <c r="CX26" s="1115"/>
      <c r="CY26" s="1115"/>
      <c r="CZ26" s="1115"/>
      <c r="DA26" s="1115"/>
      <c r="DB26" s="1115"/>
      <c r="DC26" s="1115"/>
      <c r="DD26" s="1115"/>
      <c r="DE26" s="1115"/>
      <c r="DF26" s="1115"/>
      <c r="DG26" s="1118"/>
      <c r="DH26" s="1114"/>
      <c r="DI26" s="1115"/>
      <c r="DJ26" s="1115"/>
      <c r="DK26" s="1115"/>
      <c r="DL26" s="1115"/>
      <c r="DM26" s="1115"/>
      <c r="DN26" s="1115"/>
      <c r="DO26" s="1115"/>
      <c r="DP26" s="1115"/>
      <c r="DQ26" s="1115"/>
      <c r="DR26" s="1115"/>
      <c r="DS26" s="1115"/>
      <c r="DT26" s="1115"/>
      <c r="DU26" s="1115"/>
      <c r="DV26" s="1115"/>
      <c r="DW26" s="1115"/>
      <c r="DX26" s="1115"/>
      <c r="DY26" s="1115"/>
      <c r="DZ26" s="1115"/>
      <c r="EA26" s="1115"/>
      <c r="EB26" s="1115"/>
      <c r="EC26" s="1115"/>
      <c r="ED26" s="1115"/>
      <c r="EE26" s="1115"/>
      <c r="EF26" s="1115"/>
      <c r="EG26" s="1115"/>
      <c r="EH26" s="1115"/>
      <c r="EI26" s="1115"/>
      <c r="EJ26" s="1115"/>
      <c r="EK26" s="1115"/>
      <c r="EL26" s="1115"/>
      <c r="EM26" s="1115"/>
      <c r="EN26" s="1115"/>
      <c r="EO26" s="1115"/>
      <c r="EP26" s="1115"/>
      <c r="EQ26" s="1115"/>
      <c r="ER26" s="1115"/>
      <c r="ES26" s="1115"/>
      <c r="ET26" s="1115"/>
      <c r="EU26" s="1115"/>
      <c r="EV26" s="1115"/>
      <c r="EW26" s="1115"/>
      <c r="EX26" s="1115"/>
      <c r="EY26" s="1115"/>
      <c r="EZ26" s="1115"/>
      <c r="FA26" s="1115"/>
      <c r="FB26" s="1115"/>
      <c r="FC26" s="1115"/>
      <c r="FD26" s="1115"/>
      <c r="FE26" s="1115"/>
      <c r="FF26" s="1115"/>
      <c r="FG26" s="1115"/>
      <c r="FH26" s="1118"/>
    </row>
    <row r="27" spans="1:164" s="1105" customFormat="1" ht="18" customHeight="1" thickBot="1" x14ac:dyDescent="0.4">
      <c r="A27" s="1122"/>
      <c r="B27" s="1125"/>
      <c r="C27" s="1127"/>
      <c r="D27" s="1124"/>
      <c r="E27" s="1120"/>
      <c r="F27" s="1114"/>
      <c r="G27" s="1115"/>
      <c r="H27" s="1115"/>
      <c r="I27" s="1115"/>
      <c r="J27" s="1115"/>
      <c r="K27" s="1115"/>
      <c r="L27" s="1115"/>
      <c r="M27" s="1115"/>
      <c r="N27" s="1115"/>
      <c r="O27" s="1115"/>
      <c r="P27" s="1115"/>
      <c r="Q27" s="1115"/>
      <c r="R27" s="1115"/>
      <c r="S27" s="1115"/>
      <c r="T27" s="1115"/>
      <c r="U27" s="1115"/>
      <c r="V27" s="1115"/>
      <c r="W27" s="1115"/>
      <c r="X27" s="1115"/>
      <c r="Y27" s="1115"/>
      <c r="Z27" s="1115"/>
      <c r="AA27" s="1115"/>
      <c r="AB27" s="1115"/>
      <c r="AC27" s="1115"/>
      <c r="AD27" s="1115"/>
      <c r="AE27" s="1115"/>
      <c r="AF27" s="1115"/>
      <c r="AG27" s="1115"/>
      <c r="AH27" s="1115"/>
      <c r="AI27" s="1115"/>
      <c r="AJ27" s="1115"/>
      <c r="AK27" s="1115"/>
      <c r="AL27" s="1115"/>
      <c r="AM27" s="1115"/>
      <c r="AN27" s="1115"/>
      <c r="AO27" s="1115"/>
      <c r="AP27" s="1115"/>
      <c r="AQ27" s="1115"/>
      <c r="AR27" s="1115"/>
      <c r="AS27" s="1115"/>
      <c r="AT27" s="1115"/>
      <c r="AU27" s="1115"/>
      <c r="AV27" s="1115"/>
      <c r="AW27" s="1115"/>
      <c r="AX27" s="1115"/>
      <c r="AY27" s="1115"/>
      <c r="AZ27" s="1115"/>
      <c r="BA27" s="1115"/>
      <c r="BB27" s="1115"/>
      <c r="BC27" s="1115"/>
      <c r="BD27" s="1115"/>
      <c r="BE27" s="1115"/>
      <c r="BF27" s="1118"/>
      <c r="BG27" s="1114"/>
      <c r="BH27" s="1115"/>
      <c r="BI27" s="1115"/>
      <c r="BJ27" s="1115"/>
      <c r="BK27" s="1115"/>
      <c r="BL27" s="1115"/>
      <c r="BM27" s="1115"/>
      <c r="BN27" s="1115"/>
      <c r="BO27" s="1115"/>
      <c r="BP27" s="1115"/>
      <c r="BQ27" s="1115"/>
      <c r="BR27" s="1115"/>
      <c r="BS27" s="1115"/>
      <c r="BT27" s="1115"/>
      <c r="BU27" s="1115"/>
      <c r="BV27" s="1115"/>
      <c r="BW27" s="1115"/>
      <c r="BX27" s="1115"/>
      <c r="BY27" s="1115"/>
      <c r="BZ27" s="1115"/>
      <c r="CA27" s="1115"/>
      <c r="CB27" s="1115"/>
      <c r="CC27" s="1115"/>
      <c r="CD27" s="1115"/>
      <c r="CE27" s="1115"/>
      <c r="CF27" s="1115"/>
      <c r="CG27" s="1115"/>
      <c r="CH27" s="1115"/>
      <c r="CI27" s="1115"/>
      <c r="CJ27" s="1115"/>
      <c r="CK27" s="1115"/>
      <c r="CL27" s="1115"/>
      <c r="CM27" s="1115"/>
      <c r="CN27" s="1115"/>
      <c r="CO27" s="1115"/>
      <c r="CP27" s="1115"/>
      <c r="CQ27" s="1115"/>
      <c r="CR27" s="1115"/>
      <c r="CS27" s="1115"/>
      <c r="CT27" s="1115"/>
      <c r="CU27" s="1115"/>
      <c r="CV27" s="1115"/>
      <c r="CW27" s="1115"/>
      <c r="CX27" s="1115"/>
      <c r="CY27" s="1115"/>
      <c r="CZ27" s="1115"/>
      <c r="DA27" s="1115"/>
      <c r="DB27" s="1115"/>
      <c r="DC27" s="1115"/>
      <c r="DD27" s="1115"/>
      <c r="DE27" s="1115"/>
      <c r="DF27" s="1115"/>
      <c r="DG27" s="1118"/>
      <c r="DH27" s="1114"/>
      <c r="DI27" s="1115"/>
      <c r="DJ27" s="1115"/>
      <c r="DK27" s="1115"/>
      <c r="DL27" s="1115"/>
      <c r="DM27" s="1115"/>
      <c r="DN27" s="1115"/>
      <c r="DO27" s="1115"/>
      <c r="DP27" s="1115"/>
      <c r="DQ27" s="1115"/>
      <c r="DR27" s="1115"/>
      <c r="DS27" s="1115"/>
      <c r="DT27" s="1115"/>
      <c r="DU27" s="1115"/>
      <c r="DV27" s="1115"/>
      <c r="DW27" s="1115"/>
      <c r="DX27" s="1115"/>
      <c r="DY27" s="1115"/>
      <c r="DZ27" s="1115"/>
      <c r="EA27" s="1115"/>
      <c r="EB27" s="1115"/>
      <c r="EC27" s="1115"/>
      <c r="ED27" s="1115"/>
      <c r="EE27" s="1115"/>
      <c r="EF27" s="1115"/>
      <c r="EG27" s="1115"/>
      <c r="EH27" s="1115"/>
      <c r="EI27" s="1115"/>
      <c r="EJ27" s="1115"/>
      <c r="EK27" s="1115"/>
      <c r="EL27" s="1115"/>
      <c r="EM27" s="1115"/>
      <c r="EN27" s="1115"/>
      <c r="EO27" s="1115"/>
      <c r="EP27" s="1115"/>
      <c r="EQ27" s="1115"/>
      <c r="ER27" s="1115"/>
      <c r="ES27" s="1115"/>
      <c r="ET27" s="1115"/>
      <c r="EU27" s="1115"/>
      <c r="EV27" s="1115"/>
      <c r="EW27" s="1115"/>
      <c r="EX27" s="1115"/>
      <c r="EY27" s="1115"/>
      <c r="EZ27" s="1115"/>
      <c r="FA27" s="1115"/>
      <c r="FB27" s="1115"/>
      <c r="FC27" s="1115"/>
      <c r="FD27" s="1115"/>
      <c r="FE27" s="1115"/>
      <c r="FF27" s="1115"/>
      <c r="FG27" s="1115"/>
      <c r="FH27" s="1118"/>
    </row>
    <row r="28" spans="1:164" s="1105" customFormat="1" ht="18" customHeight="1" thickBot="1" x14ac:dyDescent="0.4">
      <c r="A28" s="1122"/>
      <c r="B28" s="1125"/>
      <c r="C28" s="1127"/>
      <c r="D28" s="1124"/>
      <c r="E28" s="1120"/>
      <c r="F28" s="1114"/>
      <c r="G28" s="1115"/>
      <c r="H28" s="1115"/>
      <c r="I28" s="1115"/>
      <c r="J28" s="1115"/>
      <c r="K28" s="1115"/>
      <c r="L28" s="1115"/>
      <c r="M28" s="1115"/>
      <c r="N28" s="1115"/>
      <c r="O28" s="1115"/>
      <c r="P28" s="1115"/>
      <c r="Q28" s="1115"/>
      <c r="R28" s="1115"/>
      <c r="S28" s="1115"/>
      <c r="T28" s="1115"/>
      <c r="U28" s="1115"/>
      <c r="V28" s="1115"/>
      <c r="W28" s="1115"/>
      <c r="X28" s="1115"/>
      <c r="Y28" s="1115"/>
      <c r="Z28" s="1115"/>
      <c r="AA28" s="1115"/>
      <c r="AB28" s="1115"/>
      <c r="AC28" s="1115"/>
      <c r="AD28" s="1115"/>
      <c r="AE28" s="1115"/>
      <c r="AF28" s="1115"/>
      <c r="AG28" s="1115"/>
      <c r="AH28" s="1115"/>
      <c r="AI28" s="1115"/>
      <c r="AJ28" s="1115"/>
      <c r="AK28" s="1115"/>
      <c r="AL28" s="1115"/>
      <c r="AM28" s="1115"/>
      <c r="AN28" s="1115"/>
      <c r="AO28" s="1115"/>
      <c r="AP28" s="1115"/>
      <c r="AQ28" s="1115"/>
      <c r="AR28" s="1115"/>
      <c r="AS28" s="1115"/>
      <c r="AT28" s="1115"/>
      <c r="AU28" s="1115"/>
      <c r="AV28" s="1115"/>
      <c r="AW28" s="1115"/>
      <c r="AX28" s="1115"/>
      <c r="AY28" s="1115"/>
      <c r="AZ28" s="1115"/>
      <c r="BA28" s="1115"/>
      <c r="BB28" s="1115"/>
      <c r="BC28" s="1115"/>
      <c r="BD28" s="1115"/>
      <c r="BE28" s="1115"/>
      <c r="BF28" s="1118"/>
      <c r="BG28" s="1114"/>
      <c r="BH28" s="1115"/>
      <c r="BI28" s="1115"/>
      <c r="BJ28" s="1115"/>
      <c r="BK28" s="1115"/>
      <c r="BL28" s="1115"/>
      <c r="BM28" s="1115"/>
      <c r="BN28" s="1115"/>
      <c r="BO28" s="1115"/>
      <c r="BP28" s="1115"/>
      <c r="BQ28" s="1115"/>
      <c r="BR28" s="1115"/>
      <c r="BS28" s="1115"/>
      <c r="BT28" s="1115"/>
      <c r="BU28" s="1115"/>
      <c r="BV28" s="1115"/>
      <c r="BW28" s="1115"/>
      <c r="BX28" s="1115"/>
      <c r="BY28" s="1115"/>
      <c r="BZ28" s="1115"/>
      <c r="CA28" s="1115"/>
      <c r="CB28" s="1115"/>
      <c r="CC28" s="1115"/>
      <c r="CD28" s="1115"/>
      <c r="CE28" s="1115"/>
      <c r="CF28" s="1115"/>
      <c r="CG28" s="1115"/>
      <c r="CH28" s="1115"/>
      <c r="CI28" s="1115"/>
      <c r="CJ28" s="1115"/>
      <c r="CK28" s="1115"/>
      <c r="CL28" s="1115"/>
      <c r="CM28" s="1115"/>
      <c r="CN28" s="1115"/>
      <c r="CO28" s="1115"/>
      <c r="CP28" s="1115"/>
      <c r="CQ28" s="1115"/>
      <c r="CR28" s="1115"/>
      <c r="CS28" s="1115"/>
      <c r="CT28" s="1115"/>
      <c r="CU28" s="1115"/>
      <c r="CV28" s="1115"/>
      <c r="CW28" s="1115"/>
      <c r="CX28" s="1115"/>
      <c r="CY28" s="1115"/>
      <c r="CZ28" s="1115"/>
      <c r="DA28" s="1115"/>
      <c r="DB28" s="1115"/>
      <c r="DC28" s="1115"/>
      <c r="DD28" s="1115"/>
      <c r="DE28" s="1115"/>
      <c r="DF28" s="1115"/>
      <c r="DG28" s="1118"/>
      <c r="DH28" s="1114"/>
      <c r="DI28" s="1115"/>
      <c r="DJ28" s="1115"/>
      <c r="DK28" s="1115"/>
      <c r="DL28" s="1115"/>
      <c r="DM28" s="1115"/>
      <c r="DN28" s="1115"/>
      <c r="DO28" s="1115"/>
      <c r="DP28" s="1115"/>
      <c r="DQ28" s="1115"/>
      <c r="DR28" s="1115"/>
      <c r="DS28" s="1115"/>
      <c r="DT28" s="1115"/>
      <c r="DU28" s="1115"/>
      <c r="DV28" s="1115"/>
      <c r="DW28" s="1115"/>
      <c r="DX28" s="1115"/>
      <c r="DY28" s="1115"/>
      <c r="DZ28" s="1115"/>
      <c r="EA28" s="1115"/>
      <c r="EB28" s="1115"/>
      <c r="EC28" s="1115"/>
      <c r="ED28" s="1115"/>
      <c r="EE28" s="1115"/>
      <c r="EF28" s="1115"/>
      <c r="EG28" s="1115"/>
      <c r="EH28" s="1115"/>
      <c r="EI28" s="1115"/>
      <c r="EJ28" s="1115"/>
      <c r="EK28" s="1115"/>
      <c r="EL28" s="1115"/>
      <c r="EM28" s="1115"/>
      <c r="EN28" s="1115"/>
      <c r="EO28" s="1115"/>
      <c r="EP28" s="1115"/>
      <c r="EQ28" s="1115"/>
      <c r="ER28" s="1115"/>
      <c r="ES28" s="1115"/>
      <c r="ET28" s="1115"/>
      <c r="EU28" s="1115"/>
      <c r="EV28" s="1115"/>
      <c r="EW28" s="1115"/>
      <c r="EX28" s="1115"/>
      <c r="EY28" s="1115"/>
      <c r="EZ28" s="1115"/>
      <c r="FA28" s="1115"/>
      <c r="FB28" s="1115"/>
      <c r="FC28" s="1115"/>
      <c r="FD28" s="1115"/>
      <c r="FE28" s="1115"/>
      <c r="FF28" s="1115"/>
      <c r="FG28" s="1115"/>
      <c r="FH28" s="1118"/>
    </row>
    <row r="29" spans="1:164" s="1105" customFormat="1" ht="18" customHeight="1" thickBot="1" x14ac:dyDescent="0.4">
      <c r="A29" s="1122"/>
      <c r="B29" s="1125"/>
      <c r="C29" s="1127"/>
      <c r="D29" s="1124"/>
      <c r="E29" s="1120"/>
      <c r="F29" s="1114"/>
      <c r="G29" s="1115"/>
      <c r="H29" s="1115"/>
      <c r="I29" s="1115"/>
      <c r="J29" s="1115"/>
      <c r="K29" s="1115"/>
      <c r="L29" s="1115"/>
      <c r="M29" s="1115"/>
      <c r="N29" s="1115"/>
      <c r="O29" s="1115"/>
      <c r="P29" s="1115"/>
      <c r="Q29" s="1115"/>
      <c r="R29" s="1115"/>
      <c r="S29" s="1115"/>
      <c r="T29" s="1115"/>
      <c r="U29" s="1115"/>
      <c r="V29" s="1115"/>
      <c r="W29" s="1115"/>
      <c r="X29" s="1115"/>
      <c r="Y29" s="1115"/>
      <c r="Z29" s="1115"/>
      <c r="AA29" s="1115"/>
      <c r="AB29" s="1115"/>
      <c r="AC29" s="1115"/>
      <c r="AD29" s="1115"/>
      <c r="AE29" s="1115"/>
      <c r="AF29" s="1115"/>
      <c r="AG29" s="1115"/>
      <c r="AH29" s="1115"/>
      <c r="AI29" s="1115"/>
      <c r="AJ29" s="1115"/>
      <c r="AK29" s="1115"/>
      <c r="AL29" s="1115"/>
      <c r="AM29" s="1115"/>
      <c r="AN29" s="1115"/>
      <c r="AO29" s="1115"/>
      <c r="AP29" s="1115"/>
      <c r="AQ29" s="1115"/>
      <c r="AR29" s="1115"/>
      <c r="AS29" s="1115"/>
      <c r="AT29" s="1115"/>
      <c r="AU29" s="1115"/>
      <c r="AV29" s="1115"/>
      <c r="AW29" s="1115"/>
      <c r="AX29" s="1115"/>
      <c r="AY29" s="1115"/>
      <c r="AZ29" s="1115"/>
      <c r="BA29" s="1115"/>
      <c r="BB29" s="1115"/>
      <c r="BC29" s="1115"/>
      <c r="BD29" s="1115"/>
      <c r="BE29" s="1115"/>
      <c r="BF29" s="1118"/>
      <c r="BG29" s="1114"/>
      <c r="BH29" s="1115"/>
      <c r="BI29" s="1115"/>
      <c r="BJ29" s="1115"/>
      <c r="BK29" s="1115"/>
      <c r="BL29" s="1115"/>
      <c r="BM29" s="1115"/>
      <c r="BN29" s="1115"/>
      <c r="BO29" s="1115"/>
      <c r="BP29" s="1115"/>
      <c r="BQ29" s="1115"/>
      <c r="BR29" s="1115"/>
      <c r="BS29" s="1115"/>
      <c r="BT29" s="1115"/>
      <c r="BU29" s="1115"/>
      <c r="BV29" s="1115"/>
      <c r="BW29" s="1115"/>
      <c r="BX29" s="1115"/>
      <c r="BY29" s="1115"/>
      <c r="BZ29" s="1115"/>
      <c r="CA29" s="1115"/>
      <c r="CB29" s="1115"/>
      <c r="CC29" s="1115"/>
      <c r="CD29" s="1115"/>
      <c r="CE29" s="1115"/>
      <c r="CF29" s="1115"/>
      <c r="CG29" s="1115"/>
      <c r="CH29" s="1115"/>
      <c r="CI29" s="1115"/>
      <c r="CJ29" s="1115"/>
      <c r="CK29" s="1115"/>
      <c r="CL29" s="1115"/>
      <c r="CM29" s="1115"/>
      <c r="CN29" s="1115"/>
      <c r="CO29" s="1115"/>
      <c r="CP29" s="1115"/>
      <c r="CQ29" s="1115"/>
      <c r="CR29" s="1115"/>
      <c r="CS29" s="1115"/>
      <c r="CT29" s="1115"/>
      <c r="CU29" s="1115"/>
      <c r="CV29" s="1115"/>
      <c r="CW29" s="1115"/>
      <c r="CX29" s="1115"/>
      <c r="CY29" s="1115"/>
      <c r="CZ29" s="1115"/>
      <c r="DA29" s="1115"/>
      <c r="DB29" s="1115"/>
      <c r="DC29" s="1115"/>
      <c r="DD29" s="1115"/>
      <c r="DE29" s="1115"/>
      <c r="DF29" s="1115"/>
      <c r="DG29" s="1118"/>
      <c r="DH29" s="1114"/>
      <c r="DI29" s="1115"/>
      <c r="DJ29" s="1115"/>
      <c r="DK29" s="1115"/>
      <c r="DL29" s="1115"/>
      <c r="DM29" s="1115"/>
      <c r="DN29" s="1115"/>
      <c r="DO29" s="1115"/>
      <c r="DP29" s="1115"/>
      <c r="DQ29" s="1115"/>
      <c r="DR29" s="1115"/>
      <c r="DS29" s="1115"/>
      <c r="DT29" s="1115"/>
      <c r="DU29" s="1115"/>
      <c r="DV29" s="1115"/>
      <c r="DW29" s="1115"/>
      <c r="DX29" s="1115"/>
      <c r="DY29" s="1115"/>
      <c r="DZ29" s="1115"/>
      <c r="EA29" s="1115"/>
      <c r="EB29" s="1115"/>
      <c r="EC29" s="1115"/>
      <c r="ED29" s="1115"/>
      <c r="EE29" s="1115"/>
      <c r="EF29" s="1115"/>
      <c r="EG29" s="1115"/>
      <c r="EH29" s="1115"/>
      <c r="EI29" s="1115"/>
      <c r="EJ29" s="1115"/>
      <c r="EK29" s="1115"/>
      <c r="EL29" s="1115"/>
      <c r="EM29" s="1115"/>
      <c r="EN29" s="1115"/>
      <c r="EO29" s="1115"/>
      <c r="EP29" s="1115"/>
      <c r="EQ29" s="1115"/>
      <c r="ER29" s="1115"/>
      <c r="ES29" s="1115"/>
      <c r="ET29" s="1115"/>
      <c r="EU29" s="1115"/>
      <c r="EV29" s="1115"/>
      <c r="EW29" s="1115"/>
      <c r="EX29" s="1115"/>
      <c r="EY29" s="1115"/>
      <c r="EZ29" s="1115"/>
      <c r="FA29" s="1115"/>
      <c r="FB29" s="1115"/>
      <c r="FC29" s="1115"/>
      <c r="FD29" s="1115"/>
      <c r="FE29" s="1115"/>
      <c r="FF29" s="1115"/>
      <c r="FG29" s="1115"/>
      <c r="FH29" s="1118"/>
    </row>
    <row r="30" spans="1:164" s="1105" customFormat="1" ht="18" customHeight="1" thickBot="1" x14ac:dyDescent="0.4">
      <c r="A30" s="1122"/>
      <c r="B30" s="1125"/>
      <c r="C30" s="1127"/>
      <c r="D30" s="1124"/>
      <c r="E30" s="1120"/>
      <c r="F30" s="1114"/>
      <c r="G30" s="1115"/>
      <c r="H30" s="1115"/>
      <c r="I30" s="1115"/>
      <c r="J30" s="1115"/>
      <c r="K30" s="1115"/>
      <c r="L30" s="1115"/>
      <c r="M30" s="1115"/>
      <c r="N30" s="1115"/>
      <c r="O30" s="1115"/>
      <c r="P30" s="1115"/>
      <c r="Q30" s="1115"/>
      <c r="R30" s="1115"/>
      <c r="S30" s="1115"/>
      <c r="T30" s="1115"/>
      <c r="U30" s="1115"/>
      <c r="V30" s="1115"/>
      <c r="W30" s="1115"/>
      <c r="X30" s="1115"/>
      <c r="Y30" s="1115"/>
      <c r="Z30" s="1115"/>
      <c r="AA30" s="1115"/>
      <c r="AB30" s="1115"/>
      <c r="AC30" s="1115"/>
      <c r="AD30" s="1115"/>
      <c r="AE30" s="1115"/>
      <c r="AF30" s="1115"/>
      <c r="AG30" s="1115"/>
      <c r="AH30" s="1115"/>
      <c r="AI30" s="1115"/>
      <c r="AJ30" s="1115"/>
      <c r="AK30" s="1115"/>
      <c r="AL30" s="1115"/>
      <c r="AM30" s="1115"/>
      <c r="AN30" s="1115"/>
      <c r="AO30" s="1115"/>
      <c r="AP30" s="1115"/>
      <c r="AQ30" s="1115"/>
      <c r="AR30" s="1115"/>
      <c r="AS30" s="1115"/>
      <c r="AT30" s="1115"/>
      <c r="AU30" s="1115"/>
      <c r="AV30" s="1115"/>
      <c r="AW30" s="1115"/>
      <c r="AX30" s="1115"/>
      <c r="AY30" s="1115"/>
      <c r="AZ30" s="1115"/>
      <c r="BA30" s="1115"/>
      <c r="BB30" s="1115"/>
      <c r="BC30" s="1115"/>
      <c r="BD30" s="1115"/>
      <c r="BE30" s="1115"/>
      <c r="BF30" s="1118"/>
      <c r="BG30" s="1114"/>
      <c r="BH30" s="1115"/>
      <c r="BI30" s="1115"/>
      <c r="BJ30" s="1115"/>
      <c r="BK30" s="1115"/>
      <c r="BL30" s="1115"/>
      <c r="BM30" s="1115"/>
      <c r="BN30" s="1115"/>
      <c r="BO30" s="1115"/>
      <c r="BP30" s="1115"/>
      <c r="BQ30" s="1115"/>
      <c r="BR30" s="1115"/>
      <c r="BS30" s="1115"/>
      <c r="BT30" s="1115"/>
      <c r="BU30" s="1115"/>
      <c r="BV30" s="1115"/>
      <c r="BW30" s="1115"/>
      <c r="BX30" s="1115"/>
      <c r="BY30" s="1115"/>
      <c r="BZ30" s="1115"/>
      <c r="CA30" s="1115"/>
      <c r="CB30" s="1115"/>
      <c r="CC30" s="1115"/>
      <c r="CD30" s="1115"/>
      <c r="CE30" s="1115"/>
      <c r="CF30" s="1115"/>
      <c r="CG30" s="1115"/>
      <c r="CH30" s="1115"/>
      <c r="CI30" s="1115"/>
      <c r="CJ30" s="1115"/>
      <c r="CK30" s="1115"/>
      <c r="CL30" s="1115"/>
      <c r="CM30" s="1115"/>
      <c r="CN30" s="1115"/>
      <c r="CO30" s="1115"/>
      <c r="CP30" s="1115"/>
      <c r="CQ30" s="1115"/>
      <c r="CR30" s="1115"/>
      <c r="CS30" s="1115"/>
      <c r="CT30" s="1115"/>
      <c r="CU30" s="1115"/>
      <c r="CV30" s="1115"/>
      <c r="CW30" s="1115"/>
      <c r="CX30" s="1115"/>
      <c r="CY30" s="1115"/>
      <c r="CZ30" s="1115"/>
      <c r="DA30" s="1115"/>
      <c r="DB30" s="1115"/>
      <c r="DC30" s="1115"/>
      <c r="DD30" s="1115"/>
      <c r="DE30" s="1115"/>
      <c r="DF30" s="1115"/>
      <c r="DG30" s="1118"/>
      <c r="DH30" s="1114"/>
      <c r="DI30" s="1115"/>
      <c r="DJ30" s="1115"/>
      <c r="DK30" s="1115"/>
      <c r="DL30" s="1115"/>
      <c r="DM30" s="1115"/>
      <c r="DN30" s="1115"/>
      <c r="DO30" s="1115"/>
      <c r="DP30" s="1115"/>
      <c r="DQ30" s="1115"/>
      <c r="DR30" s="1115"/>
      <c r="DS30" s="1115"/>
      <c r="DT30" s="1115"/>
      <c r="DU30" s="1115"/>
      <c r="DV30" s="1115"/>
      <c r="DW30" s="1115"/>
      <c r="DX30" s="1115"/>
      <c r="DY30" s="1115"/>
      <c r="DZ30" s="1115"/>
      <c r="EA30" s="1115"/>
      <c r="EB30" s="1115"/>
      <c r="EC30" s="1115"/>
      <c r="ED30" s="1115"/>
      <c r="EE30" s="1115"/>
      <c r="EF30" s="1115"/>
      <c r="EG30" s="1115"/>
      <c r="EH30" s="1115"/>
      <c r="EI30" s="1115"/>
      <c r="EJ30" s="1115"/>
      <c r="EK30" s="1115"/>
      <c r="EL30" s="1115"/>
      <c r="EM30" s="1115"/>
      <c r="EN30" s="1115"/>
      <c r="EO30" s="1115"/>
      <c r="EP30" s="1115"/>
      <c r="EQ30" s="1115"/>
      <c r="ER30" s="1115"/>
      <c r="ES30" s="1115"/>
      <c r="ET30" s="1115"/>
      <c r="EU30" s="1115"/>
      <c r="EV30" s="1115"/>
      <c r="EW30" s="1115"/>
      <c r="EX30" s="1115"/>
      <c r="EY30" s="1115"/>
      <c r="EZ30" s="1115"/>
      <c r="FA30" s="1115"/>
      <c r="FB30" s="1115"/>
      <c r="FC30" s="1115"/>
      <c r="FD30" s="1115"/>
      <c r="FE30" s="1115"/>
      <c r="FF30" s="1115"/>
      <c r="FG30" s="1115"/>
      <c r="FH30" s="1118"/>
    </row>
    <row r="31" spans="1:164" s="1105" customFormat="1" ht="18" customHeight="1" thickBot="1" x14ac:dyDescent="0.4">
      <c r="A31" s="1122"/>
      <c r="B31" s="1125"/>
      <c r="C31" s="1126"/>
      <c r="D31" s="1124"/>
      <c r="E31" s="1120"/>
      <c r="F31" s="1115"/>
      <c r="G31" s="1115"/>
      <c r="H31" s="1115"/>
      <c r="I31" s="1115"/>
      <c r="J31" s="1115"/>
      <c r="K31" s="1115"/>
      <c r="L31" s="1115"/>
      <c r="M31" s="1115"/>
      <c r="N31" s="1115"/>
      <c r="O31" s="1115"/>
      <c r="P31" s="1115"/>
      <c r="Q31" s="1115"/>
      <c r="R31" s="1115"/>
      <c r="S31" s="1115"/>
      <c r="T31" s="1115"/>
      <c r="U31" s="1115"/>
      <c r="V31" s="1115"/>
      <c r="W31" s="1115"/>
      <c r="X31" s="1115"/>
      <c r="Y31" s="1115"/>
      <c r="Z31" s="1115"/>
      <c r="AA31" s="1115"/>
      <c r="AB31" s="1115"/>
      <c r="AC31" s="1115"/>
      <c r="AD31" s="1115"/>
      <c r="AE31" s="1115"/>
      <c r="AF31" s="1115"/>
      <c r="AG31" s="1115"/>
      <c r="AH31" s="1115"/>
      <c r="AI31" s="1115"/>
      <c r="AJ31" s="1115"/>
      <c r="AK31" s="1115"/>
      <c r="AL31" s="1115"/>
      <c r="AM31" s="1115"/>
      <c r="AN31" s="1115"/>
      <c r="AO31" s="1115"/>
      <c r="AP31" s="1115"/>
      <c r="AQ31" s="1115"/>
      <c r="AR31" s="1115"/>
      <c r="AS31" s="1115"/>
      <c r="AT31" s="1115"/>
      <c r="AU31" s="1115"/>
      <c r="AV31" s="1115"/>
      <c r="AW31" s="1115"/>
      <c r="AX31" s="1115"/>
      <c r="AY31" s="1115"/>
      <c r="AZ31" s="1115"/>
      <c r="BA31" s="1115"/>
      <c r="BB31" s="1115"/>
      <c r="BC31" s="1115"/>
      <c r="BD31" s="1115"/>
      <c r="BE31" s="1115"/>
      <c r="BF31" s="1118"/>
      <c r="BG31" s="1115"/>
      <c r="BH31" s="1115"/>
      <c r="BI31" s="1115"/>
      <c r="BJ31" s="1115"/>
      <c r="BK31" s="1115"/>
      <c r="BL31" s="1115"/>
      <c r="BM31" s="1115"/>
      <c r="BN31" s="1115"/>
      <c r="BO31" s="1115"/>
      <c r="BP31" s="1115"/>
      <c r="BQ31" s="1115"/>
      <c r="BR31" s="1115"/>
      <c r="BS31" s="1115"/>
      <c r="BT31" s="1115"/>
      <c r="BU31" s="1115"/>
      <c r="BV31" s="1115"/>
      <c r="BW31" s="1115"/>
      <c r="BX31" s="1115"/>
      <c r="BY31" s="1115"/>
      <c r="BZ31" s="1115"/>
      <c r="CA31" s="1115"/>
      <c r="CB31" s="1115"/>
      <c r="CC31" s="1115"/>
      <c r="CD31" s="1115"/>
      <c r="CE31" s="1115"/>
      <c r="CF31" s="1115"/>
      <c r="CG31" s="1115"/>
      <c r="CH31" s="1115"/>
      <c r="CI31" s="1115"/>
      <c r="CJ31" s="1115"/>
      <c r="CK31" s="1115"/>
      <c r="CL31" s="1115"/>
      <c r="CM31" s="1115"/>
      <c r="CN31" s="1115"/>
      <c r="CO31" s="1115"/>
      <c r="CP31" s="1115"/>
      <c r="CQ31" s="1115"/>
      <c r="CR31" s="1115"/>
      <c r="CS31" s="1115"/>
      <c r="CT31" s="1115"/>
      <c r="CU31" s="1115"/>
      <c r="CV31" s="1115"/>
      <c r="CW31" s="1115"/>
      <c r="CX31" s="1115"/>
      <c r="CY31" s="1115"/>
      <c r="CZ31" s="1115"/>
      <c r="DA31" s="1115"/>
      <c r="DB31" s="1115"/>
      <c r="DC31" s="1115"/>
      <c r="DD31" s="1115"/>
      <c r="DE31" s="1115"/>
      <c r="DF31" s="1115"/>
      <c r="DG31" s="1118"/>
      <c r="DH31" s="1115"/>
      <c r="DI31" s="1115"/>
      <c r="DJ31" s="1115"/>
      <c r="DK31" s="1115"/>
      <c r="DL31" s="1115"/>
      <c r="DM31" s="1115"/>
      <c r="DN31" s="1115"/>
      <c r="DO31" s="1115"/>
      <c r="DP31" s="1115"/>
      <c r="DQ31" s="1115"/>
      <c r="DR31" s="1115"/>
      <c r="DS31" s="1115"/>
      <c r="DT31" s="1115"/>
      <c r="DU31" s="1115"/>
      <c r="DV31" s="1115"/>
      <c r="DW31" s="1115"/>
      <c r="DX31" s="1115"/>
      <c r="DY31" s="1115"/>
      <c r="DZ31" s="1115"/>
      <c r="EA31" s="1115"/>
      <c r="EB31" s="1115"/>
      <c r="EC31" s="1115"/>
      <c r="ED31" s="1115"/>
      <c r="EE31" s="1115"/>
      <c r="EF31" s="1115"/>
      <c r="EG31" s="1115"/>
      <c r="EH31" s="1115"/>
      <c r="EI31" s="1115"/>
      <c r="EJ31" s="1115"/>
      <c r="EK31" s="1115"/>
      <c r="EL31" s="1115"/>
      <c r="EM31" s="1115"/>
      <c r="EN31" s="1115"/>
      <c r="EO31" s="1115"/>
      <c r="EP31" s="1115"/>
      <c r="EQ31" s="1115"/>
      <c r="ER31" s="1115"/>
      <c r="ES31" s="1115"/>
      <c r="ET31" s="1115"/>
      <c r="EU31" s="1115"/>
      <c r="EV31" s="1115"/>
      <c r="EW31" s="1115"/>
      <c r="EX31" s="1115"/>
      <c r="EY31" s="1115"/>
      <c r="EZ31" s="1115"/>
      <c r="FA31" s="1115"/>
      <c r="FB31" s="1115"/>
      <c r="FC31" s="1115"/>
      <c r="FD31" s="1115"/>
      <c r="FE31" s="1115"/>
      <c r="FF31" s="1115"/>
      <c r="FG31" s="1115"/>
      <c r="FH31" s="1118"/>
    </row>
    <row r="32" spans="1:164" s="1105" customFormat="1" ht="18" customHeight="1" thickBot="1" x14ac:dyDescent="0.4">
      <c r="A32" s="1122"/>
      <c r="B32" s="1125"/>
      <c r="C32" s="1127"/>
      <c r="D32" s="1124"/>
      <c r="E32" s="1120"/>
      <c r="F32" s="1114"/>
      <c r="G32" s="1115"/>
      <c r="H32" s="1115"/>
      <c r="I32" s="1115"/>
      <c r="J32" s="1115"/>
      <c r="K32" s="1115"/>
      <c r="L32" s="1115"/>
      <c r="M32" s="1115"/>
      <c r="N32" s="1115"/>
      <c r="O32" s="1115"/>
      <c r="P32" s="1115"/>
      <c r="Q32" s="1115"/>
      <c r="R32" s="1115"/>
      <c r="S32" s="1115"/>
      <c r="T32" s="1115"/>
      <c r="U32" s="1115"/>
      <c r="V32" s="1115"/>
      <c r="W32" s="1115"/>
      <c r="X32" s="1115"/>
      <c r="Y32" s="1115"/>
      <c r="Z32" s="1115"/>
      <c r="AA32" s="1115"/>
      <c r="AB32" s="1115"/>
      <c r="AC32" s="1115"/>
      <c r="AD32" s="1115"/>
      <c r="AE32" s="1115"/>
      <c r="AF32" s="1115"/>
      <c r="AG32" s="1115"/>
      <c r="AH32" s="1115"/>
      <c r="AI32" s="1115"/>
      <c r="AJ32" s="1115"/>
      <c r="AK32" s="1115"/>
      <c r="AL32" s="1115"/>
      <c r="AM32" s="1115"/>
      <c r="AN32" s="1115"/>
      <c r="AO32" s="1115"/>
      <c r="AP32" s="1115"/>
      <c r="AQ32" s="1115"/>
      <c r="AR32" s="1115"/>
      <c r="AS32" s="1115"/>
      <c r="AT32" s="1115"/>
      <c r="AU32" s="1115"/>
      <c r="AV32" s="1115"/>
      <c r="AW32" s="1115"/>
      <c r="AX32" s="1115"/>
      <c r="AY32" s="1115"/>
      <c r="AZ32" s="1115"/>
      <c r="BA32" s="1115"/>
      <c r="BB32" s="1115"/>
      <c r="BC32" s="1115"/>
      <c r="BD32" s="1115"/>
      <c r="BE32" s="1115"/>
      <c r="BF32" s="1118"/>
      <c r="BG32" s="1114"/>
      <c r="BH32" s="1115"/>
      <c r="BI32" s="1115"/>
      <c r="BJ32" s="1115"/>
      <c r="BK32" s="1115"/>
      <c r="BL32" s="1115"/>
      <c r="BM32" s="1115"/>
      <c r="BN32" s="1115"/>
      <c r="BO32" s="1115"/>
      <c r="BP32" s="1115"/>
      <c r="BQ32" s="1115"/>
      <c r="BR32" s="1115"/>
      <c r="BS32" s="1115"/>
      <c r="BT32" s="1115"/>
      <c r="BU32" s="1115"/>
      <c r="BV32" s="1115"/>
      <c r="BW32" s="1115"/>
      <c r="BX32" s="1115"/>
      <c r="BY32" s="1115"/>
      <c r="BZ32" s="1115"/>
      <c r="CA32" s="1115"/>
      <c r="CB32" s="1115"/>
      <c r="CC32" s="1115"/>
      <c r="CD32" s="1115"/>
      <c r="CE32" s="1115"/>
      <c r="CF32" s="1115"/>
      <c r="CG32" s="1115"/>
      <c r="CH32" s="1115"/>
      <c r="CI32" s="1115"/>
      <c r="CJ32" s="1115"/>
      <c r="CK32" s="1115"/>
      <c r="CL32" s="1115"/>
      <c r="CM32" s="1115"/>
      <c r="CN32" s="1115"/>
      <c r="CO32" s="1115"/>
      <c r="CP32" s="1115"/>
      <c r="CQ32" s="1115"/>
      <c r="CR32" s="1115"/>
      <c r="CS32" s="1115"/>
      <c r="CT32" s="1115"/>
      <c r="CU32" s="1115"/>
      <c r="CV32" s="1115"/>
      <c r="CW32" s="1115"/>
      <c r="CX32" s="1115"/>
      <c r="CY32" s="1115"/>
      <c r="CZ32" s="1115"/>
      <c r="DA32" s="1115"/>
      <c r="DB32" s="1115"/>
      <c r="DC32" s="1115"/>
      <c r="DD32" s="1115"/>
      <c r="DE32" s="1115"/>
      <c r="DF32" s="1115"/>
      <c r="DG32" s="1118"/>
      <c r="DH32" s="1114"/>
      <c r="DI32" s="1115"/>
      <c r="DJ32" s="1115"/>
      <c r="DK32" s="1115"/>
      <c r="DL32" s="1115"/>
      <c r="DM32" s="1115"/>
      <c r="DN32" s="1115"/>
      <c r="DO32" s="1115"/>
      <c r="DP32" s="1115"/>
      <c r="DQ32" s="1115"/>
      <c r="DR32" s="1115"/>
      <c r="DS32" s="1115"/>
      <c r="DT32" s="1115"/>
      <c r="DU32" s="1115"/>
      <c r="DV32" s="1115"/>
      <c r="DW32" s="1115"/>
      <c r="DX32" s="1115"/>
      <c r="DY32" s="1115"/>
      <c r="DZ32" s="1115"/>
      <c r="EA32" s="1115"/>
      <c r="EB32" s="1115"/>
      <c r="EC32" s="1115"/>
      <c r="ED32" s="1115"/>
      <c r="EE32" s="1115"/>
      <c r="EF32" s="1115"/>
      <c r="EG32" s="1115"/>
      <c r="EH32" s="1115"/>
      <c r="EI32" s="1115"/>
      <c r="EJ32" s="1115"/>
      <c r="EK32" s="1115"/>
      <c r="EL32" s="1115"/>
      <c r="EM32" s="1115"/>
      <c r="EN32" s="1115"/>
      <c r="EO32" s="1115"/>
      <c r="EP32" s="1115"/>
      <c r="EQ32" s="1115"/>
      <c r="ER32" s="1115"/>
      <c r="ES32" s="1115"/>
      <c r="ET32" s="1115"/>
      <c r="EU32" s="1115"/>
      <c r="EV32" s="1115"/>
      <c r="EW32" s="1115"/>
      <c r="EX32" s="1115"/>
      <c r="EY32" s="1115"/>
      <c r="EZ32" s="1115"/>
      <c r="FA32" s="1115"/>
      <c r="FB32" s="1115"/>
      <c r="FC32" s="1115"/>
      <c r="FD32" s="1115"/>
      <c r="FE32" s="1115"/>
      <c r="FF32" s="1115"/>
      <c r="FG32" s="1115"/>
      <c r="FH32" s="1118"/>
    </row>
    <row r="33" spans="1:164" s="1105" customFormat="1" ht="18" customHeight="1" thickBot="1" x14ac:dyDescent="0.4">
      <c r="A33" s="1122"/>
      <c r="B33" s="1125"/>
      <c r="C33" s="1127"/>
      <c r="D33" s="1124"/>
      <c r="E33" s="1120"/>
      <c r="F33" s="1114"/>
      <c r="G33" s="1115"/>
      <c r="H33" s="1115"/>
      <c r="I33" s="1115"/>
      <c r="J33" s="1115"/>
      <c r="K33" s="1115"/>
      <c r="L33" s="1115"/>
      <c r="M33" s="1115"/>
      <c r="N33" s="1115"/>
      <c r="O33" s="1115"/>
      <c r="P33" s="1115"/>
      <c r="Q33" s="1115"/>
      <c r="R33" s="1115"/>
      <c r="S33" s="1115"/>
      <c r="T33" s="1115"/>
      <c r="U33" s="1115"/>
      <c r="V33" s="1115"/>
      <c r="W33" s="1115"/>
      <c r="X33" s="1115"/>
      <c r="Y33" s="1115"/>
      <c r="Z33" s="1115"/>
      <c r="AA33" s="1115"/>
      <c r="AB33" s="1115"/>
      <c r="AC33" s="1115"/>
      <c r="AD33" s="1115"/>
      <c r="AE33" s="1115"/>
      <c r="AF33" s="1115"/>
      <c r="AG33" s="1115"/>
      <c r="AH33" s="1115"/>
      <c r="AI33" s="1115"/>
      <c r="AJ33" s="1115"/>
      <c r="AK33" s="1115"/>
      <c r="AL33" s="1115"/>
      <c r="AM33" s="1115"/>
      <c r="AN33" s="1115"/>
      <c r="AO33" s="1115"/>
      <c r="AP33" s="1115"/>
      <c r="AQ33" s="1115"/>
      <c r="AR33" s="1115"/>
      <c r="AS33" s="1115"/>
      <c r="AT33" s="1115"/>
      <c r="AU33" s="1115"/>
      <c r="AV33" s="1115"/>
      <c r="AW33" s="1115"/>
      <c r="AX33" s="1115"/>
      <c r="AY33" s="1115"/>
      <c r="AZ33" s="1115"/>
      <c r="BA33" s="1115"/>
      <c r="BB33" s="1115"/>
      <c r="BC33" s="1115"/>
      <c r="BD33" s="1115"/>
      <c r="BE33" s="1115"/>
      <c r="BF33" s="1118"/>
      <c r="BG33" s="1114"/>
      <c r="BH33" s="1115"/>
      <c r="BI33" s="1115"/>
      <c r="BJ33" s="1115"/>
      <c r="BK33" s="1115"/>
      <c r="BL33" s="1115"/>
      <c r="BM33" s="1115"/>
      <c r="BN33" s="1115"/>
      <c r="BO33" s="1115"/>
      <c r="BP33" s="1115"/>
      <c r="BQ33" s="1115"/>
      <c r="BR33" s="1115"/>
      <c r="BS33" s="1115"/>
      <c r="BT33" s="1115"/>
      <c r="BU33" s="1115"/>
      <c r="BV33" s="1115"/>
      <c r="BW33" s="1115"/>
      <c r="BX33" s="1115"/>
      <c r="BY33" s="1115"/>
      <c r="BZ33" s="1115"/>
      <c r="CA33" s="1115"/>
      <c r="CB33" s="1115"/>
      <c r="CC33" s="1115"/>
      <c r="CD33" s="1115"/>
      <c r="CE33" s="1115"/>
      <c r="CF33" s="1115"/>
      <c r="CG33" s="1115"/>
      <c r="CH33" s="1115"/>
      <c r="CI33" s="1115"/>
      <c r="CJ33" s="1115"/>
      <c r="CK33" s="1115"/>
      <c r="CL33" s="1115"/>
      <c r="CM33" s="1115"/>
      <c r="CN33" s="1115"/>
      <c r="CO33" s="1115"/>
      <c r="CP33" s="1115"/>
      <c r="CQ33" s="1115"/>
      <c r="CR33" s="1115"/>
      <c r="CS33" s="1115"/>
      <c r="CT33" s="1115"/>
      <c r="CU33" s="1115"/>
      <c r="CV33" s="1115"/>
      <c r="CW33" s="1115"/>
      <c r="CX33" s="1115"/>
      <c r="CY33" s="1115"/>
      <c r="CZ33" s="1115"/>
      <c r="DA33" s="1115"/>
      <c r="DB33" s="1115"/>
      <c r="DC33" s="1115"/>
      <c r="DD33" s="1115"/>
      <c r="DE33" s="1115"/>
      <c r="DF33" s="1115"/>
      <c r="DG33" s="1118"/>
      <c r="DH33" s="1114"/>
      <c r="DI33" s="1115"/>
      <c r="DJ33" s="1115"/>
      <c r="DK33" s="1115"/>
      <c r="DL33" s="1115"/>
      <c r="DM33" s="1115"/>
      <c r="DN33" s="1115"/>
      <c r="DO33" s="1115"/>
      <c r="DP33" s="1115"/>
      <c r="DQ33" s="1115"/>
      <c r="DR33" s="1115"/>
      <c r="DS33" s="1115"/>
      <c r="DT33" s="1115"/>
      <c r="DU33" s="1115"/>
      <c r="DV33" s="1115"/>
      <c r="DW33" s="1115"/>
      <c r="DX33" s="1115"/>
      <c r="DY33" s="1115"/>
      <c r="DZ33" s="1115"/>
      <c r="EA33" s="1115"/>
      <c r="EB33" s="1115"/>
      <c r="EC33" s="1115"/>
      <c r="ED33" s="1115"/>
      <c r="EE33" s="1115"/>
      <c r="EF33" s="1115"/>
      <c r="EG33" s="1115"/>
      <c r="EH33" s="1115"/>
      <c r="EI33" s="1115"/>
      <c r="EJ33" s="1115"/>
      <c r="EK33" s="1115"/>
      <c r="EL33" s="1115"/>
      <c r="EM33" s="1115"/>
      <c r="EN33" s="1115"/>
      <c r="EO33" s="1115"/>
      <c r="EP33" s="1115"/>
      <c r="EQ33" s="1115"/>
      <c r="ER33" s="1115"/>
      <c r="ES33" s="1115"/>
      <c r="ET33" s="1115"/>
      <c r="EU33" s="1115"/>
      <c r="EV33" s="1115"/>
      <c r="EW33" s="1115"/>
      <c r="EX33" s="1115"/>
      <c r="EY33" s="1115"/>
      <c r="EZ33" s="1115"/>
      <c r="FA33" s="1115"/>
      <c r="FB33" s="1115"/>
      <c r="FC33" s="1115"/>
      <c r="FD33" s="1115"/>
      <c r="FE33" s="1115"/>
      <c r="FF33" s="1115"/>
      <c r="FG33" s="1115"/>
      <c r="FH33" s="1118"/>
    </row>
    <row r="34" spans="1:164" s="1105" customFormat="1" ht="18" customHeight="1" thickBot="1" x14ac:dyDescent="0.4">
      <c r="A34" s="1122"/>
      <c r="B34" s="1125"/>
      <c r="C34" s="1127"/>
      <c r="D34" s="1124"/>
      <c r="E34" s="1120"/>
      <c r="F34" s="1114"/>
      <c r="G34" s="1115"/>
      <c r="H34" s="1115"/>
      <c r="I34" s="1115"/>
      <c r="J34" s="1115"/>
      <c r="K34" s="1115"/>
      <c r="L34" s="1115"/>
      <c r="M34" s="1115"/>
      <c r="N34" s="1115"/>
      <c r="O34" s="1115"/>
      <c r="P34" s="1115"/>
      <c r="Q34" s="1115"/>
      <c r="R34" s="1115"/>
      <c r="S34" s="1115"/>
      <c r="T34" s="1115"/>
      <c r="U34" s="1115"/>
      <c r="V34" s="1115"/>
      <c r="W34" s="1115"/>
      <c r="X34" s="1115"/>
      <c r="Y34" s="1115"/>
      <c r="Z34" s="1115"/>
      <c r="AA34" s="1115"/>
      <c r="AB34" s="1115"/>
      <c r="AC34" s="1115"/>
      <c r="AD34" s="1115"/>
      <c r="AE34" s="1115"/>
      <c r="AF34" s="1115"/>
      <c r="AG34" s="1115"/>
      <c r="AH34" s="1115"/>
      <c r="AI34" s="1115"/>
      <c r="AJ34" s="1115"/>
      <c r="AK34" s="1115"/>
      <c r="AL34" s="1115"/>
      <c r="AM34" s="1115"/>
      <c r="AN34" s="1115"/>
      <c r="AO34" s="1115"/>
      <c r="AP34" s="1115"/>
      <c r="AQ34" s="1115"/>
      <c r="AR34" s="1115"/>
      <c r="AS34" s="1115"/>
      <c r="AT34" s="1115"/>
      <c r="AU34" s="1115"/>
      <c r="AV34" s="1115"/>
      <c r="AW34" s="1115"/>
      <c r="AX34" s="1115"/>
      <c r="AY34" s="1115"/>
      <c r="AZ34" s="1115"/>
      <c r="BA34" s="1115"/>
      <c r="BB34" s="1115"/>
      <c r="BC34" s="1115"/>
      <c r="BD34" s="1115"/>
      <c r="BE34" s="1115"/>
      <c r="BF34" s="1118"/>
      <c r="BG34" s="1114"/>
      <c r="BH34" s="1115"/>
      <c r="BI34" s="1115"/>
      <c r="BJ34" s="1115"/>
      <c r="BK34" s="1115"/>
      <c r="BL34" s="1115"/>
      <c r="BM34" s="1115"/>
      <c r="BN34" s="1115"/>
      <c r="BO34" s="1115"/>
      <c r="BP34" s="1115"/>
      <c r="BQ34" s="1115"/>
      <c r="BR34" s="1115"/>
      <c r="BS34" s="1115"/>
      <c r="BT34" s="1115"/>
      <c r="BU34" s="1115"/>
      <c r="BV34" s="1115"/>
      <c r="BW34" s="1115"/>
      <c r="BX34" s="1115"/>
      <c r="BY34" s="1115"/>
      <c r="BZ34" s="1115"/>
      <c r="CA34" s="1115"/>
      <c r="CB34" s="1115"/>
      <c r="CC34" s="1115"/>
      <c r="CD34" s="1115"/>
      <c r="CE34" s="1115"/>
      <c r="CF34" s="1115"/>
      <c r="CG34" s="1115"/>
      <c r="CH34" s="1115"/>
      <c r="CI34" s="1115"/>
      <c r="CJ34" s="1115"/>
      <c r="CK34" s="1115"/>
      <c r="CL34" s="1115"/>
      <c r="CM34" s="1115"/>
      <c r="CN34" s="1115"/>
      <c r="CO34" s="1115"/>
      <c r="CP34" s="1115"/>
      <c r="CQ34" s="1115"/>
      <c r="CR34" s="1115"/>
      <c r="CS34" s="1115"/>
      <c r="CT34" s="1115"/>
      <c r="CU34" s="1115"/>
      <c r="CV34" s="1115"/>
      <c r="CW34" s="1115"/>
      <c r="CX34" s="1115"/>
      <c r="CY34" s="1115"/>
      <c r="CZ34" s="1115"/>
      <c r="DA34" s="1115"/>
      <c r="DB34" s="1115"/>
      <c r="DC34" s="1115"/>
      <c r="DD34" s="1115"/>
      <c r="DE34" s="1115"/>
      <c r="DF34" s="1115"/>
      <c r="DG34" s="1118"/>
      <c r="DH34" s="1114"/>
      <c r="DI34" s="1115"/>
      <c r="DJ34" s="1115"/>
      <c r="DK34" s="1115"/>
      <c r="DL34" s="1115"/>
      <c r="DM34" s="1115"/>
      <c r="DN34" s="1115"/>
      <c r="DO34" s="1115"/>
      <c r="DP34" s="1115"/>
      <c r="DQ34" s="1115"/>
      <c r="DR34" s="1115"/>
      <c r="DS34" s="1115"/>
      <c r="DT34" s="1115"/>
      <c r="DU34" s="1115"/>
      <c r="DV34" s="1115"/>
      <c r="DW34" s="1115"/>
      <c r="DX34" s="1115"/>
      <c r="DY34" s="1115"/>
      <c r="DZ34" s="1115"/>
      <c r="EA34" s="1115"/>
      <c r="EB34" s="1115"/>
      <c r="EC34" s="1115"/>
      <c r="ED34" s="1115"/>
      <c r="EE34" s="1115"/>
      <c r="EF34" s="1115"/>
      <c r="EG34" s="1115"/>
      <c r="EH34" s="1115"/>
      <c r="EI34" s="1115"/>
      <c r="EJ34" s="1115"/>
      <c r="EK34" s="1115"/>
      <c r="EL34" s="1115"/>
      <c r="EM34" s="1115"/>
      <c r="EN34" s="1115"/>
      <c r="EO34" s="1115"/>
      <c r="EP34" s="1115"/>
      <c r="EQ34" s="1115"/>
      <c r="ER34" s="1115"/>
      <c r="ES34" s="1115"/>
      <c r="ET34" s="1115"/>
      <c r="EU34" s="1115"/>
      <c r="EV34" s="1115"/>
      <c r="EW34" s="1115"/>
      <c r="EX34" s="1115"/>
      <c r="EY34" s="1115"/>
      <c r="EZ34" s="1115"/>
      <c r="FA34" s="1115"/>
      <c r="FB34" s="1115"/>
      <c r="FC34" s="1115"/>
      <c r="FD34" s="1115"/>
      <c r="FE34" s="1115"/>
      <c r="FF34" s="1115"/>
      <c r="FG34" s="1115"/>
      <c r="FH34" s="1118"/>
    </row>
    <row r="35" spans="1:164" s="1105" customFormat="1" ht="18" customHeight="1" thickBot="1" x14ac:dyDescent="0.4">
      <c r="A35" s="1122"/>
      <c r="B35" s="1125"/>
      <c r="C35" s="1127"/>
      <c r="D35" s="1124"/>
      <c r="E35" s="1120"/>
      <c r="F35" s="1114"/>
      <c r="G35" s="1115"/>
      <c r="H35" s="1115"/>
      <c r="I35" s="1115"/>
      <c r="J35" s="1115"/>
      <c r="K35" s="1115"/>
      <c r="L35" s="1115"/>
      <c r="M35" s="1115"/>
      <c r="N35" s="1115"/>
      <c r="O35" s="1115"/>
      <c r="P35" s="1115"/>
      <c r="Q35" s="1115"/>
      <c r="R35" s="1115"/>
      <c r="S35" s="1115"/>
      <c r="T35" s="1115"/>
      <c r="U35" s="1115"/>
      <c r="V35" s="1115"/>
      <c r="W35" s="1115"/>
      <c r="X35" s="1115"/>
      <c r="Y35" s="1115"/>
      <c r="Z35" s="1115"/>
      <c r="AA35" s="1115"/>
      <c r="AB35" s="1115"/>
      <c r="AC35" s="1115"/>
      <c r="AD35" s="1115"/>
      <c r="AE35" s="1115"/>
      <c r="AF35" s="1115"/>
      <c r="AG35" s="1115"/>
      <c r="AH35" s="1115"/>
      <c r="AI35" s="1115"/>
      <c r="AJ35" s="1115"/>
      <c r="AK35" s="1115"/>
      <c r="AL35" s="1115"/>
      <c r="AM35" s="1115"/>
      <c r="AN35" s="1115"/>
      <c r="AO35" s="1115"/>
      <c r="AP35" s="1115"/>
      <c r="AQ35" s="1115"/>
      <c r="AR35" s="1115"/>
      <c r="AS35" s="1115"/>
      <c r="AT35" s="1115"/>
      <c r="AU35" s="1115"/>
      <c r="AV35" s="1115"/>
      <c r="AW35" s="1115"/>
      <c r="AX35" s="1115"/>
      <c r="AY35" s="1115"/>
      <c r="AZ35" s="1115"/>
      <c r="BA35" s="1115"/>
      <c r="BB35" s="1115"/>
      <c r="BC35" s="1115"/>
      <c r="BD35" s="1115"/>
      <c r="BE35" s="1115"/>
      <c r="BF35" s="1118"/>
      <c r="BG35" s="1114"/>
      <c r="BH35" s="1115"/>
      <c r="BI35" s="1115"/>
      <c r="BJ35" s="1115"/>
      <c r="BK35" s="1115"/>
      <c r="BL35" s="1115"/>
      <c r="BM35" s="1115"/>
      <c r="BN35" s="1115"/>
      <c r="BO35" s="1115"/>
      <c r="BP35" s="1115"/>
      <c r="BQ35" s="1115"/>
      <c r="BR35" s="1115"/>
      <c r="BS35" s="1115"/>
      <c r="BT35" s="1115"/>
      <c r="BU35" s="1115"/>
      <c r="BV35" s="1115"/>
      <c r="BW35" s="1115"/>
      <c r="BX35" s="1115"/>
      <c r="BY35" s="1115"/>
      <c r="BZ35" s="1115"/>
      <c r="CA35" s="1115"/>
      <c r="CB35" s="1115"/>
      <c r="CC35" s="1115"/>
      <c r="CD35" s="1115"/>
      <c r="CE35" s="1115"/>
      <c r="CF35" s="1115"/>
      <c r="CG35" s="1115"/>
      <c r="CH35" s="1115"/>
      <c r="CI35" s="1115"/>
      <c r="CJ35" s="1115"/>
      <c r="CK35" s="1115"/>
      <c r="CL35" s="1115"/>
      <c r="CM35" s="1115"/>
      <c r="CN35" s="1115"/>
      <c r="CO35" s="1115"/>
      <c r="CP35" s="1115"/>
      <c r="CQ35" s="1115"/>
      <c r="CR35" s="1115"/>
      <c r="CS35" s="1115"/>
      <c r="CT35" s="1115"/>
      <c r="CU35" s="1115"/>
      <c r="CV35" s="1115"/>
      <c r="CW35" s="1115"/>
      <c r="CX35" s="1115"/>
      <c r="CY35" s="1115"/>
      <c r="CZ35" s="1115"/>
      <c r="DA35" s="1115"/>
      <c r="DB35" s="1115"/>
      <c r="DC35" s="1115"/>
      <c r="DD35" s="1115"/>
      <c r="DE35" s="1115"/>
      <c r="DF35" s="1115"/>
      <c r="DG35" s="1118"/>
      <c r="DH35" s="1114"/>
      <c r="DI35" s="1115"/>
      <c r="DJ35" s="1115"/>
      <c r="DK35" s="1115"/>
      <c r="DL35" s="1115"/>
      <c r="DM35" s="1115"/>
      <c r="DN35" s="1115"/>
      <c r="DO35" s="1115"/>
      <c r="DP35" s="1115"/>
      <c r="DQ35" s="1115"/>
      <c r="DR35" s="1115"/>
      <c r="DS35" s="1115"/>
      <c r="DT35" s="1115"/>
      <c r="DU35" s="1115"/>
      <c r="DV35" s="1115"/>
      <c r="DW35" s="1115"/>
      <c r="DX35" s="1115"/>
      <c r="DY35" s="1115"/>
      <c r="DZ35" s="1115"/>
      <c r="EA35" s="1115"/>
      <c r="EB35" s="1115"/>
      <c r="EC35" s="1115"/>
      <c r="ED35" s="1115"/>
      <c r="EE35" s="1115"/>
      <c r="EF35" s="1115"/>
      <c r="EG35" s="1115"/>
      <c r="EH35" s="1115"/>
      <c r="EI35" s="1115"/>
      <c r="EJ35" s="1115"/>
      <c r="EK35" s="1115"/>
      <c r="EL35" s="1115"/>
      <c r="EM35" s="1115"/>
      <c r="EN35" s="1115"/>
      <c r="EO35" s="1115"/>
      <c r="EP35" s="1115"/>
      <c r="EQ35" s="1115"/>
      <c r="ER35" s="1115"/>
      <c r="ES35" s="1115"/>
      <c r="ET35" s="1115"/>
      <c r="EU35" s="1115"/>
      <c r="EV35" s="1115"/>
      <c r="EW35" s="1115"/>
      <c r="EX35" s="1115"/>
      <c r="EY35" s="1115"/>
      <c r="EZ35" s="1115"/>
      <c r="FA35" s="1115"/>
      <c r="FB35" s="1115"/>
      <c r="FC35" s="1115"/>
      <c r="FD35" s="1115"/>
      <c r="FE35" s="1115"/>
      <c r="FF35" s="1115"/>
      <c r="FG35" s="1115"/>
      <c r="FH35" s="1118"/>
    </row>
    <row r="36" spans="1:164" s="1105" customFormat="1" ht="18" customHeight="1" thickBot="1" x14ac:dyDescent="0.4">
      <c r="A36" s="1122"/>
      <c r="B36" s="1125"/>
      <c r="C36" s="1127"/>
      <c r="D36" s="1124"/>
      <c r="E36" s="1120"/>
      <c r="F36" s="1114"/>
      <c r="G36" s="1115"/>
      <c r="H36" s="1115"/>
      <c r="I36" s="1115"/>
      <c r="J36" s="1115"/>
      <c r="K36" s="1115"/>
      <c r="L36" s="1115"/>
      <c r="M36" s="1115"/>
      <c r="N36" s="1115"/>
      <c r="O36" s="1115"/>
      <c r="P36" s="1115"/>
      <c r="Q36" s="1115"/>
      <c r="R36" s="1115"/>
      <c r="S36" s="1115"/>
      <c r="T36" s="1115"/>
      <c r="U36" s="1115"/>
      <c r="V36" s="1115"/>
      <c r="W36" s="1115"/>
      <c r="X36" s="1115"/>
      <c r="Y36" s="1115"/>
      <c r="Z36" s="1115"/>
      <c r="AA36" s="1115"/>
      <c r="AB36" s="1115"/>
      <c r="AC36" s="1115"/>
      <c r="AD36" s="1115"/>
      <c r="AE36" s="1115"/>
      <c r="AF36" s="1115"/>
      <c r="AG36" s="1115"/>
      <c r="AH36" s="1115"/>
      <c r="AI36" s="1115"/>
      <c r="AJ36" s="1115"/>
      <c r="AK36" s="1115"/>
      <c r="AL36" s="1115"/>
      <c r="AM36" s="1115"/>
      <c r="AN36" s="1115"/>
      <c r="AO36" s="1115"/>
      <c r="AP36" s="1115"/>
      <c r="AQ36" s="1115"/>
      <c r="AR36" s="1115"/>
      <c r="AS36" s="1115"/>
      <c r="AT36" s="1115"/>
      <c r="AU36" s="1115"/>
      <c r="AV36" s="1115"/>
      <c r="AW36" s="1115"/>
      <c r="AX36" s="1115"/>
      <c r="AY36" s="1115"/>
      <c r="AZ36" s="1115"/>
      <c r="BA36" s="1115"/>
      <c r="BB36" s="1115"/>
      <c r="BC36" s="1115"/>
      <c r="BD36" s="1115"/>
      <c r="BE36" s="1115"/>
      <c r="BF36" s="1118"/>
      <c r="BG36" s="1114"/>
      <c r="BH36" s="1115"/>
      <c r="BI36" s="1115"/>
      <c r="BJ36" s="1115"/>
      <c r="BK36" s="1115"/>
      <c r="BL36" s="1115"/>
      <c r="BM36" s="1115"/>
      <c r="BN36" s="1115"/>
      <c r="BO36" s="1115"/>
      <c r="BP36" s="1115"/>
      <c r="BQ36" s="1115"/>
      <c r="BR36" s="1115"/>
      <c r="BS36" s="1115"/>
      <c r="BT36" s="1115"/>
      <c r="BU36" s="1115"/>
      <c r="BV36" s="1115"/>
      <c r="BW36" s="1115"/>
      <c r="BX36" s="1115"/>
      <c r="BY36" s="1115"/>
      <c r="BZ36" s="1115"/>
      <c r="CA36" s="1115"/>
      <c r="CB36" s="1115"/>
      <c r="CC36" s="1115"/>
      <c r="CD36" s="1115"/>
      <c r="CE36" s="1115"/>
      <c r="CF36" s="1115"/>
      <c r="CG36" s="1115"/>
      <c r="CH36" s="1115"/>
      <c r="CI36" s="1115"/>
      <c r="CJ36" s="1115"/>
      <c r="CK36" s="1115"/>
      <c r="CL36" s="1115"/>
      <c r="CM36" s="1115"/>
      <c r="CN36" s="1115"/>
      <c r="CO36" s="1115"/>
      <c r="CP36" s="1115"/>
      <c r="CQ36" s="1115"/>
      <c r="CR36" s="1115"/>
      <c r="CS36" s="1115"/>
      <c r="CT36" s="1115"/>
      <c r="CU36" s="1115"/>
      <c r="CV36" s="1115"/>
      <c r="CW36" s="1115"/>
      <c r="CX36" s="1115"/>
      <c r="CY36" s="1115"/>
      <c r="CZ36" s="1115"/>
      <c r="DA36" s="1115"/>
      <c r="DB36" s="1115"/>
      <c r="DC36" s="1115"/>
      <c r="DD36" s="1115"/>
      <c r="DE36" s="1115"/>
      <c r="DF36" s="1115"/>
      <c r="DG36" s="1118"/>
      <c r="DH36" s="1114"/>
      <c r="DI36" s="1115"/>
      <c r="DJ36" s="1115"/>
      <c r="DK36" s="1115"/>
      <c r="DL36" s="1115"/>
      <c r="DM36" s="1115"/>
      <c r="DN36" s="1115"/>
      <c r="DO36" s="1115"/>
      <c r="DP36" s="1115"/>
      <c r="DQ36" s="1115"/>
      <c r="DR36" s="1115"/>
      <c r="DS36" s="1115"/>
      <c r="DT36" s="1115"/>
      <c r="DU36" s="1115"/>
      <c r="DV36" s="1115"/>
      <c r="DW36" s="1115"/>
      <c r="DX36" s="1115"/>
      <c r="DY36" s="1115"/>
      <c r="DZ36" s="1115"/>
      <c r="EA36" s="1115"/>
      <c r="EB36" s="1115"/>
      <c r="EC36" s="1115"/>
      <c r="ED36" s="1115"/>
      <c r="EE36" s="1115"/>
      <c r="EF36" s="1115"/>
      <c r="EG36" s="1115"/>
      <c r="EH36" s="1115"/>
      <c r="EI36" s="1115"/>
      <c r="EJ36" s="1115"/>
      <c r="EK36" s="1115"/>
      <c r="EL36" s="1115"/>
      <c r="EM36" s="1115"/>
      <c r="EN36" s="1115"/>
      <c r="EO36" s="1115"/>
      <c r="EP36" s="1115"/>
      <c r="EQ36" s="1115"/>
      <c r="ER36" s="1115"/>
      <c r="ES36" s="1115"/>
      <c r="ET36" s="1115"/>
      <c r="EU36" s="1115"/>
      <c r="EV36" s="1115"/>
      <c r="EW36" s="1115"/>
      <c r="EX36" s="1115"/>
      <c r="EY36" s="1115"/>
      <c r="EZ36" s="1115"/>
      <c r="FA36" s="1115"/>
      <c r="FB36" s="1115"/>
      <c r="FC36" s="1115"/>
      <c r="FD36" s="1115"/>
      <c r="FE36" s="1115"/>
      <c r="FF36" s="1115"/>
      <c r="FG36" s="1115"/>
      <c r="FH36" s="1118"/>
    </row>
    <row r="37" spans="1:164" s="1105" customFormat="1" ht="15" thickBot="1" x14ac:dyDescent="0.4">
      <c r="A37" s="1122"/>
      <c r="B37" s="1125"/>
      <c r="C37" s="1127"/>
      <c r="D37" s="1124"/>
      <c r="E37" s="1120"/>
      <c r="F37" s="1114"/>
      <c r="G37" s="1115"/>
      <c r="H37" s="1115"/>
      <c r="I37" s="1115"/>
      <c r="J37" s="1115"/>
      <c r="K37" s="1115"/>
      <c r="L37" s="1115"/>
      <c r="M37" s="1115"/>
      <c r="N37" s="1115"/>
      <c r="O37" s="1115"/>
      <c r="P37" s="1115"/>
      <c r="Q37" s="1115"/>
      <c r="R37" s="1115"/>
      <c r="S37" s="1115"/>
      <c r="T37" s="1115"/>
      <c r="U37" s="1115"/>
      <c r="V37" s="1115"/>
      <c r="W37" s="1115"/>
      <c r="X37" s="1115"/>
      <c r="Y37" s="1115"/>
      <c r="Z37" s="1115"/>
      <c r="AA37" s="1115"/>
      <c r="AB37" s="1115"/>
      <c r="AC37" s="1115"/>
      <c r="AD37" s="1115"/>
      <c r="AE37" s="1115"/>
      <c r="AF37" s="1115"/>
      <c r="AG37" s="1115"/>
      <c r="AH37" s="1115"/>
      <c r="AI37" s="1115"/>
      <c r="AJ37" s="1115"/>
      <c r="AK37" s="1115"/>
      <c r="AL37" s="1115"/>
      <c r="AM37" s="1115"/>
      <c r="AN37" s="1115"/>
      <c r="AO37" s="1115"/>
      <c r="AP37" s="1115"/>
      <c r="AQ37" s="1115"/>
      <c r="AR37" s="1115"/>
      <c r="AS37" s="1115"/>
      <c r="AT37" s="1115"/>
      <c r="AU37" s="1115"/>
      <c r="AV37" s="1115"/>
      <c r="AW37" s="1115"/>
      <c r="AX37" s="1115"/>
      <c r="AY37" s="1115"/>
      <c r="AZ37" s="1115"/>
      <c r="BA37" s="1115"/>
      <c r="BB37" s="1115"/>
      <c r="BC37" s="1115"/>
      <c r="BD37" s="1115"/>
      <c r="BE37" s="1115"/>
      <c r="BF37" s="1118"/>
      <c r="BG37" s="1114"/>
      <c r="BH37" s="1115"/>
      <c r="BI37" s="1115"/>
      <c r="BJ37" s="1115"/>
      <c r="BK37" s="1115"/>
      <c r="BL37" s="1115"/>
      <c r="BM37" s="1115"/>
      <c r="BN37" s="1115"/>
      <c r="BO37" s="1115"/>
      <c r="BP37" s="1115"/>
      <c r="BQ37" s="1115"/>
      <c r="BR37" s="1115"/>
      <c r="BS37" s="1115"/>
      <c r="BT37" s="1115"/>
      <c r="BU37" s="1115"/>
      <c r="BV37" s="1115"/>
      <c r="BW37" s="1115"/>
      <c r="BX37" s="1115"/>
      <c r="BY37" s="1115"/>
      <c r="BZ37" s="1115"/>
      <c r="CA37" s="1115"/>
      <c r="CB37" s="1115"/>
      <c r="CC37" s="1115"/>
      <c r="CD37" s="1115"/>
      <c r="CE37" s="1115"/>
      <c r="CF37" s="1115"/>
      <c r="CG37" s="1115"/>
      <c r="CH37" s="1115"/>
      <c r="CI37" s="1115"/>
      <c r="CJ37" s="1115"/>
      <c r="CK37" s="1115"/>
      <c r="CL37" s="1115"/>
      <c r="CM37" s="1115"/>
      <c r="CN37" s="1115"/>
      <c r="CO37" s="1115"/>
      <c r="CP37" s="1115"/>
      <c r="CQ37" s="1115"/>
      <c r="CR37" s="1115"/>
      <c r="CS37" s="1115"/>
      <c r="CT37" s="1115"/>
      <c r="CU37" s="1115"/>
      <c r="CV37" s="1115"/>
      <c r="CW37" s="1115"/>
      <c r="CX37" s="1115"/>
      <c r="CY37" s="1115"/>
      <c r="CZ37" s="1115"/>
      <c r="DA37" s="1115"/>
      <c r="DB37" s="1115"/>
      <c r="DC37" s="1115"/>
      <c r="DD37" s="1115"/>
      <c r="DE37" s="1115"/>
      <c r="DF37" s="1115"/>
      <c r="DG37" s="1118"/>
      <c r="DH37" s="1114"/>
      <c r="DI37" s="1115"/>
      <c r="DJ37" s="1115"/>
      <c r="DK37" s="1115"/>
      <c r="DL37" s="1115"/>
      <c r="DM37" s="1115"/>
      <c r="DN37" s="1115"/>
      <c r="DO37" s="1115"/>
      <c r="DP37" s="1115"/>
      <c r="DQ37" s="1115"/>
      <c r="DR37" s="1115"/>
      <c r="DS37" s="1115"/>
      <c r="DT37" s="1115"/>
      <c r="DU37" s="1115"/>
      <c r="DV37" s="1115"/>
      <c r="DW37" s="1115"/>
      <c r="DX37" s="1115"/>
      <c r="DY37" s="1115"/>
      <c r="DZ37" s="1115"/>
      <c r="EA37" s="1115"/>
      <c r="EB37" s="1115"/>
      <c r="EC37" s="1115"/>
      <c r="ED37" s="1115"/>
      <c r="EE37" s="1115"/>
      <c r="EF37" s="1115"/>
      <c r="EG37" s="1115"/>
      <c r="EH37" s="1115"/>
      <c r="EI37" s="1115"/>
      <c r="EJ37" s="1115"/>
      <c r="EK37" s="1115"/>
      <c r="EL37" s="1115"/>
      <c r="EM37" s="1115"/>
      <c r="EN37" s="1115"/>
      <c r="EO37" s="1115"/>
      <c r="EP37" s="1115"/>
      <c r="EQ37" s="1115"/>
      <c r="ER37" s="1115"/>
      <c r="ES37" s="1115"/>
      <c r="ET37" s="1115"/>
      <c r="EU37" s="1115"/>
      <c r="EV37" s="1115"/>
      <c r="EW37" s="1115"/>
      <c r="EX37" s="1115"/>
      <c r="EY37" s="1115"/>
      <c r="EZ37" s="1115"/>
      <c r="FA37" s="1115"/>
      <c r="FB37" s="1115"/>
      <c r="FC37" s="1115"/>
      <c r="FD37" s="1115"/>
      <c r="FE37" s="1115"/>
      <c r="FF37" s="1115"/>
      <c r="FG37" s="1115"/>
      <c r="FH37" s="1118"/>
    </row>
    <row r="38" spans="1:164" s="1105" customFormat="1" ht="18" customHeight="1" thickBot="1" x14ac:dyDescent="0.4">
      <c r="A38" s="1122"/>
      <c r="B38" s="1125"/>
      <c r="C38" s="1127"/>
      <c r="D38" s="1124"/>
      <c r="E38" s="1120"/>
      <c r="F38" s="1114"/>
      <c r="G38" s="1115"/>
      <c r="H38" s="1115"/>
      <c r="I38" s="1115"/>
      <c r="J38" s="1115"/>
      <c r="K38" s="1115"/>
      <c r="L38" s="1115"/>
      <c r="M38" s="1115"/>
      <c r="N38" s="1115"/>
      <c r="O38" s="1115"/>
      <c r="P38" s="1115"/>
      <c r="Q38" s="1115"/>
      <c r="R38" s="1115"/>
      <c r="S38" s="1115"/>
      <c r="T38" s="1115"/>
      <c r="U38" s="1115"/>
      <c r="V38" s="1115"/>
      <c r="W38" s="1115"/>
      <c r="X38" s="1115"/>
      <c r="Y38" s="1115"/>
      <c r="Z38" s="1115"/>
      <c r="AA38" s="1115"/>
      <c r="AB38" s="1115"/>
      <c r="AC38" s="1115"/>
      <c r="AD38" s="1115"/>
      <c r="AE38" s="1115"/>
      <c r="AF38" s="1115"/>
      <c r="AG38" s="1115"/>
      <c r="AH38" s="1115"/>
      <c r="AI38" s="1115"/>
      <c r="AJ38" s="1115"/>
      <c r="AK38" s="1115"/>
      <c r="AL38" s="1115"/>
      <c r="AM38" s="1115"/>
      <c r="AN38" s="1115"/>
      <c r="AO38" s="1115"/>
      <c r="AP38" s="1115"/>
      <c r="AQ38" s="1115"/>
      <c r="AR38" s="1115"/>
      <c r="AS38" s="1115"/>
      <c r="AT38" s="1115"/>
      <c r="AU38" s="1115"/>
      <c r="AV38" s="1115"/>
      <c r="AW38" s="1115"/>
      <c r="AX38" s="1115"/>
      <c r="AY38" s="1115"/>
      <c r="AZ38" s="1115"/>
      <c r="BA38" s="1115"/>
      <c r="BB38" s="1115"/>
      <c r="BC38" s="1115"/>
      <c r="BD38" s="1115"/>
      <c r="BE38" s="1115"/>
      <c r="BF38" s="1118"/>
      <c r="BG38" s="1114"/>
      <c r="BH38" s="1115"/>
      <c r="BI38" s="1115"/>
      <c r="BJ38" s="1115"/>
      <c r="BK38" s="1115"/>
      <c r="BL38" s="1115"/>
      <c r="BM38" s="1115"/>
      <c r="BN38" s="1115"/>
      <c r="BO38" s="1115"/>
      <c r="BP38" s="1115"/>
      <c r="BQ38" s="1115"/>
      <c r="BR38" s="1115"/>
      <c r="BS38" s="1115"/>
      <c r="BT38" s="1115"/>
      <c r="BU38" s="1115"/>
      <c r="BV38" s="1115"/>
      <c r="BW38" s="1115"/>
      <c r="BX38" s="1115"/>
      <c r="BY38" s="1115"/>
      <c r="BZ38" s="1115"/>
      <c r="CA38" s="1115"/>
      <c r="CB38" s="1115"/>
      <c r="CC38" s="1115"/>
      <c r="CD38" s="1115"/>
      <c r="CE38" s="1115"/>
      <c r="CF38" s="1115"/>
      <c r="CG38" s="1115"/>
      <c r="CH38" s="1115"/>
      <c r="CI38" s="1115"/>
      <c r="CJ38" s="1115"/>
      <c r="CK38" s="1115"/>
      <c r="CL38" s="1115"/>
      <c r="CM38" s="1115"/>
      <c r="CN38" s="1115"/>
      <c r="CO38" s="1115"/>
      <c r="CP38" s="1115"/>
      <c r="CQ38" s="1115"/>
      <c r="CR38" s="1115"/>
      <c r="CS38" s="1115"/>
      <c r="CT38" s="1115"/>
      <c r="CU38" s="1115"/>
      <c r="CV38" s="1115"/>
      <c r="CW38" s="1115"/>
      <c r="CX38" s="1115"/>
      <c r="CY38" s="1115"/>
      <c r="CZ38" s="1115"/>
      <c r="DA38" s="1115"/>
      <c r="DB38" s="1115"/>
      <c r="DC38" s="1115"/>
      <c r="DD38" s="1115"/>
      <c r="DE38" s="1115"/>
      <c r="DF38" s="1115"/>
      <c r="DG38" s="1118"/>
      <c r="DH38" s="1114"/>
      <c r="DI38" s="1115"/>
      <c r="DJ38" s="1115"/>
      <c r="DK38" s="1115"/>
      <c r="DL38" s="1115"/>
      <c r="DM38" s="1115"/>
      <c r="DN38" s="1115"/>
      <c r="DO38" s="1115"/>
      <c r="DP38" s="1115"/>
      <c r="DQ38" s="1115"/>
      <c r="DR38" s="1115"/>
      <c r="DS38" s="1115"/>
      <c r="DT38" s="1115"/>
      <c r="DU38" s="1115"/>
      <c r="DV38" s="1115"/>
      <c r="DW38" s="1115"/>
      <c r="DX38" s="1115"/>
      <c r="DY38" s="1115"/>
      <c r="DZ38" s="1115"/>
      <c r="EA38" s="1115"/>
      <c r="EB38" s="1115"/>
      <c r="EC38" s="1115"/>
      <c r="ED38" s="1115"/>
      <c r="EE38" s="1115"/>
      <c r="EF38" s="1115"/>
      <c r="EG38" s="1115"/>
      <c r="EH38" s="1115"/>
      <c r="EI38" s="1115"/>
      <c r="EJ38" s="1115"/>
      <c r="EK38" s="1115"/>
      <c r="EL38" s="1115"/>
      <c r="EM38" s="1115"/>
      <c r="EN38" s="1115"/>
      <c r="EO38" s="1115"/>
      <c r="EP38" s="1115"/>
      <c r="EQ38" s="1115"/>
      <c r="ER38" s="1115"/>
      <c r="ES38" s="1115"/>
      <c r="ET38" s="1115"/>
      <c r="EU38" s="1115"/>
      <c r="EV38" s="1115"/>
      <c r="EW38" s="1115"/>
      <c r="EX38" s="1115"/>
      <c r="EY38" s="1115"/>
      <c r="EZ38" s="1115"/>
      <c r="FA38" s="1115"/>
      <c r="FB38" s="1115"/>
      <c r="FC38" s="1115"/>
      <c r="FD38" s="1115"/>
      <c r="FE38" s="1115"/>
      <c r="FF38" s="1115"/>
      <c r="FG38" s="1115"/>
      <c r="FH38" s="1118"/>
    </row>
    <row r="39" spans="1:164" s="1105" customFormat="1" ht="18" customHeight="1" thickBot="1" x14ac:dyDescent="0.4">
      <c r="A39" s="1122"/>
      <c r="B39" s="1125"/>
      <c r="C39" s="1127"/>
      <c r="D39" s="1124"/>
      <c r="E39" s="1120"/>
      <c r="F39" s="1114"/>
      <c r="G39" s="1115"/>
      <c r="H39" s="1115"/>
      <c r="I39" s="1115"/>
      <c r="J39" s="1115"/>
      <c r="K39" s="1115"/>
      <c r="L39" s="1115"/>
      <c r="M39" s="1115"/>
      <c r="N39" s="1115"/>
      <c r="O39" s="1115"/>
      <c r="P39" s="1115"/>
      <c r="Q39" s="1115"/>
      <c r="R39" s="1115"/>
      <c r="S39" s="1115"/>
      <c r="T39" s="1115"/>
      <c r="U39" s="1115"/>
      <c r="V39" s="1115"/>
      <c r="W39" s="1115"/>
      <c r="X39" s="1115"/>
      <c r="Y39" s="1115"/>
      <c r="Z39" s="1115"/>
      <c r="AA39" s="1115"/>
      <c r="AB39" s="1115"/>
      <c r="AC39" s="1115"/>
      <c r="AD39" s="1115"/>
      <c r="AE39" s="1115"/>
      <c r="AF39" s="1115"/>
      <c r="AG39" s="1115"/>
      <c r="AH39" s="1115"/>
      <c r="AI39" s="1115"/>
      <c r="AJ39" s="1115"/>
      <c r="AK39" s="1115"/>
      <c r="AL39" s="1115"/>
      <c r="AM39" s="1115"/>
      <c r="AN39" s="1115"/>
      <c r="AO39" s="1115"/>
      <c r="AP39" s="1115"/>
      <c r="AQ39" s="1115"/>
      <c r="AR39" s="1115"/>
      <c r="AS39" s="1115"/>
      <c r="AT39" s="1115"/>
      <c r="AU39" s="1115"/>
      <c r="AV39" s="1115"/>
      <c r="AW39" s="1115"/>
      <c r="AX39" s="1115"/>
      <c r="AY39" s="1115"/>
      <c r="AZ39" s="1115"/>
      <c r="BA39" s="1115"/>
      <c r="BB39" s="1115"/>
      <c r="BC39" s="1115"/>
      <c r="BD39" s="1115"/>
      <c r="BE39" s="1115"/>
      <c r="BF39" s="1118"/>
      <c r="BG39" s="1114"/>
      <c r="BH39" s="1115"/>
      <c r="BI39" s="1115"/>
      <c r="BJ39" s="1115"/>
      <c r="BK39" s="1115"/>
      <c r="BL39" s="1115"/>
      <c r="BM39" s="1115"/>
      <c r="BN39" s="1115"/>
      <c r="BO39" s="1115"/>
      <c r="BP39" s="1115"/>
      <c r="BQ39" s="1115"/>
      <c r="BR39" s="1115"/>
      <c r="BS39" s="1115"/>
      <c r="BT39" s="1115"/>
      <c r="BU39" s="1115"/>
      <c r="BV39" s="1115"/>
      <c r="BW39" s="1115"/>
      <c r="BX39" s="1115"/>
      <c r="BY39" s="1115"/>
      <c r="BZ39" s="1115"/>
      <c r="CA39" s="1115"/>
      <c r="CB39" s="1115"/>
      <c r="CC39" s="1115"/>
      <c r="CD39" s="1115"/>
      <c r="CE39" s="1115"/>
      <c r="CF39" s="1115"/>
      <c r="CG39" s="1115"/>
      <c r="CH39" s="1115"/>
      <c r="CI39" s="1115"/>
      <c r="CJ39" s="1115"/>
      <c r="CK39" s="1115"/>
      <c r="CL39" s="1115"/>
      <c r="CM39" s="1115"/>
      <c r="CN39" s="1115"/>
      <c r="CO39" s="1115"/>
      <c r="CP39" s="1115"/>
      <c r="CQ39" s="1115"/>
      <c r="CR39" s="1115"/>
      <c r="CS39" s="1115"/>
      <c r="CT39" s="1115"/>
      <c r="CU39" s="1115"/>
      <c r="CV39" s="1115"/>
      <c r="CW39" s="1115"/>
      <c r="CX39" s="1115"/>
      <c r="CY39" s="1115"/>
      <c r="CZ39" s="1115"/>
      <c r="DA39" s="1115"/>
      <c r="DB39" s="1115"/>
      <c r="DC39" s="1115"/>
      <c r="DD39" s="1115"/>
      <c r="DE39" s="1115"/>
      <c r="DF39" s="1115"/>
      <c r="DG39" s="1118"/>
      <c r="DH39" s="1114"/>
      <c r="DI39" s="1115"/>
      <c r="DJ39" s="1115"/>
      <c r="DK39" s="1115"/>
      <c r="DL39" s="1115"/>
      <c r="DM39" s="1115"/>
      <c r="DN39" s="1115"/>
      <c r="DO39" s="1115"/>
      <c r="DP39" s="1115"/>
      <c r="DQ39" s="1115"/>
      <c r="DR39" s="1115"/>
      <c r="DS39" s="1115"/>
      <c r="DT39" s="1115"/>
      <c r="DU39" s="1115"/>
      <c r="DV39" s="1115"/>
      <c r="DW39" s="1115"/>
      <c r="DX39" s="1115"/>
      <c r="DY39" s="1115"/>
      <c r="DZ39" s="1115"/>
      <c r="EA39" s="1115"/>
      <c r="EB39" s="1115"/>
      <c r="EC39" s="1115"/>
      <c r="ED39" s="1115"/>
      <c r="EE39" s="1115"/>
      <c r="EF39" s="1115"/>
      <c r="EG39" s="1115"/>
      <c r="EH39" s="1115"/>
      <c r="EI39" s="1115"/>
      <c r="EJ39" s="1115"/>
      <c r="EK39" s="1115"/>
      <c r="EL39" s="1115"/>
      <c r="EM39" s="1115"/>
      <c r="EN39" s="1115"/>
      <c r="EO39" s="1115"/>
      <c r="EP39" s="1115"/>
      <c r="EQ39" s="1115"/>
      <c r="ER39" s="1115"/>
      <c r="ES39" s="1115"/>
      <c r="ET39" s="1115"/>
      <c r="EU39" s="1115"/>
      <c r="EV39" s="1115"/>
      <c r="EW39" s="1115"/>
      <c r="EX39" s="1115"/>
      <c r="EY39" s="1115"/>
      <c r="EZ39" s="1115"/>
      <c r="FA39" s="1115"/>
      <c r="FB39" s="1115"/>
      <c r="FC39" s="1115"/>
      <c r="FD39" s="1115"/>
      <c r="FE39" s="1115"/>
      <c r="FF39" s="1115"/>
      <c r="FG39" s="1115"/>
      <c r="FH39" s="1118"/>
    </row>
    <row r="40" spans="1:164" s="1105" customFormat="1" ht="18" customHeight="1" thickBot="1" x14ac:dyDescent="0.4">
      <c r="A40" s="1122"/>
      <c r="B40" s="1125"/>
      <c r="C40" s="1127"/>
      <c r="D40" s="1124"/>
      <c r="E40" s="1120"/>
      <c r="F40" s="1114"/>
      <c r="G40" s="1115"/>
      <c r="H40" s="1115"/>
      <c r="I40" s="1115"/>
      <c r="J40" s="1115"/>
      <c r="K40" s="1115"/>
      <c r="L40" s="1115"/>
      <c r="M40" s="1115"/>
      <c r="N40" s="1115"/>
      <c r="O40" s="1115"/>
      <c r="P40" s="1115"/>
      <c r="Q40" s="1115"/>
      <c r="R40" s="1115"/>
      <c r="S40" s="1115"/>
      <c r="T40" s="1115"/>
      <c r="U40" s="1115"/>
      <c r="V40" s="1115"/>
      <c r="W40" s="1115"/>
      <c r="X40" s="1115"/>
      <c r="Y40" s="1115"/>
      <c r="Z40" s="1115"/>
      <c r="AA40" s="1115"/>
      <c r="AB40" s="1115"/>
      <c r="AC40" s="1115"/>
      <c r="AD40" s="1115"/>
      <c r="AE40" s="1115"/>
      <c r="AF40" s="1115"/>
      <c r="AG40" s="1115"/>
      <c r="AH40" s="1115"/>
      <c r="AI40" s="1115"/>
      <c r="AJ40" s="1115"/>
      <c r="AK40" s="1115"/>
      <c r="AL40" s="1115"/>
      <c r="AM40" s="1115"/>
      <c r="AN40" s="1115"/>
      <c r="AO40" s="1115"/>
      <c r="AP40" s="1115"/>
      <c r="AQ40" s="1115"/>
      <c r="AR40" s="1115"/>
      <c r="AS40" s="1115"/>
      <c r="AT40" s="1115"/>
      <c r="AU40" s="1115"/>
      <c r="AV40" s="1115"/>
      <c r="AW40" s="1115"/>
      <c r="AX40" s="1115"/>
      <c r="AY40" s="1115"/>
      <c r="AZ40" s="1115"/>
      <c r="BA40" s="1115"/>
      <c r="BB40" s="1115"/>
      <c r="BC40" s="1115"/>
      <c r="BD40" s="1115"/>
      <c r="BE40" s="1115"/>
      <c r="BF40" s="1118"/>
      <c r="BG40" s="1114"/>
      <c r="BH40" s="1115"/>
      <c r="BI40" s="1115"/>
      <c r="BJ40" s="1115"/>
      <c r="BK40" s="1115"/>
      <c r="BL40" s="1115"/>
      <c r="BM40" s="1115"/>
      <c r="BN40" s="1115"/>
      <c r="BO40" s="1115"/>
      <c r="BP40" s="1115"/>
      <c r="BQ40" s="1115"/>
      <c r="BR40" s="1115"/>
      <c r="BS40" s="1115"/>
      <c r="BT40" s="1115"/>
      <c r="BU40" s="1115"/>
      <c r="BV40" s="1115"/>
      <c r="BW40" s="1115"/>
      <c r="BX40" s="1115"/>
      <c r="BY40" s="1115"/>
      <c r="BZ40" s="1115"/>
      <c r="CA40" s="1115"/>
      <c r="CB40" s="1115"/>
      <c r="CC40" s="1115"/>
      <c r="CD40" s="1115"/>
      <c r="CE40" s="1115"/>
      <c r="CF40" s="1115"/>
      <c r="CG40" s="1115"/>
      <c r="CH40" s="1115"/>
      <c r="CI40" s="1115"/>
      <c r="CJ40" s="1115"/>
      <c r="CK40" s="1115"/>
      <c r="CL40" s="1115"/>
      <c r="CM40" s="1115"/>
      <c r="CN40" s="1115"/>
      <c r="CO40" s="1115"/>
      <c r="CP40" s="1115"/>
      <c r="CQ40" s="1115"/>
      <c r="CR40" s="1115"/>
      <c r="CS40" s="1115"/>
      <c r="CT40" s="1115"/>
      <c r="CU40" s="1115"/>
      <c r="CV40" s="1115"/>
      <c r="CW40" s="1115"/>
      <c r="CX40" s="1115"/>
      <c r="CY40" s="1115"/>
      <c r="CZ40" s="1115"/>
      <c r="DA40" s="1115"/>
      <c r="DB40" s="1115"/>
      <c r="DC40" s="1115"/>
      <c r="DD40" s="1115"/>
      <c r="DE40" s="1115"/>
      <c r="DF40" s="1115"/>
      <c r="DG40" s="1118"/>
      <c r="DH40" s="1114"/>
      <c r="DI40" s="1115"/>
      <c r="DJ40" s="1115"/>
      <c r="DK40" s="1115"/>
      <c r="DL40" s="1115"/>
      <c r="DM40" s="1115"/>
      <c r="DN40" s="1115"/>
      <c r="DO40" s="1115"/>
      <c r="DP40" s="1115"/>
      <c r="DQ40" s="1115"/>
      <c r="DR40" s="1115"/>
      <c r="DS40" s="1115"/>
      <c r="DT40" s="1115"/>
      <c r="DU40" s="1115"/>
      <c r="DV40" s="1115"/>
      <c r="DW40" s="1115"/>
      <c r="DX40" s="1115"/>
      <c r="DY40" s="1115"/>
      <c r="DZ40" s="1115"/>
      <c r="EA40" s="1115"/>
      <c r="EB40" s="1115"/>
      <c r="EC40" s="1115"/>
      <c r="ED40" s="1115"/>
      <c r="EE40" s="1115"/>
      <c r="EF40" s="1115"/>
      <c r="EG40" s="1115"/>
      <c r="EH40" s="1115"/>
      <c r="EI40" s="1115"/>
      <c r="EJ40" s="1115"/>
      <c r="EK40" s="1115"/>
      <c r="EL40" s="1115"/>
      <c r="EM40" s="1115"/>
      <c r="EN40" s="1115"/>
      <c r="EO40" s="1115"/>
      <c r="EP40" s="1115"/>
      <c r="EQ40" s="1115"/>
      <c r="ER40" s="1115"/>
      <c r="ES40" s="1115"/>
      <c r="ET40" s="1115"/>
      <c r="EU40" s="1115"/>
      <c r="EV40" s="1115"/>
      <c r="EW40" s="1115"/>
      <c r="EX40" s="1115"/>
      <c r="EY40" s="1115"/>
      <c r="EZ40" s="1115"/>
      <c r="FA40" s="1115"/>
      <c r="FB40" s="1115"/>
      <c r="FC40" s="1115"/>
      <c r="FD40" s="1115"/>
      <c r="FE40" s="1115"/>
      <c r="FF40" s="1115"/>
      <c r="FG40" s="1115"/>
      <c r="FH40" s="1118"/>
    </row>
    <row r="41" spans="1:164" s="1105" customFormat="1" ht="18" customHeight="1" thickBot="1" x14ac:dyDescent="0.4">
      <c r="A41" s="1122"/>
      <c r="B41" s="1125"/>
      <c r="C41" s="1127"/>
      <c r="D41" s="1124"/>
      <c r="E41" s="1120"/>
      <c r="F41" s="1114"/>
      <c r="G41" s="1115"/>
      <c r="H41" s="1115"/>
      <c r="I41" s="1115"/>
      <c r="J41" s="1115"/>
      <c r="K41" s="1115"/>
      <c r="L41" s="1115"/>
      <c r="M41" s="1115"/>
      <c r="N41" s="1115"/>
      <c r="O41" s="1115"/>
      <c r="P41" s="1115"/>
      <c r="Q41" s="1115"/>
      <c r="R41" s="1115"/>
      <c r="S41" s="1115"/>
      <c r="T41" s="1115"/>
      <c r="U41" s="1115"/>
      <c r="V41" s="1115"/>
      <c r="W41" s="1115"/>
      <c r="X41" s="1115"/>
      <c r="Y41" s="1115"/>
      <c r="Z41" s="1115"/>
      <c r="AA41" s="1115"/>
      <c r="AB41" s="1115"/>
      <c r="AC41" s="1115"/>
      <c r="AD41" s="1115"/>
      <c r="AE41" s="1115"/>
      <c r="AF41" s="1115"/>
      <c r="AG41" s="1115"/>
      <c r="AH41" s="1115"/>
      <c r="AI41" s="1115"/>
      <c r="AJ41" s="1115"/>
      <c r="AK41" s="1115"/>
      <c r="AL41" s="1115"/>
      <c r="AM41" s="1115"/>
      <c r="AN41" s="1115"/>
      <c r="AO41" s="1115"/>
      <c r="AP41" s="1115"/>
      <c r="AQ41" s="1115"/>
      <c r="AR41" s="1115"/>
      <c r="AS41" s="1115"/>
      <c r="AT41" s="1115"/>
      <c r="AU41" s="1115"/>
      <c r="AV41" s="1115"/>
      <c r="AW41" s="1115"/>
      <c r="AX41" s="1115"/>
      <c r="AY41" s="1115"/>
      <c r="AZ41" s="1115"/>
      <c r="BA41" s="1115"/>
      <c r="BB41" s="1115"/>
      <c r="BC41" s="1115"/>
      <c r="BD41" s="1115"/>
      <c r="BE41" s="1115"/>
      <c r="BF41" s="1118"/>
      <c r="BG41" s="1114"/>
      <c r="BH41" s="1115"/>
      <c r="BI41" s="1115"/>
      <c r="BJ41" s="1115"/>
      <c r="BK41" s="1115"/>
      <c r="BL41" s="1115"/>
      <c r="BM41" s="1115"/>
      <c r="BN41" s="1115"/>
      <c r="BO41" s="1115"/>
      <c r="BP41" s="1115"/>
      <c r="BQ41" s="1115"/>
      <c r="BR41" s="1115"/>
      <c r="BS41" s="1115"/>
      <c r="BT41" s="1115"/>
      <c r="BU41" s="1115"/>
      <c r="BV41" s="1115"/>
      <c r="BW41" s="1115"/>
      <c r="BX41" s="1115"/>
      <c r="BY41" s="1115"/>
      <c r="BZ41" s="1115"/>
      <c r="CA41" s="1115"/>
      <c r="CB41" s="1115"/>
      <c r="CC41" s="1115"/>
      <c r="CD41" s="1115"/>
      <c r="CE41" s="1115"/>
      <c r="CF41" s="1115"/>
      <c r="CG41" s="1115"/>
      <c r="CH41" s="1115"/>
      <c r="CI41" s="1115"/>
      <c r="CJ41" s="1115"/>
      <c r="CK41" s="1115"/>
      <c r="CL41" s="1115"/>
      <c r="CM41" s="1115"/>
      <c r="CN41" s="1115"/>
      <c r="CO41" s="1115"/>
      <c r="CP41" s="1115"/>
      <c r="CQ41" s="1115"/>
      <c r="CR41" s="1115"/>
      <c r="CS41" s="1115"/>
      <c r="CT41" s="1115"/>
      <c r="CU41" s="1115"/>
      <c r="CV41" s="1115"/>
      <c r="CW41" s="1115"/>
      <c r="CX41" s="1115"/>
      <c r="CY41" s="1115"/>
      <c r="CZ41" s="1115"/>
      <c r="DA41" s="1115"/>
      <c r="DB41" s="1115"/>
      <c r="DC41" s="1115"/>
      <c r="DD41" s="1115"/>
      <c r="DE41" s="1115"/>
      <c r="DF41" s="1115"/>
      <c r="DG41" s="1118"/>
      <c r="DH41" s="1114"/>
      <c r="DI41" s="1115"/>
      <c r="DJ41" s="1115"/>
      <c r="DK41" s="1115"/>
      <c r="DL41" s="1115"/>
      <c r="DM41" s="1115"/>
      <c r="DN41" s="1115"/>
      <c r="DO41" s="1115"/>
      <c r="DP41" s="1115"/>
      <c r="DQ41" s="1115"/>
      <c r="DR41" s="1115"/>
      <c r="DS41" s="1115"/>
      <c r="DT41" s="1115"/>
      <c r="DU41" s="1115"/>
      <c r="DV41" s="1115"/>
      <c r="DW41" s="1115"/>
      <c r="DX41" s="1115"/>
      <c r="DY41" s="1115"/>
      <c r="DZ41" s="1115"/>
      <c r="EA41" s="1115"/>
      <c r="EB41" s="1115"/>
      <c r="EC41" s="1115"/>
      <c r="ED41" s="1115"/>
      <c r="EE41" s="1115"/>
      <c r="EF41" s="1115"/>
      <c r="EG41" s="1115"/>
      <c r="EH41" s="1115"/>
      <c r="EI41" s="1115"/>
      <c r="EJ41" s="1115"/>
      <c r="EK41" s="1115"/>
      <c r="EL41" s="1115"/>
      <c r="EM41" s="1115"/>
      <c r="EN41" s="1115"/>
      <c r="EO41" s="1115"/>
      <c r="EP41" s="1115"/>
      <c r="EQ41" s="1115"/>
      <c r="ER41" s="1115"/>
      <c r="ES41" s="1115"/>
      <c r="ET41" s="1115"/>
      <c r="EU41" s="1115"/>
      <c r="EV41" s="1115"/>
      <c r="EW41" s="1115"/>
      <c r="EX41" s="1115"/>
      <c r="EY41" s="1115"/>
      <c r="EZ41" s="1115"/>
      <c r="FA41" s="1115"/>
      <c r="FB41" s="1115"/>
      <c r="FC41" s="1115"/>
      <c r="FD41" s="1115"/>
      <c r="FE41" s="1115"/>
      <c r="FF41" s="1115"/>
      <c r="FG41" s="1115"/>
      <c r="FH41" s="1118"/>
    </row>
    <row r="42" spans="1:164" s="1131" customFormat="1" ht="18" customHeight="1" thickBot="1" x14ac:dyDescent="0.4">
      <c r="A42" s="1122"/>
      <c r="B42" s="1125"/>
      <c r="C42" s="1127"/>
      <c r="D42" s="1124"/>
      <c r="E42" s="1120"/>
      <c r="F42" s="1128"/>
      <c r="G42" s="1129"/>
      <c r="H42" s="1129"/>
      <c r="I42" s="1129"/>
      <c r="J42" s="1129"/>
      <c r="K42" s="1129"/>
      <c r="L42" s="1129"/>
      <c r="M42" s="1129"/>
      <c r="N42" s="1129"/>
      <c r="O42" s="1129"/>
      <c r="P42" s="1129"/>
      <c r="Q42" s="1129"/>
      <c r="R42" s="1129"/>
      <c r="S42" s="1129"/>
      <c r="T42" s="1129"/>
      <c r="U42" s="1129"/>
      <c r="V42" s="1129"/>
      <c r="W42" s="1129"/>
      <c r="X42" s="1129"/>
      <c r="Y42" s="1129"/>
      <c r="Z42" s="1129"/>
      <c r="AA42" s="1129"/>
      <c r="AB42" s="1129"/>
      <c r="AC42" s="1129"/>
      <c r="AD42" s="1129"/>
      <c r="AE42" s="1129"/>
      <c r="AF42" s="1129"/>
      <c r="AG42" s="1129"/>
      <c r="AH42" s="1129"/>
      <c r="AI42" s="1129"/>
      <c r="AJ42" s="1129"/>
      <c r="AK42" s="1129"/>
      <c r="AL42" s="1129"/>
      <c r="AM42" s="1129"/>
      <c r="AN42" s="1129"/>
      <c r="AO42" s="1129"/>
      <c r="AP42" s="1129"/>
      <c r="AQ42" s="1129"/>
      <c r="AR42" s="1129"/>
      <c r="AS42" s="1129"/>
      <c r="AT42" s="1129"/>
      <c r="AU42" s="1129"/>
      <c r="AV42" s="1129"/>
      <c r="AW42" s="1129"/>
      <c r="AX42" s="1129"/>
      <c r="AY42" s="1129"/>
      <c r="AZ42" s="1129"/>
      <c r="BA42" s="1129"/>
      <c r="BB42" s="1129"/>
      <c r="BC42" s="1129"/>
      <c r="BD42" s="1129"/>
      <c r="BE42" s="1129"/>
      <c r="BF42" s="1130"/>
      <c r="BG42" s="1128"/>
      <c r="BH42" s="1129"/>
      <c r="BI42" s="1129"/>
      <c r="BJ42" s="1129"/>
      <c r="BK42" s="1129"/>
      <c r="BL42" s="1129"/>
      <c r="BM42" s="1129"/>
      <c r="BN42" s="1129"/>
      <c r="BO42" s="1129"/>
      <c r="BP42" s="1129"/>
      <c r="BQ42" s="1129"/>
      <c r="BR42" s="1129"/>
      <c r="BS42" s="1129"/>
      <c r="BT42" s="1129"/>
      <c r="BU42" s="1129"/>
      <c r="BV42" s="1129"/>
      <c r="BW42" s="1129"/>
      <c r="BX42" s="1129"/>
      <c r="BY42" s="1129"/>
      <c r="BZ42" s="1129"/>
      <c r="CA42" s="1129"/>
      <c r="CB42" s="1129"/>
      <c r="CC42" s="1129"/>
      <c r="CD42" s="1129"/>
      <c r="CE42" s="1129"/>
      <c r="CF42" s="1129"/>
      <c r="CG42" s="1129"/>
      <c r="CH42" s="1129"/>
      <c r="CI42" s="1129"/>
      <c r="CJ42" s="1129"/>
      <c r="CK42" s="1129"/>
      <c r="CL42" s="1129"/>
      <c r="CM42" s="1129"/>
      <c r="CN42" s="1129"/>
      <c r="CO42" s="1129"/>
      <c r="CP42" s="1129"/>
      <c r="CQ42" s="1129"/>
      <c r="CR42" s="1129"/>
      <c r="CS42" s="1129"/>
      <c r="CT42" s="1129"/>
      <c r="CU42" s="1129"/>
      <c r="CV42" s="1129"/>
      <c r="CW42" s="1129"/>
      <c r="CX42" s="1129"/>
      <c r="CY42" s="1129"/>
      <c r="CZ42" s="1129"/>
      <c r="DA42" s="1129"/>
      <c r="DB42" s="1129"/>
      <c r="DC42" s="1129"/>
      <c r="DD42" s="1129"/>
      <c r="DE42" s="1129"/>
      <c r="DF42" s="1129"/>
      <c r="DG42" s="1130"/>
      <c r="DH42" s="1128"/>
      <c r="DI42" s="1129"/>
      <c r="DJ42" s="1129"/>
      <c r="DK42" s="1129"/>
      <c r="DL42" s="1129"/>
      <c r="DM42" s="1129"/>
      <c r="DN42" s="1129"/>
      <c r="DO42" s="1129"/>
      <c r="DP42" s="1129"/>
      <c r="DQ42" s="1129"/>
      <c r="DR42" s="1129"/>
      <c r="DS42" s="1129"/>
      <c r="DT42" s="1129"/>
      <c r="DU42" s="1129"/>
      <c r="DV42" s="1129"/>
      <c r="DW42" s="1129"/>
      <c r="DX42" s="1129"/>
      <c r="DY42" s="1129"/>
      <c r="DZ42" s="1129"/>
      <c r="EA42" s="1129"/>
      <c r="EB42" s="1129"/>
      <c r="EC42" s="1129"/>
      <c r="ED42" s="1129"/>
      <c r="EE42" s="1129"/>
      <c r="EF42" s="1129"/>
      <c r="EG42" s="1129"/>
      <c r="EH42" s="1129"/>
      <c r="EI42" s="1129"/>
      <c r="EJ42" s="1129"/>
      <c r="EK42" s="1129"/>
      <c r="EL42" s="1129"/>
      <c r="EM42" s="1129"/>
      <c r="EN42" s="1129"/>
      <c r="EO42" s="1129"/>
      <c r="EP42" s="1129"/>
      <c r="EQ42" s="1129"/>
      <c r="ER42" s="1129"/>
      <c r="ES42" s="1129"/>
      <c r="ET42" s="1129"/>
      <c r="EU42" s="1129"/>
      <c r="EV42" s="1129"/>
      <c r="EW42" s="1129"/>
      <c r="EX42" s="1129"/>
      <c r="EY42" s="1129"/>
      <c r="EZ42" s="1129"/>
      <c r="FA42" s="1129"/>
      <c r="FB42" s="1129"/>
      <c r="FC42" s="1129"/>
      <c r="FD42" s="1129"/>
      <c r="FE42" s="1129"/>
      <c r="FF42" s="1129"/>
      <c r="FG42" s="1129"/>
      <c r="FH42" s="1130"/>
    </row>
    <row r="43" spans="1:164" ht="16" thickBot="1" x14ac:dyDescent="0.4">
      <c r="A43" s="1122"/>
      <c r="B43" s="1125"/>
      <c r="C43" s="1123"/>
      <c r="D43" s="1124"/>
      <c r="E43" s="1120"/>
      <c r="F43" s="1114"/>
      <c r="G43" s="1115"/>
      <c r="H43" s="1115"/>
      <c r="I43" s="1115"/>
      <c r="J43" s="1115"/>
      <c r="K43" s="1115"/>
      <c r="L43" s="1115"/>
      <c r="M43" s="1115"/>
      <c r="N43" s="1115"/>
      <c r="O43" s="1115"/>
      <c r="P43" s="1115"/>
      <c r="Q43" s="1115"/>
      <c r="R43" s="1115"/>
      <c r="S43" s="1115"/>
      <c r="T43" s="1115"/>
      <c r="U43" s="1115"/>
      <c r="V43" s="1115"/>
      <c r="W43" s="1115"/>
      <c r="X43" s="1115"/>
      <c r="Y43" s="1115"/>
      <c r="Z43" s="1115"/>
      <c r="AA43" s="1115"/>
      <c r="AB43" s="1115"/>
      <c r="AC43" s="1115"/>
      <c r="AD43" s="1115"/>
      <c r="AE43" s="1115"/>
      <c r="AF43" s="1115"/>
      <c r="AG43" s="1115"/>
      <c r="AH43" s="1115"/>
      <c r="AI43" s="1115"/>
      <c r="AJ43" s="1115"/>
      <c r="AK43" s="1115"/>
      <c r="AL43" s="1115"/>
      <c r="AM43" s="1115"/>
      <c r="AN43" s="1115"/>
      <c r="AO43" s="1115"/>
      <c r="AP43" s="1115"/>
      <c r="AQ43" s="1115"/>
      <c r="AR43" s="1115"/>
      <c r="AS43" s="1115"/>
      <c r="AT43" s="1115"/>
      <c r="AU43" s="1115"/>
      <c r="AV43" s="1115"/>
      <c r="AW43" s="1115"/>
      <c r="AX43" s="1115"/>
      <c r="AY43" s="1115"/>
      <c r="AZ43" s="1115"/>
      <c r="BA43" s="1115"/>
      <c r="BB43" s="1115"/>
      <c r="BC43" s="1115"/>
      <c r="BD43" s="1115"/>
      <c r="BE43" s="1115"/>
      <c r="BF43" s="1118"/>
      <c r="BG43" s="1114"/>
      <c r="BH43" s="1115"/>
      <c r="BI43" s="1115"/>
      <c r="BJ43" s="1115"/>
      <c r="BK43" s="1115"/>
      <c r="BL43" s="1115"/>
      <c r="BM43" s="1115"/>
      <c r="BN43" s="1115"/>
      <c r="BO43" s="1115"/>
      <c r="BP43" s="1115"/>
      <c r="BQ43" s="1115"/>
      <c r="BR43" s="1115"/>
      <c r="BS43" s="1115"/>
      <c r="BT43" s="1115"/>
      <c r="BU43" s="1115"/>
      <c r="BV43" s="1115"/>
      <c r="BW43" s="1115"/>
      <c r="BX43" s="1115"/>
      <c r="BY43" s="1115"/>
      <c r="BZ43" s="1115"/>
      <c r="CA43" s="1115"/>
      <c r="CB43" s="1115"/>
      <c r="CC43" s="1115"/>
      <c r="CD43" s="1115"/>
      <c r="CE43" s="1115"/>
      <c r="CF43" s="1115"/>
      <c r="CG43" s="1115"/>
      <c r="CH43" s="1115"/>
      <c r="CI43" s="1115"/>
      <c r="CJ43" s="1115"/>
      <c r="CK43" s="1115"/>
      <c r="CL43" s="1115"/>
      <c r="CM43" s="1115"/>
      <c r="CN43" s="1115"/>
      <c r="CO43" s="1115"/>
      <c r="CP43" s="1115"/>
      <c r="CQ43" s="1115"/>
      <c r="CR43" s="1115"/>
      <c r="CS43" s="1115"/>
      <c r="CT43" s="1115"/>
      <c r="CU43" s="1115"/>
      <c r="CV43" s="1115"/>
      <c r="CW43" s="1115"/>
      <c r="CX43" s="1115"/>
      <c r="CY43" s="1115"/>
      <c r="CZ43" s="1115"/>
      <c r="DA43" s="1115"/>
      <c r="DB43" s="1115"/>
      <c r="DC43" s="1115"/>
      <c r="DD43" s="1115"/>
      <c r="DE43" s="1115"/>
      <c r="DF43" s="1115"/>
      <c r="DG43" s="1118"/>
      <c r="DH43" s="1114"/>
      <c r="DI43" s="1115"/>
      <c r="DJ43" s="1115"/>
      <c r="DK43" s="1115"/>
      <c r="DL43" s="1115"/>
      <c r="DM43" s="1115"/>
      <c r="DN43" s="1115"/>
      <c r="DO43" s="1115"/>
      <c r="DP43" s="1115"/>
      <c r="DQ43" s="1115"/>
      <c r="DR43" s="1115"/>
      <c r="DS43" s="1115"/>
      <c r="DT43" s="1115"/>
      <c r="DU43" s="1115"/>
      <c r="DV43" s="1115"/>
      <c r="DW43" s="1115"/>
      <c r="DX43" s="1115"/>
      <c r="DY43" s="1115"/>
      <c r="DZ43" s="1115"/>
      <c r="EA43" s="1115"/>
      <c r="EB43" s="1115"/>
      <c r="EC43" s="1115"/>
      <c r="ED43" s="1115"/>
      <c r="EE43" s="1115"/>
      <c r="EF43" s="1115"/>
      <c r="EG43" s="1115"/>
      <c r="EH43" s="1115"/>
      <c r="EI43" s="1115"/>
      <c r="EJ43" s="1115"/>
      <c r="EK43" s="1115"/>
      <c r="EL43" s="1115"/>
      <c r="EM43" s="1115"/>
      <c r="EN43" s="1115"/>
      <c r="EO43" s="1115"/>
      <c r="EP43" s="1115"/>
      <c r="EQ43" s="1115"/>
      <c r="ER43" s="1115"/>
      <c r="ES43" s="1115"/>
      <c r="ET43" s="1115"/>
      <c r="EU43" s="1115"/>
      <c r="EV43" s="1115"/>
      <c r="EW43" s="1115"/>
      <c r="EX43" s="1115"/>
      <c r="EY43" s="1115"/>
      <c r="EZ43" s="1115"/>
      <c r="FA43" s="1115"/>
      <c r="FB43" s="1115"/>
      <c r="FC43" s="1115"/>
      <c r="FD43" s="1115"/>
      <c r="FE43" s="1115"/>
      <c r="FF43" s="1115"/>
      <c r="FG43" s="1115"/>
      <c r="FH43" s="1118"/>
    </row>
    <row r="44" spans="1:164" ht="15" thickBot="1" x14ac:dyDescent="0.4">
      <c r="A44" s="1122"/>
      <c r="B44" s="1125"/>
      <c r="C44" s="1126"/>
      <c r="D44" s="1124"/>
      <c r="E44" s="1120"/>
      <c r="F44" s="1114"/>
      <c r="G44" s="1115"/>
      <c r="H44" s="1115"/>
      <c r="I44" s="1115"/>
      <c r="J44" s="1115"/>
      <c r="K44" s="1115"/>
      <c r="L44" s="1115"/>
      <c r="M44" s="1115"/>
      <c r="N44" s="1115"/>
      <c r="O44" s="1115"/>
      <c r="P44" s="1115"/>
      <c r="Q44" s="1115"/>
      <c r="R44" s="1115"/>
      <c r="S44" s="1115"/>
      <c r="T44" s="1115"/>
      <c r="U44" s="1115"/>
      <c r="V44" s="1115"/>
      <c r="W44" s="1115"/>
      <c r="X44" s="1115"/>
      <c r="Y44" s="1115"/>
      <c r="Z44" s="1115"/>
      <c r="AA44" s="1115"/>
      <c r="AB44" s="1115"/>
      <c r="AC44" s="1115"/>
      <c r="AD44" s="1115"/>
      <c r="AE44" s="1115"/>
      <c r="AF44" s="1115"/>
      <c r="AG44" s="1115"/>
      <c r="AH44" s="1115"/>
      <c r="AI44" s="1115"/>
      <c r="AJ44" s="1115"/>
      <c r="AK44" s="1115"/>
      <c r="AL44" s="1115"/>
      <c r="AM44" s="1115"/>
      <c r="AN44" s="1115"/>
      <c r="AO44" s="1115"/>
      <c r="AP44" s="1115"/>
      <c r="AQ44" s="1115"/>
      <c r="AR44" s="1115"/>
      <c r="AS44" s="1115"/>
      <c r="AT44" s="1115"/>
      <c r="AU44" s="1115"/>
      <c r="AV44" s="1115"/>
      <c r="AW44" s="1115"/>
      <c r="AX44" s="1115"/>
      <c r="AY44" s="1115"/>
      <c r="AZ44" s="1115"/>
      <c r="BA44" s="1115"/>
      <c r="BB44" s="1115"/>
      <c r="BC44" s="1115"/>
      <c r="BD44" s="1115"/>
      <c r="BE44" s="1115"/>
      <c r="BF44" s="1118"/>
      <c r="BG44" s="1114"/>
      <c r="BH44" s="1115"/>
      <c r="BI44" s="1115"/>
      <c r="BJ44" s="1115"/>
      <c r="BK44" s="1115"/>
      <c r="BL44" s="1115"/>
      <c r="BM44" s="1115"/>
      <c r="BN44" s="1115"/>
      <c r="BO44" s="1115"/>
      <c r="BP44" s="1115"/>
      <c r="BQ44" s="1115"/>
      <c r="BR44" s="1115"/>
      <c r="BS44" s="1115"/>
      <c r="BT44" s="1115"/>
      <c r="BU44" s="1115"/>
      <c r="BV44" s="1115"/>
      <c r="BW44" s="1115"/>
      <c r="BX44" s="1115"/>
      <c r="BY44" s="1115"/>
      <c r="BZ44" s="1115"/>
      <c r="CA44" s="1115"/>
      <c r="CB44" s="1115"/>
      <c r="CC44" s="1115"/>
      <c r="CD44" s="1115"/>
      <c r="CE44" s="1115"/>
      <c r="CF44" s="1115"/>
      <c r="CG44" s="1115"/>
      <c r="CH44" s="1115"/>
      <c r="CI44" s="1115"/>
      <c r="CJ44" s="1115"/>
      <c r="CK44" s="1115"/>
      <c r="CL44" s="1115"/>
      <c r="CM44" s="1115"/>
      <c r="CN44" s="1115"/>
      <c r="CO44" s="1115"/>
      <c r="CP44" s="1115"/>
      <c r="CQ44" s="1115"/>
      <c r="CR44" s="1115"/>
      <c r="CS44" s="1115"/>
      <c r="CT44" s="1115"/>
      <c r="CU44" s="1115"/>
      <c r="CV44" s="1115"/>
      <c r="CW44" s="1115"/>
      <c r="CX44" s="1115"/>
      <c r="CY44" s="1115"/>
      <c r="CZ44" s="1115"/>
      <c r="DA44" s="1115"/>
      <c r="DB44" s="1115"/>
      <c r="DC44" s="1115"/>
      <c r="DD44" s="1115"/>
      <c r="DE44" s="1115"/>
      <c r="DF44" s="1115"/>
      <c r="DG44" s="1118"/>
      <c r="DH44" s="1114"/>
      <c r="DI44" s="1115"/>
      <c r="DJ44" s="1115"/>
      <c r="DK44" s="1115"/>
      <c r="DL44" s="1115"/>
      <c r="DM44" s="1115"/>
      <c r="DN44" s="1115"/>
      <c r="DO44" s="1115"/>
      <c r="DP44" s="1115"/>
      <c r="DQ44" s="1115"/>
      <c r="DR44" s="1115"/>
      <c r="DS44" s="1115"/>
      <c r="DT44" s="1115"/>
      <c r="DU44" s="1115"/>
      <c r="DV44" s="1115"/>
      <c r="DW44" s="1115"/>
      <c r="DX44" s="1115"/>
      <c r="DY44" s="1115"/>
      <c r="DZ44" s="1115"/>
      <c r="EA44" s="1115"/>
      <c r="EB44" s="1115"/>
      <c r="EC44" s="1115"/>
      <c r="ED44" s="1115"/>
      <c r="EE44" s="1115"/>
      <c r="EF44" s="1115"/>
      <c r="EG44" s="1115"/>
      <c r="EH44" s="1115"/>
      <c r="EI44" s="1115"/>
      <c r="EJ44" s="1115"/>
      <c r="EK44" s="1115"/>
      <c r="EL44" s="1115"/>
      <c r="EM44" s="1115"/>
      <c r="EN44" s="1115"/>
      <c r="EO44" s="1115"/>
      <c r="EP44" s="1115"/>
      <c r="EQ44" s="1115"/>
      <c r="ER44" s="1115"/>
      <c r="ES44" s="1115"/>
      <c r="ET44" s="1115"/>
      <c r="EU44" s="1115"/>
      <c r="EV44" s="1115"/>
      <c r="EW44" s="1115"/>
      <c r="EX44" s="1115"/>
      <c r="EY44" s="1115"/>
      <c r="EZ44" s="1115"/>
      <c r="FA44" s="1115"/>
      <c r="FB44" s="1115"/>
      <c r="FC44" s="1115"/>
      <c r="FD44" s="1115"/>
      <c r="FE44" s="1115"/>
      <c r="FF44" s="1115"/>
      <c r="FG44" s="1115"/>
      <c r="FH44" s="1118"/>
    </row>
    <row r="45" spans="1:164" ht="15" thickBot="1" x14ac:dyDescent="0.4">
      <c r="A45" s="1122"/>
      <c r="B45" s="1125"/>
      <c r="C45" s="1127"/>
      <c r="D45" s="1124"/>
      <c r="E45" s="1120"/>
      <c r="F45" s="1114"/>
      <c r="G45" s="1115"/>
      <c r="H45" s="1115"/>
      <c r="I45" s="1115"/>
      <c r="J45" s="1115"/>
      <c r="K45" s="1115"/>
      <c r="L45" s="1115"/>
      <c r="M45" s="1115"/>
      <c r="N45" s="1115"/>
      <c r="O45" s="1115"/>
      <c r="P45" s="1115"/>
      <c r="Q45" s="1115"/>
      <c r="R45" s="1115"/>
      <c r="S45" s="1115"/>
      <c r="T45" s="1115"/>
      <c r="U45" s="1115"/>
      <c r="V45" s="1115"/>
      <c r="W45" s="1115"/>
      <c r="X45" s="1115"/>
      <c r="Y45" s="1115"/>
      <c r="Z45" s="1115"/>
      <c r="AA45" s="1115"/>
      <c r="AB45" s="1115"/>
      <c r="AC45" s="1115"/>
      <c r="AD45" s="1115"/>
      <c r="AE45" s="1115"/>
      <c r="AF45" s="1115"/>
      <c r="AG45" s="1115"/>
      <c r="AH45" s="1115"/>
      <c r="AI45" s="1115"/>
      <c r="AJ45" s="1115"/>
      <c r="AK45" s="1115"/>
      <c r="AL45" s="1115"/>
      <c r="AM45" s="1115"/>
      <c r="AN45" s="1115"/>
      <c r="AO45" s="1115"/>
      <c r="AP45" s="1115"/>
      <c r="AQ45" s="1115"/>
      <c r="AR45" s="1115"/>
      <c r="AS45" s="1115"/>
      <c r="AT45" s="1115"/>
      <c r="AU45" s="1115"/>
      <c r="AV45" s="1115"/>
      <c r="AW45" s="1115"/>
      <c r="AX45" s="1115"/>
      <c r="AY45" s="1115"/>
      <c r="AZ45" s="1115"/>
      <c r="BA45" s="1115"/>
      <c r="BB45" s="1115"/>
      <c r="BC45" s="1115"/>
      <c r="BD45" s="1115"/>
      <c r="BE45" s="1115"/>
      <c r="BF45" s="1118"/>
      <c r="BG45" s="1114"/>
      <c r="BH45" s="1115"/>
      <c r="BI45" s="1115"/>
      <c r="BJ45" s="1115"/>
      <c r="BK45" s="1115"/>
      <c r="BL45" s="1115"/>
      <c r="BM45" s="1115"/>
      <c r="BN45" s="1115"/>
      <c r="BO45" s="1115"/>
      <c r="BP45" s="1115"/>
      <c r="BQ45" s="1115"/>
      <c r="BR45" s="1115"/>
      <c r="BS45" s="1115"/>
      <c r="BT45" s="1115"/>
      <c r="BU45" s="1115"/>
      <c r="BV45" s="1115"/>
      <c r="BW45" s="1115"/>
      <c r="BX45" s="1115"/>
      <c r="BY45" s="1115"/>
      <c r="BZ45" s="1115"/>
      <c r="CA45" s="1115"/>
      <c r="CB45" s="1115"/>
      <c r="CC45" s="1115"/>
      <c r="CD45" s="1115"/>
      <c r="CE45" s="1115"/>
      <c r="CF45" s="1115"/>
      <c r="CG45" s="1115"/>
      <c r="CH45" s="1115"/>
      <c r="CI45" s="1115"/>
      <c r="CJ45" s="1115"/>
      <c r="CK45" s="1115"/>
      <c r="CL45" s="1115"/>
      <c r="CM45" s="1115"/>
      <c r="CN45" s="1115"/>
      <c r="CO45" s="1115"/>
      <c r="CP45" s="1115"/>
      <c r="CQ45" s="1115"/>
      <c r="CR45" s="1115"/>
      <c r="CS45" s="1115"/>
      <c r="CT45" s="1115"/>
      <c r="CU45" s="1115"/>
      <c r="CV45" s="1115"/>
      <c r="CW45" s="1115"/>
      <c r="CX45" s="1115"/>
      <c r="CY45" s="1115"/>
      <c r="CZ45" s="1115"/>
      <c r="DA45" s="1115"/>
      <c r="DB45" s="1115"/>
      <c r="DC45" s="1115"/>
      <c r="DD45" s="1115"/>
      <c r="DE45" s="1115"/>
      <c r="DF45" s="1115"/>
      <c r="DG45" s="1118"/>
      <c r="DH45" s="1114"/>
      <c r="DI45" s="1115"/>
      <c r="DJ45" s="1115"/>
      <c r="DK45" s="1115"/>
      <c r="DL45" s="1115"/>
      <c r="DM45" s="1115"/>
      <c r="DN45" s="1115"/>
      <c r="DO45" s="1115"/>
      <c r="DP45" s="1115"/>
      <c r="DQ45" s="1115"/>
      <c r="DR45" s="1115"/>
      <c r="DS45" s="1115"/>
      <c r="DT45" s="1115"/>
      <c r="DU45" s="1115"/>
      <c r="DV45" s="1115"/>
      <c r="DW45" s="1115"/>
      <c r="DX45" s="1115"/>
      <c r="DY45" s="1115"/>
      <c r="DZ45" s="1115"/>
      <c r="EA45" s="1115"/>
      <c r="EB45" s="1115"/>
      <c r="EC45" s="1115"/>
      <c r="ED45" s="1115"/>
      <c r="EE45" s="1115"/>
      <c r="EF45" s="1115"/>
      <c r="EG45" s="1115"/>
      <c r="EH45" s="1115"/>
      <c r="EI45" s="1115"/>
      <c r="EJ45" s="1115"/>
      <c r="EK45" s="1115"/>
      <c r="EL45" s="1115"/>
      <c r="EM45" s="1115"/>
      <c r="EN45" s="1115"/>
      <c r="EO45" s="1115"/>
      <c r="EP45" s="1115"/>
      <c r="EQ45" s="1115"/>
      <c r="ER45" s="1115"/>
      <c r="ES45" s="1115"/>
      <c r="ET45" s="1115"/>
      <c r="EU45" s="1115"/>
      <c r="EV45" s="1115"/>
      <c r="EW45" s="1115"/>
      <c r="EX45" s="1115"/>
      <c r="EY45" s="1115"/>
      <c r="EZ45" s="1115"/>
      <c r="FA45" s="1115"/>
      <c r="FB45" s="1115"/>
      <c r="FC45" s="1115"/>
      <c r="FD45" s="1115"/>
      <c r="FE45" s="1115"/>
      <c r="FF45" s="1115"/>
      <c r="FG45" s="1115"/>
      <c r="FH45" s="1118"/>
    </row>
    <row r="46" spans="1:164" ht="15" thickBot="1" x14ac:dyDescent="0.4">
      <c r="A46" s="1122"/>
      <c r="B46" s="1125"/>
      <c r="C46" s="1127"/>
      <c r="D46" s="1124"/>
      <c r="E46" s="1120"/>
      <c r="F46" s="1114"/>
      <c r="G46" s="1115"/>
      <c r="H46" s="1115"/>
      <c r="I46" s="1115"/>
      <c r="J46" s="1115"/>
      <c r="K46" s="1115"/>
      <c r="L46" s="1115"/>
      <c r="M46" s="1115"/>
      <c r="N46" s="1115"/>
      <c r="O46" s="1115"/>
      <c r="P46" s="1115"/>
      <c r="Q46" s="1115"/>
      <c r="R46" s="1115"/>
      <c r="S46" s="1115"/>
      <c r="T46" s="1115"/>
      <c r="U46" s="1115"/>
      <c r="V46" s="1115"/>
      <c r="W46" s="1115"/>
      <c r="X46" s="1115"/>
      <c r="Y46" s="1115"/>
      <c r="Z46" s="1115"/>
      <c r="AA46" s="1115"/>
      <c r="AB46" s="1115"/>
      <c r="AC46" s="1115"/>
      <c r="AD46" s="1115"/>
      <c r="AE46" s="1115"/>
      <c r="AF46" s="1115"/>
      <c r="AG46" s="1115"/>
      <c r="AH46" s="1115"/>
      <c r="AI46" s="1115"/>
      <c r="AJ46" s="1115"/>
      <c r="AK46" s="1115"/>
      <c r="AL46" s="1115"/>
      <c r="AM46" s="1115"/>
      <c r="AN46" s="1115"/>
      <c r="AO46" s="1115"/>
      <c r="AP46" s="1115"/>
      <c r="AQ46" s="1115"/>
      <c r="AR46" s="1115"/>
      <c r="AS46" s="1115"/>
      <c r="AT46" s="1115"/>
      <c r="AU46" s="1115"/>
      <c r="AV46" s="1115"/>
      <c r="AW46" s="1115"/>
      <c r="AX46" s="1115"/>
      <c r="AY46" s="1115"/>
      <c r="AZ46" s="1115"/>
      <c r="BA46" s="1115"/>
      <c r="BB46" s="1115"/>
      <c r="BC46" s="1115"/>
      <c r="BD46" s="1115"/>
      <c r="BE46" s="1115"/>
      <c r="BF46" s="1118"/>
      <c r="BG46" s="1114"/>
      <c r="BH46" s="1115"/>
      <c r="BI46" s="1115"/>
      <c r="BJ46" s="1115"/>
      <c r="BK46" s="1115"/>
      <c r="BL46" s="1115"/>
      <c r="BM46" s="1115"/>
      <c r="BN46" s="1115"/>
      <c r="BO46" s="1115"/>
      <c r="BP46" s="1115"/>
      <c r="BQ46" s="1115"/>
      <c r="BR46" s="1115"/>
      <c r="BS46" s="1115"/>
      <c r="BT46" s="1115"/>
      <c r="BU46" s="1115"/>
      <c r="BV46" s="1115"/>
      <c r="BW46" s="1115"/>
      <c r="BX46" s="1115"/>
      <c r="BY46" s="1115"/>
      <c r="BZ46" s="1115"/>
      <c r="CA46" s="1115"/>
      <c r="CB46" s="1115"/>
      <c r="CC46" s="1115"/>
      <c r="CD46" s="1115"/>
      <c r="CE46" s="1115"/>
      <c r="CF46" s="1115"/>
      <c r="CG46" s="1115"/>
      <c r="CH46" s="1115"/>
      <c r="CI46" s="1115"/>
      <c r="CJ46" s="1115"/>
      <c r="CK46" s="1115"/>
      <c r="CL46" s="1115"/>
      <c r="CM46" s="1115"/>
      <c r="CN46" s="1115"/>
      <c r="CO46" s="1115"/>
      <c r="CP46" s="1115"/>
      <c r="CQ46" s="1115"/>
      <c r="CR46" s="1115"/>
      <c r="CS46" s="1115"/>
      <c r="CT46" s="1115"/>
      <c r="CU46" s="1115"/>
      <c r="CV46" s="1115"/>
      <c r="CW46" s="1115"/>
      <c r="CX46" s="1115"/>
      <c r="CY46" s="1115"/>
      <c r="CZ46" s="1115"/>
      <c r="DA46" s="1115"/>
      <c r="DB46" s="1115"/>
      <c r="DC46" s="1115"/>
      <c r="DD46" s="1115"/>
      <c r="DE46" s="1115"/>
      <c r="DF46" s="1115"/>
      <c r="DG46" s="1118"/>
      <c r="DH46" s="1114"/>
      <c r="DI46" s="1115"/>
      <c r="DJ46" s="1115"/>
      <c r="DK46" s="1115"/>
      <c r="DL46" s="1115"/>
      <c r="DM46" s="1115"/>
      <c r="DN46" s="1115"/>
      <c r="DO46" s="1115"/>
      <c r="DP46" s="1115"/>
      <c r="DQ46" s="1115"/>
      <c r="DR46" s="1115"/>
      <c r="DS46" s="1115"/>
      <c r="DT46" s="1115"/>
      <c r="DU46" s="1115"/>
      <c r="DV46" s="1115"/>
      <c r="DW46" s="1115"/>
      <c r="DX46" s="1115"/>
      <c r="DY46" s="1115"/>
      <c r="DZ46" s="1115"/>
      <c r="EA46" s="1115"/>
      <c r="EB46" s="1115"/>
      <c r="EC46" s="1115"/>
      <c r="ED46" s="1115"/>
      <c r="EE46" s="1115"/>
      <c r="EF46" s="1115"/>
      <c r="EG46" s="1115"/>
      <c r="EH46" s="1115"/>
      <c r="EI46" s="1115"/>
      <c r="EJ46" s="1115"/>
      <c r="EK46" s="1115"/>
      <c r="EL46" s="1115"/>
      <c r="EM46" s="1115"/>
      <c r="EN46" s="1115"/>
      <c r="EO46" s="1115"/>
      <c r="EP46" s="1115"/>
      <c r="EQ46" s="1115"/>
      <c r="ER46" s="1115"/>
      <c r="ES46" s="1115"/>
      <c r="ET46" s="1115"/>
      <c r="EU46" s="1115"/>
      <c r="EV46" s="1115"/>
      <c r="EW46" s="1115"/>
      <c r="EX46" s="1115"/>
      <c r="EY46" s="1115"/>
      <c r="EZ46" s="1115"/>
      <c r="FA46" s="1115"/>
      <c r="FB46" s="1115"/>
      <c r="FC46" s="1115"/>
      <c r="FD46" s="1115"/>
      <c r="FE46" s="1115"/>
      <c r="FF46" s="1115"/>
      <c r="FG46" s="1115"/>
      <c r="FH46" s="1118"/>
    </row>
    <row r="47" spans="1:164" ht="15" thickBot="1" x14ac:dyDescent="0.4">
      <c r="A47" s="1122"/>
      <c r="B47" s="1125"/>
      <c r="C47" s="1127"/>
      <c r="D47" s="1124"/>
      <c r="E47" s="1120"/>
      <c r="F47" s="1114"/>
      <c r="G47" s="1115"/>
      <c r="H47" s="1115"/>
      <c r="I47" s="1115"/>
      <c r="J47" s="1115"/>
      <c r="K47" s="1115"/>
      <c r="L47" s="1115"/>
      <c r="M47" s="1115"/>
      <c r="N47" s="1115"/>
      <c r="O47" s="1115"/>
      <c r="P47" s="1115"/>
      <c r="Q47" s="1115"/>
      <c r="R47" s="1115"/>
      <c r="S47" s="1115"/>
      <c r="T47" s="1115"/>
      <c r="U47" s="1115"/>
      <c r="V47" s="1115"/>
      <c r="W47" s="1115"/>
      <c r="X47" s="1115"/>
      <c r="Y47" s="1115"/>
      <c r="Z47" s="1115"/>
      <c r="AA47" s="1115"/>
      <c r="AB47" s="1115"/>
      <c r="AC47" s="1115"/>
      <c r="AD47" s="1115"/>
      <c r="AE47" s="1115"/>
      <c r="AF47" s="1115"/>
      <c r="AG47" s="1115"/>
      <c r="AH47" s="1115"/>
      <c r="AI47" s="1115"/>
      <c r="AJ47" s="1115"/>
      <c r="AK47" s="1115"/>
      <c r="AL47" s="1115"/>
      <c r="AM47" s="1115"/>
      <c r="AN47" s="1115"/>
      <c r="AO47" s="1115"/>
      <c r="AP47" s="1115"/>
      <c r="AQ47" s="1115"/>
      <c r="AR47" s="1115"/>
      <c r="AS47" s="1115"/>
      <c r="AT47" s="1115"/>
      <c r="AU47" s="1115"/>
      <c r="AV47" s="1115"/>
      <c r="AW47" s="1115"/>
      <c r="AX47" s="1115"/>
      <c r="AY47" s="1115"/>
      <c r="AZ47" s="1115"/>
      <c r="BA47" s="1115"/>
      <c r="BB47" s="1115"/>
      <c r="BC47" s="1115"/>
      <c r="BD47" s="1115"/>
      <c r="BE47" s="1115"/>
      <c r="BF47" s="1118"/>
      <c r="BG47" s="1114"/>
      <c r="BH47" s="1115"/>
      <c r="BI47" s="1115"/>
      <c r="BJ47" s="1115"/>
      <c r="BK47" s="1115"/>
      <c r="BL47" s="1115"/>
      <c r="BM47" s="1115"/>
      <c r="BN47" s="1115"/>
      <c r="BO47" s="1115"/>
      <c r="BP47" s="1115"/>
      <c r="BQ47" s="1115"/>
      <c r="BR47" s="1115"/>
      <c r="BS47" s="1115"/>
      <c r="BT47" s="1115"/>
      <c r="BU47" s="1115"/>
      <c r="BV47" s="1115"/>
      <c r="BW47" s="1115"/>
      <c r="BX47" s="1115"/>
      <c r="BY47" s="1115"/>
      <c r="BZ47" s="1115"/>
      <c r="CA47" s="1115"/>
      <c r="CB47" s="1115"/>
      <c r="CC47" s="1115"/>
      <c r="CD47" s="1115"/>
      <c r="CE47" s="1115"/>
      <c r="CF47" s="1115"/>
      <c r="CG47" s="1115"/>
      <c r="CH47" s="1115"/>
      <c r="CI47" s="1115"/>
      <c r="CJ47" s="1115"/>
      <c r="CK47" s="1115"/>
      <c r="CL47" s="1115"/>
      <c r="CM47" s="1115"/>
      <c r="CN47" s="1115"/>
      <c r="CO47" s="1115"/>
      <c r="CP47" s="1115"/>
      <c r="CQ47" s="1115"/>
      <c r="CR47" s="1115"/>
      <c r="CS47" s="1115"/>
      <c r="CT47" s="1115"/>
      <c r="CU47" s="1115"/>
      <c r="CV47" s="1115"/>
      <c r="CW47" s="1115"/>
      <c r="CX47" s="1115"/>
      <c r="CY47" s="1115"/>
      <c r="CZ47" s="1115"/>
      <c r="DA47" s="1115"/>
      <c r="DB47" s="1115"/>
      <c r="DC47" s="1115"/>
      <c r="DD47" s="1115"/>
      <c r="DE47" s="1115"/>
      <c r="DF47" s="1115"/>
      <c r="DG47" s="1118"/>
      <c r="DH47" s="1114"/>
      <c r="DI47" s="1115"/>
      <c r="DJ47" s="1115"/>
      <c r="DK47" s="1115"/>
      <c r="DL47" s="1115"/>
      <c r="DM47" s="1115"/>
      <c r="DN47" s="1115"/>
      <c r="DO47" s="1115"/>
      <c r="DP47" s="1115"/>
      <c r="DQ47" s="1115"/>
      <c r="DR47" s="1115"/>
      <c r="DS47" s="1115"/>
      <c r="DT47" s="1115"/>
      <c r="DU47" s="1115"/>
      <c r="DV47" s="1115"/>
      <c r="DW47" s="1115"/>
      <c r="DX47" s="1115"/>
      <c r="DY47" s="1115"/>
      <c r="DZ47" s="1115"/>
      <c r="EA47" s="1115"/>
      <c r="EB47" s="1115"/>
      <c r="EC47" s="1115"/>
      <c r="ED47" s="1115"/>
      <c r="EE47" s="1115"/>
      <c r="EF47" s="1115"/>
      <c r="EG47" s="1115"/>
      <c r="EH47" s="1115"/>
      <c r="EI47" s="1115"/>
      <c r="EJ47" s="1115"/>
      <c r="EK47" s="1115"/>
      <c r="EL47" s="1115"/>
      <c r="EM47" s="1115"/>
      <c r="EN47" s="1115"/>
      <c r="EO47" s="1115"/>
      <c r="EP47" s="1115"/>
      <c r="EQ47" s="1115"/>
      <c r="ER47" s="1115"/>
      <c r="ES47" s="1115"/>
      <c r="ET47" s="1115"/>
      <c r="EU47" s="1115"/>
      <c r="EV47" s="1115"/>
      <c r="EW47" s="1115"/>
      <c r="EX47" s="1115"/>
      <c r="EY47" s="1115"/>
      <c r="EZ47" s="1115"/>
      <c r="FA47" s="1115"/>
      <c r="FB47" s="1115"/>
      <c r="FC47" s="1115"/>
      <c r="FD47" s="1115"/>
      <c r="FE47" s="1115"/>
      <c r="FF47" s="1115"/>
      <c r="FG47" s="1115"/>
      <c r="FH47" s="1118"/>
    </row>
    <row r="48" spans="1:164" ht="15" thickBot="1" x14ac:dyDescent="0.4">
      <c r="A48" s="1122"/>
      <c r="B48" s="1125"/>
      <c r="C48" s="1127"/>
      <c r="D48" s="1124"/>
      <c r="E48" s="1120"/>
      <c r="F48" s="1114"/>
      <c r="G48" s="1115"/>
      <c r="H48" s="1115"/>
      <c r="I48" s="1115"/>
      <c r="J48" s="1115"/>
      <c r="K48" s="1115"/>
      <c r="L48" s="1115"/>
      <c r="M48" s="1115"/>
      <c r="N48" s="1115"/>
      <c r="O48" s="1115"/>
      <c r="P48" s="1115"/>
      <c r="Q48" s="1115"/>
      <c r="R48" s="1115"/>
      <c r="S48" s="1115"/>
      <c r="T48" s="1115"/>
      <c r="U48" s="1115"/>
      <c r="V48" s="1115"/>
      <c r="W48" s="1115"/>
      <c r="X48" s="1115"/>
      <c r="Y48" s="1115"/>
      <c r="Z48" s="1115"/>
      <c r="AA48" s="1115"/>
      <c r="AB48" s="1115"/>
      <c r="AC48" s="1115"/>
      <c r="AD48" s="1115"/>
      <c r="AE48" s="1115"/>
      <c r="AF48" s="1115"/>
      <c r="AG48" s="1115"/>
      <c r="AH48" s="1115"/>
      <c r="AI48" s="1115"/>
      <c r="AJ48" s="1115"/>
      <c r="AK48" s="1115"/>
      <c r="AL48" s="1115"/>
      <c r="AM48" s="1115"/>
      <c r="AN48" s="1115"/>
      <c r="AO48" s="1115"/>
      <c r="AP48" s="1115"/>
      <c r="AQ48" s="1115"/>
      <c r="AR48" s="1115"/>
      <c r="AS48" s="1115"/>
      <c r="AT48" s="1115"/>
      <c r="AU48" s="1115"/>
      <c r="AV48" s="1115"/>
      <c r="AW48" s="1115"/>
      <c r="AX48" s="1115"/>
      <c r="AY48" s="1115"/>
      <c r="AZ48" s="1115"/>
      <c r="BA48" s="1115"/>
      <c r="BB48" s="1115"/>
      <c r="BC48" s="1115"/>
      <c r="BD48" s="1115"/>
      <c r="BE48" s="1115"/>
      <c r="BF48" s="1118"/>
      <c r="BG48" s="1114"/>
      <c r="BH48" s="1115"/>
      <c r="BI48" s="1115"/>
      <c r="BJ48" s="1115"/>
      <c r="BK48" s="1115"/>
      <c r="BL48" s="1115"/>
      <c r="BM48" s="1115"/>
      <c r="BN48" s="1115"/>
      <c r="BO48" s="1115"/>
      <c r="BP48" s="1115"/>
      <c r="BQ48" s="1115"/>
      <c r="BR48" s="1115"/>
      <c r="BS48" s="1115"/>
      <c r="BT48" s="1115"/>
      <c r="BU48" s="1115"/>
      <c r="BV48" s="1115"/>
      <c r="BW48" s="1115"/>
      <c r="BX48" s="1115"/>
      <c r="BY48" s="1115"/>
      <c r="BZ48" s="1115"/>
      <c r="CA48" s="1115"/>
      <c r="CB48" s="1115"/>
      <c r="CC48" s="1115"/>
      <c r="CD48" s="1115"/>
      <c r="CE48" s="1115"/>
      <c r="CF48" s="1115"/>
      <c r="CG48" s="1115"/>
      <c r="CH48" s="1115"/>
      <c r="CI48" s="1115"/>
      <c r="CJ48" s="1115"/>
      <c r="CK48" s="1115"/>
      <c r="CL48" s="1115"/>
      <c r="CM48" s="1115"/>
      <c r="CN48" s="1115"/>
      <c r="CO48" s="1115"/>
      <c r="CP48" s="1115"/>
      <c r="CQ48" s="1115"/>
      <c r="CR48" s="1115"/>
      <c r="CS48" s="1115"/>
      <c r="CT48" s="1115"/>
      <c r="CU48" s="1115"/>
      <c r="CV48" s="1115"/>
      <c r="CW48" s="1115"/>
      <c r="CX48" s="1115"/>
      <c r="CY48" s="1115"/>
      <c r="CZ48" s="1115"/>
      <c r="DA48" s="1115"/>
      <c r="DB48" s="1115"/>
      <c r="DC48" s="1115"/>
      <c r="DD48" s="1115"/>
      <c r="DE48" s="1115"/>
      <c r="DF48" s="1115"/>
      <c r="DG48" s="1118"/>
      <c r="DH48" s="1114"/>
      <c r="DI48" s="1115"/>
      <c r="DJ48" s="1115"/>
      <c r="DK48" s="1115"/>
      <c r="DL48" s="1115"/>
      <c r="DM48" s="1115"/>
      <c r="DN48" s="1115"/>
      <c r="DO48" s="1115"/>
      <c r="DP48" s="1115"/>
      <c r="DQ48" s="1115"/>
      <c r="DR48" s="1115"/>
      <c r="DS48" s="1115"/>
      <c r="DT48" s="1115"/>
      <c r="DU48" s="1115"/>
      <c r="DV48" s="1115"/>
      <c r="DW48" s="1115"/>
      <c r="DX48" s="1115"/>
      <c r="DY48" s="1115"/>
      <c r="DZ48" s="1115"/>
      <c r="EA48" s="1115"/>
      <c r="EB48" s="1115"/>
      <c r="EC48" s="1115"/>
      <c r="ED48" s="1115"/>
      <c r="EE48" s="1115"/>
      <c r="EF48" s="1115"/>
      <c r="EG48" s="1115"/>
      <c r="EH48" s="1115"/>
      <c r="EI48" s="1115"/>
      <c r="EJ48" s="1115"/>
      <c r="EK48" s="1115"/>
      <c r="EL48" s="1115"/>
      <c r="EM48" s="1115"/>
      <c r="EN48" s="1115"/>
      <c r="EO48" s="1115"/>
      <c r="EP48" s="1115"/>
      <c r="EQ48" s="1115"/>
      <c r="ER48" s="1115"/>
      <c r="ES48" s="1115"/>
      <c r="ET48" s="1115"/>
      <c r="EU48" s="1115"/>
      <c r="EV48" s="1115"/>
      <c r="EW48" s="1115"/>
      <c r="EX48" s="1115"/>
      <c r="EY48" s="1115"/>
      <c r="EZ48" s="1115"/>
      <c r="FA48" s="1115"/>
      <c r="FB48" s="1115"/>
      <c r="FC48" s="1115"/>
      <c r="FD48" s="1115"/>
      <c r="FE48" s="1115"/>
      <c r="FF48" s="1115"/>
      <c r="FG48" s="1115"/>
      <c r="FH48" s="1118"/>
    </row>
    <row r="49" spans="1:164" ht="15" thickBot="1" x14ac:dyDescent="0.4">
      <c r="A49" s="1122"/>
      <c r="B49" s="1125"/>
      <c r="C49" s="1127"/>
      <c r="D49" s="1124"/>
      <c r="E49" s="1120"/>
      <c r="F49" s="1114"/>
      <c r="G49" s="1115"/>
      <c r="H49" s="1115"/>
      <c r="I49" s="1115"/>
      <c r="J49" s="1115"/>
      <c r="K49" s="1115"/>
      <c r="L49" s="1115"/>
      <c r="M49" s="1115"/>
      <c r="N49" s="1115"/>
      <c r="O49" s="1115"/>
      <c r="P49" s="1115"/>
      <c r="Q49" s="1115"/>
      <c r="R49" s="1115"/>
      <c r="S49" s="1115"/>
      <c r="T49" s="1115"/>
      <c r="U49" s="1115"/>
      <c r="V49" s="1115"/>
      <c r="W49" s="1115"/>
      <c r="X49" s="1115"/>
      <c r="Y49" s="1115"/>
      <c r="Z49" s="1115"/>
      <c r="AA49" s="1115"/>
      <c r="AB49" s="1115"/>
      <c r="AC49" s="1115"/>
      <c r="AD49" s="1115"/>
      <c r="AE49" s="1115"/>
      <c r="AF49" s="1115"/>
      <c r="AG49" s="1115"/>
      <c r="AH49" s="1115"/>
      <c r="AI49" s="1115"/>
      <c r="AJ49" s="1115"/>
      <c r="AK49" s="1115"/>
      <c r="AL49" s="1115"/>
      <c r="AM49" s="1115"/>
      <c r="AN49" s="1115"/>
      <c r="AO49" s="1115"/>
      <c r="AP49" s="1115"/>
      <c r="AQ49" s="1115"/>
      <c r="AR49" s="1115"/>
      <c r="AS49" s="1115"/>
      <c r="AT49" s="1115"/>
      <c r="AU49" s="1115"/>
      <c r="AV49" s="1115"/>
      <c r="AW49" s="1115"/>
      <c r="AX49" s="1115"/>
      <c r="AY49" s="1115"/>
      <c r="AZ49" s="1115"/>
      <c r="BA49" s="1115"/>
      <c r="BB49" s="1115"/>
      <c r="BC49" s="1115"/>
      <c r="BD49" s="1115"/>
      <c r="BE49" s="1115"/>
      <c r="BF49" s="1118"/>
      <c r="BG49" s="1114"/>
      <c r="BH49" s="1115"/>
      <c r="BI49" s="1115"/>
      <c r="BJ49" s="1115"/>
      <c r="BK49" s="1115"/>
      <c r="BL49" s="1115"/>
      <c r="BM49" s="1115"/>
      <c r="BN49" s="1115"/>
      <c r="BO49" s="1115"/>
      <c r="BP49" s="1115"/>
      <c r="BQ49" s="1115"/>
      <c r="BR49" s="1115"/>
      <c r="BS49" s="1115"/>
      <c r="BT49" s="1115"/>
      <c r="BU49" s="1115"/>
      <c r="BV49" s="1115"/>
      <c r="BW49" s="1115"/>
      <c r="BX49" s="1115"/>
      <c r="BY49" s="1115"/>
      <c r="BZ49" s="1115"/>
      <c r="CA49" s="1115"/>
      <c r="CB49" s="1115"/>
      <c r="CC49" s="1115"/>
      <c r="CD49" s="1115"/>
      <c r="CE49" s="1115"/>
      <c r="CF49" s="1115"/>
      <c r="CG49" s="1115"/>
      <c r="CH49" s="1115"/>
      <c r="CI49" s="1115"/>
      <c r="CJ49" s="1115"/>
      <c r="CK49" s="1115"/>
      <c r="CL49" s="1115"/>
      <c r="CM49" s="1115"/>
      <c r="CN49" s="1115"/>
      <c r="CO49" s="1115"/>
      <c r="CP49" s="1115"/>
      <c r="CQ49" s="1115"/>
      <c r="CR49" s="1115"/>
      <c r="CS49" s="1115"/>
      <c r="CT49" s="1115"/>
      <c r="CU49" s="1115"/>
      <c r="CV49" s="1115"/>
      <c r="CW49" s="1115"/>
      <c r="CX49" s="1115"/>
      <c r="CY49" s="1115"/>
      <c r="CZ49" s="1115"/>
      <c r="DA49" s="1115"/>
      <c r="DB49" s="1115"/>
      <c r="DC49" s="1115"/>
      <c r="DD49" s="1115"/>
      <c r="DE49" s="1115"/>
      <c r="DF49" s="1115"/>
      <c r="DG49" s="1118"/>
      <c r="DH49" s="1114"/>
      <c r="DI49" s="1115"/>
      <c r="DJ49" s="1115"/>
      <c r="DK49" s="1115"/>
      <c r="DL49" s="1115"/>
      <c r="DM49" s="1115"/>
      <c r="DN49" s="1115"/>
      <c r="DO49" s="1115"/>
      <c r="DP49" s="1115"/>
      <c r="DQ49" s="1115"/>
      <c r="DR49" s="1115"/>
      <c r="DS49" s="1115"/>
      <c r="DT49" s="1115"/>
      <c r="DU49" s="1115"/>
      <c r="DV49" s="1115"/>
      <c r="DW49" s="1115"/>
      <c r="DX49" s="1115"/>
      <c r="DY49" s="1115"/>
      <c r="DZ49" s="1115"/>
      <c r="EA49" s="1115"/>
      <c r="EB49" s="1115"/>
      <c r="EC49" s="1115"/>
      <c r="ED49" s="1115"/>
      <c r="EE49" s="1115"/>
      <c r="EF49" s="1115"/>
      <c r="EG49" s="1115"/>
      <c r="EH49" s="1115"/>
      <c r="EI49" s="1115"/>
      <c r="EJ49" s="1115"/>
      <c r="EK49" s="1115"/>
      <c r="EL49" s="1115"/>
      <c r="EM49" s="1115"/>
      <c r="EN49" s="1115"/>
      <c r="EO49" s="1115"/>
      <c r="EP49" s="1115"/>
      <c r="EQ49" s="1115"/>
      <c r="ER49" s="1115"/>
      <c r="ES49" s="1115"/>
      <c r="ET49" s="1115"/>
      <c r="EU49" s="1115"/>
      <c r="EV49" s="1115"/>
      <c r="EW49" s="1115"/>
      <c r="EX49" s="1115"/>
      <c r="EY49" s="1115"/>
      <c r="EZ49" s="1115"/>
      <c r="FA49" s="1115"/>
      <c r="FB49" s="1115"/>
      <c r="FC49" s="1115"/>
      <c r="FD49" s="1115"/>
      <c r="FE49" s="1115"/>
      <c r="FF49" s="1115"/>
      <c r="FG49" s="1115"/>
      <c r="FH49" s="1118"/>
    </row>
    <row r="50" spans="1:164" ht="15" thickBot="1" x14ac:dyDescent="0.4">
      <c r="A50" s="1122"/>
      <c r="B50" s="1125"/>
      <c r="C50" s="1127"/>
      <c r="D50" s="1124"/>
      <c r="E50" s="1120"/>
      <c r="F50" s="1114"/>
      <c r="G50" s="1115"/>
      <c r="H50" s="1115"/>
      <c r="I50" s="1115"/>
      <c r="J50" s="1115"/>
      <c r="K50" s="1115"/>
      <c r="L50" s="1115"/>
      <c r="M50" s="1115"/>
      <c r="N50" s="1115"/>
      <c r="O50" s="1115"/>
      <c r="P50" s="1115"/>
      <c r="Q50" s="1115"/>
      <c r="R50" s="1115"/>
      <c r="S50" s="1115"/>
      <c r="T50" s="1115"/>
      <c r="U50" s="1115"/>
      <c r="V50" s="1115"/>
      <c r="W50" s="1115"/>
      <c r="X50" s="1115"/>
      <c r="Y50" s="1115"/>
      <c r="Z50" s="1115"/>
      <c r="AA50" s="1115"/>
      <c r="AB50" s="1115"/>
      <c r="AC50" s="1115"/>
      <c r="AD50" s="1115"/>
      <c r="AE50" s="1115"/>
      <c r="AF50" s="1115"/>
      <c r="AG50" s="1115"/>
      <c r="AH50" s="1115"/>
      <c r="AI50" s="1115"/>
      <c r="AJ50" s="1115"/>
      <c r="AK50" s="1115"/>
      <c r="AL50" s="1115"/>
      <c r="AM50" s="1115"/>
      <c r="AN50" s="1115"/>
      <c r="AO50" s="1115"/>
      <c r="AP50" s="1115"/>
      <c r="AQ50" s="1115"/>
      <c r="AR50" s="1115"/>
      <c r="AS50" s="1115"/>
      <c r="AT50" s="1115"/>
      <c r="AU50" s="1115"/>
      <c r="AV50" s="1115"/>
      <c r="AW50" s="1115"/>
      <c r="AX50" s="1115"/>
      <c r="AY50" s="1115"/>
      <c r="AZ50" s="1115"/>
      <c r="BA50" s="1115"/>
      <c r="BB50" s="1115"/>
      <c r="BC50" s="1115"/>
      <c r="BD50" s="1115"/>
      <c r="BE50" s="1115"/>
      <c r="BF50" s="1118"/>
      <c r="BG50" s="1114"/>
      <c r="BH50" s="1115"/>
      <c r="BI50" s="1115"/>
      <c r="BJ50" s="1115"/>
      <c r="BK50" s="1115"/>
      <c r="BL50" s="1115"/>
      <c r="BM50" s="1115"/>
      <c r="BN50" s="1115"/>
      <c r="BO50" s="1115"/>
      <c r="BP50" s="1115"/>
      <c r="BQ50" s="1115"/>
      <c r="BR50" s="1115"/>
      <c r="BS50" s="1115"/>
      <c r="BT50" s="1115"/>
      <c r="BU50" s="1115"/>
      <c r="BV50" s="1115"/>
      <c r="BW50" s="1115"/>
      <c r="BX50" s="1115"/>
      <c r="BY50" s="1115"/>
      <c r="BZ50" s="1115"/>
      <c r="CA50" s="1115"/>
      <c r="CB50" s="1115"/>
      <c r="CC50" s="1115"/>
      <c r="CD50" s="1115"/>
      <c r="CE50" s="1115"/>
      <c r="CF50" s="1115"/>
      <c r="CG50" s="1115"/>
      <c r="CH50" s="1115"/>
      <c r="CI50" s="1115"/>
      <c r="CJ50" s="1115"/>
      <c r="CK50" s="1115"/>
      <c r="CL50" s="1115"/>
      <c r="CM50" s="1115"/>
      <c r="CN50" s="1115"/>
      <c r="CO50" s="1115"/>
      <c r="CP50" s="1115"/>
      <c r="CQ50" s="1115"/>
      <c r="CR50" s="1115"/>
      <c r="CS50" s="1115"/>
      <c r="CT50" s="1115"/>
      <c r="CU50" s="1115"/>
      <c r="CV50" s="1115"/>
      <c r="CW50" s="1115"/>
      <c r="CX50" s="1115"/>
      <c r="CY50" s="1115"/>
      <c r="CZ50" s="1115"/>
      <c r="DA50" s="1115"/>
      <c r="DB50" s="1115"/>
      <c r="DC50" s="1115"/>
      <c r="DD50" s="1115"/>
      <c r="DE50" s="1115"/>
      <c r="DF50" s="1115"/>
      <c r="DG50" s="1118"/>
      <c r="DH50" s="1114"/>
      <c r="DI50" s="1115"/>
      <c r="DJ50" s="1115"/>
      <c r="DK50" s="1115"/>
      <c r="DL50" s="1115"/>
      <c r="DM50" s="1115"/>
      <c r="DN50" s="1115"/>
      <c r="DO50" s="1115"/>
      <c r="DP50" s="1115"/>
      <c r="DQ50" s="1115"/>
      <c r="DR50" s="1115"/>
      <c r="DS50" s="1115"/>
      <c r="DT50" s="1115"/>
      <c r="DU50" s="1115"/>
      <c r="DV50" s="1115"/>
      <c r="DW50" s="1115"/>
      <c r="DX50" s="1115"/>
      <c r="DY50" s="1115"/>
      <c r="DZ50" s="1115"/>
      <c r="EA50" s="1115"/>
      <c r="EB50" s="1115"/>
      <c r="EC50" s="1115"/>
      <c r="ED50" s="1115"/>
      <c r="EE50" s="1115"/>
      <c r="EF50" s="1115"/>
      <c r="EG50" s="1115"/>
      <c r="EH50" s="1115"/>
      <c r="EI50" s="1115"/>
      <c r="EJ50" s="1115"/>
      <c r="EK50" s="1115"/>
      <c r="EL50" s="1115"/>
      <c r="EM50" s="1115"/>
      <c r="EN50" s="1115"/>
      <c r="EO50" s="1115"/>
      <c r="EP50" s="1115"/>
      <c r="EQ50" s="1115"/>
      <c r="ER50" s="1115"/>
      <c r="ES50" s="1115"/>
      <c r="ET50" s="1115"/>
      <c r="EU50" s="1115"/>
      <c r="EV50" s="1115"/>
      <c r="EW50" s="1115"/>
      <c r="EX50" s="1115"/>
      <c r="EY50" s="1115"/>
      <c r="EZ50" s="1115"/>
      <c r="FA50" s="1115"/>
      <c r="FB50" s="1115"/>
      <c r="FC50" s="1115"/>
      <c r="FD50" s="1115"/>
      <c r="FE50" s="1115"/>
      <c r="FF50" s="1115"/>
      <c r="FG50" s="1115"/>
      <c r="FH50" s="1118"/>
    </row>
    <row r="51" spans="1:164" ht="15" thickBot="1" x14ac:dyDescent="0.4">
      <c r="A51" s="1122"/>
      <c r="B51" s="1125"/>
      <c r="C51" s="1127"/>
      <c r="D51" s="1124"/>
      <c r="E51" s="1120"/>
      <c r="F51" s="1114"/>
      <c r="G51" s="1115"/>
      <c r="H51" s="1115"/>
      <c r="I51" s="1115"/>
      <c r="J51" s="1115"/>
      <c r="K51" s="1115"/>
      <c r="L51" s="1115"/>
      <c r="M51" s="1115"/>
      <c r="N51" s="1115"/>
      <c r="O51" s="1115"/>
      <c r="P51" s="1115"/>
      <c r="Q51" s="1115"/>
      <c r="R51" s="1115"/>
      <c r="S51" s="1115"/>
      <c r="T51" s="1115"/>
      <c r="U51" s="1115"/>
      <c r="V51" s="1115"/>
      <c r="W51" s="1115"/>
      <c r="X51" s="1115"/>
      <c r="Y51" s="1115"/>
      <c r="Z51" s="1115"/>
      <c r="AA51" s="1115"/>
      <c r="AB51" s="1115"/>
      <c r="AC51" s="1115"/>
      <c r="AD51" s="1115"/>
      <c r="AE51" s="1115"/>
      <c r="AF51" s="1115"/>
      <c r="AG51" s="1115"/>
      <c r="AH51" s="1115"/>
      <c r="AI51" s="1115"/>
      <c r="AJ51" s="1115"/>
      <c r="AK51" s="1115"/>
      <c r="AL51" s="1115"/>
      <c r="AM51" s="1115"/>
      <c r="AN51" s="1115"/>
      <c r="AO51" s="1115"/>
      <c r="AP51" s="1115"/>
      <c r="AQ51" s="1115"/>
      <c r="AR51" s="1115"/>
      <c r="AS51" s="1115"/>
      <c r="AT51" s="1115"/>
      <c r="AU51" s="1115"/>
      <c r="AV51" s="1115"/>
      <c r="AW51" s="1115"/>
      <c r="AX51" s="1115"/>
      <c r="AY51" s="1115"/>
      <c r="AZ51" s="1115"/>
      <c r="BA51" s="1115"/>
      <c r="BB51" s="1115"/>
      <c r="BC51" s="1115"/>
      <c r="BD51" s="1115"/>
      <c r="BE51" s="1115"/>
      <c r="BF51" s="1118"/>
      <c r="BG51" s="1114"/>
      <c r="BH51" s="1115"/>
      <c r="BI51" s="1115"/>
      <c r="BJ51" s="1115"/>
      <c r="BK51" s="1115"/>
      <c r="BL51" s="1115"/>
      <c r="BM51" s="1115"/>
      <c r="BN51" s="1115"/>
      <c r="BO51" s="1115"/>
      <c r="BP51" s="1115"/>
      <c r="BQ51" s="1115"/>
      <c r="BR51" s="1115"/>
      <c r="BS51" s="1115"/>
      <c r="BT51" s="1115"/>
      <c r="BU51" s="1115"/>
      <c r="BV51" s="1115"/>
      <c r="BW51" s="1115"/>
      <c r="BX51" s="1115"/>
      <c r="BY51" s="1115"/>
      <c r="BZ51" s="1115"/>
      <c r="CA51" s="1115"/>
      <c r="CB51" s="1115"/>
      <c r="CC51" s="1115"/>
      <c r="CD51" s="1115"/>
      <c r="CE51" s="1115"/>
      <c r="CF51" s="1115"/>
      <c r="CG51" s="1115"/>
      <c r="CH51" s="1115"/>
      <c r="CI51" s="1115"/>
      <c r="CJ51" s="1115"/>
      <c r="CK51" s="1115"/>
      <c r="CL51" s="1115"/>
      <c r="CM51" s="1115"/>
      <c r="CN51" s="1115"/>
      <c r="CO51" s="1115"/>
      <c r="CP51" s="1115"/>
      <c r="CQ51" s="1115"/>
      <c r="CR51" s="1115"/>
      <c r="CS51" s="1115"/>
      <c r="CT51" s="1115"/>
      <c r="CU51" s="1115"/>
      <c r="CV51" s="1115"/>
      <c r="CW51" s="1115"/>
      <c r="CX51" s="1115"/>
      <c r="CY51" s="1115"/>
      <c r="CZ51" s="1115"/>
      <c r="DA51" s="1115"/>
      <c r="DB51" s="1115"/>
      <c r="DC51" s="1115"/>
      <c r="DD51" s="1115"/>
      <c r="DE51" s="1115"/>
      <c r="DF51" s="1115"/>
      <c r="DG51" s="1118"/>
      <c r="DH51" s="1114"/>
      <c r="DI51" s="1115"/>
      <c r="DJ51" s="1115"/>
      <c r="DK51" s="1115"/>
      <c r="DL51" s="1115"/>
      <c r="DM51" s="1115"/>
      <c r="DN51" s="1115"/>
      <c r="DO51" s="1115"/>
      <c r="DP51" s="1115"/>
      <c r="DQ51" s="1115"/>
      <c r="DR51" s="1115"/>
      <c r="DS51" s="1115"/>
      <c r="DT51" s="1115"/>
      <c r="DU51" s="1115"/>
      <c r="DV51" s="1115"/>
      <c r="DW51" s="1115"/>
      <c r="DX51" s="1115"/>
      <c r="DY51" s="1115"/>
      <c r="DZ51" s="1115"/>
      <c r="EA51" s="1115"/>
      <c r="EB51" s="1115"/>
      <c r="EC51" s="1115"/>
      <c r="ED51" s="1115"/>
      <c r="EE51" s="1115"/>
      <c r="EF51" s="1115"/>
      <c r="EG51" s="1115"/>
      <c r="EH51" s="1115"/>
      <c r="EI51" s="1115"/>
      <c r="EJ51" s="1115"/>
      <c r="EK51" s="1115"/>
      <c r="EL51" s="1115"/>
      <c r="EM51" s="1115"/>
      <c r="EN51" s="1115"/>
      <c r="EO51" s="1115"/>
      <c r="EP51" s="1115"/>
      <c r="EQ51" s="1115"/>
      <c r="ER51" s="1115"/>
      <c r="ES51" s="1115"/>
      <c r="ET51" s="1115"/>
      <c r="EU51" s="1115"/>
      <c r="EV51" s="1115"/>
      <c r="EW51" s="1115"/>
      <c r="EX51" s="1115"/>
      <c r="EY51" s="1115"/>
      <c r="EZ51" s="1115"/>
      <c r="FA51" s="1115"/>
      <c r="FB51" s="1115"/>
      <c r="FC51" s="1115"/>
      <c r="FD51" s="1115"/>
      <c r="FE51" s="1115"/>
      <c r="FF51" s="1115"/>
      <c r="FG51" s="1115"/>
      <c r="FH51" s="1118"/>
    </row>
    <row r="52" spans="1:164" ht="15" thickBot="1" x14ac:dyDescent="0.4">
      <c r="A52" s="1122"/>
      <c r="B52" s="1125"/>
      <c r="C52" s="1127"/>
      <c r="D52" s="1124"/>
      <c r="E52" s="1120"/>
      <c r="F52" s="1114"/>
      <c r="G52" s="1115"/>
      <c r="H52" s="1115"/>
      <c r="I52" s="1115"/>
      <c r="J52" s="1115"/>
      <c r="K52" s="1115"/>
      <c r="L52" s="1115"/>
      <c r="M52" s="1115"/>
      <c r="N52" s="1115"/>
      <c r="O52" s="1115"/>
      <c r="P52" s="1115"/>
      <c r="Q52" s="1115"/>
      <c r="R52" s="1115"/>
      <c r="S52" s="1115"/>
      <c r="T52" s="1115"/>
      <c r="U52" s="1115"/>
      <c r="V52" s="1115"/>
      <c r="W52" s="1115"/>
      <c r="X52" s="1115"/>
      <c r="Y52" s="1115"/>
      <c r="Z52" s="1115"/>
      <c r="AA52" s="1115"/>
      <c r="AB52" s="1115"/>
      <c r="AC52" s="1115"/>
      <c r="AD52" s="1115"/>
      <c r="AE52" s="1115"/>
      <c r="AF52" s="1115"/>
      <c r="AG52" s="1115"/>
      <c r="AH52" s="1115"/>
      <c r="AI52" s="1115"/>
      <c r="AJ52" s="1115"/>
      <c r="AK52" s="1115"/>
      <c r="AL52" s="1115"/>
      <c r="AM52" s="1115"/>
      <c r="AN52" s="1115"/>
      <c r="AO52" s="1115"/>
      <c r="AP52" s="1115"/>
      <c r="AQ52" s="1115"/>
      <c r="AR52" s="1115"/>
      <c r="AS52" s="1115"/>
      <c r="AT52" s="1115"/>
      <c r="AU52" s="1115"/>
      <c r="AV52" s="1115"/>
      <c r="AW52" s="1115"/>
      <c r="AX52" s="1115"/>
      <c r="AY52" s="1115"/>
      <c r="AZ52" s="1115"/>
      <c r="BA52" s="1115"/>
      <c r="BB52" s="1115"/>
      <c r="BC52" s="1115"/>
      <c r="BD52" s="1115"/>
      <c r="BE52" s="1115"/>
      <c r="BF52" s="1118"/>
      <c r="BG52" s="1114"/>
      <c r="BH52" s="1115"/>
      <c r="BI52" s="1115"/>
      <c r="BJ52" s="1115"/>
      <c r="BK52" s="1115"/>
      <c r="BL52" s="1115"/>
      <c r="BM52" s="1115"/>
      <c r="BN52" s="1115"/>
      <c r="BO52" s="1115"/>
      <c r="BP52" s="1115"/>
      <c r="BQ52" s="1115"/>
      <c r="BR52" s="1115"/>
      <c r="BS52" s="1115"/>
      <c r="BT52" s="1115"/>
      <c r="BU52" s="1115"/>
      <c r="BV52" s="1115"/>
      <c r="BW52" s="1115"/>
      <c r="BX52" s="1115"/>
      <c r="BY52" s="1115"/>
      <c r="BZ52" s="1115"/>
      <c r="CA52" s="1115"/>
      <c r="CB52" s="1115"/>
      <c r="CC52" s="1115"/>
      <c r="CD52" s="1115"/>
      <c r="CE52" s="1115"/>
      <c r="CF52" s="1115"/>
      <c r="CG52" s="1115"/>
      <c r="CH52" s="1115"/>
      <c r="CI52" s="1115"/>
      <c r="CJ52" s="1115"/>
      <c r="CK52" s="1115"/>
      <c r="CL52" s="1115"/>
      <c r="CM52" s="1115"/>
      <c r="CN52" s="1115"/>
      <c r="CO52" s="1115"/>
      <c r="CP52" s="1115"/>
      <c r="CQ52" s="1115"/>
      <c r="CR52" s="1115"/>
      <c r="CS52" s="1115"/>
      <c r="CT52" s="1115"/>
      <c r="CU52" s="1115"/>
      <c r="CV52" s="1115"/>
      <c r="CW52" s="1115"/>
      <c r="CX52" s="1115"/>
      <c r="CY52" s="1115"/>
      <c r="CZ52" s="1115"/>
      <c r="DA52" s="1115"/>
      <c r="DB52" s="1115"/>
      <c r="DC52" s="1115"/>
      <c r="DD52" s="1115"/>
      <c r="DE52" s="1115"/>
      <c r="DF52" s="1115"/>
      <c r="DG52" s="1118"/>
      <c r="DH52" s="1114"/>
      <c r="DI52" s="1115"/>
      <c r="DJ52" s="1115"/>
      <c r="DK52" s="1115"/>
      <c r="DL52" s="1115"/>
      <c r="DM52" s="1115"/>
      <c r="DN52" s="1115"/>
      <c r="DO52" s="1115"/>
      <c r="DP52" s="1115"/>
      <c r="DQ52" s="1115"/>
      <c r="DR52" s="1115"/>
      <c r="DS52" s="1115"/>
      <c r="DT52" s="1115"/>
      <c r="DU52" s="1115"/>
      <c r="DV52" s="1115"/>
      <c r="DW52" s="1115"/>
      <c r="DX52" s="1115"/>
      <c r="DY52" s="1115"/>
      <c r="DZ52" s="1115"/>
      <c r="EA52" s="1115"/>
      <c r="EB52" s="1115"/>
      <c r="EC52" s="1115"/>
      <c r="ED52" s="1115"/>
      <c r="EE52" s="1115"/>
      <c r="EF52" s="1115"/>
      <c r="EG52" s="1115"/>
      <c r="EH52" s="1115"/>
      <c r="EI52" s="1115"/>
      <c r="EJ52" s="1115"/>
      <c r="EK52" s="1115"/>
      <c r="EL52" s="1115"/>
      <c r="EM52" s="1115"/>
      <c r="EN52" s="1115"/>
      <c r="EO52" s="1115"/>
      <c r="EP52" s="1115"/>
      <c r="EQ52" s="1115"/>
      <c r="ER52" s="1115"/>
      <c r="ES52" s="1115"/>
      <c r="ET52" s="1115"/>
      <c r="EU52" s="1115"/>
      <c r="EV52" s="1115"/>
      <c r="EW52" s="1115"/>
      <c r="EX52" s="1115"/>
      <c r="EY52" s="1115"/>
      <c r="EZ52" s="1115"/>
      <c r="FA52" s="1115"/>
      <c r="FB52" s="1115"/>
      <c r="FC52" s="1115"/>
      <c r="FD52" s="1115"/>
      <c r="FE52" s="1115"/>
      <c r="FF52" s="1115"/>
      <c r="FG52" s="1115"/>
      <c r="FH52" s="1118"/>
    </row>
    <row r="53" spans="1:164" ht="15" thickBot="1" x14ac:dyDescent="0.4">
      <c r="A53" s="1122"/>
      <c r="B53" s="1125"/>
      <c r="C53" s="1127"/>
      <c r="D53" s="1124"/>
      <c r="E53" s="1120"/>
      <c r="F53" s="1114"/>
      <c r="G53" s="1115"/>
      <c r="H53" s="1115"/>
      <c r="I53" s="1115"/>
      <c r="J53" s="1115"/>
      <c r="K53" s="1115"/>
      <c r="L53" s="1115"/>
      <c r="M53" s="1115"/>
      <c r="N53" s="1115"/>
      <c r="O53" s="1115"/>
      <c r="P53" s="1115"/>
      <c r="Q53" s="1115"/>
      <c r="R53" s="1115"/>
      <c r="S53" s="1115"/>
      <c r="T53" s="1115"/>
      <c r="U53" s="1115"/>
      <c r="V53" s="1115"/>
      <c r="W53" s="1115"/>
      <c r="X53" s="1115"/>
      <c r="Y53" s="1115"/>
      <c r="Z53" s="1115"/>
      <c r="AA53" s="1115"/>
      <c r="AB53" s="1115"/>
      <c r="AC53" s="1115"/>
      <c r="AD53" s="1115"/>
      <c r="AE53" s="1115"/>
      <c r="AF53" s="1115"/>
      <c r="AG53" s="1115"/>
      <c r="AH53" s="1115"/>
      <c r="AI53" s="1115"/>
      <c r="AJ53" s="1115"/>
      <c r="AK53" s="1115"/>
      <c r="AL53" s="1115"/>
      <c r="AM53" s="1115"/>
      <c r="AN53" s="1115"/>
      <c r="AO53" s="1115"/>
      <c r="AP53" s="1115"/>
      <c r="AQ53" s="1115"/>
      <c r="AR53" s="1115"/>
      <c r="AS53" s="1115"/>
      <c r="AT53" s="1115"/>
      <c r="AU53" s="1115"/>
      <c r="AV53" s="1115"/>
      <c r="AW53" s="1115"/>
      <c r="AX53" s="1115"/>
      <c r="AY53" s="1115"/>
      <c r="AZ53" s="1115"/>
      <c r="BA53" s="1115"/>
      <c r="BB53" s="1115"/>
      <c r="BC53" s="1115"/>
      <c r="BD53" s="1115"/>
      <c r="BE53" s="1115"/>
      <c r="BF53" s="1118"/>
      <c r="BG53" s="1114"/>
      <c r="BH53" s="1115"/>
      <c r="BI53" s="1115"/>
      <c r="BJ53" s="1115"/>
      <c r="BK53" s="1115"/>
      <c r="BL53" s="1115"/>
      <c r="BM53" s="1115"/>
      <c r="BN53" s="1115"/>
      <c r="BO53" s="1115"/>
      <c r="BP53" s="1115"/>
      <c r="BQ53" s="1115"/>
      <c r="BR53" s="1115"/>
      <c r="BS53" s="1115"/>
      <c r="BT53" s="1115"/>
      <c r="BU53" s="1115"/>
      <c r="BV53" s="1115"/>
      <c r="BW53" s="1115"/>
      <c r="BX53" s="1115"/>
      <c r="BY53" s="1115"/>
      <c r="BZ53" s="1115"/>
      <c r="CA53" s="1115"/>
      <c r="CB53" s="1115"/>
      <c r="CC53" s="1115"/>
      <c r="CD53" s="1115"/>
      <c r="CE53" s="1115"/>
      <c r="CF53" s="1115"/>
      <c r="CG53" s="1115"/>
      <c r="CH53" s="1115"/>
      <c r="CI53" s="1115"/>
      <c r="CJ53" s="1115"/>
      <c r="CK53" s="1115"/>
      <c r="CL53" s="1115"/>
      <c r="CM53" s="1115"/>
      <c r="CN53" s="1115"/>
      <c r="CO53" s="1115"/>
      <c r="CP53" s="1115"/>
      <c r="CQ53" s="1115"/>
      <c r="CR53" s="1115"/>
      <c r="CS53" s="1115"/>
      <c r="CT53" s="1115"/>
      <c r="CU53" s="1115"/>
      <c r="CV53" s="1115"/>
      <c r="CW53" s="1115"/>
      <c r="CX53" s="1115"/>
      <c r="CY53" s="1115"/>
      <c r="CZ53" s="1115"/>
      <c r="DA53" s="1115"/>
      <c r="DB53" s="1115"/>
      <c r="DC53" s="1115"/>
      <c r="DD53" s="1115"/>
      <c r="DE53" s="1115"/>
      <c r="DF53" s="1115"/>
      <c r="DG53" s="1118"/>
      <c r="DH53" s="1114"/>
      <c r="DI53" s="1115"/>
      <c r="DJ53" s="1115"/>
      <c r="DK53" s="1115"/>
      <c r="DL53" s="1115"/>
      <c r="DM53" s="1115"/>
      <c r="DN53" s="1115"/>
      <c r="DO53" s="1115"/>
      <c r="DP53" s="1115"/>
      <c r="DQ53" s="1115"/>
      <c r="DR53" s="1115"/>
      <c r="DS53" s="1115"/>
      <c r="DT53" s="1115"/>
      <c r="DU53" s="1115"/>
      <c r="DV53" s="1115"/>
      <c r="DW53" s="1115"/>
      <c r="DX53" s="1115"/>
      <c r="DY53" s="1115"/>
      <c r="DZ53" s="1115"/>
      <c r="EA53" s="1115"/>
      <c r="EB53" s="1115"/>
      <c r="EC53" s="1115"/>
      <c r="ED53" s="1115"/>
      <c r="EE53" s="1115"/>
      <c r="EF53" s="1115"/>
      <c r="EG53" s="1115"/>
      <c r="EH53" s="1115"/>
      <c r="EI53" s="1115"/>
      <c r="EJ53" s="1115"/>
      <c r="EK53" s="1115"/>
      <c r="EL53" s="1115"/>
      <c r="EM53" s="1115"/>
      <c r="EN53" s="1115"/>
      <c r="EO53" s="1115"/>
      <c r="EP53" s="1115"/>
      <c r="EQ53" s="1115"/>
      <c r="ER53" s="1115"/>
      <c r="ES53" s="1115"/>
      <c r="ET53" s="1115"/>
      <c r="EU53" s="1115"/>
      <c r="EV53" s="1115"/>
      <c r="EW53" s="1115"/>
      <c r="EX53" s="1115"/>
      <c r="EY53" s="1115"/>
      <c r="EZ53" s="1115"/>
      <c r="FA53" s="1115"/>
      <c r="FB53" s="1115"/>
      <c r="FC53" s="1115"/>
      <c r="FD53" s="1115"/>
      <c r="FE53" s="1115"/>
      <c r="FF53" s="1115"/>
      <c r="FG53" s="1115"/>
      <c r="FH53" s="1118"/>
    </row>
    <row r="54" spans="1:164" ht="15" thickBot="1" x14ac:dyDescent="0.4">
      <c r="A54" s="1122"/>
      <c r="B54" s="1125"/>
      <c r="C54" s="1127"/>
      <c r="D54" s="1124"/>
      <c r="E54" s="1120"/>
      <c r="F54" s="1114"/>
      <c r="G54" s="1115"/>
      <c r="H54" s="1115"/>
      <c r="I54" s="1115"/>
      <c r="J54" s="1115"/>
      <c r="K54" s="1115"/>
      <c r="L54" s="1115"/>
      <c r="M54" s="1115"/>
      <c r="N54" s="1115"/>
      <c r="O54" s="1115"/>
      <c r="P54" s="1115"/>
      <c r="Q54" s="1115"/>
      <c r="R54" s="1115"/>
      <c r="S54" s="1115"/>
      <c r="T54" s="1115"/>
      <c r="U54" s="1115"/>
      <c r="V54" s="1115"/>
      <c r="W54" s="1115"/>
      <c r="X54" s="1115"/>
      <c r="Y54" s="1115"/>
      <c r="Z54" s="1115"/>
      <c r="AA54" s="1115"/>
      <c r="AB54" s="1115"/>
      <c r="AC54" s="1115"/>
      <c r="AD54" s="1115"/>
      <c r="AE54" s="1115"/>
      <c r="AF54" s="1115"/>
      <c r="AG54" s="1115"/>
      <c r="AH54" s="1115"/>
      <c r="AI54" s="1115"/>
      <c r="AJ54" s="1115"/>
      <c r="AK54" s="1115"/>
      <c r="AL54" s="1115"/>
      <c r="AM54" s="1115"/>
      <c r="AN54" s="1115"/>
      <c r="AO54" s="1115"/>
      <c r="AP54" s="1115"/>
      <c r="AQ54" s="1115"/>
      <c r="AR54" s="1115"/>
      <c r="AS54" s="1115"/>
      <c r="AT54" s="1115"/>
      <c r="AU54" s="1115"/>
      <c r="AV54" s="1115"/>
      <c r="AW54" s="1115"/>
      <c r="AX54" s="1115"/>
      <c r="AY54" s="1115"/>
      <c r="AZ54" s="1115"/>
      <c r="BA54" s="1115"/>
      <c r="BB54" s="1115"/>
      <c r="BC54" s="1115"/>
      <c r="BD54" s="1115"/>
      <c r="BE54" s="1115"/>
      <c r="BF54" s="1118"/>
      <c r="BG54" s="1114"/>
      <c r="BH54" s="1115"/>
      <c r="BI54" s="1115"/>
      <c r="BJ54" s="1115"/>
      <c r="BK54" s="1115"/>
      <c r="BL54" s="1115"/>
      <c r="BM54" s="1115"/>
      <c r="BN54" s="1115"/>
      <c r="BO54" s="1115"/>
      <c r="BP54" s="1115"/>
      <c r="BQ54" s="1115"/>
      <c r="BR54" s="1115"/>
      <c r="BS54" s="1115"/>
      <c r="BT54" s="1115"/>
      <c r="BU54" s="1115"/>
      <c r="BV54" s="1115"/>
      <c r="BW54" s="1115"/>
      <c r="BX54" s="1115"/>
      <c r="BY54" s="1115"/>
      <c r="BZ54" s="1115"/>
      <c r="CA54" s="1115"/>
      <c r="CB54" s="1115"/>
      <c r="CC54" s="1115"/>
      <c r="CD54" s="1115"/>
      <c r="CE54" s="1115"/>
      <c r="CF54" s="1115"/>
      <c r="CG54" s="1115"/>
      <c r="CH54" s="1115"/>
      <c r="CI54" s="1115"/>
      <c r="CJ54" s="1115"/>
      <c r="CK54" s="1115"/>
      <c r="CL54" s="1115"/>
      <c r="CM54" s="1115"/>
      <c r="CN54" s="1115"/>
      <c r="CO54" s="1115"/>
      <c r="CP54" s="1115"/>
      <c r="CQ54" s="1115"/>
      <c r="CR54" s="1115"/>
      <c r="CS54" s="1115"/>
      <c r="CT54" s="1115"/>
      <c r="CU54" s="1115"/>
      <c r="CV54" s="1115"/>
      <c r="CW54" s="1115"/>
      <c r="CX54" s="1115"/>
      <c r="CY54" s="1115"/>
      <c r="CZ54" s="1115"/>
      <c r="DA54" s="1115"/>
      <c r="DB54" s="1115"/>
      <c r="DC54" s="1115"/>
      <c r="DD54" s="1115"/>
      <c r="DE54" s="1115"/>
      <c r="DF54" s="1115"/>
      <c r="DG54" s="1118"/>
      <c r="DH54" s="1114"/>
      <c r="DI54" s="1115"/>
      <c r="DJ54" s="1115"/>
      <c r="DK54" s="1115"/>
      <c r="DL54" s="1115"/>
      <c r="DM54" s="1115"/>
      <c r="DN54" s="1115"/>
      <c r="DO54" s="1115"/>
      <c r="DP54" s="1115"/>
      <c r="DQ54" s="1115"/>
      <c r="DR54" s="1115"/>
      <c r="DS54" s="1115"/>
      <c r="DT54" s="1115"/>
      <c r="DU54" s="1115"/>
      <c r="DV54" s="1115"/>
      <c r="DW54" s="1115"/>
      <c r="DX54" s="1115"/>
      <c r="DY54" s="1115"/>
      <c r="DZ54" s="1115"/>
      <c r="EA54" s="1115"/>
      <c r="EB54" s="1115"/>
      <c r="EC54" s="1115"/>
      <c r="ED54" s="1115"/>
      <c r="EE54" s="1115"/>
      <c r="EF54" s="1115"/>
      <c r="EG54" s="1115"/>
      <c r="EH54" s="1115"/>
      <c r="EI54" s="1115"/>
      <c r="EJ54" s="1115"/>
      <c r="EK54" s="1115"/>
      <c r="EL54" s="1115"/>
      <c r="EM54" s="1115"/>
      <c r="EN54" s="1115"/>
      <c r="EO54" s="1115"/>
      <c r="EP54" s="1115"/>
      <c r="EQ54" s="1115"/>
      <c r="ER54" s="1115"/>
      <c r="ES54" s="1115"/>
      <c r="ET54" s="1115"/>
      <c r="EU54" s="1115"/>
      <c r="EV54" s="1115"/>
      <c r="EW54" s="1115"/>
      <c r="EX54" s="1115"/>
      <c r="EY54" s="1115"/>
      <c r="EZ54" s="1115"/>
      <c r="FA54" s="1115"/>
      <c r="FB54" s="1115"/>
      <c r="FC54" s="1115"/>
      <c r="FD54" s="1115"/>
      <c r="FE54" s="1115"/>
      <c r="FF54" s="1115"/>
      <c r="FG54" s="1115"/>
      <c r="FH54" s="1118"/>
    </row>
    <row r="55" spans="1:164" ht="15" thickBot="1" x14ac:dyDescent="0.4">
      <c r="A55" s="1122"/>
      <c r="B55" s="1125"/>
      <c r="C55" s="1127"/>
      <c r="D55" s="1124"/>
      <c r="E55" s="1120"/>
      <c r="F55" s="1114"/>
      <c r="G55" s="1115"/>
      <c r="H55" s="1115"/>
      <c r="I55" s="1115"/>
      <c r="J55" s="1115"/>
      <c r="K55" s="1115"/>
      <c r="L55" s="1115"/>
      <c r="M55" s="1115"/>
      <c r="N55" s="1115"/>
      <c r="O55" s="1115"/>
      <c r="P55" s="1115"/>
      <c r="Q55" s="1115"/>
      <c r="R55" s="1115"/>
      <c r="S55" s="1115"/>
      <c r="T55" s="1115"/>
      <c r="U55" s="1115"/>
      <c r="V55" s="1115"/>
      <c r="W55" s="1115"/>
      <c r="X55" s="1115"/>
      <c r="Y55" s="1115"/>
      <c r="Z55" s="1115"/>
      <c r="AA55" s="1115"/>
      <c r="AB55" s="1115"/>
      <c r="AC55" s="1115"/>
      <c r="AD55" s="1115"/>
      <c r="AE55" s="1115"/>
      <c r="AF55" s="1115"/>
      <c r="AG55" s="1115"/>
      <c r="AH55" s="1115"/>
      <c r="AI55" s="1115"/>
      <c r="AJ55" s="1115"/>
      <c r="AK55" s="1115"/>
      <c r="AL55" s="1115"/>
      <c r="AM55" s="1115"/>
      <c r="AN55" s="1115"/>
      <c r="AO55" s="1115"/>
      <c r="AP55" s="1115"/>
      <c r="AQ55" s="1115"/>
      <c r="AR55" s="1115"/>
      <c r="AS55" s="1115"/>
      <c r="AT55" s="1115"/>
      <c r="AU55" s="1115"/>
      <c r="AV55" s="1115"/>
      <c r="AW55" s="1115"/>
      <c r="AX55" s="1115"/>
      <c r="AY55" s="1115"/>
      <c r="AZ55" s="1115"/>
      <c r="BA55" s="1115"/>
      <c r="BB55" s="1115"/>
      <c r="BC55" s="1115"/>
      <c r="BD55" s="1115"/>
      <c r="BE55" s="1115"/>
      <c r="BF55" s="1118"/>
      <c r="BG55" s="1114"/>
      <c r="BH55" s="1115"/>
      <c r="BI55" s="1115"/>
      <c r="BJ55" s="1115"/>
      <c r="BK55" s="1115"/>
      <c r="BL55" s="1115"/>
      <c r="BM55" s="1115"/>
      <c r="BN55" s="1115"/>
      <c r="BO55" s="1115"/>
      <c r="BP55" s="1115"/>
      <c r="BQ55" s="1115"/>
      <c r="BR55" s="1115"/>
      <c r="BS55" s="1115"/>
      <c r="BT55" s="1115"/>
      <c r="BU55" s="1115"/>
      <c r="BV55" s="1115"/>
      <c r="BW55" s="1115"/>
      <c r="BX55" s="1115"/>
      <c r="BY55" s="1115"/>
      <c r="BZ55" s="1115"/>
      <c r="CA55" s="1115"/>
      <c r="CB55" s="1115"/>
      <c r="CC55" s="1115"/>
      <c r="CD55" s="1115"/>
      <c r="CE55" s="1115"/>
      <c r="CF55" s="1115"/>
      <c r="CG55" s="1115"/>
      <c r="CH55" s="1115"/>
      <c r="CI55" s="1115"/>
      <c r="CJ55" s="1115"/>
      <c r="CK55" s="1115"/>
      <c r="CL55" s="1115"/>
      <c r="CM55" s="1115"/>
      <c r="CN55" s="1115"/>
      <c r="CO55" s="1115"/>
      <c r="CP55" s="1115"/>
      <c r="CQ55" s="1115"/>
      <c r="CR55" s="1115"/>
      <c r="CS55" s="1115"/>
      <c r="CT55" s="1115"/>
      <c r="CU55" s="1115"/>
      <c r="CV55" s="1115"/>
      <c r="CW55" s="1115"/>
      <c r="CX55" s="1115"/>
      <c r="CY55" s="1115"/>
      <c r="CZ55" s="1115"/>
      <c r="DA55" s="1115"/>
      <c r="DB55" s="1115"/>
      <c r="DC55" s="1115"/>
      <c r="DD55" s="1115"/>
      <c r="DE55" s="1115"/>
      <c r="DF55" s="1115"/>
      <c r="DG55" s="1118"/>
      <c r="DH55" s="1114"/>
      <c r="DI55" s="1115"/>
      <c r="DJ55" s="1115"/>
      <c r="DK55" s="1115"/>
      <c r="DL55" s="1115"/>
      <c r="DM55" s="1115"/>
      <c r="DN55" s="1115"/>
      <c r="DO55" s="1115"/>
      <c r="DP55" s="1115"/>
      <c r="DQ55" s="1115"/>
      <c r="DR55" s="1115"/>
      <c r="DS55" s="1115"/>
      <c r="DT55" s="1115"/>
      <c r="DU55" s="1115"/>
      <c r="DV55" s="1115"/>
      <c r="DW55" s="1115"/>
      <c r="DX55" s="1115"/>
      <c r="DY55" s="1115"/>
      <c r="DZ55" s="1115"/>
      <c r="EA55" s="1115"/>
      <c r="EB55" s="1115"/>
      <c r="EC55" s="1115"/>
      <c r="ED55" s="1115"/>
      <c r="EE55" s="1115"/>
      <c r="EF55" s="1115"/>
      <c r="EG55" s="1115"/>
      <c r="EH55" s="1115"/>
      <c r="EI55" s="1115"/>
      <c r="EJ55" s="1115"/>
      <c r="EK55" s="1115"/>
      <c r="EL55" s="1115"/>
      <c r="EM55" s="1115"/>
      <c r="EN55" s="1115"/>
      <c r="EO55" s="1115"/>
      <c r="EP55" s="1115"/>
      <c r="EQ55" s="1115"/>
      <c r="ER55" s="1115"/>
      <c r="ES55" s="1115"/>
      <c r="ET55" s="1115"/>
      <c r="EU55" s="1115"/>
      <c r="EV55" s="1115"/>
      <c r="EW55" s="1115"/>
      <c r="EX55" s="1115"/>
      <c r="EY55" s="1115"/>
      <c r="EZ55" s="1115"/>
      <c r="FA55" s="1115"/>
      <c r="FB55" s="1115"/>
      <c r="FC55" s="1115"/>
      <c r="FD55" s="1115"/>
      <c r="FE55" s="1115"/>
      <c r="FF55" s="1115"/>
      <c r="FG55" s="1115"/>
      <c r="FH55" s="1118"/>
    </row>
    <row r="56" spans="1:164" ht="15" thickBot="1" x14ac:dyDescent="0.4">
      <c r="A56" s="1122"/>
      <c r="B56" s="1125"/>
      <c r="C56" s="1127"/>
      <c r="D56" s="1124"/>
      <c r="E56" s="1120"/>
      <c r="F56" s="1114"/>
      <c r="G56" s="1115"/>
      <c r="H56" s="1115"/>
      <c r="I56" s="1115"/>
      <c r="J56" s="1115"/>
      <c r="K56" s="1115"/>
      <c r="L56" s="1115"/>
      <c r="M56" s="1115"/>
      <c r="N56" s="1115"/>
      <c r="O56" s="1115"/>
      <c r="P56" s="1115"/>
      <c r="Q56" s="1115"/>
      <c r="R56" s="1115"/>
      <c r="S56" s="1115"/>
      <c r="T56" s="1115"/>
      <c r="U56" s="1115"/>
      <c r="V56" s="1115"/>
      <c r="W56" s="1115"/>
      <c r="X56" s="1115"/>
      <c r="Y56" s="1115"/>
      <c r="Z56" s="1115"/>
      <c r="AA56" s="1115"/>
      <c r="AB56" s="1115"/>
      <c r="AC56" s="1115"/>
      <c r="AD56" s="1115"/>
      <c r="AE56" s="1115"/>
      <c r="AF56" s="1115"/>
      <c r="AG56" s="1115"/>
      <c r="AH56" s="1115"/>
      <c r="AI56" s="1115"/>
      <c r="AJ56" s="1115"/>
      <c r="AK56" s="1115"/>
      <c r="AL56" s="1115"/>
      <c r="AM56" s="1115"/>
      <c r="AN56" s="1115"/>
      <c r="AO56" s="1115"/>
      <c r="AP56" s="1115"/>
      <c r="AQ56" s="1115"/>
      <c r="AR56" s="1115"/>
      <c r="AS56" s="1115"/>
      <c r="AT56" s="1115"/>
      <c r="AU56" s="1115"/>
      <c r="AV56" s="1115"/>
      <c r="AW56" s="1115"/>
      <c r="AX56" s="1115"/>
      <c r="AY56" s="1115"/>
      <c r="AZ56" s="1115"/>
      <c r="BA56" s="1115"/>
      <c r="BB56" s="1115"/>
      <c r="BC56" s="1115"/>
      <c r="BD56" s="1115"/>
      <c r="BE56" s="1115"/>
      <c r="BF56" s="1118"/>
      <c r="BG56" s="1114"/>
      <c r="BH56" s="1115"/>
      <c r="BI56" s="1115"/>
      <c r="BJ56" s="1115"/>
      <c r="BK56" s="1115"/>
      <c r="BL56" s="1115"/>
      <c r="BM56" s="1115"/>
      <c r="BN56" s="1115"/>
      <c r="BO56" s="1115"/>
      <c r="BP56" s="1115"/>
      <c r="BQ56" s="1115"/>
      <c r="BR56" s="1115"/>
      <c r="BS56" s="1115"/>
      <c r="BT56" s="1115"/>
      <c r="BU56" s="1115"/>
      <c r="BV56" s="1115"/>
      <c r="BW56" s="1115"/>
      <c r="BX56" s="1115"/>
      <c r="BY56" s="1115"/>
      <c r="BZ56" s="1115"/>
      <c r="CA56" s="1115"/>
      <c r="CB56" s="1115"/>
      <c r="CC56" s="1115"/>
      <c r="CD56" s="1115"/>
      <c r="CE56" s="1115"/>
      <c r="CF56" s="1115"/>
      <c r="CG56" s="1115"/>
      <c r="CH56" s="1115"/>
      <c r="CI56" s="1115"/>
      <c r="CJ56" s="1115"/>
      <c r="CK56" s="1115"/>
      <c r="CL56" s="1115"/>
      <c r="CM56" s="1115"/>
      <c r="CN56" s="1115"/>
      <c r="CO56" s="1115"/>
      <c r="CP56" s="1115"/>
      <c r="CQ56" s="1115"/>
      <c r="CR56" s="1115"/>
      <c r="CS56" s="1115"/>
      <c r="CT56" s="1115"/>
      <c r="CU56" s="1115"/>
      <c r="CV56" s="1115"/>
      <c r="CW56" s="1115"/>
      <c r="CX56" s="1115"/>
      <c r="CY56" s="1115"/>
      <c r="CZ56" s="1115"/>
      <c r="DA56" s="1115"/>
      <c r="DB56" s="1115"/>
      <c r="DC56" s="1115"/>
      <c r="DD56" s="1115"/>
      <c r="DE56" s="1115"/>
      <c r="DF56" s="1115"/>
      <c r="DG56" s="1118"/>
      <c r="DH56" s="1114"/>
      <c r="DI56" s="1115"/>
      <c r="DJ56" s="1115"/>
      <c r="DK56" s="1115"/>
      <c r="DL56" s="1115"/>
      <c r="DM56" s="1115"/>
      <c r="DN56" s="1115"/>
      <c r="DO56" s="1115"/>
      <c r="DP56" s="1115"/>
      <c r="DQ56" s="1115"/>
      <c r="DR56" s="1115"/>
      <c r="DS56" s="1115"/>
      <c r="DT56" s="1115"/>
      <c r="DU56" s="1115"/>
      <c r="DV56" s="1115"/>
      <c r="DW56" s="1115"/>
      <c r="DX56" s="1115"/>
      <c r="DY56" s="1115"/>
      <c r="DZ56" s="1115"/>
      <c r="EA56" s="1115"/>
      <c r="EB56" s="1115"/>
      <c r="EC56" s="1115"/>
      <c r="ED56" s="1115"/>
      <c r="EE56" s="1115"/>
      <c r="EF56" s="1115"/>
      <c r="EG56" s="1115"/>
      <c r="EH56" s="1115"/>
      <c r="EI56" s="1115"/>
      <c r="EJ56" s="1115"/>
      <c r="EK56" s="1115"/>
      <c r="EL56" s="1115"/>
      <c r="EM56" s="1115"/>
      <c r="EN56" s="1115"/>
      <c r="EO56" s="1115"/>
      <c r="EP56" s="1115"/>
      <c r="EQ56" s="1115"/>
      <c r="ER56" s="1115"/>
      <c r="ES56" s="1115"/>
      <c r="ET56" s="1115"/>
      <c r="EU56" s="1115"/>
      <c r="EV56" s="1115"/>
      <c r="EW56" s="1115"/>
      <c r="EX56" s="1115"/>
      <c r="EY56" s="1115"/>
      <c r="EZ56" s="1115"/>
      <c r="FA56" s="1115"/>
      <c r="FB56" s="1115"/>
      <c r="FC56" s="1115"/>
      <c r="FD56" s="1115"/>
      <c r="FE56" s="1115"/>
      <c r="FF56" s="1115"/>
      <c r="FG56" s="1115"/>
      <c r="FH56" s="1118"/>
    </row>
    <row r="57" spans="1:164" ht="15" thickBot="1" x14ac:dyDescent="0.4">
      <c r="A57" s="1122"/>
      <c r="B57" s="1125"/>
      <c r="C57" s="1126"/>
      <c r="D57" s="1124"/>
      <c r="E57" s="1120"/>
      <c r="F57" s="1115"/>
      <c r="G57" s="1115"/>
      <c r="H57" s="1115"/>
      <c r="I57" s="1115"/>
      <c r="J57" s="1115"/>
      <c r="K57" s="1115"/>
      <c r="L57" s="1115"/>
      <c r="M57" s="1115"/>
      <c r="N57" s="1115"/>
      <c r="O57" s="1115"/>
      <c r="P57" s="1115"/>
      <c r="Q57" s="1115"/>
      <c r="R57" s="1115"/>
      <c r="S57" s="1115"/>
      <c r="T57" s="1115"/>
      <c r="U57" s="1115"/>
      <c r="V57" s="1115"/>
      <c r="W57" s="1115"/>
      <c r="X57" s="1115"/>
      <c r="Y57" s="1115"/>
      <c r="Z57" s="1115"/>
      <c r="AA57" s="1115"/>
      <c r="AB57" s="1115"/>
      <c r="AC57" s="1115"/>
      <c r="AD57" s="1115"/>
      <c r="AE57" s="1115"/>
      <c r="AF57" s="1115"/>
      <c r="AG57" s="1115"/>
      <c r="AH57" s="1115"/>
      <c r="AI57" s="1115"/>
      <c r="AJ57" s="1115"/>
      <c r="AK57" s="1115"/>
      <c r="AL57" s="1115"/>
      <c r="AM57" s="1115"/>
      <c r="AN57" s="1115"/>
      <c r="AO57" s="1115"/>
      <c r="AP57" s="1115"/>
      <c r="AQ57" s="1115"/>
      <c r="AR57" s="1115"/>
      <c r="AS57" s="1115"/>
      <c r="AT57" s="1115"/>
      <c r="AU57" s="1115"/>
      <c r="AV57" s="1115"/>
      <c r="AW57" s="1115"/>
      <c r="AX57" s="1115"/>
      <c r="AY57" s="1115"/>
      <c r="AZ57" s="1115"/>
      <c r="BA57" s="1115"/>
      <c r="BB57" s="1115"/>
      <c r="BC57" s="1115"/>
      <c r="BD57" s="1115"/>
      <c r="BE57" s="1115"/>
      <c r="BF57" s="1118"/>
      <c r="BG57" s="1115"/>
      <c r="BH57" s="1115"/>
      <c r="BI57" s="1115"/>
      <c r="BJ57" s="1115"/>
      <c r="BK57" s="1115"/>
      <c r="BL57" s="1115"/>
      <c r="BM57" s="1115"/>
      <c r="BN57" s="1115"/>
      <c r="BO57" s="1115"/>
      <c r="BP57" s="1115"/>
      <c r="BQ57" s="1115"/>
      <c r="BR57" s="1115"/>
      <c r="BS57" s="1115"/>
      <c r="BT57" s="1115"/>
      <c r="BU57" s="1115"/>
      <c r="BV57" s="1115"/>
      <c r="BW57" s="1115"/>
      <c r="BX57" s="1115"/>
      <c r="BY57" s="1115"/>
      <c r="BZ57" s="1115"/>
      <c r="CA57" s="1115"/>
      <c r="CB57" s="1115"/>
      <c r="CC57" s="1115"/>
      <c r="CD57" s="1115"/>
      <c r="CE57" s="1115"/>
      <c r="CF57" s="1115"/>
      <c r="CG57" s="1115"/>
      <c r="CH57" s="1115"/>
      <c r="CI57" s="1115"/>
      <c r="CJ57" s="1115"/>
      <c r="CK57" s="1115"/>
      <c r="CL57" s="1115"/>
      <c r="CM57" s="1115"/>
      <c r="CN57" s="1115"/>
      <c r="CO57" s="1115"/>
      <c r="CP57" s="1115"/>
      <c r="CQ57" s="1115"/>
      <c r="CR57" s="1115"/>
      <c r="CS57" s="1115"/>
      <c r="CT57" s="1115"/>
      <c r="CU57" s="1115"/>
      <c r="CV57" s="1115"/>
      <c r="CW57" s="1115"/>
      <c r="CX57" s="1115"/>
      <c r="CY57" s="1115"/>
      <c r="CZ57" s="1115"/>
      <c r="DA57" s="1115"/>
      <c r="DB57" s="1115"/>
      <c r="DC57" s="1115"/>
      <c r="DD57" s="1115"/>
      <c r="DE57" s="1115"/>
      <c r="DF57" s="1115"/>
      <c r="DG57" s="1118"/>
      <c r="DH57" s="1115"/>
      <c r="DI57" s="1115"/>
      <c r="DJ57" s="1115"/>
      <c r="DK57" s="1115"/>
      <c r="DL57" s="1115"/>
      <c r="DM57" s="1115"/>
      <c r="DN57" s="1115"/>
      <c r="DO57" s="1115"/>
      <c r="DP57" s="1115"/>
      <c r="DQ57" s="1115"/>
      <c r="DR57" s="1115"/>
      <c r="DS57" s="1115"/>
      <c r="DT57" s="1115"/>
      <c r="DU57" s="1115"/>
      <c r="DV57" s="1115"/>
      <c r="DW57" s="1115"/>
      <c r="DX57" s="1115"/>
      <c r="DY57" s="1115"/>
      <c r="DZ57" s="1115"/>
      <c r="EA57" s="1115"/>
      <c r="EB57" s="1115"/>
      <c r="EC57" s="1115"/>
      <c r="ED57" s="1115"/>
      <c r="EE57" s="1115"/>
      <c r="EF57" s="1115"/>
      <c r="EG57" s="1115"/>
      <c r="EH57" s="1115"/>
      <c r="EI57" s="1115"/>
      <c r="EJ57" s="1115"/>
      <c r="EK57" s="1115"/>
      <c r="EL57" s="1115"/>
      <c r="EM57" s="1115"/>
      <c r="EN57" s="1115"/>
      <c r="EO57" s="1115"/>
      <c r="EP57" s="1115"/>
      <c r="EQ57" s="1115"/>
      <c r="ER57" s="1115"/>
      <c r="ES57" s="1115"/>
      <c r="ET57" s="1115"/>
      <c r="EU57" s="1115"/>
      <c r="EV57" s="1115"/>
      <c r="EW57" s="1115"/>
      <c r="EX57" s="1115"/>
      <c r="EY57" s="1115"/>
      <c r="EZ57" s="1115"/>
      <c r="FA57" s="1115"/>
      <c r="FB57" s="1115"/>
      <c r="FC57" s="1115"/>
      <c r="FD57" s="1115"/>
      <c r="FE57" s="1115"/>
      <c r="FF57" s="1115"/>
      <c r="FG57" s="1115"/>
      <c r="FH57" s="1118"/>
    </row>
    <row r="58" spans="1:164" ht="15" thickBot="1" x14ac:dyDescent="0.4">
      <c r="A58" s="1122"/>
      <c r="B58" s="1125"/>
      <c r="C58" s="1127"/>
      <c r="D58" s="1124"/>
      <c r="E58" s="1120"/>
      <c r="F58" s="1114"/>
      <c r="G58" s="1115"/>
      <c r="H58" s="1115"/>
      <c r="I58" s="1115"/>
      <c r="J58" s="1115"/>
      <c r="K58" s="1115"/>
      <c r="L58" s="1115"/>
      <c r="M58" s="1115"/>
      <c r="N58" s="1115"/>
      <c r="O58" s="1115"/>
      <c r="P58" s="1115"/>
      <c r="Q58" s="1115"/>
      <c r="R58" s="1115"/>
      <c r="S58" s="1115"/>
      <c r="T58" s="1115"/>
      <c r="U58" s="1115"/>
      <c r="V58" s="1115"/>
      <c r="W58" s="1115"/>
      <c r="X58" s="1115"/>
      <c r="Y58" s="1115"/>
      <c r="Z58" s="1115"/>
      <c r="AA58" s="1115"/>
      <c r="AB58" s="1115"/>
      <c r="AC58" s="1115"/>
      <c r="AD58" s="1115"/>
      <c r="AE58" s="1115"/>
      <c r="AF58" s="1115"/>
      <c r="AG58" s="1115"/>
      <c r="AH58" s="1115"/>
      <c r="AI58" s="1115"/>
      <c r="AJ58" s="1115"/>
      <c r="AK58" s="1115"/>
      <c r="AL58" s="1115"/>
      <c r="AM58" s="1115"/>
      <c r="AN58" s="1115"/>
      <c r="AO58" s="1115"/>
      <c r="AP58" s="1115"/>
      <c r="AQ58" s="1115"/>
      <c r="AR58" s="1115"/>
      <c r="AS58" s="1115"/>
      <c r="AT58" s="1115"/>
      <c r="AU58" s="1115"/>
      <c r="AV58" s="1115"/>
      <c r="AW58" s="1115"/>
      <c r="AX58" s="1115"/>
      <c r="AY58" s="1115"/>
      <c r="AZ58" s="1115"/>
      <c r="BA58" s="1115"/>
      <c r="BB58" s="1115"/>
      <c r="BC58" s="1115"/>
      <c r="BD58" s="1115"/>
      <c r="BE58" s="1115"/>
      <c r="BF58" s="1118"/>
      <c r="BG58" s="1114"/>
      <c r="BH58" s="1115"/>
      <c r="BI58" s="1115"/>
      <c r="BJ58" s="1115"/>
      <c r="BK58" s="1115"/>
      <c r="BL58" s="1115"/>
      <c r="BM58" s="1115"/>
      <c r="BN58" s="1115"/>
      <c r="BO58" s="1115"/>
      <c r="BP58" s="1115"/>
      <c r="BQ58" s="1115"/>
      <c r="BR58" s="1115"/>
      <c r="BS58" s="1115"/>
      <c r="BT58" s="1115"/>
      <c r="BU58" s="1115"/>
      <c r="BV58" s="1115"/>
      <c r="BW58" s="1115"/>
      <c r="BX58" s="1115"/>
      <c r="BY58" s="1115"/>
      <c r="BZ58" s="1115"/>
      <c r="CA58" s="1115"/>
      <c r="CB58" s="1115"/>
      <c r="CC58" s="1115"/>
      <c r="CD58" s="1115"/>
      <c r="CE58" s="1115"/>
      <c r="CF58" s="1115"/>
      <c r="CG58" s="1115"/>
      <c r="CH58" s="1115"/>
      <c r="CI58" s="1115"/>
      <c r="CJ58" s="1115"/>
      <c r="CK58" s="1115"/>
      <c r="CL58" s="1115"/>
      <c r="CM58" s="1115"/>
      <c r="CN58" s="1115"/>
      <c r="CO58" s="1115"/>
      <c r="CP58" s="1115"/>
      <c r="CQ58" s="1115"/>
      <c r="CR58" s="1115"/>
      <c r="CS58" s="1115"/>
      <c r="CT58" s="1115"/>
      <c r="CU58" s="1115"/>
      <c r="CV58" s="1115"/>
      <c r="CW58" s="1115"/>
      <c r="CX58" s="1115"/>
      <c r="CY58" s="1115"/>
      <c r="CZ58" s="1115"/>
      <c r="DA58" s="1115"/>
      <c r="DB58" s="1115"/>
      <c r="DC58" s="1115"/>
      <c r="DD58" s="1115"/>
      <c r="DE58" s="1115"/>
      <c r="DF58" s="1115"/>
      <c r="DG58" s="1118"/>
      <c r="DH58" s="1114"/>
      <c r="DI58" s="1115"/>
      <c r="DJ58" s="1115"/>
      <c r="DK58" s="1115"/>
      <c r="DL58" s="1115"/>
      <c r="DM58" s="1115"/>
      <c r="DN58" s="1115"/>
      <c r="DO58" s="1115"/>
      <c r="DP58" s="1115"/>
      <c r="DQ58" s="1115"/>
      <c r="DR58" s="1115"/>
      <c r="DS58" s="1115"/>
      <c r="DT58" s="1115"/>
      <c r="DU58" s="1115"/>
      <c r="DV58" s="1115"/>
      <c r="DW58" s="1115"/>
      <c r="DX58" s="1115"/>
      <c r="DY58" s="1115"/>
      <c r="DZ58" s="1115"/>
      <c r="EA58" s="1115"/>
      <c r="EB58" s="1115"/>
      <c r="EC58" s="1115"/>
      <c r="ED58" s="1115"/>
      <c r="EE58" s="1115"/>
      <c r="EF58" s="1115"/>
      <c r="EG58" s="1115"/>
      <c r="EH58" s="1115"/>
      <c r="EI58" s="1115"/>
      <c r="EJ58" s="1115"/>
      <c r="EK58" s="1115"/>
      <c r="EL58" s="1115"/>
      <c r="EM58" s="1115"/>
      <c r="EN58" s="1115"/>
      <c r="EO58" s="1115"/>
      <c r="EP58" s="1115"/>
      <c r="EQ58" s="1115"/>
      <c r="ER58" s="1115"/>
      <c r="ES58" s="1115"/>
      <c r="ET58" s="1115"/>
      <c r="EU58" s="1115"/>
      <c r="EV58" s="1115"/>
      <c r="EW58" s="1115"/>
      <c r="EX58" s="1115"/>
      <c r="EY58" s="1115"/>
      <c r="EZ58" s="1115"/>
      <c r="FA58" s="1115"/>
      <c r="FB58" s="1115"/>
      <c r="FC58" s="1115"/>
      <c r="FD58" s="1115"/>
      <c r="FE58" s="1115"/>
      <c r="FF58" s="1115"/>
      <c r="FG58" s="1115"/>
      <c r="FH58" s="1118"/>
    </row>
    <row r="59" spans="1:164" ht="15" thickBot="1" x14ac:dyDescent="0.4">
      <c r="A59" s="1122"/>
      <c r="B59" s="1125"/>
      <c r="C59" s="1127"/>
      <c r="D59" s="1124"/>
      <c r="E59" s="1120"/>
      <c r="F59" s="1114"/>
      <c r="G59" s="1115"/>
      <c r="H59" s="1115"/>
      <c r="I59" s="1115"/>
      <c r="J59" s="1115"/>
      <c r="K59" s="1115"/>
      <c r="L59" s="1115"/>
      <c r="M59" s="1115"/>
      <c r="N59" s="1115"/>
      <c r="O59" s="1115"/>
      <c r="P59" s="1115"/>
      <c r="Q59" s="1115"/>
      <c r="R59" s="1115"/>
      <c r="S59" s="1115"/>
      <c r="T59" s="1115"/>
      <c r="U59" s="1115"/>
      <c r="V59" s="1115"/>
      <c r="W59" s="1115"/>
      <c r="X59" s="1115"/>
      <c r="Y59" s="1115"/>
      <c r="Z59" s="1115"/>
      <c r="AA59" s="1115"/>
      <c r="AB59" s="1115"/>
      <c r="AC59" s="1115"/>
      <c r="AD59" s="1115"/>
      <c r="AE59" s="1115"/>
      <c r="AF59" s="1115"/>
      <c r="AG59" s="1115"/>
      <c r="AH59" s="1115"/>
      <c r="AI59" s="1115"/>
      <c r="AJ59" s="1115"/>
      <c r="AK59" s="1115"/>
      <c r="AL59" s="1115"/>
      <c r="AM59" s="1115"/>
      <c r="AN59" s="1115"/>
      <c r="AO59" s="1115"/>
      <c r="AP59" s="1115"/>
      <c r="AQ59" s="1115"/>
      <c r="AR59" s="1115"/>
      <c r="AS59" s="1115"/>
      <c r="AT59" s="1115"/>
      <c r="AU59" s="1115"/>
      <c r="AV59" s="1115"/>
      <c r="AW59" s="1115"/>
      <c r="AX59" s="1115"/>
      <c r="AY59" s="1115"/>
      <c r="AZ59" s="1115"/>
      <c r="BA59" s="1115"/>
      <c r="BB59" s="1115"/>
      <c r="BC59" s="1115"/>
      <c r="BD59" s="1115"/>
      <c r="BE59" s="1115"/>
      <c r="BF59" s="1118"/>
      <c r="BG59" s="1114"/>
      <c r="BH59" s="1115"/>
      <c r="BI59" s="1115"/>
      <c r="BJ59" s="1115"/>
      <c r="BK59" s="1115"/>
      <c r="BL59" s="1115"/>
      <c r="BM59" s="1115"/>
      <c r="BN59" s="1115"/>
      <c r="BO59" s="1115"/>
      <c r="BP59" s="1115"/>
      <c r="BQ59" s="1115"/>
      <c r="BR59" s="1115"/>
      <c r="BS59" s="1115"/>
      <c r="BT59" s="1115"/>
      <c r="BU59" s="1115"/>
      <c r="BV59" s="1115"/>
      <c r="BW59" s="1115"/>
      <c r="BX59" s="1115"/>
      <c r="BY59" s="1115"/>
      <c r="BZ59" s="1115"/>
      <c r="CA59" s="1115"/>
      <c r="CB59" s="1115"/>
      <c r="CC59" s="1115"/>
      <c r="CD59" s="1115"/>
      <c r="CE59" s="1115"/>
      <c r="CF59" s="1115"/>
      <c r="CG59" s="1115"/>
      <c r="CH59" s="1115"/>
      <c r="CI59" s="1115"/>
      <c r="CJ59" s="1115"/>
      <c r="CK59" s="1115"/>
      <c r="CL59" s="1115"/>
      <c r="CM59" s="1115"/>
      <c r="CN59" s="1115"/>
      <c r="CO59" s="1115"/>
      <c r="CP59" s="1115"/>
      <c r="CQ59" s="1115"/>
      <c r="CR59" s="1115"/>
      <c r="CS59" s="1115"/>
      <c r="CT59" s="1115"/>
      <c r="CU59" s="1115"/>
      <c r="CV59" s="1115"/>
      <c r="CW59" s="1115"/>
      <c r="CX59" s="1115"/>
      <c r="CY59" s="1115"/>
      <c r="CZ59" s="1115"/>
      <c r="DA59" s="1115"/>
      <c r="DB59" s="1115"/>
      <c r="DC59" s="1115"/>
      <c r="DD59" s="1115"/>
      <c r="DE59" s="1115"/>
      <c r="DF59" s="1115"/>
      <c r="DG59" s="1118"/>
      <c r="DH59" s="1114"/>
      <c r="DI59" s="1115"/>
      <c r="DJ59" s="1115"/>
      <c r="DK59" s="1115"/>
      <c r="DL59" s="1115"/>
      <c r="DM59" s="1115"/>
      <c r="DN59" s="1115"/>
      <c r="DO59" s="1115"/>
      <c r="DP59" s="1115"/>
      <c r="DQ59" s="1115"/>
      <c r="DR59" s="1115"/>
      <c r="DS59" s="1115"/>
      <c r="DT59" s="1115"/>
      <c r="DU59" s="1115"/>
      <c r="DV59" s="1115"/>
      <c r="DW59" s="1115"/>
      <c r="DX59" s="1115"/>
      <c r="DY59" s="1115"/>
      <c r="DZ59" s="1115"/>
      <c r="EA59" s="1115"/>
      <c r="EB59" s="1115"/>
      <c r="EC59" s="1115"/>
      <c r="ED59" s="1115"/>
      <c r="EE59" s="1115"/>
      <c r="EF59" s="1115"/>
      <c r="EG59" s="1115"/>
      <c r="EH59" s="1115"/>
      <c r="EI59" s="1115"/>
      <c r="EJ59" s="1115"/>
      <c r="EK59" s="1115"/>
      <c r="EL59" s="1115"/>
      <c r="EM59" s="1115"/>
      <c r="EN59" s="1115"/>
      <c r="EO59" s="1115"/>
      <c r="EP59" s="1115"/>
      <c r="EQ59" s="1115"/>
      <c r="ER59" s="1115"/>
      <c r="ES59" s="1115"/>
      <c r="ET59" s="1115"/>
      <c r="EU59" s="1115"/>
      <c r="EV59" s="1115"/>
      <c r="EW59" s="1115"/>
      <c r="EX59" s="1115"/>
      <c r="EY59" s="1115"/>
      <c r="EZ59" s="1115"/>
      <c r="FA59" s="1115"/>
      <c r="FB59" s="1115"/>
      <c r="FC59" s="1115"/>
      <c r="FD59" s="1115"/>
      <c r="FE59" s="1115"/>
      <c r="FF59" s="1115"/>
      <c r="FG59" s="1115"/>
      <c r="FH59" s="1118"/>
    </row>
    <row r="60" spans="1:164" ht="15" thickBot="1" x14ac:dyDescent="0.4">
      <c r="A60" s="1122"/>
      <c r="B60" s="1125"/>
      <c r="C60" s="1127"/>
      <c r="D60" s="1124"/>
      <c r="E60" s="1120"/>
      <c r="F60" s="1114"/>
      <c r="G60" s="1115"/>
      <c r="H60" s="1115"/>
      <c r="I60" s="1115"/>
      <c r="J60" s="1115"/>
      <c r="K60" s="1115"/>
      <c r="L60" s="1115"/>
      <c r="M60" s="1115"/>
      <c r="N60" s="1115"/>
      <c r="O60" s="1115"/>
      <c r="P60" s="1115"/>
      <c r="Q60" s="1115"/>
      <c r="R60" s="1115"/>
      <c r="S60" s="1115"/>
      <c r="T60" s="1115"/>
      <c r="U60" s="1115"/>
      <c r="V60" s="1115"/>
      <c r="W60" s="1115"/>
      <c r="X60" s="1115"/>
      <c r="Y60" s="1115"/>
      <c r="Z60" s="1115"/>
      <c r="AA60" s="1115"/>
      <c r="AB60" s="1115"/>
      <c r="AC60" s="1115"/>
      <c r="AD60" s="1115"/>
      <c r="AE60" s="1115"/>
      <c r="AF60" s="1115"/>
      <c r="AG60" s="1115"/>
      <c r="AH60" s="1115"/>
      <c r="AI60" s="1115"/>
      <c r="AJ60" s="1115"/>
      <c r="AK60" s="1115"/>
      <c r="AL60" s="1115"/>
      <c r="AM60" s="1115"/>
      <c r="AN60" s="1115"/>
      <c r="AO60" s="1115"/>
      <c r="AP60" s="1115"/>
      <c r="AQ60" s="1115"/>
      <c r="AR60" s="1115"/>
      <c r="AS60" s="1115"/>
      <c r="AT60" s="1115"/>
      <c r="AU60" s="1115"/>
      <c r="AV60" s="1115"/>
      <c r="AW60" s="1115"/>
      <c r="AX60" s="1115"/>
      <c r="AY60" s="1115"/>
      <c r="AZ60" s="1115"/>
      <c r="BA60" s="1115"/>
      <c r="BB60" s="1115"/>
      <c r="BC60" s="1115"/>
      <c r="BD60" s="1115"/>
      <c r="BE60" s="1115"/>
      <c r="BF60" s="1118"/>
      <c r="BG60" s="1114"/>
      <c r="BH60" s="1115"/>
      <c r="BI60" s="1115"/>
      <c r="BJ60" s="1115"/>
      <c r="BK60" s="1115"/>
      <c r="BL60" s="1115"/>
      <c r="BM60" s="1115"/>
      <c r="BN60" s="1115"/>
      <c r="BO60" s="1115"/>
      <c r="BP60" s="1115"/>
      <c r="BQ60" s="1115"/>
      <c r="BR60" s="1115"/>
      <c r="BS60" s="1115"/>
      <c r="BT60" s="1115"/>
      <c r="BU60" s="1115"/>
      <c r="BV60" s="1115"/>
      <c r="BW60" s="1115"/>
      <c r="BX60" s="1115"/>
      <c r="BY60" s="1115"/>
      <c r="BZ60" s="1115"/>
      <c r="CA60" s="1115"/>
      <c r="CB60" s="1115"/>
      <c r="CC60" s="1115"/>
      <c r="CD60" s="1115"/>
      <c r="CE60" s="1115"/>
      <c r="CF60" s="1115"/>
      <c r="CG60" s="1115"/>
      <c r="CH60" s="1115"/>
      <c r="CI60" s="1115"/>
      <c r="CJ60" s="1115"/>
      <c r="CK60" s="1115"/>
      <c r="CL60" s="1115"/>
      <c r="CM60" s="1115"/>
      <c r="CN60" s="1115"/>
      <c r="CO60" s="1115"/>
      <c r="CP60" s="1115"/>
      <c r="CQ60" s="1115"/>
      <c r="CR60" s="1115"/>
      <c r="CS60" s="1115"/>
      <c r="CT60" s="1115"/>
      <c r="CU60" s="1115"/>
      <c r="CV60" s="1115"/>
      <c r="CW60" s="1115"/>
      <c r="CX60" s="1115"/>
      <c r="CY60" s="1115"/>
      <c r="CZ60" s="1115"/>
      <c r="DA60" s="1115"/>
      <c r="DB60" s="1115"/>
      <c r="DC60" s="1115"/>
      <c r="DD60" s="1115"/>
      <c r="DE60" s="1115"/>
      <c r="DF60" s="1115"/>
      <c r="DG60" s="1118"/>
      <c r="DH60" s="1114"/>
      <c r="DI60" s="1115"/>
      <c r="DJ60" s="1115"/>
      <c r="DK60" s="1115"/>
      <c r="DL60" s="1115"/>
      <c r="DM60" s="1115"/>
      <c r="DN60" s="1115"/>
      <c r="DO60" s="1115"/>
      <c r="DP60" s="1115"/>
      <c r="DQ60" s="1115"/>
      <c r="DR60" s="1115"/>
      <c r="DS60" s="1115"/>
      <c r="DT60" s="1115"/>
      <c r="DU60" s="1115"/>
      <c r="DV60" s="1115"/>
      <c r="DW60" s="1115"/>
      <c r="DX60" s="1115"/>
      <c r="DY60" s="1115"/>
      <c r="DZ60" s="1115"/>
      <c r="EA60" s="1115"/>
      <c r="EB60" s="1115"/>
      <c r="EC60" s="1115"/>
      <c r="ED60" s="1115"/>
      <c r="EE60" s="1115"/>
      <c r="EF60" s="1115"/>
      <c r="EG60" s="1115"/>
      <c r="EH60" s="1115"/>
      <c r="EI60" s="1115"/>
      <c r="EJ60" s="1115"/>
      <c r="EK60" s="1115"/>
      <c r="EL60" s="1115"/>
      <c r="EM60" s="1115"/>
      <c r="EN60" s="1115"/>
      <c r="EO60" s="1115"/>
      <c r="EP60" s="1115"/>
      <c r="EQ60" s="1115"/>
      <c r="ER60" s="1115"/>
      <c r="ES60" s="1115"/>
      <c r="ET60" s="1115"/>
      <c r="EU60" s="1115"/>
      <c r="EV60" s="1115"/>
      <c r="EW60" s="1115"/>
      <c r="EX60" s="1115"/>
      <c r="EY60" s="1115"/>
      <c r="EZ60" s="1115"/>
      <c r="FA60" s="1115"/>
      <c r="FB60" s="1115"/>
      <c r="FC60" s="1115"/>
      <c r="FD60" s="1115"/>
      <c r="FE60" s="1115"/>
      <c r="FF60" s="1115"/>
      <c r="FG60" s="1115"/>
      <c r="FH60" s="1118"/>
    </row>
    <row r="61" spans="1:164" ht="15" thickBot="1" x14ac:dyDescent="0.4">
      <c r="A61" s="1122"/>
      <c r="B61" s="1125"/>
      <c r="C61" s="1127"/>
      <c r="D61" s="1124"/>
      <c r="E61" s="1120"/>
      <c r="F61" s="1114"/>
      <c r="G61" s="1115"/>
      <c r="H61" s="1115"/>
      <c r="I61" s="1115"/>
      <c r="J61" s="1115"/>
      <c r="K61" s="1115"/>
      <c r="L61" s="1115"/>
      <c r="M61" s="1115"/>
      <c r="N61" s="1115"/>
      <c r="O61" s="1115"/>
      <c r="P61" s="1115"/>
      <c r="Q61" s="1115"/>
      <c r="R61" s="1115"/>
      <c r="S61" s="1115"/>
      <c r="T61" s="1115"/>
      <c r="U61" s="1115"/>
      <c r="V61" s="1115"/>
      <c r="W61" s="1115"/>
      <c r="X61" s="1115"/>
      <c r="Y61" s="1115"/>
      <c r="Z61" s="1115"/>
      <c r="AA61" s="1115"/>
      <c r="AB61" s="1115"/>
      <c r="AC61" s="1115"/>
      <c r="AD61" s="1115"/>
      <c r="AE61" s="1115"/>
      <c r="AF61" s="1115"/>
      <c r="AG61" s="1115"/>
      <c r="AH61" s="1115"/>
      <c r="AI61" s="1115"/>
      <c r="AJ61" s="1115"/>
      <c r="AK61" s="1115"/>
      <c r="AL61" s="1115"/>
      <c r="AM61" s="1115"/>
      <c r="AN61" s="1115"/>
      <c r="AO61" s="1115"/>
      <c r="AP61" s="1115"/>
      <c r="AQ61" s="1115"/>
      <c r="AR61" s="1115"/>
      <c r="AS61" s="1115"/>
      <c r="AT61" s="1115"/>
      <c r="AU61" s="1115"/>
      <c r="AV61" s="1115"/>
      <c r="AW61" s="1115"/>
      <c r="AX61" s="1115"/>
      <c r="AY61" s="1115"/>
      <c r="AZ61" s="1115"/>
      <c r="BA61" s="1115"/>
      <c r="BB61" s="1115"/>
      <c r="BC61" s="1115"/>
      <c r="BD61" s="1115"/>
      <c r="BE61" s="1115"/>
      <c r="BF61" s="1118"/>
      <c r="BG61" s="1114"/>
      <c r="BH61" s="1115"/>
      <c r="BI61" s="1115"/>
      <c r="BJ61" s="1115"/>
      <c r="BK61" s="1115"/>
      <c r="BL61" s="1115"/>
      <c r="BM61" s="1115"/>
      <c r="BN61" s="1115"/>
      <c r="BO61" s="1115"/>
      <c r="BP61" s="1115"/>
      <c r="BQ61" s="1115"/>
      <c r="BR61" s="1115"/>
      <c r="BS61" s="1115"/>
      <c r="BT61" s="1115"/>
      <c r="BU61" s="1115"/>
      <c r="BV61" s="1115"/>
      <c r="BW61" s="1115"/>
      <c r="BX61" s="1115"/>
      <c r="BY61" s="1115"/>
      <c r="BZ61" s="1115"/>
      <c r="CA61" s="1115"/>
      <c r="CB61" s="1115"/>
      <c r="CC61" s="1115"/>
      <c r="CD61" s="1115"/>
      <c r="CE61" s="1115"/>
      <c r="CF61" s="1115"/>
      <c r="CG61" s="1115"/>
      <c r="CH61" s="1115"/>
      <c r="CI61" s="1115"/>
      <c r="CJ61" s="1115"/>
      <c r="CK61" s="1115"/>
      <c r="CL61" s="1115"/>
      <c r="CM61" s="1115"/>
      <c r="CN61" s="1115"/>
      <c r="CO61" s="1115"/>
      <c r="CP61" s="1115"/>
      <c r="CQ61" s="1115"/>
      <c r="CR61" s="1115"/>
      <c r="CS61" s="1115"/>
      <c r="CT61" s="1115"/>
      <c r="CU61" s="1115"/>
      <c r="CV61" s="1115"/>
      <c r="CW61" s="1115"/>
      <c r="CX61" s="1115"/>
      <c r="CY61" s="1115"/>
      <c r="CZ61" s="1115"/>
      <c r="DA61" s="1115"/>
      <c r="DB61" s="1115"/>
      <c r="DC61" s="1115"/>
      <c r="DD61" s="1115"/>
      <c r="DE61" s="1115"/>
      <c r="DF61" s="1115"/>
      <c r="DG61" s="1118"/>
      <c r="DH61" s="1114"/>
      <c r="DI61" s="1115"/>
      <c r="DJ61" s="1115"/>
      <c r="DK61" s="1115"/>
      <c r="DL61" s="1115"/>
      <c r="DM61" s="1115"/>
      <c r="DN61" s="1115"/>
      <c r="DO61" s="1115"/>
      <c r="DP61" s="1115"/>
      <c r="DQ61" s="1115"/>
      <c r="DR61" s="1115"/>
      <c r="DS61" s="1115"/>
      <c r="DT61" s="1115"/>
      <c r="DU61" s="1115"/>
      <c r="DV61" s="1115"/>
      <c r="DW61" s="1115"/>
      <c r="DX61" s="1115"/>
      <c r="DY61" s="1115"/>
      <c r="DZ61" s="1115"/>
      <c r="EA61" s="1115"/>
      <c r="EB61" s="1115"/>
      <c r="EC61" s="1115"/>
      <c r="ED61" s="1115"/>
      <c r="EE61" s="1115"/>
      <c r="EF61" s="1115"/>
      <c r="EG61" s="1115"/>
      <c r="EH61" s="1115"/>
      <c r="EI61" s="1115"/>
      <c r="EJ61" s="1115"/>
      <c r="EK61" s="1115"/>
      <c r="EL61" s="1115"/>
      <c r="EM61" s="1115"/>
      <c r="EN61" s="1115"/>
      <c r="EO61" s="1115"/>
      <c r="EP61" s="1115"/>
      <c r="EQ61" s="1115"/>
      <c r="ER61" s="1115"/>
      <c r="ES61" s="1115"/>
      <c r="ET61" s="1115"/>
      <c r="EU61" s="1115"/>
      <c r="EV61" s="1115"/>
      <c r="EW61" s="1115"/>
      <c r="EX61" s="1115"/>
      <c r="EY61" s="1115"/>
      <c r="EZ61" s="1115"/>
      <c r="FA61" s="1115"/>
      <c r="FB61" s="1115"/>
      <c r="FC61" s="1115"/>
      <c r="FD61" s="1115"/>
      <c r="FE61" s="1115"/>
      <c r="FF61" s="1115"/>
      <c r="FG61" s="1115"/>
      <c r="FH61" s="1118"/>
    </row>
    <row r="62" spans="1:164" ht="15" thickBot="1" x14ac:dyDescent="0.4">
      <c r="A62" s="1122"/>
      <c r="B62" s="1125"/>
      <c r="C62" s="1127"/>
      <c r="D62" s="1124"/>
      <c r="E62" s="1120"/>
      <c r="F62" s="1114"/>
      <c r="G62" s="1115"/>
      <c r="H62" s="1115"/>
      <c r="I62" s="1115"/>
      <c r="J62" s="1115"/>
      <c r="K62" s="1115"/>
      <c r="L62" s="1115"/>
      <c r="M62" s="1115"/>
      <c r="N62" s="1115"/>
      <c r="O62" s="1115"/>
      <c r="P62" s="1115"/>
      <c r="Q62" s="1115"/>
      <c r="R62" s="1115"/>
      <c r="S62" s="1115"/>
      <c r="T62" s="1115"/>
      <c r="U62" s="1115"/>
      <c r="V62" s="1115"/>
      <c r="W62" s="1115"/>
      <c r="X62" s="1115"/>
      <c r="Y62" s="1115"/>
      <c r="Z62" s="1115"/>
      <c r="AA62" s="1115"/>
      <c r="AB62" s="1115"/>
      <c r="AC62" s="1115"/>
      <c r="AD62" s="1115"/>
      <c r="AE62" s="1115"/>
      <c r="AF62" s="1115"/>
      <c r="AG62" s="1115"/>
      <c r="AH62" s="1115"/>
      <c r="AI62" s="1115"/>
      <c r="AJ62" s="1115"/>
      <c r="AK62" s="1115"/>
      <c r="AL62" s="1115"/>
      <c r="AM62" s="1115"/>
      <c r="AN62" s="1115"/>
      <c r="AO62" s="1115"/>
      <c r="AP62" s="1115"/>
      <c r="AQ62" s="1115"/>
      <c r="AR62" s="1115"/>
      <c r="AS62" s="1115"/>
      <c r="AT62" s="1115"/>
      <c r="AU62" s="1115"/>
      <c r="AV62" s="1115"/>
      <c r="AW62" s="1115"/>
      <c r="AX62" s="1115"/>
      <c r="AY62" s="1115"/>
      <c r="AZ62" s="1115"/>
      <c r="BA62" s="1115"/>
      <c r="BB62" s="1115"/>
      <c r="BC62" s="1115"/>
      <c r="BD62" s="1115"/>
      <c r="BE62" s="1115"/>
      <c r="BF62" s="1118"/>
      <c r="BG62" s="1114"/>
      <c r="BH62" s="1115"/>
      <c r="BI62" s="1115"/>
      <c r="BJ62" s="1115"/>
      <c r="BK62" s="1115"/>
      <c r="BL62" s="1115"/>
      <c r="BM62" s="1115"/>
      <c r="BN62" s="1115"/>
      <c r="BO62" s="1115"/>
      <c r="BP62" s="1115"/>
      <c r="BQ62" s="1115"/>
      <c r="BR62" s="1115"/>
      <c r="BS62" s="1115"/>
      <c r="BT62" s="1115"/>
      <c r="BU62" s="1115"/>
      <c r="BV62" s="1115"/>
      <c r="BW62" s="1115"/>
      <c r="BX62" s="1115"/>
      <c r="BY62" s="1115"/>
      <c r="BZ62" s="1115"/>
      <c r="CA62" s="1115"/>
      <c r="CB62" s="1115"/>
      <c r="CC62" s="1115"/>
      <c r="CD62" s="1115"/>
      <c r="CE62" s="1115"/>
      <c r="CF62" s="1115"/>
      <c r="CG62" s="1115"/>
      <c r="CH62" s="1115"/>
      <c r="CI62" s="1115"/>
      <c r="CJ62" s="1115"/>
      <c r="CK62" s="1115"/>
      <c r="CL62" s="1115"/>
      <c r="CM62" s="1115"/>
      <c r="CN62" s="1115"/>
      <c r="CO62" s="1115"/>
      <c r="CP62" s="1115"/>
      <c r="CQ62" s="1115"/>
      <c r="CR62" s="1115"/>
      <c r="CS62" s="1115"/>
      <c r="CT62" s="1115"/>
      <c r="CU62" s="1115"/>
      <c r="CV62" s="1115"/>
      <c r="CW62" s="1115"/>
      <c r="CX62" s="1115"/>
      <c r="CY62" s="1115"/>
      <c r="CZ62" s="1115"/>
      <c r="DA62" s="1115"/>
      <c r="DB62" s="1115"/>
      <c r="DC62" s="1115"/>
      <c r="DD62" s="1115"/>
      <c r="DE62" s="1115"/>
      <c r="DF62" s="1115"/>
      <c r="DG62" s="1118"/>
      <c r="DH62" s="1114"/>
      <c r="DI62" s="1115"/>
      <c r="DJ62" s="1115"/>
      <c r="DK62" s="1115"/>
      <c r="DL62" s="1115"/>
      <c r="DM62" s="1115"/>
      <c r="DN62" s="1115"/>
      <c r="DO62" s="1115"/>
      <c r="DP62" s="1115"/>
      <c r="DQ62" s="1115"/>
      <c r="DR62" s="1115"/>
      <c r="DS62" s="1115"/>
      <c r="DT62" s="1115"/>
      <c r="DU62" s="1115"/>
      <c r="DV62" s="1115"/>
      <c r="DW62" s="1115"/>
      <c r="DX62" s="1115"/>
      <c r="DY62" s="1115"/>
      <c r="DZ62" s="1115"/>
      <c r="EA62" s="1115"/>
      <c r="EB62" s="1115"/>
      <c r="EC62" s="1115"/>
      <c r="ED62" s="1115"/>
      <c r="EE62" s="1115"/>
      <c r="EF62" s="1115"/>
      <c r="EG62" s="1115"/>
      <c r="EH62" s="1115"/>
      <c r="EI62" s="1115"/>
      <c r="EJ62" s="1115"/>
      <c r="EK62" s="1115"/>
      <c r="EL62" s="1115"/>
      <c r="EM62" s="1115"/>
      <c r="EN62" s="1115"/>
      <c r="EO62" s="1115"/>
      <c r="EP62" s="1115"/>
      <c r="EQ62" s="1115"/>
      <c r="ER62" s="1115"/>
      <c r="ES62" s="1115"/>
      <c r="ET62" s="1115"/>
      <c r="EU62" s="1115"/>
      <c r="EV62" s="1115"/>
      <c r="EW62" s="1115"/>
      <c r="EX62" s="1115"/>
      <c r="EY62" s="1115"/>
      <c r="EZ62" s="1115"/>
      <c r="FA62" s="1115"/>
      <c r="FB62" s="1115"/>
      <c r="FC62" s="1115"/>
      <c r="FD62" s="1115"/>
      <c r="FE62" s="1115"/>
      <c r="FF62" s="1115"/>
      <c r="FG62" s="1115"/>
      <c r="FH62" s="1118"/>
    </row>
    <row r="63" spans="1:164" ht="15" thickBot="1" x14ac:dyDescent="0.4">
      <c r="A63" s="1122"/>
      <c r="B63" s="1125"/>
      <c r="C63" s="1127"/>
      <c r="D63" s="1124"/>
      <c r="E63" s="1120"/>
      <c r="F63" s="1114"/>
      <c r="G63" s="1115"/>
      <c r="H63" s="1115"/>
      <c r="I63" s="1115"/>
      <c r="J63" s="1115"/>
      <c r="K63" s="1115"/>
      <c r="L63" s="1115"/>
      <c r="M63" s="1115"/>
      <c r="N63" s="1115"/>
      <c r="O63" s="1115"/>
      <c r="P63" s="1115"/>
      <c r="Q63" s="1115"/>
      <c r="R63" s="1115"/>
      <c r="S63" s="1115"/>
      <c r="T63" s="1115"/>
      <c r="U63" s="1115"/>
      <c r="V63" s="1115"/>
      <c r="W63" s="1115"/>
      <c r="X63" s="1115"/>
      <c r="Y63" s="1115"/>
      <c r="Z63" s="1115"/>
      <c r="AA63" s="1115"/>
      <c r="AB63" s="1115"/>
      <c r="AC63" s="1115"/>
      <c r="AD63" s="1115"/>
      <c r="AE63" s="1115"/>
      <c r="AF63" s="1115"/>
      <c r="AG63" s="1115"/>
      <c r="AH63" s="1115"/>
      <c r="AI63" s="1115"/>
      <c r="AJ63" s="1115"/>
      <c r="AK63" s="1115"/>
      <c r="AL63" s="1115"/>
      <c r="AM63" s="1115"/>
      <c r="AN63" s="1115"/>
      <c r="AO63" s="1115"/>
      <c r="AP63" s="1115"/>
      <c r="AQ63" s="1115"/>
      <c r="AR63" s="1115"/>
      <c r="AS63" s="1115"/>
      <c r="AT63" s="1115"/>
      <c r="AU63" s="1115"/>
      <c r="AV63" s="1115"/>
      <c r="AW63" s="1115"/>
      <c r="AX63" s="1115"/>
      <c r="AY63" s="1115"/>
      <c r="AZ63" s="1115"/>
      <c r="BA63" s="1115"/>
      <c r="BB63" s="1115"/>
      <c r="BC63" s="1115"/>
      <c r="BD63" s="1115"/>
      <c r="BE63" s="1115"/>
      <c r="BF63" s="1118"/>
      <c r="BG63" s="1114"/>
      <c r="BH63" s="1115"/>
      <c r="BI63" s="1115"/>
      <c r="BJ63" s="1115"/>
      <c r="BK63" s="1115"/>
      <c r="BL63" s="1115"/>
      <c r="BM63" s="1115"/>
      <c r="BN63" s="1115"/>
      <c r="BO63" s="1115"/>
      <c r="BP63" s="1115"/>
      <c r="BQ63" s="1115"/>
      <c r="BR63" s="1115"/>
      <c r="BS63" s="1115"/>
      <c r="BT63" s="1115"/>
      <c r="BU63" s="1115"/>
      <c r="BV63" s="1115"/>
      <c r="BW63" s="1115"/>
      <c r="BX63" s="1115"/>
      <c r="BY63" s="1115"/>
      <c r="BZ63" s="1115"/>
      <c r="CA63" s="1115"/>
      <c r="CB63" s="1115"/>
      <c r="CC63" s="1115"/>
      <c r="CD63" s="1115"/>
      <c r="CE63" s="1115"/>
      <c r="CF63" s="1115"/>
      <c r="CG63" s="1115"/>
      <c r="CH63" s="1115"/>
      <c r="CI63" s="1115"/>
      <c r="CJ63" s="1115"/>
      <c r="CK63" s="1115"/>
      <c r="CL63" s="1115"/>
      <c r="CM63" s="1115"/>
      <c r="CN63" s="1115"/>
      <c r="CO63" s="1115"/>
      <c r="CP63" s="1115"/>
      <c r="CQ63" s="1115"/>
      <c r="CR63" s="1115"/>
      <c r="CS63" s="1115"/>
      <c r="CT63" s="1115"/>
      <c r="CU63" s="1115"/>
      <c r="CV63" s="1115"/>
      <c r="CW63" s="1115"/>
      <c r="CX63" s="1115"/>
      <c r="CY63" s="1115"/>
      <c r="CZ63" s="1115"/>
      <c r="DA63" s="1115"/>
      <c r="DB63" s="1115"/>
      <c r="DC63" s="1115"/>
      <c r="DD63" s="1115"/>
      <c r="DE63" s="1115"/>
      <c r="DF63" s="1115"/>
      <c r="DG63" s="1118"/>
      <c r="DH63" s="1114"/>
      <c r="DI63" s="1115"/>
      <c r="DJ63" s="1115"/>
      <c r="DK63" s="1115"/>
      <c r="DL63" s="1115"/>
      <c r="DM63" s="1115"/>
      <c r="DN63" s="1115"/>
      <c r="DO63" s="1115"/>
      <c r="DP63" s="1115"/>
      <c r="DQ63" s="1115"/>
      <c r="DR63" s="1115"/>
      <c r="DS63" s="1115"/>
      <c r="DT63" s="1115"/>
      <c r="DU63" s="1115"/>
      <c r="DV63" s="1115"/>
      <c r="DW63" s="1115"/>
      <c r="DX63" s="1115"/>
      <c r="DY63" s="1115"/>
      <c r="DZ63" s="1115"/>
      <c r="EA63" s="1115"/>
      <c r="EB63" s="1115"/>
      <c r="EC63" s="1115"/>
      <c r="ED63" s="1115"/>
      <c r="EE63" s="1115"/>
      <c r="EF63" s="1115"/>
      <c r="EG63" s="1115"/>
      <c r="EH63" s="1115"/>
      <c r="EI63" s="1115"/>
      <c r="EJ63" s="1115"/>
      <c r="EK63" s="1115"/>
      <c r="EL63" s="1115"/>
      <c r="EM63" s="1115"/>
      <c r="EN63" s="1115"/>
      <c r="EO63" s="1115"/>
      <c r="EP63" s="1115"/>
      <c r="EQ63" s="1115"/>
      <c r="ER63" s="1115"/>
      <c r="ES63" s="1115"/>
      <c r="ET63" s="1115"/>
      <c r="EU63" s="1115"/>
      <c r="EV63" s="1115"/>
      <c r="EW63" s="1115"/>
      <c r="EX63" s="1115"/>
      <c r="EY63" s="1115"/>
      <c r="EZ63" s="1115"/>
      <c r="FA63" s="1115"/>
      <c r="FB63" s="1115"/>
      <c r="FC63" s="1115"/>
      <c r="FD63" s="1115"/>
      <c r="FE63" s="1115"/>
      <c r="FF63" s="1115"/>
      <c r="FG63" s="1115"/>
      <c r="FH63" s="1118"/>
    </row>
    <row r="64" spans="1:164" ht="15" thickBot="1" x14ac:dyDescent="0.4">
      <c r="A64" s="1122"/>
      <c r="B64" s="1125"/>
      <c r="C64" s="1127"/>
      <c r="D64" s="1124"/>
      <c r="E64" s="1120"/>
      <c r="F64" s="1114"/>
      <c r="G64" s="1115"/>
      <c r="H64" s="1115"/>
      <c r="I64" s="1115"/>
      <c r="J64" s="1115"/>
      <c r="K64" s="1115"/>
      <c r="L64" s="1115"/>
      <c r="M64" s="1115"/>
      <c r="N64" s="1115"/>
      <c r="O64" s="1115"/>
      <c r="P64" s="1115"/>
      <c r="Q64" s="1115"/>
      <c r="R64" s="1115"/>
      <c r="S64" s="1115"/>
      <c r="T64" s="1115"/>
      <c r="U64" s="1115"/>
      <c r="V64" s="1115"/>
      <c r="W64" s="1115"/>
      <c r="X64" s="1115"/>
      <c r="Y64" s="1115"/>
      <c r="Z64" s="1115"/>
      <c r="AA64" s="1115"/>
      <c r="AB64" s="1115"/>
      <c r="AC64" s="1115"/>
      <c r="AD64" s="1115"/>
      <c r="AE64" s="1115"/>
      <c r="AF64" s="1115"/>
      <c r="AG64" s="1115"/>
      <c r="AH64" s="1115"/>
      <c r="AI64" s="1115"/>
      <c r="AJ64" s="1115"/>
      <c r="AK64" s="1115"/>
      <c r="AL64" s="1115"/>
      <c r="AM64" s="1115"/>
      <c r="AN64" s="1115"/>
      <c r="AO64" s="1115"/>
      <c r="AP64" s="1115"/>
      <c r="AQ64" s="1115"/>
      <c r="AR64" s="1115"/>
      <c r="AS64" s="1115"/>
      <c r="AT64" s="1115"/>
      <c r="AU64" s="1115"/>
      <c r="AV64" s="1115"/>
      <c r="AW64" s="1115"/>
      <c r="AX64" s="1115"/>
      <c r="AY64" s="1115"/>
      <c r="AZ64" s="1115"/>
      <c r="BA64" s="1115"/>
      <c r="BB64" s="1115"/>
      <c r="BC64" s="1115"/>
      <c r="BD64" s="1115"/>
      <c r="BE64" s="1115"/>
      <c r="BF64" s="1118"/>
      <c r="BG64" s="1114"/>
      <c r="BH64" s="1115"/>
      <c r="BI64" s="1115"/>
      <c r="BJ64" s="1115"/>
      <c r="BK64" s="1115"/>
      <c r="BL64" s="1115"/>
      <c r="BM64" s="1115"/>
      <c r="BN64" s="1115"/>
      <c r="BO64" s="1115"/>
      <c r="BP64" s="1115"/>
      <c r="BQ64" s="1115"/>
      <c r="BR64" s="1115"/>
      <c r="BS64" s="1115"/>
      <c r="BT64" s="1115"/>
      <c r="BU64" s="1115"/>
      <c r="BV64" s="1115"/>
      <c r="BW64" s="1115"/>
      <c r="BX64" s="1115"/>
      <c r="BY64" s="1115"/>
      <c r="BZ64" s="1115"/>
      <c r="CA64" s="1115"/>
      <c r="CB64" s="1115"/>
      <c r="CC64" s="1115"/>
      <c r="CD64" s="1115"/>
      <c r="CE64" s="1115"/>
      <c r="CF64" s="1115"/>
      <c r="CG64" s="1115"/>
      <c r="CH64" s="1115"/>
      <c r="CI64" s="1115"/>
      <c r="CJ64" s="1115"/>
      <c r="CK64" s="1115"/>
      <c r="CL64" s="1115"/>
      <c r="CM64" s="1115"/>
      <c r="CN64" s="1115"/>
      <c r="CO64" s="1115"/>
      <c r="CP64" s="1115"/>
      <c r="CQ64" s="1115"/>
      <c r="CR64" s="1115"/>
      <c r="CS64" s="1115"/>
      <c r="CT64" s="1115"/>
      <c r="CU64" s="1115"/>
      <c r="CV64" s="1115"/>
      <c r="CW64" s="1115"/>
      <c r="CX64" s="1115"/>
      <c r="CY64" s="1115"/>
      <c r="CZ64" s="1115"/>
      <c r="DA64" s="1115"/>
      <c r="DB64" s="1115"/>
      <c r="DC64" s="1115"/>
      <c r="DD64" s="1115"/>
      <c r="DE64" s="1115"/>
      <c r="DF64" s="1115"/>
      <c r="DG64" s="1118"/>
      <c r="DH64" s="1114"/>
      <c r="DI64" s="1115"/>
      <c r="DJ64" s="1115"/>
      <c r="DK64" s="1115"/>
      <c r="DL64" s="1115"/>
      <c r="DM64" s="1115"/>
      <c r="DN64" s="1115"/>
      <c r="DO64" s="1115"/>
      <c r="DP64" s="1115"/>
      <c r="DQ64" s="1115"/>
      <c r="DR64" s="1115"/>
      <c r="DS64" s="1115"/>
      <c r="DT64" s="1115"/>
      <c r="DU64" s="1115"/>
      <c r="DV64" s="1115"/>
      <c r="DW64" s="1115"/>
      <c r="DX64" s="1115"/>
      <c r="DY64" s="1115"/>
      <c r="DZ64" s="1115"/>
      <c r="EA64" s="1115"/>
      <c r="EB64" s="1115"/>
      <c r="EC64" s="1115"/>
      <c r="ED64" s="1115"/>
      <c r="EE64" s="1115"/>
      <c r="EF64" s="1115"/>
      <c r="EG64" s="1115"/>
      <c r="EH64" s="1115"/>
      <c r="EI64" s="1115"/>
      <c r="EJ64" s="1115"/>
      <c r="EK64" s="1115"/>
      <c r="EL64" s="1115"/>
      <c r="EM64" s="1115"/>
      <c r="EN64" s="1115"/>
      <c r="EO64" s="1115"/>
      <c r="EP64" s="1115"/>
      <c r="EQ64" s="1115"/>
      <c r="ER64" s="1115"/>
      <c r="ES64" s="1115"/>
      <c r="ET64" s="1115"/>
      <c r="EU64" s="1115"/>
      <c r="EV64" s="1115"/>
      <c r="EW64" s="1115"/>
      <c r="EX64" s="1115"/>
      <c r="EY64" s="1115"/>
      <c r="EZ64" s="1115"/>
      <c r="FA64" s="1115"/>
      <c r="FB64" s="1115"/>
      <c r="FC64" s="1115"/>
      <c r="FD64" s="1115"/>
      <c r="FE64" s="1115"/>
      <c r="FF64" s="1115"/>
      <c r="FG64" s="1115"/>
      <c r="FH64" s="1118"/>
    </row>
    <row r="65" spans="1:164" ht="15" thickBot="1" x14ac:dyDescent="0.4">
      <c r="A65" s="1122"/>
      <c r="B65" s="1125"/>
      <c r="C65" s="1127"/>
      <c r="D65" s="1124"/>
      <c r="E65" s="1120"/>
      <c r="F65" s="1114"/>
      <c r="G65" s="1115"/>
      <c r="H65" s="1115"/>
      <c r="I65" s="1115"/>
      <c r="J65" s="1115"/>
      <c r="K65" s="1115"/>
      <c r="L65" s="1115"/>
      <c r="M65" s="1115"/>
      <c r="N65" s="1115"/>
      <c r="O65" s="1115"/>
      <c r="P65" s="1115"/>
      <c r="Q65" s="1115"/>
      <c r="R65" s="1115"/>
      <c r="S65" s="1115"/>
      <c r="T65" s="1115"/>
      <c r="U65" s="1115"/>
      <c r="V65" s="1115"/>
      <c r="W65" s="1115"/>
      <c r="X65" s="1115"/>
      <c r="Y65" s="1115"/>
      <c r="Z65" s="1115"/>
      <c r="AA65" s="1115"/>
      <c r="AB65" s="1115"/>
      <c r="AC65" s="1115"/>
      <c r="AD65" s="1115"/>
      <c r="AE65" s="1115"/>
      <c r="AF65" s="1115"/>
      <c r="AG65" s="1115"/>
      <c r="AH65" s="1115"/>
      <c r="AI65" s="1115"/>
      <c r="AJ65" s="1115"/>
      <c r="AK65" s="1115"/>
      <c r="AL65" s="1115"/>
      <c r="AM65" s="1115"/>
      <c r="AN65" s="1115"/>
      <c r="AO65" s="1115"/>
      <c r="AP65" s="1115"/>
      <c r="AQ65" s="1115"/>
      <c r="AR65" s="1115"/>
      <c r="AS65" s="1115"/>
      <c r="AT65" s="1115"/>
      <c r="AU65" s="1115"/>
      <c r="AV65" s="1115"/>
      <c r="AW65" s="1115"/>
      <c r="AX65" s="1115"/>
      <c r="AY65" s="1115"/>
      <c r="AZ65" s="1115"/>
      <c r="BA65" s="1115"/>
      <c r="BB65" s="1115"/>
      <c r="BC65" s="1115"/>
      <c r="BD65" s="1115"/>
      <c r="BE65" s="1115"/>
      <c r="BF65" s="1118"/>
      <c r="BG65" s="1114"/>
      <c r="BH65" s="1115"/>
      <c r="BI65" s="1115"/>
      <c r="BJ65" s="1115"/>
      <c r="BK65" s="1115"/>
      <c r="BL65" s="1115"/>
      <c r="BM65" s="1115"/>
      <c r="BN65" s="1115"/>
      <c r="BO65" s="1115"/>
      <c r="BP65" s="1115"/>
      <c r="BQ65" s="1115"/>
      <c r="BR65" s="1115"/>
      <c r="BS65" s="1115"/>
      <c r="BT65" s="1115"/>
      <c r="BU65" s="1115"/>
      <c r="BV65" s="1115"/>
      <c r="BW65" s="1115"/>
      <c r="BX65" s="1115"/>
      <c r="BY65" s="1115"/>
      <c r="BZ65" s="1115"/>
      <c r="CA65" s="1115"/>
      <c r="CB65" s="1115"/>
      <c r="CC65" s="1115"/>
      <c r="CD65" s="1115"/>
      <c r="CE65" s="1115"/>
      <c r="CF65" s="1115"/>
      <c r="CG65" s="1115"/>
      <c r="CH65" s="1115"/>
      <c r="CI65" s="1115"/>
      <c r="CJ65" s="1115"/>
      <c r="CK65" s="1115"/>
      <c r="CL65" s="1115"/>
      <c r="CM65" s="1115"/>
      <c r="CN65" s="1115"/>
      <c r="CO65" s="1115"/>
      <c r="CP65" s="1115"/>
      <c r="CQ65" s="1115"/>
      <c r="CR65" s="1115"/>
      <c r="CS65" s="1115"/>
      <c r="CT65" s="1115"/>
      <c r="CU65" s="1115"/>
      <c r="CV65" s="1115"/>
      <c r="CW65" s="1115"/>
      <c r="CX65" s="1115"/>
      <c r="CY65" s="1115"/>
      <c r="CZ65" s="1115"/>
      <c r="DA65" s="1115"/>
      <c r="DB65" s="1115"/>
      <c r="DC65" s="1115"/>
      <c r="DD65" s="1115"/>
      <c r="DE65" s="1115"/>
      <c r="DF65" s="1115"/>
      <c r="DG65" s="1118"/>
      <c r="DH65" s="1114"/>
      <c r="DI65" s="1115"/>
      <c r="DJ65" s="1115"/>
      <c r="DK65" s="1115"/>
      <c r="DL65" s="1115"/>
      <c r="DM65" s="1115"/>
      <c r="DN65" s="1115"/>
      <c r="DO65" s="1115"/>
      <c r="DP65" s="1115"/>
      <c r="DQ65" s="1115"/>
      <c r="DR65" s="1115"/>
      <c r="DS65" s="1115"/>
      <c r="DT65" s="1115"/>
      <c r="DU65" s="1115"/>
      <c r="DV65" s="1115"/>
      <c r="DW65" s="1115"/>
      <c r="DX65" s="1115"/>
      <c r="DY65" s="1115"/>
      <c r="DZ65" s="1115"/>
      <c r="EA65" s="1115"/>
      <c r="EB65" s="1115"/>
      <c r="EC65" s="1115"/>
      <c r="ED65" s="1115"/>
      <c r="EE65" s="1115"/>
      <c r="EF65" s="1115"/>
      <c r="EG65" s="1115"/>
      <c r="EH65" s="1115"/>
      <c r="EI65" s="1115"/>
      <c r="EJ65" s="1115"/>
      <c r="EK65" s="1115"/>
      <c r="EL65" s="1115"/>
      <c r="EM65" s="1115"/>
      <c r="EN65" s="1115"/>
      <c r="EO65" s="1115"/>
      <c r="EP65" s="1115"/>
      <c r="EQ65" s="1115"/>
      <c r="ER65" s="1115"/>
      <c r="ES65" s="1115"/>
      <c r="ET65" s="1115"/>
      <c r="EU65" s="1115"/>
      <c r="EV65" s="1115"/>
      <c r="EW65" s="1115"/>
      <c r="EX65" s="1115"/>
      <c r="EY65" s="1115"/>
      <c r="EZ65" s="1115"/>
      <c r="FA65" s="1115"/>
      <c r="FB65" s="1115"/>
      <c r="FC65" s="1115"/>
      <c r="FD65" s="1115"/>
      <c r="FE65" s="1115"/>
      <c r="FF65" s="1115"/>
      <c r="FG65" s="1115"/>
      <c r="FH65" s="1118"/>
    </row>
    <row r="66" spans="1:164" ht="15" thickBot="1" x14ac:dyDescent="0.4">
      <c r="A66" s="1122"/>
      <c r="B66" s="1125"/>
      <c r="C66" s="1127"/>
      <c r="D66" s="1124"/>
      <c r="E66" s="1120"/>
      <c r="F66" s="1114"/>
      <c r="G66" s="1115"/>
      <c r="H66" s="1115"/>
      <c r="I66" s="1115"/>
      <c r="J66" s="1115"/>
      <c r="K66" s="1115"/>
      <c r="L66" s="1115"/>
      <c r="M66" s="1115"/>
      <c r="N66" s="1115"/>
      <c r="O66" s="1115"/>
      <c r="P66" s="1115"/>
      <c r="Q66" s="1115"/>
      <c r="R66" s="1115"/>
      <c r="S66" s="1115"/>
      <c r="T66" s="1115"/>
      <c r="U66" s="1115"/>
      <c r="V66" s="1115"/>
      <c r="W66" s="1115"/>
      <c r="X66" s="1115"/>
      <c r="Y66" s="1115"/>
      <c r="Z66" s="1115"/>
      <c r="AA66" s="1115"/>
      <c r="AB66" s="1115"/>
      <c r="AC66" s="1115"/>
      <c r="AD66" s="1115"/>
      <c r="AE66" s="1115"/>
      <c r="AF66" s="1115"/>
      <c r="AG66" s="1115"/>
      <c r="AH66" s="1115"/>
      <c r="AI66" s="1115"/>
      <c r="AJ66" s="1115"/>
      <c r="AK66" s="1115"/>
      <c r="AL66" s="1115"/>
      <c r="AM66" s="1115"/>
      <c r="AN66" s="1115"/>
      <c r="AO66" s="1115"/>
      <c r="AP66" s="1115"/>
      <c r="AQ66" s="1115"/>
      <c r="AR66" s="1115"/>
      <c r="AS66" s="1115"/>
      <c r="AT66" s="1115"/>
      <c r="AU66" s="1115"/>
      <c r="AV66" s="1115"/>
      <c r="AW66" s="1115"/>
      <c r="AX66" s="1115"/>
      <c r="AY66" s="1115"/>
      <c r="AZ66" s="1115"/>
      <c r="BA66" s="1115"/>
      <c r="BB66" s="1115"/>
      <c r="BC66" s="1115"/>
      <c r="BD66" s="1115"/>
      <c r="BE66" s="1115"/>
      <c r="BF66" s="1118"/>
      <c r="BG66" s="1114"/>
      <c r="BH66" s="1115"/>
      <c r="BI66" s="1115"/>
      <c r="BJ66" s="1115"/>
      <c r="BK66" s="1115"/>
      <c r="BL66" s="1115"/>
      <c r="BM66" s="1115"/>
      <c r="BN66" s="1115"/>
      <c r="BO66" s="1115"/>
      <c r="BP66" s="1115"/>
      <c r="BQ66" s="1115"/>
      <c r="BR66" s="1115"/>
      <c r="BS66" s="1115"/>
      <c r="BT66" s="1115"/>
      <c r="BU66" s="1115"/>
      <c r="BV66" s="1115"/>
      <c r="BW66" s="1115"/>
      <c r="BX66" s="1115"/>
      <c r="BY66" s="1115"/>
      <c r="BZ66" s="1115"/>
      <c r="CA66" s="1115"/>
      <c r="CB66" s="1115"/>
      <c r="CC66" s="1115"/>
      <c r="CD66" s="1115"/>
      <c r="CE66" s="1115"/>
      <c r="CF66" s="1115"/>
      <c r="CG66" s="1115"/>
      <c r="CH66" s="1115"/>
      <c r="CI66" s="1115"/>
      <c r="CJ66" s="1115"/>
      <c r="CK66" s="1115"/>
      <c r="CL66" s="1115"/>
      <c r="CM66" s="1115"/>
      <c r="CN66" s="1115"/>
      <c r="CO66" s="1115"/>
      <c r="CP66" s="1115"/>
      <c r="CQ66" s="1115"/>
      <c r="CR66" s="1115"/>
      <c r="CS66" s="1115"/>
      <c r="CT66" s="1115"/>
      <c r="CU66" s="1115"/>
      <c r="CV66" s="1115"/>
      <c r="CW66" s="1115"/>
      <c r="CX66" s="1115"/>
      <c r="CY66" s="1115"/>
      <c r="CZ66" s="1115"/>
      <c r="DA66" s="1115"/>
      <c r="DB66" s="1115"/>
      <c r="DC66" s="1115"/>
      <c r="DD66" s="1115"/>
      <c r="DE66" s="1115"/>
      <c r="DF66" s="1115"/>
      <c r="DG66" s="1118"/>
      <c r="DH66" s="1114"/>
      <c r="DI66" s="1115"/>
      <c r="DJ66" s="1115"/>
      <c r="DK66" s="1115"/>
      <c r="DL66" s="1115"/>
      <c r="DM66" s="1115"/>
      <c r="DN66" s="1115"/>
      <c r="DO66" s="1115"/>
      <c r="DP66" s="1115"/>
      <c r="DQ66" s="1115"/>
      <c r="DR66" s="1115"/>
      <c r="DS66" s="1115"/>
      <c r="DT66" s="1115"/>
      <c r="DU66" s="1115"/>
      <c r="DV66" s="1115"/>
      <c r="DW66" s="1115"/>
      <c r="DX66" s="1115"/>
      <c r="DY66" s="1115"/>
      <c r="DZ66" s="1115"/>
      <c r="EA66" s="1115"/>
      <c r="EB66" s="1115"/>
      <c r="EC66" s="1115"/>
      <c r="ED66" s="1115"/>
      <c r="EE66" s="1115"/>
      <c r="EF66" s="1115"/>
      <c r="EG66" s="1115"/>
      <c r="EH66" s="1115"/>
      <c r="EI66" s="1115"/>
      <c r="EJ66" s="1115"/>
      <c r="EK66" s="1115"/>
      <c r="EL66" s="1115"/>
      <c r="EM66" s="1115"/>
      <c r="EN66" s="1115"/>
      <c r="EO66" s="1115"/>
      <c r="EP66" s="1115"/>
      <c r="EQ66" s="1115"/>
      <c r="ER66" s="1115"/>
      <c r="ES66" s="1115"/>
      <c r="ET66" s="1115"/>
      <c r="EU66" s="1115"/>
      <c r="EV66" s="1115"/>
      <c r="EW66" s="1115"/>
      <c r="EX66" s="1115"/>
      <c r="EY66" s="1115"/>
      <c r="EZ66" s="1115"/>
      <c r="FA66" s="1115"/>
      <c r="FB66" s="1115"/>
      <c r="FC66" s="1115"/>
      <c r="FD66" s="1115"/>
      <c r="FE66" s="1115"/>
      <c r="FF66" s="1115"/>
      <c r="FG66" s="1115"/>
      <c r="FH66" s="1118"/>
    </row>
    <row r="67" spans="1:164" ht="15" thickBot="1" x14ac:dyDescent="0.4">
      <c r="A67" s="1122"/>
      <c r="B67" s="1125"/>
      <c r="C67" s="1127"/>
      <c r="D67" s="1124"/>
      <c r="E67" s="1120"/>
      <c r="F67" s="1114"/>
      <c r="G67" s="1115"/>
      <c r="H67" s="1115"/>
      <c r="I67" s="1115"/>
      <c r="J67" s="1115"/>
      <c r="K67" s="1115"/>
      <c r="L67" s="1115"/>
      <c r="M67" s="1115"/>
      <c r="N67" s="1115"/>
      <c r="O67" s="1115"/>
      <c r="P67" s="1115"/>
      <c r="Q67" s="1115"/>
      <c r="R67" s="1115"/>
      <c r="S67" s="1115"/>
      <c r="T67" s="1115"/>
      <c r="U67" s="1115"/>
      <c r="V67" s="1115"/>
      <c r="W67" s="1115"/>
      <c r="X67" s="1115"/>
      <c r="Y67" s="1115"/>
      <c r="Z67" s="1115"/>
      <c r="AA67" s="1115"/>
      <c r="AB67" s="1115"/>
      <c r="AC67" s="1115"/>
      <c r="AD67" s="1115"/>
      <c r="AE67" s="1115"/>
      <c r="AF67" s="1115"/>
      <c r="AG67" s="1115"/>
      <c r="AH67" s="1115"/>
      <c r="AI67" s="1115"/>
      <c r="AJ67" s="1115"/>
      <c r="AK67" s="1115"/>
      <c r="AL67" s="1115"/>
      <c r="AM67" s="1115"/>
      <c r="AN67" s="1115"/>
      <c r="AO67" s="1115"/>
      <c r="AP67" s="1115"/>
      <c r="AQ67" s="1115"/>
      <c r="AR67" s="1115"/>
      <c r="AS67" s="1115"/>
      <c r="AT67" s="1115"/>
      <c r="AU67" s="1115"/>
      <c r="AV67" s="1115"/>
      <c r="AW67" s="1115"/>
      <c r="AX67" s="1115"/>
      <c r="AY67" s="1115"/>
      <c r="AZ67" s="1115"/>
      <c r="BA67" s="1115"/>
      <c r="BB67" s="1115"/>
      <c r="BC67" s="1115"/>
      <c r="BD67" s="1115"/>
      <c r="BE67" s="1115"/>
      <c r="BF67" s="1118"/>
      <c r="BG67" s="1114"/>
      <c r="BH67" s="1115"/>
      <c r="BI67" s="1115"/>
      <c r="BJ67" s="1115"/>
      <c r="BK67" s="1115"/>
      <c r="BL67" s="1115"/>
      <c r="BM67" s="1115"/>
      <c r="BN67" s="1115"/>
      <c r="BO67" s="1115"/>
      <c r="BP67" s="1115"/>
      <c r="BQ67" s="1115"/>
      <c r="BR67" s="1115"/>
      <c r="BS67" s="1115"/>
      <c r="BT67" s="1115"/>
      <c r="BU67" s="1115"/>
      <c r="BV67" s="1115"/>
      <c r="BW67" s="1115"/>
      <c r="BX67" s="1115"/>
      <c r="BY67" s="1115"/>
      <c r="BZ67" s="1115"/>
      <c r="CA67" s="1115"/>
      <c r="CB67" s="1115"/>
      <c r="CC67" s="1115"/>
      <c r="CD67" s="1115"/>
      <c r="CE67" s="1115"/>
      <c r="CF67" s="1115"/>
      <c r="CG67" s="1115"/>
      <c r="CH67" s="1115"/>
      <c r="CI67" s="1115"/>
      <c r="CJ67" s="1115"/>
      <c r="CK67" s="1115"/>
      <c r="CL67" s="1115"/>
      <c r="CM67" s="1115"/>
      <c r="CN67" s="1115"/>
      <c r="CO67" s="1115"/>
      <c r="CP67" s="1115"/>
      <c r="CQ67" s="1115"/>
      <c r="CR67" s="1115"/>
      <c r="CS67" s="1115"/>
      <c r="CT67" s="1115"/>
      <c r="CU67" s="1115"/>
      <c r="CV67" s="1115"/>
      <c r="CW67" s="1115"/>
      <c r="CX67" s="1115"/>
      <c r="CY67" s="1115"/>
      <c r="CZ67" s="1115"/>
      <c r="DA67" s="1115"/>
      <c r="DB67" s="1115"/>
      <c r="DC67" s="1115"/>
      <c r="DD67" s="1115"/>
      <c r="DE67" s="1115"/>
      <c r="DF67" s="1115"/>
      <c r="DG67" s="1118"/>
      <c r="DH67" s="1114"/>
      <c r="DI67" s="1115"/>
      <c r="DJ67" s="1115"/>
      <c r="DK67" s="1115"/>
      <c r="DL67" s="1115"/>
      <c r="DM67" s="1115"/>
      <c r="DN67" s="1115"/>
      <c r="DO67" s="1115"/>
      <c r="DP67" s="1115"/>
      <c r="DQ67" s="1115"/>
      <c r="DR67" s="1115"/>
      <c r="DS67" s="1115"/>
      <c r="DT67" s="1115"/>
      <c r="DU67" s="1115"/>
      <c r="DV67" s="1115"/>
      <c r="DW67" s="1115"/>
      <c r="DX67" s="1115"/>
      <c r="DY67" s="1115"/>
      <c r="DZ67" s="1115"/>
      <c r="EA67" s="1115"/>
      <c r="EB67" s="1115"/>
      <c r="EC67" s="1115"/>
      <c r="ED67" s="1115"/>
      <c r="EE67" s="1115"/>
      <c r="EF67" s="1115"/>
      <c r="EG67" s="1115"/>
      <c r="EH67" s="1115"/>
      <c r="EI67" s="1115"/>
      <c r="EJ67" s="1115"/>
      <c r="EK67" s="1115"/>
      <c r="EL67" s="1115"/>
      <c r="EM67" s="1115"/>
      <c r="EN67" s="1115"/>
      <c r="EO67" s="1115"/>
      <c r="EP67" s="1115"/>
      <c r="EQ67" s="1115"/>
      <c r="ER67" s="1115"/>
      <c r="ES67" s="1115"/>
      <c r="ET67" s="1115"/>
      <c r="EU67" s="1115"/>
      <c r="EV67" s="1115"/>
      <c r="EW67" s="1115"/>
      <c r="EX67" s="1115"/>
      <c r="EY67" s="1115"/>
      <c r="EZ67" s="1115"/>
      <c r="FA67" s="1115"/>
      <c r="FB67" s="1115"/>
      <c r="FC67" s="1115"/>
      <c r="FD67" s="1115"/>
      <c r="FE67" s="1115"/>
      <c r="FF67" s="1115"/>
      <c r="FG67" s="1115"/>
      <c r="FH67" s="1118"/>
    </row>
    <row r="68" spans="1:164" ht="15" thickBot="1" x14ac:dyDescent="0.4">
      <c r="A68" s="1122"/>
      <c r="B68" s="1125"/>
      <c r="C68" s="1126"/>
      <c r="D68" s="1124"/>
      <c r="E68" s="1120"/>
      <c r="F68" s="1115"/>
      <c r="G68" s="1115"/>
      <c r="H68" s="1115"/>
      <c r="I68" s="1115"/>
      <c r="J68" s="1115"/>
      <c r="K68" s="1115"/>
      <c r="L68" s="1115"/>
      <c r="M68" s="1115"/>
      <c r="N68" s="1115"/>
      <c r="O68" s="1115"/>
      <c r="P68" s="1115"/>
      <c r="Q68" s="1115"/>
      <c r="R68" s="1115"/>
      <c r="S68" s="1115"/>
      <c r="T68" s="1115"/>
      <c r="U68" s="1115"/>
      <c r="V68" s="1115"/>
      <c r="W68" s="1115"/>
      <c r="X68" s="1115"/>
      <c r="Y68" s="1115"/>
      <c r="Z68" s="1115"/>
      <c r="AA68" s="1115"/>
      <c r="AB68" s="1115"/>
      <c r="AC68" s="1115"/>
      <c r="AD68" s="1115"/>
      <c r="AE68" s="1115"/>
      <c r="AF68" s="1115"/>
      <c r="AG68" s="1115"/>
      <c r="AH68" s="1115"/>
      <c r="AI68" s="1115"/>
      <c r="AJ68" s="1115"/>
      <c r="AK68" s="1115"/>
      <c r="AL68" s="1115"/>
      <c r="AM68" s="1115"/>
      <c r="AN68" s="1115"/>
      <c r="AO68" s="1115"/>
      <c r="AP68" s="1115"/>
      <c r="AQ68" s="1115"/>
      <c r="AR68" s="1115"/>
      <c r="AS68" s="1115"/>
      <c r="AT68" s="1115"/>
      <c r="AU68" s="1115"/>
      <c r="AV68" s="1115"/>
      <c r="AW68" s="1115"/>
      <c r="AX68" s="1115"/>
      <c r="AY68" s="1115"/>
      <c r="AZ68" s="1115"/>
      <c r="BA68" s="1115"/>
      <c r="BB68" s="1115"/>
      <c r="BC68" s="1115"/>
      <c r="BD68" s="1115"/>
      <c r="BE68" s="1115"/>
      <c r="BF68" s="1118"/>
      <c r="BG68" s="1115"/>
      <c r="BH68" s="1115"/>
      <c r="BI68" s="1115"/>
      <c r="BJ68" s="1115"/>
      <c r="BK68" s="1115"/>
      <c r="BL68" s="1115"/>
      <c r="BM68" s="1115"/>
      <c r="BN68" s="1115"/>
      <c r="BO68" s="1115"/>
      <c r="BP68" s="1115"/>
      <c r="BQ68" s="1115"/>
      <c r="BR68" s="1115"/>
      <c r="BS68" s="1115"/>
      <c r="BT68" s="1115"/>
      <c r="BU68" s="1115"/>
      <c r="BV68" s="1115"/>
      <c r="BW68" s="1115"/>
      <c r="BX68" s="1115"/>
      <c r="BY68" s="1115"/>
      <c r="BZ68" s="1115"/>
      <c r="CA68" s="1115"/>
      <c r="CB68" s="1115"/>
      <c r="CC68" s="1115"/>
      <c r="CD68" s="1115"/>
      <c r="CE68" s="1115"/>
      <c r="CF68" s="1115"/>
      <c r="CG68" s="1115"/>
      <c r="CH68" s="1115"/>
      <c r="CI68" s="1115"/>
      <c r="CJ68" s="1115"/>
      <c r="CK68" s="1115"/>
      <c r="CL68" s="1115"/>
      <c r="CM68" s="1115"/>
      <c r="CN68" s="1115"/>
      <c r="CO68" s="1115"/>
      <c r="CP68" s="1115"/>
      <c r="CQ68" s="1115"/>
      <c r="CR68" s="1115"/>
      <c r="CS68" s="1115"/>
      <c r="CT68" s="1115"/>
      <c r="CU68" s="1115"/>
      <c r="CV68" s="1115"/>
      <c r="CW68" s="1115"/>
      <c r="CX68" s="1115"/>
      <c r="CY68" s="1115"/>
      <c r="CZ68" s="1115"/>
      <c r="DA68" s="1115"/>
      <c r="DB68" s="1115"/>
      <c r="DC68" s="1115"/>
      <c r="DD68" s="1115"/>
      <c r="DE68" s="1115"/>
      <c r="DF68" s="1115"/>
      <c r="DG68" s="1118"/>
      <c r="DH68" s="1115"/>
      <c r="DI68" s="1115"/>
      <c r="DJ68" s="1115"/>
      <c r="DK68" s="1115"/>
      <c r="DL68" s="1115"/>
      <c r="DM68" s="1115"/>
      <c r="DN68" s="1115"/>
      <c r="DO68" s="1115"/>
      <c r="DP68" s="1115"/>
      <c r="DQ68" s="1115"/>
      <c r="DR68" s="1115"/>
      <c r="DS68" s="1115"/>
      <c r="DT68" s="1115"/>
      <c r="DU68" s="1115"/>
      <c r="DV68" s="1115"/>
      <c r="DW68" s="1115"/>
      <c r="DX68" s="1115"/>
      <c r="DY68" s="1115"/>
      <c r="DZ68" s="1115"/>
      <c r="EA68" s="1115"/>
      <c r="EB68" s="1115"/>
      <c r="EC68" s="1115"/>
      <c r="ED68" s="1115"/>
      <c r="EE68" s="1115"/>
      <c r="EF68" s="1115"/>
      <c r="EG68" s="1115"/>
      <c r="EH68" s="1115"/>
      <c r="EI68" s="1115"/>
      <c r="EJ68" s="1115"/>
      <c r="EK68" s="1115"/>
      <c r="EL68" s="1115"/>
      <c r="EM68" s="1115"/>
      <c r="EN68" s="1115"/>
      <c r="EO68" s="1115"/>
      <c r="EP68" s="1115"/>
      <c r="EQ68" s="1115"/>
      <c r="ER68" s="1115"/>
      <c r="ES68" s="1115"/>
      <c r="ET68" s="1115"/>
      <c r="EU68" s="1115"/>
      <c r="EV68" s="1115"/>
      <c r="EW68" s="1115"/>
      <c r="EX68" s="1115"/>
      <c r="EY68" s="1115"/>
      <c r="EZ68" s="1115"/>
      <c r="FA68" s="1115"/>
      <c r="FB68" s="1115"/>
      <c r="FC68" s="1115"/>
      <c r="FD68" s="1115"/>
      <c r="FE68" s="1115"/>
      <c r="FF68" s="1115"/>
      <c r="FG68" s="1115"/>
      <c r="FH68" s="1118"/>
    </row>
    <row r="69" spans="1:164" ht="15" thickBot="1" x14ac:dyDescent="0.4">
      <c r="A69" s="1122"/>
      <c r="B69" s="1125"/>
      <c r="C69" s="1127"/>
      <c r="D69" s="1124"/>
      <c r="E69" s="1120"/>
      <c r="F69" s="1114"/>
      <c r="G69" s="1115"/>
      <c r="H69" s="1115"/>
      <c r="I69" s="1115"/>
      <c r="J69" s="1115"/>
      <c r="K69" s="1115"/>
      <c r="L69" s="1115"/>
      <c r="M69" s="1115"/>
      <c r="N69" s="1115"/>
      <c r="O69" s="1115"/>
      <c r="P69" s="1115"/>
      <c r="Q69" s="1115"/>
      <c r="R69" s="1115"/>
      <c r="S69" s="1115"/>
      <c r="T69" s="1115"/>
      <c r="U69" s="1115"/>
      <c r="V69" s="1115"/>
      <c r="W69" s="1115"/>
      <c r="X69" s="1115"/>
      <c r="Y69" s="1115"/>
      <c r="Z69" s="1115"/>
      <c r="AA69" s="1115"/>
      <c r="AB69" s="1115"/>
      <c r="AC69" s="1115"/>
      <c r="AD69" s="1115"/>
      <c r="AE69" s="1115"/>
      <c r="AF69" s="1115"/>
      <c r="AG69" s="1115"/>
      <c r="AH69" s="1115"/>
      <c r="AI69" s="1115"/>
      <c r="AJ69" s="1115"/>
      <c r="AK69" s="1115"/>
      <c r="AL69" s="1115"/>
      <c r="AM69" s="1115"/>
      <c r="AN69" s="1115"/>
      <c r="AO69" s="1115"/>
      <c r="AP69" s="1115"/>
      <c r="AQ69" s="1115"/>
      <c r="AR69" s="1115"/>
      <c r="AS69" s="1115"/>
      <c r="AT69" s="1115"/>
      <c r="AU69" s="1115"/>
      <c r="AV69" s="1115"/>
      <c r="AW69" s="1115"/>
      <c r="AX69" s="1115"/>
      <c r="AY69" s="1115"/>
      <c r="AZ69" s="1115"/>
      <c r="BA69" s="1115"/>
      <c r="BB69" s="1115"/>
      <c r="BC69" s="1115"/>
      <c r="BD69" s="1115"/>
      <c r="BE69" s="1115"/>
      <c r="BF69" s="1118"/>
      <c r="BG69" s="1114"/>
      <c r="BH69" s="1115"/>
      <c r="BI69" s="1115"/>
      <c r="BJ69" s="1115"/>
      <c r="BK69" s="1115"/>
      <c r="BL69" s="1115"/>
      <c r="BM69" s="1115"/>
      <c r="BN69" s="1115"/>
      <c r="BO69" s="1115"/>
      <c r="BP69" s="1115"/>
      <c r="BQ69" s="1115"/>
      <c r="BR69" s="1115"/>
      <c r="BS69" s="1115"/>
      <c r="BT69" s="1115"/>
      <c r="BU69" s="1115"/>
      <c r="BV69" s="1115"/>
      <c r="BW69" s="1115"/>
      <c r="BX69" s="1115"/>
      <c r="BY69" s="1115"/>
      <c r="BZ69" s="1115"/>
      <c r="CA69" s="1115"/>
      <c r="CB69" s="1115"/>
      <c r="CC69" s="1115"/>
      <c r="CD69" s="1115"/>
      <c r="CE69" s="1115"/>
      <c r="CF69" s="1115"/>
      <c r="CG69" s="1115"/>
      <c r="CH69" s="1115"/>
      <c r="CI69" s="1115"/>
      <c r="CJ69" s="1115"/>
      <c r="CK69" s="1115"/>
      <c r="CL69" s="1115"/>
      <c r="CM69" s="1115"/>
      <c r="CN69" s="1115"/>
      <c r="CO69" s="1115"/>
      <c r="CP69" s="1115"/>
      <c r="CQ69" s="1115"/>
      <c r="CR69" s="1115"/>
      <c r="CS69" s="1115"/>
      <c r="CT69" s="1115"/>
      <c r="CU69" s="1115"/>
      <c r="CV69" s="1115"/>
      <c r="CW69" s="1115"/>
      <c r="CX69" s="1115"/>
      <c r="CY69" s="1115"/>
      <c r="CZ69" s="1115"/>
      <c r="DA69" s="1115"/>
      <c r="DB69" s="1115"/>
      <c r="DC69" s="1115"/>
      <c r="DD69" s="1115"/>
      <c r="DE69" s="1115"/>
      <c r="DF69" s="1115"/>
      <c r="DG69" s="1118"/>
      <c r="DH69" s="1114"/>
      <c r="DI69" s="1115"/>
      <c r="DJ69" s="1115"/>
      <c r="DK69" s="1115"/>
      <c r="DL69" s="1115"/>
      <c r="DM69" s="1115"/>
      <c r="DN69" s="1115"/>
      <c r="DO69" s="1115"/>
      <c r="DP69" s="1115"/>
      <c r="DQ69" s="1115"/>
      <c r="DR69" s="1115"/>
      <c r="DS69" s="1115"/>
      <c r="DT69" s="1115"/>
      <c r="DU69" s="1115"/>
      <c r="DV69" s="1115"/>
      <c r="DW69" s="1115"/>
      <c r="DX69" s="1115"/>
      <c r="DY69" s="1115"/>
      <c r="DZ69" s="1115"/>
      <c r="EA69" s="1115"/>
      <c r="EB69" s="1115"/>
      <c r="EC69" s="1115"/>
      <c r="ED69" s="1115"/>
      <c r="EE69" s="1115"/>
      <c r="EF69" s="1115"/>
      <c r="EG69" s="1115"/>
      <c r="EH69" s="1115"/>
      <c r="EI69" s="1115"/>
      <c r="EJ69" s="1115"/>
      <c r="EK69" s="1115"/>
      <c r="EL69" s="1115"/>
      <c r="EM69" s="1115"/>
      <c r="EN69" s="1115"/>
      <c r="EO69" s="1115"/>
      <c r="EP69" s="1115"/>
      <c r="EQ69" s="1115"/>
      <c r="ER69" s="1115"/>
      <c r="ES69" s="1115"/>
      <c r="ET69" s="1115"/>
      <c r="EU69" s="1115"/>
      <c r="EV69" s="1115"/>
      <c r="EW69" s="1115"/>
      <c r="EX69" s="1115"/>
      <c r="EY69" s="1115"/>
      <c r="EZ69" s="1115"/>
      <c r="FA69" s="1115"/>
      <c r="FB69" s="1115"/>
      <c r="FC69" s="1115"/>
      <c r="FD69" s="1115"/>
      <c r="FE69" s="1115"/>
      <c r="FF69" s="1115"/>
      <c r="FG69" s="1115"/>
      <c r="FH69" s="1118"/>
    </row>
    <row r="70" spans="1:164" ht="15" thickBot="1" x14ac:dyDescent="0.4">
      <c r="A70" s="1122"/>
      <c r="B70" s="1125"/>
      <c r="C70" s="1127"/>
      <c r="D70" s="1124"/>
      <c r="E70" s="1120"/>
      <c r="F70" s="1114"/>
      <c r="G70" s="1115"/>
      <c r="H70" s="1115"/>
      <c r="I70" s="1115"/>
      <c r="J70" s="1115"/>
      <c r="K70" s="1115"/>
      <c r="L70" s="1115"/>
      <c r="M70" s="1115"/>
      <c r="N70" s="1115"/>
      <c r="O70" s="1115"/>
      <c r="P70" s="1115"/>
      <c r="Q70" s="1115"/>
      <c r="R70" s="1115"/>
      <c r="S70" s="1115"/>
      <c r="T70" s="1115"/>
      <c r="U70" s="1115"/>
      <c r="V70" s="1115"/>
      <c r="W70" s="1115"/>
      <c r="X70" s="1115"/>
      <c r="Y70" s="1115"/>
      <c r="Z70" s="1115"/>
      <c r="AA70" s="1115"/>
      <c r="AB70" s="1115"/>
      <c r="AC70" s="1115"/>
      <c r="AD70" s="1115"/>
      <c r="AE70" s="1115"/>
      <c r="AF70" s="1115"/>
      <c r="AG70" s="1115"/>
      <c r="AH70" s="1115"/>
      <c r="AI70" s="1115"/>
      <c r="AJ70" s="1115"/>
      <c r="AK70" s="1115"/>
      <c r="AL70" s="1115"/>
      <c r="AM70" s="1115"/>
      <c r="AN70" s="1115"/>
      <c r="AO70" s="1115"/>
      <c r="AP70" s="1115"/>
      <c r="AQ70" s="1115"/>
      <c r="AR70" s="1115"/>
      <c r="AS70" s="1115"/>
      <c r="AT70" s="1115"/>
      <c r="AU70" s="1115"/>
      <c r="AV70" s="1115"/>
      <c r="AW70" s="1115"/>
      <c r="AX70" s="1115"/>
      <c r="AY70" s="1115"/>
      <c r="AZ70" s="1115"/>
      <c r="BA70" s="1115"/>
      <c r="BB70" s="1115"/>
      <c r="BC70" s="1115"/>
      <c r="BD70" s="1115"/>
      <c r="BE70" s="1115"/>
      <c r="BF70" s="1118"/>
      <c r="BG70" s="1114"/>
      <c r="BH70" s="1115"/>
      <c r="BI70" s="1115"/>
      <c r="BJ70" s="1115"/>
      <c r="BK70" s="1115"/>
      <c r="BL70" s="1115"/>
      <c r="BM70" s="1115"/>
      <c r="BN70" s="1115"/>
      <c r="BO70" s="1115"/>
      <c r="BP70" s="1115"/>
      <c r="BQ70" s="1115"/>
      <c r="BR70" s="1115"/>
      <c r="BS70" s="1115"/>
      <c r="BT70" s="1115"/>
      <c r="BU70" s="1115"/>
      <c r="BV70" s="1115"/>
      <c r="BW70" s="1115"/>
      <c r="BX70" s="1115"/>
      <c r="BY70" s="1115"/>
      <c r="BZ70" s="1115"/>
      <c r="CA70" s="1115"/>
      <c r="CB70" s="1115"/>
      <c r="CC70" s="1115"/>
      <c r="CD70" s="1115"/>
      <c r="CE70" s="1115"/>
      <c r="CF70" s="1115"/>
      <c r="CG70" s="1115"/>
      <c r="CH70" s="1115"/>
      <c r="CI70" s="1115"/>
      <c r="CJ70" s="1115"/>
      <c r="CK70" s="1115"/>
      <c r="CL70" s="1115"/>
      <c r="CM70" s="1115"/>
      <c r="CN70" s="1115"/>
      <c r="CO70" s="1115"/>
      <c r="CP70" s="1115"/>
      <c r="CQ70" s="1115"/>
      <c r="CR70" s="1115"/>
      <c r="CS70" s="1115"/>
      <c r="CT70" s="1115"/>
      <c r="CU70" s="1115"/>
      <c r="CV70" s="1115"/>
      <c r="CW70" s="1115"/>
      <c r="CX70" s="1115"/>
      <c r="CY70" s="1115"/>
      <c r="CZ70" s="1115"/>
      <c r="DA70" s="1115"/>
      <c r="DB70" s="1115"/>
      <c r="DC70" s="1115"/>
      <c r="DD70" s="1115"/>
      <c r="DE70" s="1115"/>
      <c r="DF70" s="1115"/>
      <c r="DG70" s="1118"/>
      <c r="DH70" s="1114"/>
      <c r="DI70" s="1115"/>
      <c r="DJ70" s="1115"/>
      <c r="DK70" s="1115"/>
      <c r="DL70" s="1115"/>
      <c r="DM70" s="1115"/>
      <c r="DN70" s="1115"/>
      <c r="DO70" s="1115"/>
      <c r="DP70" s="1115"/>
      <c r="DQ70" s="1115"/>
      <c r="DR70" s="1115"/>
      <c r="DS70" s="1115"/>
      <c r="DT70" s="1115"/>
      <c r="DU70" s="1115"/>
      <c r="DV70" s="1115"/>
      <c r="DW70" s="1115"/>
      <c r="DX70" s="1115"/>
      <c r="DY70" s="1115"/>
      <c r="DZ70" s="1115"/>
      <c r="EA70" s="1115"/>
      <c r="EB70" s="1115"/>
      <c r="EC70" s="1115"/>
      <c r="ED70" s="1115"/>
      <c r="EE70" s="1115"/>
      <c r="EF70" s="1115"/>
      <c r="EG70" s="1115"/>
      <c r="EH70" s="1115"/>
      <c r="EI70" s="1115"/>
      <c r="EJ70" s="1115"/>
      <c r="EK70" s="1115"/>
      <c r="EL70" s="1115"/>
      <c r="EM70" s="1115"/>
      <c r="EN70" s="1115"/>
      <c r="EO70" s="1115"/>
      <c r="EP70" s="1115"/>
      <c r="EQ70" s="1115"/>
      <c r="ER70" s="1115"/>
      <c r="ES70" s="1115"/>
      <c r="ET70" s="1115"/>
      <c r="EU70" s="1115"/>
      <c r="EV70" s="1115"/>
      <c r="EW70" s="1115"/>
      <c r="EX70" s="1115"/>
      <c r="EY70" s="1115"/>
      <c r="EZ70" s="1115"/>
      <c r="FA70" s="1115"/>
      <c r="FB70" s="1115"/>
      <c r="FC70" s="1115"/>
      <c r="FD70" s="1115"/>
      <c r="FE70" s="1115"/>
      <c r="FF70" s="1115"/>
      <c r="FG70" s="1115"/>
      <c r="FH70" s="1118"/>
    </row>
    <row r="71" spans="1:164" ht="15" thickBot="1" x14ac:dyDescent="0.4">
      <c r="A71" s="1122"/>
      <c r="B71" s="1125"/>
      <c r="C71" s="1127"/>
      <c r="D71" s="1124"/>
      <c r="E71" s="1120"/>
      <c r="F71" s="1114"/>
      <c r="G71" s="1115"/>
      <c r="H71" s="1115"/>
      <c r="I71" s="1115"/>
      <c r="J71" s="1115"/>
      <c r="K71" s="1115"/>
      <c r="L71" s="1115"/>
      <c r="M71" s="1115"/>
      <c r="N71" s="1115"/>
      <c r="O71" s="1115"/>
      <c r="P71" s="1115"/>
      <c r="Q71" s="1115"/>
      <c r="R71" s="1115"/>
      <c r="S71" s="1115"/>
      <c r="T71" s="1115"/>
      <c r="U71" s="1115"/>
      <c r="V71" s="1115"/>
      <c r="W71" s="1115"/>
      <c r="X71" s="1115"/>
      <c r="Y71" s="1115"/>
      <c r="Z71" s="1115"/>
      <c r="AA71" s="1115"/>
      <c r="AB71" s="1115"/>
      <c r="AC71" s="1115"/>
      <c r="AD71" s="1115"/>
      <c r="AE71" s="1115"/>
      <c r="AF71" s="1115"/>
      <c r="AG71" s="1115"/>
      <c r="AH71" s="1115"/>
      <c r="AI71" s="1115"/>
      <c r="AJ71" s="1115"/>
      <c r="AK71" s="1115"/>
      <c r="AL71" s="1115"/>
      <c r="AM71" s="1115"/>
      <c r="AN71" s="1115"/>
      <c r="AO71" s="1115"/>
      <c r="AP71" s="1115"/>
      <c r="AQ71" s="1115"/>
      <c r="AR71" s="1115"/>
      <c r="AS71" s="1115"/>
      <c r="AT71" s="1115"/>
      <c r="AU71" s="1115"/>
      <c r="AV71" s="1115"/>
      <c r="AW71" s="1115"/>
      <c r="AX71" s="1115"/>
      <c r="AY71" s="1115"/>
      <c r="AZ71" s="1115"/>
      <c r="BA71" s="1115"/>
      <c r="BB71" s="1115"/>
      <c r="BC71" s="1115"/>
      <c r="BD71" s="1115"/>
      <c r="BE71" s="1115"/>
      <c r="BF71" s="1118"/>
      <c r="BG71" s="1114"/>
      <c r="BH71" s="1115"/>
      <c r="BI71" s="1115"/>
      <c r="BJ71" s="1115"/>
      <c r="BK71" s="1115"/>
      <c r="BL71" s="1115"/>
      <c r="BM71" s="1115"/>
      <c r="BN71" s="1115"/>
      <c r="BO71" s="1115"/>
      <c r="BP71" s="1115"/>
      <c r="BQ71" s="1115"/>
      <c r="BR71" s="1115"/>
      <c r="BS71" s="1115"/>
      <c r="BT71" s="1115"/>
      <c r="BU71" s="1115"/>
      <c r="BV71" s="1115"/>
      <c r="BW71" s="1115"/>
      <c r="BX71" s="1115"/>
      <c r="BY71" s="1115"/>
      <c r="BZ71" s="1115"/>
      <c r="CA71" s="1115"/>
      <c r="CB71" s="1115"/>
      <c r="CC71" s="1115"/>
      <c r="CD71" s="1115"/>
      <c r="CE71" s="1115"/>
      <c r="CF71" s="1115"/>
      <c r="CG71" s="1115"/>
      <c r="CH71" s="1115"/>
      <c r="CI71" s="1115"/>
      <c r="CJ71" s="1115"/>
      <c r="CK71" s="1115"/>
      <c r="CL71" s="1115"/>
      <c r="CM71" s="1115"/>
      <c r="CN71" s="1115"/>
      <c r="CO71" s="1115"/>
      <c r="CP71" s="1115"/>
      <c r="CQ71" s="1115"/>
      <c r="CR71" s="1115"/>
      <c r="CS71" s="1115"/>
      <c r="CT71" s="1115"/>
      <c r="CU71" s="1115"/>
      <c r="CV71" s="1115"/>
      <c r="CW71" s="1115"/>
      <c r="CX71" s="1115"/>
      <c r="CY71" s="1115"/>
      <c r="CZ71" s="1115"/>
      <c r="DA71" s="1115"/>
      <c r="DB71" s="1115"/>
      <c r="DC71" s="1115"/>
      <c r="DD71" s="1115"/>
      <c r="DE71" s="1115"/>
      <c r="DF71" s="1115"/>
      <c r="DG71" s="1118"/>
      <c r="DH71" s="1114"/>
      <c r="DI71" s="1115"/>
      <c r="DJ71" s="1115"/>
      <c r="DK71" s="1115"/>
      <c r="DL71" s="1115"/>
      <c r="DM71" s="1115"/>
      <c r="DN71" s="1115"/>
      <c r="DO71" s="1115"/>
      <c r="DP71" s="1115"/>
      <c r="DQ71" s="1115"/>
      <c r="DR71" s="1115"/>
      <c r="DS71" s="1115"/>
      <c r="DT71" s="1115"/>
      <c r="DU71" s="1115"/>
      <c r="DV71" s="1115"/>
      <c r="DW71" s="1115"/>
      <c r="DX71" s="1115"/>
      <c r="DY71" s="1115"/>
      <c r="DZ71" s="1115"/>
      <c r="EA71" s="1115"/>
      <c r="EB71" s="1115"/>
      <c r="EC71" s="1115"/>
      <c r="ED71" s="1115"/>
      <c r="EE71" s="1115"/>
      <c r="EF71" s="1115"/>
      <c r="EG71" s="1115"/>
      <c r="EH71" s="1115"/>
      <c r="EI71" s="1115"/>
      <c r="EJ71" s="1115"/>
      <c r="EK71" s="1115"/>
      <c r="EL71" s="1115"/>
      <c r="EM71" s="1115"/>
      <c r="EN71" s="1115"/>
      <c r="EO71" s="1115"/>
      <c r="EP71" s="1115"/>
      <c r="EQ71" s="1115"/>
      <c r="ER71" s="1115"/>
      <c r="ES71" s="1115"/>
      <c r="ET71" s="1115"/>
      <c r="EU71" s="1115"/>
      <c r="EV71" s="1115"/>
      <c r="EW71" s="1115"/>
      <c r="EX71" s="1115"/>
      <c r="EY71" s="1115"/>
      <c r="EZ71" s="1115"/>
      <c r="FA71" s="1115"/>
      <c r="FB71" s="1115"/>
      <c r="FC71" s="1115"/>
      <c r="FD71" s="1115"/>
      <c r="FE71" s="1115"/>
      <c r="FF71" s="1115"/>
      <c r="FG71" s="1115"/>
      <c r="FH71" s="1118"/>
    </row>
    <row r="72" spans="1:164" ht="15" thickBot="1" x14ac:dyDescent="0.4">
      <c r="A72" s="1122"/>
      <c r="B72" s="1125"/>
      <c r="C72" s="1127"/>
      <c r="D72" s="1124"/>
      <c r="E72" s="1120"/>
      <c r="F72" s="1114"/>
      <c r="G72" s="1115"/>
      <c r="H72" s="1115"/>
      <c r="I72" s="1115"/>
      <c r="J72" s="1115"/>
      <c r="K72" s="1115"/>
      <c r="L72" s="1115"/>
      <c r="M72" s="1115"/>
      <c r="N72" s="1115"/>
      <c r="O72" s="1115"/>
      <c r="P72" s="1115"/>
      <c r="Q72" s="1115"/>
      <c r="R72" s="1115"/>
      <c r="S72" s="1115"/>
      <c r="T72" s="1115"/>
      <c r="U72" s="1115"/>
      <c r="V72" s="1115"/>
      <c r="W72" s="1115"/>
      <c r="X72" s="1115"/>
      <c r="Y72" s="1115"/>
      <c r="Z72" s="1115"/>
      <c r="AA72" s="1115"/>
      <c r="AB72" s="1115"/>
      <c r="AC72" s="1115"/>
      <c r="AD72" s="1115"/>
      <c r="AE72" s="1115"/>
      <c r="AF72" s="1115"/>
      <c r="AG72" s="1115"/>
      <c r="AH72" s="1115"/>
      <c r="AI72" s="1115"/>
      <c r="AJ72" s="1115"/>
      <c r="AK72" s="1115"/>
      <c r="AL72" s="1115"/>
      <c r="AM72" s="1115"/>
      <c r="AN72" s="1115"/>
      <c r="AO72" s="1115"/>
      <c r="AP72" s="1115"/>
      <c r="AQ72" s="1115"/>
      <c r="AR72" s="1115"/>
      <c r="AS72" s="1115"/>
      <c r="AT72" s="1115"/>
      <c r="AU72" s="1115"/>
      <c r="AV72" s="1115"/>
      <c r="AW72" s="1115"/>
      <c r="AX72" s="1115"/>
      <c r="AY72" s="1115"/>
      <c r="AZ72" s="1115"/>
      <c r="BA72" s="1115"/>
      <c r="BB72" s="1115"/>
      <c r="BC72" s="1115"/>
      <c r="BD72" s="1115"/>
      <c r="BE72" s="1115"/>
      <c r="BF72" s="1118"/>
      <c r="BG72" s="1114"/>
      <c r="BH72" s="1115"/>
      <c r="BI72" s="1115"/>
      <c r="BJ72" s="1115"/>
      <c r="BK72" s="1115"/>
      <c r="BL72" s="1115"/>
      <c r="BM72" s="1115"/>
      <c r="BN72" s="1115"/>
      <c r="BO72" s="1115"/>
      <c r="BP72" s="1115"/>
      <c r="BQ72" s="1115"/>
      <c r="BR72" s="1115"/>
      <c r="BS72" s="1115"/>
      <c r="BT72" s="1115"/>
      <c r="BU72" s="1115"/>
      <c r="BV72" s="1115"/>
      <c r="BW72" s="1115"/>
      <c r="BX72" s="1115"/>
      <c r="BY72" s="1115"/>
      <c r="BZ72" s="1115"/>
      <c r="CA72" s="1115"/>
      <c r="CB72" s="1115"/>
      <c r="CC72" s="1115"/>
      <c r="CD72" s="1115"/>
      <c r="CE72" s="1115"/>
      <c r="CF72" s="1115"/>
      <c r="CG72" s="1115"/>
      <c r="CH72" s="1115"/>
      <c r="CI72" s="1115"/>
      <c r="CJ72" s="1115"/>
      <c r="CK72" s="1115"/>
      <c r="CL72" s="1115"/>
      <c r="CM72" s="1115"/>
      <c r="CN72" s="1115"/>
      <c r="CO72" s="1115"/>
      <c r="CP72" s="1115"/>
      <c r="CQ72" s="1115"/>
      <c r="CR72" s="1115"/>
      <c r="CS72" s="1115"/>
      <c r="CT72" s="1115"/>
      <c r="CU72" s="1115"/>
      <c r="CV72" s="1115"/>
      <c r="CW72" s="1115"/>
      <c r="CX72" s="1115"/>
      <c r="CY72" s="1115"/>
      <c r="CZ72" s="1115"/>
      <c r="DA72" s="1115"/>
      <c r="DB72" s="1115"/>
      <c r="DC72" s="1115"/>
      <c r="DD72" s="1115"/>
      <c r="DE72" s="1115"/>
      <c r="DF72" s="1115"/>
      <c r="DG72" s="1118"/>
      <c r="DH72" s="1114"/>
      <c r="DI72" s="1115"/>
      <c r="DJ72" s="1115"/>
      <c r="DK72" s="1115"/>
      <c r="DL72" s="1115"/>
      <c r="DM72" s="1115"/>
      <c r="DN72" s="1115"/>
      <c r="DO72" s="1115"/>
      <c r="DP72" s="1115"/>
      <c r="DQ72" s="1115"/>
      <c r="DR72" s="1115"/>
      <c r="DS72" s="1115"/>
      <c r="DT72" s="1115"/>
      <c r="DU72" s="1115"/>
      <c r="DV72" s="1115"/>
      <c r="DW72" s="1115"/>
      <c r="DX72" s="1115"/>
      <c r="DY72" s="1115"/>
      <c r="DZ72" s="1115"/>
      <c r="EA72" s="1115"/>
      <c r="EB72" s="1115"/>
      <c r="EC72" s="1115"/>
      <c r="ED72" s="1115"/>
      <c r="EE72" s="1115"/>
      <c r="EF72" s="1115"/>
      <c r="EG72" s="1115"/>
      <c r="EH72" s="1115"/>
      <c r="EI72" s="1115"/>
      <c r="EJ72" s="1115"/>
      <c r="EK72" s="1115"/>
      <c r="EL72" s="1115"/>
      <c r="EM72" s="1115"/>
      <c r="EN72" s="1115"/>
      <c r="EO72" s="1115"/>
      <c r="EP72" s="1115"/>
      <c r="EQ72" s="1115"/>
      <c r="ER72" s="1115"/>
      <c r="ES72" s="1115"/>
      <c r="ET72" s="1115"/>
      <c r="EU72" s="1115"/>
      <c r="EV72" s="1115"/>
      <c r="EW72" s="1115"/>
      <c r="EX72" s="1115"/>
      <c r="EY72" s="1115"/>
      <c r="EZ72" s="1115"/>
      <c r="FA72" s="1115"/>
      <c r="FB72" s="1115"/>
      <c r="FC72" s="1115"/>
      <c r="FD72" s="1115"/>
      <c r="FE72" s="1115"/>
      <c r="FF72" s="1115"/>
      <c r="FG72" s="1115"/>
      <c r="FH72" s="1118"/>
    </row>
    <row r="73" spans="1:164" ht="15" thickBot="1" x14ac:dyDescent="0.4">
      <c r="A73" s="1122"/>
      <c r="B73" s="1125"/>
      <c r="C73" s="1127"/>
      <c r="D73" s="1124"/>
      <c r="E73" s="1120"/>
      <c r="F73" s="1114"/>
      <c r="G73" s="1115"/>
      <c r="H73" s="1115"/>
      <c r="I73" s="1115"/>
      <c r="J73" s="1115"/>
      <c r="K73" s="1115"/>
      <c r="L73" s="1115"/>
      <c r="M73" s="1115"/>
      <c r="N73" s="1115"/>
      <c r="O73" s="1115"/>
      <c r="P73" s="1115"/>
      <c r="Q73" s="1115"/>
      <c r="R73" s="1115"/>
      <c r="S73" s="1115"/>
      <c r="T73" s="1115"/>
      <c r="U73" s="1115"/>
      <c r="V73" s="1115"/>
      <c r="W73" s="1115"/>
      <c r="X73" s="1115"/>
      <c r="Y73" s="1115"/>
      <c r="Z73" s="1115"/>
      <c r="AA73" s="1115"/>
      <c r="AB73" s="1115"/>
      <c r="AC73" s="1115"/>
      <c r="AD73" s="1115"/>
      <c r="AE73" s="1115"/>
      <c r="AF73" s="1115"/>
      <c r="AG73" s="1115"/>
      <c r="AH73" s="1115"/>
      <c r="AI73" s="1115"/>
      <c r="AJ73" s="1115"/>
      <c r="AK73" s="1115"/>
      <c r="AL73" s="1115"/>
      <c r="AM73" s="1115"/>
      <c r="AN73" s="1115"/>
      <c r="AO73" s="1115"/>
      <c r="AP73" s="1115"/>
      <c r="AQ73" s="1115"/>
      <c r="AR73" s="1115"/>
      <c r="AS73" s="1115"/>
      <c r="AT73" s="1115"/>
      <c r="AU73" s="1115"/>
      <c r="AV73" s="1115"/>
      <c r="AW73" s="1115"/>
      <c r="AX73" s="1115"/>
      <c r="AY73" s="1115"/>
      <c r="AZ73" s="1115"/>
      <c r="BA73" s="1115"/>
      <c r="BB73" s="1115"/>
      <c r="BC73" s="1115"/>
      <c r="BD73" s="1115"/>
      <c r="BE73" s="1115"/>
      <c r="BF73" s="1118"/>
      <c r="BG73" s="1114"/>
      <c r="BH73" s="1115"/>
      <c r="BI73" s="1115"/>
      <c r="BJ73" s="1115"/>
      <c r="BK73" s="1115"/>
      <c r="BL73" s="1115"/>
      <c r="BM73" s="1115"/>
      <c r="BN73" s="1115"/>
      <c r="BO73" s="1115"/>
      <c r="BP73" s="1115"/>
      <c r="BQ73" s="1115"/>
      <c r="BR73" s="1115"/>
      <c r="BS73" s="1115"/>
      <c r="BT73" s="1115"/>
      <c r="BU73" s="1115"/>
      <c r="BV73" s="1115"/>
      <c r="BW73" s="1115"/>
      <c r="BX73" s="1115"/>
      <c r="BY73" s="1115"/>
      <c r="BZ73" s="1115"/>
      <c r="CA73" s="1115"/>
      <c r="CB73" s="1115"/>
      <c r="CC73" s="1115"/>
      <c r="CD73" s="1115"/>
      <c r="CE73" s="1115"/>
      <c r="CF73" s="1115"/>
      <c r="CG73" s="1115"/>
      <c r="CH73" s="1115"/>
      <c r="CI73" s="1115"/>
      <c r="CJ73" s="1115"/>
      <c r="CK73" s="1115"/>
      <c r="CL73" s="1115"/>
      <c r="CM73" s="1115"/>
      <c r="CN73" s="1115"/>
      <c r="CO73" s="1115"/>
      <c r="CP73" s="1115"/>
      <c r="CQ73" s="1115"/>
      <c r="CR73" s="1115"/>
      <c r="CS73" s="1115"/>
      <c r="CT73" s="1115"/>
      <c r="CU73" s="1115"/>
      <c r="CV73" s="1115"/>
      <c r="CW73" s="1115"/>
      <c r="CX73" s="1115"/>
      <c r="CY73" s="1115"/>
      <c r="CZ73" s="1115"/>
      <c r="DA73" s="1115"/>
      <c r="DB73" s="1115"/>
      <c r="DC73" s="1115"/>
      <c r="DD73" s="1115"/>
      <c r="DE73" s="1115"/>
      <c r="DF73" s="1115"/>
      <c r="DG73" s="1118"/>
      <c r="DH73" s="1114"/>
      <c r="DI73" s="1115"/>
      <c r="DJ73" s="1115"/>
      <c r="DK73" s="1115"/>
      <c r="DL73" s="1115"/>
      <c r="DM73" s="1115"/>
      <c r="DN73" s="1115"/>
      <c r="DO73" s="1115"/>
      <c r="DP73" s="1115"/>
      <c r="DQ73" s="1115"/>
      <c r="DR73" s="1115"/>
      <c r="DS73" s="1115"/>
      <c r="DT73" s="1115"/>
      <c r="DU73" s="1115"/>
      <c r="DV73" s="1115"/>
      <c r="DW73" s="1115"/>
      <c r="DX73" s="1115"/>
      <c r="DY73" s="1115"/>
      <c r="DZ73" s="1115"/>
      <c r="EA73" s="1115"/>
      <c r="EB73" s="1115"/>
      <c r="EC73" s="1115"/>
      <c r="ED73" s="1115"/>
      <c r="EE73" s="1115"/>
      <c r="EF73" s="1115"/>
      <c r="EG73" s="1115"/>
      <c r="EH73" s="1115"/>
      <c r="EI73" s="1115"/>
      <c r="EJ73" s="1115"/>
      <c r="EK73" s="1115"/>
      <c r="EL73" s="1115"/>
      <c r="EM73" s="1115"/>
      <c r="EN73" s="1115"/>
      <c r="EO73" s="1115"/>
      <c r="EP73" s="1115"/>
      <c r="EQ73" s="1115"/>
      <c r="ER73" s="1115"/>
      <c r="ES73" s="1115"/>
      <c r="ET73" s="1115"/>
      <c r="EU73" s="1115"/>
      <c r="EV73" s="1115"/>
      <c r="EW73" s="1115"/>
      <c r="EX73" s="1115"/>
      <c r="EY73" s="1115"/>
      <c r="EZ73" s="1115"/>
      <c r="FA73" s="1115"/>
      <c r="FB73" s="1115"/>
      <c r="FC73" s="1115"/>
      <c r="FD73" s="1115"/>
      <c r="FE73" s="1115"/>
      <c r="FF73" s="1115"/>
      <c r="FG73" s="1115"/>
      <c r="FH73" s="1118"/>
    </row>
    <row r="74" spans="1:164" ht="15" thickBot="1" x14ac:dyDescent="0.4">
      <c r="A74" s="1122"/>
      <c r="B74" s="1125"/>
      <c r="C74" s="1127"/>
      <c r="D74" s="1124"/>
      <c r="E74" s="1120"/>
      <c r="F74" s="1114"/>
      <c r="G74" s="1115"/>
      <c r="H74" s="1115"/>
      <c r="I74" s="1115"/>
      <c r="J74" s="1115"/>
      <c r="K74" s="1115"/>
      <c r="L74" s="1115"/>
      <c r="M74" s="1115"/>
      <c r="N74" s="1115"/>
      <c r="O74" s="1115"/>
      <c r="P74" s="1115"/>
      <c r="Q74" s="1115"/>
      <c r="R74" s="1115"/>
      <c r="S74" s="1115"/>
      <c r="T74" s="1115"/>
      <c r="U74" s="1115"/>
      <c r="V74" s="1115"/>
      <c r="W74" s="1115"/>
      <c r="X74" s="1115"/>
      <c r="Y74" s="1115"/>
      <c r="Z74" s="1115"/>
      <c r="AA74" s="1115"/>
      <c r="AB74" s="1115"/>
      <c r="AC74" s="1115"/>
      <c r="AD74" s="1115"/>
      <c r="AE74" s="1115"/>
      <c r="AF74" s="1115"/>
      <c r="AG74" s="1115"/>
      <c r="AH74" s="1115"/>
      <c r="AI74" s="1115"/>
      <c r="AJ74" s="1115"/>
      <c r="AK74" s="1115"/>
      <c r="AL74" s="1115"/>
      <c r="AM74" s="1115"/>
      <c r="AN74" s="1115"/>
      <c r="AO74" s="1115"/>
      <c r="AP74" s="1115"/>
      <c r="AQ74" s="1115"/>
      <c r="AR74" s="1115"/>
      <c r="AS74" s="1115"/>
      <c r="AT74" s="1115"/>
      <c r="AU74" s="1115"/>
      <c r="AV74" s="1115"/>
      <c r="AW74" s="1115"/>
      <c r="AX74" s="1115"/>
      <c r="AY74" s="1115"/>
      <c r="AZ74" s="1115"/>
      <c r="BA74" s="1115"/>
      <c r="BB74" s="1115"/>
      <c r="BC74" s="1115"/>
      <c r="BD74" s="1115"/>
      <c r="BE74" s="1115"/>
      <c r="BF74" s="1118"/>
      <c r="BG74" s="1114"/>
      <c r="BH74" s="1115"/>
      <c r="BI74" s="1115"/>
      <c r="BJ74" s="1115"/>
      <c r="BK74" s="1115"/>
      <c r="BL74" s="1115"/>
      <c r="BM74" s="1115"/>
      <c r="BN74" s="1115"/>
      <c r="BO74" s="1115"/>
      <c r="BP74" s="1115"/>
      <c r="BQ74" s="1115"/>
      <c r="BR74" s="1115"/>
      <c r="BS74" s="1115"/>
      <c r="BT74" s="1115"/>
      <c r="BU74" s="1115"/>
      <c r="BV74" s="1115"/>
      <c r="BW74" s="1115"/>
      <c r="BX74" s="1115"/>
      <c r="BY74" s="1115"/>
      <c r="BZ74" s="1115"/>
      <c r="CA74" s="1115"/>
      <c r="CB74" s="1115"/>
      <c r="CC74" s="1115"/>
      <c r="CD74" s="1115"/>
      <c r="CE74" s="1115"/>
      <c r="CF74" s="1115"/>
      <c r="CG74" s="1115"/>
      <c r="CH74" s="1115"/>
      <c r="CI74" s="1115"/>
      <c r="CJ74" s="1115"/>
      <c r="CK74" s="1115"/>
      <c r="CL74" s="1115"/>
      <c r="CM74" s="1115"/>
      <c r="CN74" s="1115"/>
      <c r="CO74" s="1115"/>
      <c r="CP74" s="1115"/>
      <c r="CQ74" s="1115"/>
      <c r="CR74" s="1115"/>
      <c r="CS74" s="1115"/>
      <c r="CT74" s="1115"/>
      <c r="CU74" s="1115"/>
      <c r="CV74" s="1115"/>
      <c r="CW74" s="1115"/>
      <c r="CX74" s="1115"/>
      <c r="CY74" s="1115"/>
      <c r="CZ74" s="1115"/>
      <c r="DA74" s="1115"/>
      <c r="DB74" s="1115"/>
      <c r="DC74" s="1115"/>
      <c r="DD74" s="1115"/>
      <c r="DE74" s="1115"/>
      <c r="DF74" s="1115"/>
      <c r="DG74" s="1118"/>
      <c r="DH74" s="1114"/>
      <c r="DI74" s="1115"/>
      <c r="DJ74" s="1115"/>
      <c r="DK74" s="1115"/>
      <c r="DL74" s="1115"/>
      <c r="DM74" s="1115"/>
      <c r="DN74" s="1115"/>
      <c r="DO74" s="1115"/>
      <c r="DP74" s="1115"/>
      <c r="DQ74" s="1115"/>
      <c r="DR74" s="1115"/>
      <c r="DS74" s="1115"/>
      <c r="DT74" s="1115"/>
      <c r="DU74" s="1115"/>
      <c r="DV74" s="1115"/>
      <c r="DW74" s="1115"/>
      <c r="DX74" s="1115"/>
      <c r="DY74" s="1115"/>
      <c r="DZ74" s="1115"/>
      <c r="EA74" s="1115"/>
      <c r="EB74" s="1115"/>
      <c r="EC74" s="1115"/>
      <c r="ED74" s="1115"/>
      <c r="EE74" s="1115"/>
      <c r="EF74" s="1115"/>
      <c r="EG74" s="1115"/>
      <c r="EH74" s="1115"/>
      <c r="EI74" s="1115"/>
      <c r="EJ74" s="1115"/>
      <c r="EK74" s="1115"/>
      <c r="EL74" s="1115"/>
      <c r="EM74" s="1115"/>
      <c r="EN74" s="1115"/>
      <c r="EO74" s="1115"/>
      <c r="EP74" s="1115"/>
      <c r="EQ74" s="1115"/>
      <c r="ER74" s="1115"/>
      <c r="ES74" s="1115"/>
      <c r="ET74" s="1115"/>
      <c r="EU74" s="1115"/>
      <c r="EV74" s="1115"/>
      <c r="EW74" s="1115"/>
      <c r="EX74" s="1115"/>
      <c r="EY74" s="1115"/>
      <c r="EZ74" s="1115"/>
      <c r="FA74" s="1115"/>
      <c r="FB74" s="1115"/>
      <c r="FC74" s="1115"/>
      <c r="FD74" s="1115"/>
      <c r="FE74" s="1115"/>
      <c r="FF74" s="1115"/>
      <c r="FG74" s="1115"/>
      <c r="FH74" s="1118"/>
    </row>
    <row r="75" spans="1:164" ht="15" thickBot="1" x14ac:dyDescent="0.4">
      <c r="A75" s="1122"/>
      <c r="B75" s="1125"/>
      <c r="C75" s="1127"/>
      <c r="D75" s="1124"/>
      <c r="E75" s="1120"/>
      <c r="F75" s="1114"/>
      <c r="G75" s="1115"/>
      <c r="H75" s="1115"/>
      <c r="I75" s="1115"/>
      <c r="J75" s="1115"/>
      <c r="K75" s="1115"/>
      <c r="L75" s="1115"/>
      <c r="M75" s="1115"/>
      <c r="N75" s="1115"/>
      <c r="O75" s="1115"/>
      <c r="P75" s="1115"/>
      <c r="Q75" s="1115"/>
      <c r="R75" s="1115"/>
      <c r="S75" s="1115"/>
      <c r="T75" s="1115"/>
      <c r="U75" s="1115"/>
      <c r="V75" s="1115"/>
      <c r="W75" s="1115"/>
      <c r="X75" s="1115"/>
      <c r="Y75" s="1115"/>
      <c r="Z75" s="1115"/>
      <c r="AA75" s="1115"/>
      <c r="AB75" s="1115"/>
      <c r="AC75" s="1115"/>
      <c r="AD75" s="1115"/>
      <c r="AE75" s="1115"/>
      <c r="AF75" s="1115"/>
      <c r="AG75" s="1115"/>
      <c r="AH75" s="1115"/>
      <c r="AI75" s="1115"/>
      <c r="AJ75" s="1115"/>
      <c r="AK75" s="1115"/>
      <c r="AL75" s="1115"/>
      <c r="AM75" s="1115"/>
      <c r="AN75" s="1115"/>
      <c r="AO75" s="1115"/>
      <c r="AP75" s="1115"/>
      <c r="AQ75" s="1115"/>
      <c r="AR75" s="1115"/>
      <c r="AS75" s="1115"/>
      <c r="AT75" s="1115"/>
      <c r="AU75" s="1115"/>
      <c r="AV75" s="1115"/>
      <c r="AW75" s="1115"/>
      <c r="AX75" s="1115"/>
      <c r="AY75" s="1115"/>
      <c r="AZ75" s="1115"/>
      <c r="BA75" s="1115"/>
      <c r="BB75" s="1115"/>
      <c r="BC75" s="1115"/>
      <c r="BD75" s="1115"/>
      <c r="BE75" s="1115"/>
      <c r="BF75" s="1118"/>
      <c r="BG75" s="1114"/>
      <c r="BH75" s="1115"/>
      <c r="BI75" s="1115"/>
      <c r="BJ75" s="1115"/>
      <c r="BK75" s="1115"/>
      <c r="BL75" s="1115"/>
      <c r="BM75" s="1115"/>
      <c r="BN75" s="1115"/>
      <c r="BO75" s="1115"/>
      <c r="BP75" s="1115"/>
      <c r="BQ75" s="1115"/>
      <c r="BR75" s="1115"/>
      <c r="BS75" s="1115"/>
      <c r="BT75" s="1115"/>
      <c r="BU75" s="1115"/>
      <c r="BV75" s="1115"/>
      <c r="BW75" s="1115"/>
      <c r="BX75" s="1115"/>
      <c r="BY75" s="1115"/>
      <c r="BZ75" s="1115"/>
      <c r="CA75" s="1115"/>
      <c r="CB75" s="1115"/>
      <c r="CC75" s="1115"/>
      <c r="CD75" s="1115"/>
      <c r="CE75" s="1115"/>
      <c r="CF75" s="1115"/>
      <c r="CG75" s="1115"/>
      <c r="CH75" s="1115"/>
      <c r="CI75" s="1115"/>
      <c r="CJ75" s="1115"/>
      <c r="CK75" s="1115"/>
      <c r="CL75" s="1115"/>
      <c r="CM75" s="1115"/>
      <c r="CN75" s="1115"/>
      <c r="CO75" s="1115"/>
      <c r="CP75" s="1115"/>
      <c r="CQ75" s="1115"/>
      <c r="CR75" s="1115"/>
      <c r="CS75" s="1115"/>
      <c r="CT75" s="1115"/>
      <c r="CU75" s="1115"/>
      <c r="CV75" s="1115"/>
      <c r="CW75" s="1115"/>
      <c r="CX75" s="1115"/>
      <c r="CY75" s="1115"/>
      <c r="CZ75" s="1115"/>
      <c r="DA75" s="1115"/>
      <c r="DB75" s="1115"/>
      <c r="DC75" s="1115"/>
      <c r="DD75" s="1115"/>
      <c r="DE75" s="1115"/>
      <c r="DF75" s="1115"/>
      <c r="DG75" s="1118"/>
      <c r="DH75" s="1114"/>
      <c r="DI75" s="1115"/>
      <c r="DJ75" s="1115"/>
      <c r="DK75" s="1115"/>
      <c r="DL75" s="1115"/>
      <c r="DM75" s="1115"/>
      <c r="DN75" s="1115"/>
      <c r="DO75" s="1115"/>
      <c r="DP75" s="1115"/>
      <c r="DQ75" s="1115"/>
      <c r="DR75" s="1115"/>
      <c r="DS75" s="1115"/>
      <c r="DT75" s="1115"/>
      <c r="DU75" s="1115"/>
      <c r="DV75" s="1115"/>
      <c r="DW75" s="1115"/>
      <c r="DX75" s="1115"/>
      <c r="DY75" s="1115"/>
      <c r="DZ75" s="1115"/>
      <c r="EA75" s="1115"/>
      <c r="EB75" s="1115"/>
      <c r="EC75" s="1115"/>
      <c r="ED75" s="1115"/>
      <c r="EE75" s="1115"/>
      <c r="EF75" s="1115"/>
      <c r="EG75" s="1115"/>
      <c r="EH75" s="1115"/>
      <c r="EI75" s="1115"/>
      <c r="EJ75" s="1115"/>
      <c r="EK75" s="1115"/>
      <c r="EL75" s="1115"/>
      <c r="EM75" s="1115"/>
      <c r="EN75" s="1115"/>
      <c r="EO75" s="1115"/>
      <c r="EP75" s="1115"/>
      <c r="EQ75" s="1115"/>
      <c r="ER75" s="1115"/>
      <c r="ES75" s="1115"/>
      <c r="ET75" s="1115"/>
      <c r="EU75" s="1115"/>
      <c r="EV75" s="1115"/>
      <c r="EW75" s="1115"/>
      <c r="EX75" s="1115"/>
      <c r="EY75" s="1115"/>
      <c r="EZ75" s="1115"/>
      <c r="FA75" s="1115"/>
      <c r="FB75" s="1115"/>
      <c r="FC75" s="1115"/>
      <c r="FD75" s="1115"/>
      <c r="FE75" s="1115"/>
      <c r="FF75" s="1115"/>
      <c r="FG75" s="1115"/>
      <c r="FH75" s="1118"/>
    </row>
    <row r="76" spans="1:164" ht="15" thickBot="1" x14ac:dyDescent="0.4">
      <c r="A76" s="1122"/>
      <c r="B76" s="1125"/>
      <c r="C76" s="1127"/>
      <c r="D76" s="1124"/>
      <c r="E76" s="1120"/>
      <c r="F76" s="1114"/>
      <c r="G76" s="1115"/>
      <c r="H76" s="1115"/>
      <c r="I76" s="1115"/>
      <c r="J76" s="1115"/>
      <c r="K76" s="1115"/>
      <c r="L76" s="1115"/>
      <c r="M76" s="1115"/>
      <c r="N76" s="1115"/>
      <c r="O76" s="1115"/>
      <c r="P76" s="1115"/>
      <c r="Q76" s="1115"/>
      <c r="R76" s="1115"/>
      <c r="S76" s="1115"/>
      <c r="T76" s="1115"/>
      <c r="U76" s="1115"/>
      <c r="V76" s="1115"/>
      <c r="W76" s="1115"/>
      <c r="X76" s="1115"/>
      <c r="Y76" s="1115"/>
      <c r="Z76" s="1115"/>
      <c r="AA76" s="1115"/>
      <c r="AB76" s="1115"/>
      <c r="AC76" s="1115"/>
      <c r="AD76" s="1115"/>
      <c r="AE76" s="1115"/>
      <c r="AF76" s="1115"/>
      <c r="AG76" s="1115"/>
      <c r="AH76" s="1115"/>
      <c r="AI76" s="1115"/>
      <c r="AJ76" s="1115"/>
      <c r="AK76" s="1115"/>
      <c r="AL76" s="1115"/>
      <c r="AM76" s="1115"/>
      <c r="AN76" s="1115"/>
      <c r="AO76" s="1115"/>
      <c r="AP76" s="1115"/>
      <c r="AQ76" s="1115"/>
      <c r="AR76" s="1115"/>
      <c r="AS76" s="1115"/>
      <c r="AT76" s="1115"/>
      <c r="AU76" s="1115"/>
      <c r="AV76" s="1115"/>
      <c r="AW76" s="1115"/>
      <c r="AX76" s="1115"/>
      <c r="AY76" s="1115"/>
      <c r="AZ76" s="1115"/>
      <c r="BA76" s="1115"/>
      <c r="BB76" s="1115"/>
      <c r="BC76" s="1115"/>
      <c r="BD76" s="1115"/>
      <c r="BE76" s="1115"/>
      <c r="BF76" s="1118"/>
      <c r="BG76" s="1114"/>
      <c r="BH76" s="1115"/>
      <c r="BI76" s="1115"/>
      <c r="BJ76" s="1115"/>
      <c r="BK76" s="1115"/>
      <c r="BL76" s="1115"/>
      <c r="BM76" s="1115"/>
      <c r="BN76" s="1115"/>
      <c r="BO76" s="1115"/>
      <c r="BP76" s="1115"/>
      <c r="BQ76" s="1115"/>
      <c r="BR76" s="1115"/>
      <c r="BS76" s="1115"/>
      <c r="BT76" s="1115"/>
      <c r="BU76" s="1115"/>
      <c r="BV76" s="1115"/>
      <c r="BW76" s="1115"/>
      <c r="BX76" s="1115"/>
      <c r="BY76" s="1115"/>
      <c r="BZ76" s="1115"/>
      <c r="CA76" s="1115"/>
      <c r="CB76" s="1115"/>
      <c r="CC76" s="1115"/>
      <c r="CD76" s="1115"/>
      <c r="CE76" s="1115"/>
      <c r="CF76" s="1115"/>
      <c r="CG76" s="1115"/>
      <c r="CH76" s="1115"/>
      <c r="CI76" s="1115"/>
      <c r="CJ76" s="1115"/>
      <c r="CK76" s="1115"/>
      <c r="CL76" s="1115"/>
      <c r="CM76" s="1115"/>
      <c r="CN76" s="1115"/>
      <c r="CO76" s="1115"/>
      <c r="CP76" s="1115"/>
      <c r="CQ76" s="1115"/>
      <c r="CR76" s="1115"/>
      <c r="CS76" s="1115"/>
      <c r="CT76" s="1115"/>
      <c r="CU76" s="1115"/>
      <c r="CV76" s="1115"/>
      <c r="CW76" s="1115"/>
      <c r="CX76" s="1115"/>
      <c r="CY76" s="1115"/>
      <c r="CZ76" s="1115"/>
      <c r="DA76" s="1115"/>
      <c r="DB76" s="1115"/>
      <c r="DC76" s="1115"/>
      <c r="DD76" s="1115"/>
      <c r="DE76" s="1115"/>
      <c r="DF76" s="1115"/>
      <c r="DG76" s="1118"/>
      <c r="DH76" s="1114"/>
      <c r="DI76" s="1115"/>
      <c r="DJ76" s="1115"/>
      <c r="DK76" s="1115"/>
      <c r="DL76" s="1115"/>
      <c r="DM76" s="1115"/>
      <c r="DN76" s="1115"/>
      <c r="DO76" s="1115"/>
      <c r="DP76" s="1115"/>
      <c r="DQ76" s="1115"/>
      <c r="DR76" s="1115"/>
      <c r="DS76" s="1115"/>
      <c r="DT76" s="1115"/>
      <c r="DU76" s="1115"/>
      <c r="DV76" s="1115"/>
      <c r="DW76" s="1115"/>
      <c r="DX76" s="1115"/>
      <c r="DY76" s="1115"/>
      <c r="DZ76" s="1115"/>
      <c r="EA76" s="1115"/>
      <c r="EB76" s="1115"/>
      <c r="EC76" s="1115"/>
      <c r="ED76" s="1115"/>
      <c r="EE76" s="1115"/>
      <c r="EF76" s="1115"/>
      <c r="EG76" s="1115"/>
      <c r="EH76" s="1115"/>
      <c r="EI76" s="1115"/>
      <c r="EJ76" s="1115"/>
      <c r="EK76" s="1115"/>
      <c r="EL76" s="1115"/>
      <c r="EM76" s="1115"/>
      <c r="EN76" s="1115"/>
      <c r="EO76" s="1115"/>
      <c r="EP76" s="1115"/>
      <c r="EQ76" s="1115"/>
      <c r="ER76" s="1115"/>
      <c r="ES76" s="1115"/>
      <c r="ET76" s="1115"/>
      <c r="EU76" s="1115"/>
      <c r="EV76" s="1115"/>
      <c r="EW76" s="1115"/>
      <c r="EX76" s="1115"/>
      <c r="EY76" s="1115"/>
      <c r="EZ76" s="1115"/>
      <c r="FA76" s="1115"/>
      <c r="FB76" s="1115"/>
      <c r="FC76" s="1115"/>
      <c r="FD76" s="1115"/>
      <c r="FE76" s="1115"/>
      <c r="FF76" s="1115"/>
      <c r="FG76" s="1115"/>
      <c r="FH76" s="1118"/>
    </row>
    <row r="77" spans="1:164" ht="15" thickBot="1" x14ac:dyDescent="0.4">
      <c r="A77" s="1122"/>
      <c r="B77" s="1125"/>
      <c r="C77" s="1127"/>
      <c r="D77" s="1124"/>
      <c r="E77" s="1120"/>
      <c r="F77" s="1114"/>
      <c r="G77" s="1115"/>
      <c r="H77" s="1115"/>
      <c r="I77" s="1115"/>
      <c r="J77" s="1115"/>
      <c r="K77" s="1115"/>
      <c r="L77" s="1115"/>
      <c r="M77" s="1115"/>
      <c r="N77" s="1115"/>
      <c r="O77" s="1115"/>
      <c r="P77" s="1115"/>
      <c r="Q77" s="1115"/>
      <c r="R77" s="1115"/>
      <c r="S77" s="1115"/>
      <c r="T77" s="1115"/>
      <c r="U77" s="1115"/>
      <c r="V77" s="1115"/>
      <c r="W77" s="1115"/>
      <c r="X77" s="1115"/>
      <c r="Y77" s="1115"/>
      <c r="Z77" s="1115"/>
      <c r="AA77" s="1115"/>
      <c r="AB77" s="1115"/>
      <c r="AC77" s="1115"/>
      <c r="AD77" s="1115"/>
      <c r="AE77" s="1115"/>
      <c r="AF77" s="1115"/>
      <c r="AG77" s="1115"/>
      <c r="AH77" s="1115"/>
      <c r="AI77" s="1115"/>
      <c r="AJ77" s="1115"/>
      <c r="AK77" s="1115"/>
      <c r="AL77" s="1115"/>
      <c r="AM77" s="1115"/>
      <c r="AN77" s="1115"/>
      <c r="AO77" s="1115"/>
      <c r="AP77" s="1115"/>
      <c r="AQ77" s="1115"/>
      <c r="AR77" s="1115"/>
      <c r="AS77" s="1115"/>
      <c r="AT77" s="1115"/>
      <c r="AU77" s="1115"/>
      <c r="AV77" s="1115"/>
      <c r="AW77" s="1115"/>
      <c r="AX77" s="1115"/>
      <c r="AY77" s="1115"/>
      <c r="AZ77" s="1115"/>
      <c r="BA77" s="1115"/>
      <c r="BB77" s="1115"/>
      <c r="BC77" s="1115"/>
      <c r="BD77" s="1115"/>
      <c r="BE77" s="1115"/>
      <c r="BF77" s="1118"/>
      <c r="BG77" s="1114"/>
      <c r="BH77" s="1115"/>
      <c r="BI77" s="1115"/>
      <c r="BJ77" s="1115"/>
      <c r="BK77" s="1115"/>
      <c r="BL77" s="1115"/>
      <c r="BM77" s="1115"/>
      <c r="BN77" s="1115"/>
      <c r="BO77" s="1115"/>
      <c r="BP77" s="1115"/>
      <c r="BQ77" s="1115"/>
      <c r="BR77" s="1115"/>
      <c r="BS77" s="1115"/>
      <c r="BT77" s="1115"/>
      <c r="BU77" s="1115"/>
      <c r="BV77" s="1115"/>
      <c r="BW77" s="1115"/>
      <c r="BX77" s="1115"/>
      <c r="BY77" s="1115"/>
      <c r="BZ77" s="1115"/>
      <c r="CA77" s="1115"/>
      <c r="CB77" s="1115"/>
      <c r="CC77" s="1115"/>
      <c r="CD77" s="1115"/>
      <c r="CE77" s="1115"/>
      <c r="CF77" s="1115"/>
      <c r="CG77" s="1115"/>
      <c r="CH77" s="1115"/>
      <c r="CI77" s="1115"/>
      <c r="CJ77" s="1115"/>
      <c r="CK77" s="1115"/>
      <c r="CL77" s="1115"/>
      <c r="CM77" s="1115"/>
      <c r="CN77" s="1115"/>
      <c r="CO77" s="1115"/>
      <c r="CP77" s="1115"/>
      <c r="CQ77" s="1115"/>
      <c r="CR77" s="1115"/>
      <c r="CS77" s="1115"/>
      <c r="CT77" s="1115"/>
      <c r="CU77" s="1115"/>
      <c r="CV77" s="1115"/>
      <c r="CW77" s="1115"/>
      <c r="CX77" s="1115"/>
      <c r="CY77" s="1115"/>
      <c r="CZ77" s="1115"/>
      <c r="DA77" s="1115"/>
      <c r="DB77" s="1115"/>
      <c r="DC77" s="1115"/>
      <c r="DD77" s="1115"/>
      <c r="DE77" s="1115"/>
      <c r="DF77" s="1115"/>
      <c r="DG77" s="1118"/>
      <c r="DH77" s="1114"/>
      <c r="DI77" s="1115"/>
      <c r="DJ77" s="1115"/>
      <c r="DK77" s="1115"/>
      <c r="DL77" s="1115"/>
      <c r="DM77" s="1115"/>
      <c r="DN77" s="1115"/>
      <c r="DO77" s="1115"/>
      <c r="DP77" s="1115"/>
      <c r="DQ77" s="1115"/>
      <c r="DR77" s="1115"/>
      <c r="DS77" s="1115"/>
      <c r="DT77" s="1115"/>
      <c r="DU77" s="1115"/>
      <c r="DV77" s="1115"/>
      <c r="DW77" s="1115"/>
      <c r="DX77" s="1115"/>
      <c r="DY77" s="1115"/>
      <c r="DZ77" s="1115"/>
      <c r="EA77" s="1115"/>
      <c r="EB77" s="1115"/>
      <c r="EC77" s="1115"/>
      <c r="ED77" s="1115"/>
      <c r="EE77" s="1115"/>
      <c r="EF77" s="1115"/>
      <c r="EG77" s="1115"/>
      <c r="EH77" s="1115"/>
      <c r="EI77" s="1115"/>
      <c r="EJ77" s="1115"/>
      <c r="EK77" s="1115"/>
      <c r="EL77" s="1115"/>
      <c r="EM77" s="1115"/>
      <c r="EN77" s="1115"/>
      <c r="EO77" s="1115"/>
      <c r="EP77" s="1115"/>
      <c r="EQ77" s="1115"/>
      <c r="ER77" s="1115"/>
      <c r="ES77" s="1115"/>
      <c r="ET77" s="1115"/>
      <c r="EU77" s="1115"/>
      <c r="EV77" s="1115"/>
      <c r="EW77" s="1115"/>
      <c r="EX77" s="1115"/>
      <c r="EY77" s="1115"/>
      <c r="EZ77" s="1115"/>
      <c r="FA77" s="1115"/>
      <c r="FB77" s="1115"/>
      <c r="FC77" s="1115"/>
      <c r="FD77" s="1115"/>
      <c r="FE77" s="1115"/>
      <c r="FF77" s="1115"/>
      <c r="FG77" s="1115"/>
      <c r="FH77" s="1118"/>
    </row>
    <row r="78" spans="1:164" ht="15" thickBot="1" x14ac:dyDescent="0.4">
      <c r="A78" s="1122"/>
      <c r="B78" s="1125"/>
      <c r="C78" s="1127"/>
      <c r="D78" s="1124"/>
      <c r="E78" s="1120"/>
      <c r="F78" s="1114"/>
      <c r="G78" s="1115"/>
      <c r="H78" s="1115"/>
      <c r="I78" s="1115"/>
      <c r="J78" s="1115"/>
      <c r="K78" s="1115"/>
      <c r="L78" s="1115"/>
      <c r="M78" s="1115"/>
      <c r="N78" s="1115"/>
      <c r="O78" s="1115"/>
      <c r="P78" s="1115"/>
      <c r="Q78" s="1115"/>
      <c r="R78" s="1115"/>
      <c r="S78" s="1115"/>
      <c r="T78" s="1115"/>
      <c r="U78" s="1115"/>
      <c r="V78" s="1115"/>
      <c r="W78" s="1115"/>
      <c r="X78" s="1115"/>
      <c r="Y78" s="1115"/>
      <c r="Z78" s="1115"/>
      <c r="AA78" s="1115"/>
      <c r="AB78" s="1115"/>
      <c r="AC78" s="1115"/>
      <c r="AD78" s="1115"/>
      <c r="AE78" s="1115"/>
      <c r="AF78" s="1115"/>
      <c r="AG78" s="1115"/>
      <c r="AH78" s="1115"/>
      <c r="AI78" s="1115"/>
      <c r="AJ78" s="1115"/>
      <c r="AK78" s="1115"/>
      <c r="AL78" s="1115"/>
      <c r="AM78" s="1115"/>
      <c r="AN78" s="1115"/>
      <c r="AO78" s="1115"/>
      <c r="AP78" s="1115"/>
      <c r="AQ78" s="1115"/>
      <c r="AR78" s="1115"/>
      <c r="AS78" s="1115"/>
      <c r="AT78" s="1115"/>
      <c r="AU78" s="1115"/>
      <c r="AV78" s="1115"/>
      <c r="AW78" s="1115"/>
      <c r="AX78" s="1115"/>
      <c r="AY78" s="1115"/>
      <c r="AZ78" s="1115"/>
      <c r="BA78" s="1115"/>
      <c r="BB78" s="1115"/>
      <c r="BC78" s="1115"/>
      <c r="BD78" s="1115"/>
      <c r="BE78" s="1115"/>
      <c r="BF78" s="1118"/>
      <c r="BG78" s="1114"/>
      <c r="BH78" s="1115"/>
      <c r="BI78" s="1115"/>
      <c r="BJ78" s="1115"/>
      <c r="BK78" s="1115"/>
      <c r="BL78" s="1115"/>
      <c r="BM78" s="1115"/>
      <c r="BN78" s="1115"/>
      <c r="BO78" s="1115"/>
      <c r="BP78" s="1115"/>
      <c r="BQ78" s="1115"/>
      <c r="BR78" s="1115"/>
      <c r="BS78" s="1115"/>
      <c r="BT78" s="1115"/>
      <c r="BU78" s="1115"/>
      <c r="BV78" s="1115"/>
      <c r="BW78" s="1115"/>
      <c r="BX78" s="1115"/>
      <c r="BY78" s="1115"/>
      <c r="BZ78" s="1115"/>
      <c r="CA78" s="1115"/>
      <c r="CB78" s="1115"/>
      <c r="CC78" s="1115"/>
      <c r="CD78" s="1115"/>
      <c r="CE78" s="1115"/>
      <c r="CF78" s="1115"/>
      <c r="CG78" s="1115"/>
      <c r="CH78" s="1115"/>
      <c r="CI78" s="1115"/>
      <c r="CJ78" s="1115"/>
      <c r="CK78" s="1115"/>
      <c r="CL78" s="1115"/>
      <c r="CM78" s="1115"/>
      <c r="CN78" s="1115"/>
      <c r="CO78" s="1115"/>
      <c r="CP78" s="1115"/>
      <c r="CQ78" s="1115"/>
      <c r="CR78" s="1115"/>
      <c r="CS78" s="1115"/>
      <c r="CT78" s="1115"/>
      <c r="CU78" s="1115"/>
      <c r="CV78" s="1115"/>
      <c r="CW78" s="1115"/>
      <c r="CX78" s="1115"/>
      <c r="CY78" s="1115"/>
      <c r="CZ78" s="1115"/>
      <c r="DA78" s="1115"/>
      <c r="DB78" s="1115"/>
      <c r="DC78" s="1115"/>
      <c r="DD78" s="1115"/>
      <c r="DE78" s="1115"/>
      <c r="DF78" s="1115"/>
      <c r="DG78" s="1118"/>
      <c r="DH78" s="1114"/>
      <c r="DI78" s="1115"/>
      <c r="DJ78" s="1115"/>
      <c r="DK78" s="1115"/>
      <c r="DL78" s="1115"/>
      <c r="DM78" s="1115"/>
      <c r="DN78" s="1115"/>
      <c r="DO78" s="1115"/>
      <c r="DP78" s="1115"/>
      <c r="DQ78" s="1115"/>
      <c r="DR78" s="1115"/>
      <c r="DS78" s="1115"/>
      <c r="DT78" s="1115"/>
      <c r="DU78" s="1115"/>
      <c r="DV78" s="1115"/>
      <c r="DW78" s="1115"/>
      <c r="DX78" s="1115"/>
      <c r="DY78" s="1115"/>
      <c r="DZ78" s="1115"/>
      <c r="EA78" s="1115"/>
      <c r="EB78" s="1115"/>
      <c r="EC78" s="1115"/>
      <c r="ED78" s="1115"/>
      <c r="EE78" s="1115"/>
      <c r="EF78" s="1115"/>
      <c r="EG78" s="1115"/>
      <c r="EH78" s="1115"/>
      <c r="EI78" s="1115"/>
      <c r="EJ78" s="1115"/>
      <c r="EK78" s="1115"/>
      <c r="EL78" s="1115"/>
      <c r="EM78" s="1115"/>
      <c r="EN78" s="1115"/>
      <c r="EO78" s="1115"/>
      <c r="EP78" s="1115"/>
      <c r="EQ78" s="1115"/>
      <c r="ER78" s="1115"/>
      <c r="ES78" s="1115"/>
      <c r="ET78" s="1115"/>
      <c r="EU78" s="1115"/>
      <c r="EV78" s="1115"/>
      <c r="EW78" s="1115"/>
      <c r="EX78" s="1115"/>
      <c r="EY78" s="1115"/>
      <c r="EZ78" s="1115"/>
      <c r="FA78" s="1115"/>
      <c r="FB78" s="1115"/>
      <c r="FC78" s="1115"/>
      <c r="FD78" s="1115"/>
      <c r="FE78" s="1115"/>
      <c r="FF78" s="1115"/>
      <c r="FG78" s="1115"/>
      <c r="FH78" s="1118"/>
    </row>
    <row r="79" spans="1:164" ht="15" thickBot="1" x14ac:dyDescent="0.4">
      <c r="A79" s="1122"/>
      <c r="B79" s="1125"/>
      <c r="C79" s="1127"/>
      <c r="D79" s="1124"/>
      <c r="E79" s="1120"/>
      <c r="F79" s="1128"/>
      <c r="G79" s="1129"/>
      <c r="H79" s="1129"/>
      <c r="I79" s="1129"/>
      <c r="J79" s="1129"/>
      <c r="K79" s="1129"/>
      <c r="L79" s="1129"/>
      <c r="M79" s="1129"/>
      <c r="N79" s="1129"/>
      <c r="O79" s="1129"/>
      <c r="P79" s="1129"/>
      <c r="Q79" s="1129"/>
      <c r="R79" s="1129"/>
      <c r="S79" s="1129"/>
      <c r="T79" s="1129"/>
      <c r="U79" s="1129"/>
      <c r="V79" s="1129"/>
      <c r="W79" s="1129"/>
      <c r="X79" s="1129"/>
      <c r="Y79" s="1129"/>
      <c r="Z79" s="1129"/>
      <c r="AA79" s="1129"/>
      <c r="AB79" s="1129"/>
      <c r="AC79" s="1129"/>
      <c r="AD79" s="1129"/>
      <c r="AE79" s="1129"/>
      <c r="AF79" s="1129"/>
      <c r="AG79" s="1129"/>
      <c r="AH79" s="1129"/>
      <c r="AI79" s="1129"/>
      <c r="AJ79" s="1129"/>
      <c r="AK79" s="1129"/>
      <c r="AL79" s="1129"/>
      <c r="AM79" s="1129"/>
      <c r="AN79" s="1129"/>
      <c r="AO79" s="1129"/>
      <c r="AP79" s="1129"/>
      <c r="AQ79" s="1129"/>
      <c r="AR79" s="1129"/>
      <c r="AS79" s="1129"/>
      <c r="AT79" s="1129"/>
      <c r="AU79" s="1129"/>
      <c r="AV79" s="1129"/>
      <c r="AW79" s="1129"/>
      <c r="AX79" s="1129"/>
      <c r="AY79" s="1129"/>
      <c r="AZ79" s="1129"/>
      <c r="BA79" s="1129"/>
      <c r="BB79" s="1129"/>
      <c r="BC79" s="1129"/>
      <c r="BD79" s="1129"/>
      <c r="BE79" s="1129"/>
      <c r="BF79" s="1130"/>
      <c r="BG79" s="1128"/>
      <c r="BH79" s="1129"/>
      <c r="BI79" s="1129"/>
      <c r="BJ79" s="1129"/>
      <c r="BK79" s="1129"/>
      <c r="BL79" s="1129"/>
      <c r="BM79" s="1129"/>
      <c r="BN79" s="1129"/>
      <c r="BO79" s="1129"/>
      <c r="BP79" s="1129"/>
      <c r="BQ79" s="1129"/>
      <c r="BR79" s="1129"/>
      <c r="BS79" s="1129"/>
      <c r="BT79" s="1129"/>
      <c r="BU79" s="1129"/>
      <c r="BV79" s="1129"/>
      <c r="BW79" s="1129"/>
      <c r="BX79" s="1129"/>
      <c r="BY79" s="1129"/>
      <c r="BZ79" s="1129"/>
      <c r="CA79" s="1129"/>
      <c r="CB79" s="1129"/>
      <c r="CC79" s="1129"/>
      <c r="CD79" s="1129"/>
      <c r="CE79" s="1129"/>
      <c r="CF79" s="1129"/>
      <c r="CG79" s="1129"/>
      <c r="CH79" s="1129"/>
      <c r="CI79" s="1129"/>
      <c r="CJ79" s="1129"/>
      <c r="CK79" s="1129"/>
      <c r="CL79" s="1129"/>
      <c r="CM79" s="1129"/>
      <c r="CN79" s="1129"/>
      <c r="CO79" s="1129"/>
      <c r="CP79" s="1129"/>
      <c r="CQ79" s="1129"/>
      <c r="CR79" s="1129"/>
      <c r="CS79" s="1129"/>
      <c r="CT79" s="1129"/>
      <c r="CU79" s="1129"/>
      <c r="CV79" s="1129"/>
      <c r="CW79" s="1129"/>
      <c r="CX79" s="1129"/>
      <c r="CY79" s="1129"/>
      <c r="CZ79" s="1129"/>
      <c r="DA79" s="1129"/>
      <c r="DB79" s="1129"/>
      <c r="DC79" s="1129"/>
      <c r="DD79" s="1129"/>
      <c r="DE79" s="1129"/>
      <c r="DF79" s="1129"/>
      <c r="DG79" s="1130"/>
      <c r="DH79" s="1128"/>
      <c r="DI79" s="1129"/>
      <c r="DJ79" s="1129"/>
      <c r="DK79" s="1129"/>
      <c r="DL79" s="1129"/>
      <c r="DM79" s="1129"/>
      <c r="DN79" s="1129"/>
      <c r="DO79" s="1129"/>
      <c r="DP79" s="1129"/>
      <c r="DQ79" s="1129"/>
      <c r="DR79" s="1129"/>
      <c r="DS79" s="1129"/>
      <c r="DT79" s="1129"/>
      <c r="DU79" s="1129"/>
      <c r="DV79" s="1129"/>
      <c r="DW79" s="1129"/>
      <c r="DX79" s="1129"/>
      <c r="DY79" s="1129"/>
      <c r="DZ79" s="1129"/>
      <c r="EA79" s="1129"/>
      <c r="EB79" s="1129"/>
      <c r="EC79" s="1129"/>
      <c r="ED79" s="1129"/>
      <c r="EE79" s="1129"/>
      <c r="EF79" s="1129"/>
      <c r="EG79" s="1129"/>
      <c r="EH79" s="1129"/>
      <c r="EI79" s="1129"/>
      <c r="EJ79" s="1129"/>
      <c r="EK79" s="1129"/>
      <c r="EL79" s="1129"/>
      <c r="EM79" s="1129"/>
      <c r="EN79" s="1129"/>
      <c r="EO79" s="1129"/>
      <c r="EP79" s="1129"/>
      <c r="EQ79" s="1129"/>
      <c r="ER79" s="1129"/>
      <c r="ES79" s="1129"/>
      <c r="ET79" s="1129"/>
      <c r="EU79" s="1129"/>
      <c r="EV79" s="1129"/>
      <c r="EW79" s="1129"/>
      <c r="EX79" s="1129"/>
      <c r="EY79" s="1129"/>
      <c r="EZ79" s="1129"/>
      <c r="FA79" s="1129"/>
      <c r="FB79" s="1129"/>
      <c r="FC79" s="1129"/>
      <c r="FD79" s="1129"/>
      <c r="FE79" s="1129"/>
      <c r="FF79" s="1129"/>
      <c r="FG79" s="1129"/>
      <c r="FH79" s="1130"/>
    </row>
  </sheetData>
  <mergeCells count="72">
    <mergeCell ref="F2:J2"/>
    <mergeCell ref="K2:N2"/>
    <mergeCell ref="O2:R2"/>
    <mergeCell ref="S2:W2"/>
    <mergeCell ref="X2:AA2"/>
    <mergeCell ref="AB3:AE3"/>
    <mergeCell ref="AF2:AJ2"/>
    <mergeCell ref="AK2:AN2"/>
    <mergeCell ref="AO2:AR2"/>
    <mergeCell ref="AS2:AW2"/>
    <mergeCell ref="AB2:AE2"/>
    <mergeCell ref="F3:J3"/>
    <mergeCell ref="K3:N3"/>
    <mergeCell ref="O3:R3"/>
    <mergeCell ref="S3:W3"/>
    <mergeCell ref="X3:AA3"/>
    <mergeCell ref="BG2:BK2"/>
    <mergeCell ref="BL2:BO2"/>
    <mergeCell ref="BP2:BS2"/>
    <mergeCell ref="BT2:BX2"/>
    <mergeCell ref="AF3:AJ3"/>
    <mergeCell ref="AK3:AN3"/>
    <mergeCell ref="AO3:AR3"/>
    <mergeCell ref="AS3:AW3"/>
    <mergeCell ref="AX3:BA3"/>
    <mergeCell ref="BB3:BF3"/>
    <mergeCell ref="AX2:BA2"/>
    <mergeCell ref="BB2:BF2"/>
    <mergeCell ref="CC3:CF3"/>
    <mergeCell ref="CG3:CK3"/>
    <mergeCell ref="CL3:CO3"/>
    <mergeCell ref="BY2:CB2"/>
    <mergeCell ref="CC2:CF2"/>
    <mergeCell ref="CG2:CK2"/>
    <mergeCell ref="CL2:CO2"/>
    <mergeCell ref="BG3:BK3"/>
    <mergeCell ref="BL3:BO3"/>
    <mergeCell ref="BP3:BS3"/>
    <mergeCell ref="BT3:BX3"/>
    <mergeCell ref="BY3:CB3"/>
    <mergeCell ref="EH2:EL2"/>
    <mergeCell ref="EM2:EP2"/>
    <mergeCell ref="CP3:CS3"/>
    <mergeCell ref="CT3:CX3"/>
    <mergeCell ref="CY3:DB3"/>
    <mergeCell ref="DC3:DG3"/>
    <mergeCell ref="DH2:DL2"/>
    <mergeCell ref="DM2:DP2"/>
    <mergeCell ref="CY2:DB2"/>
    <mergeCell ref="DC2:DG2"/>
    <mergeCell ref="CP2:CS2"/>
    <mergeCell ref="CT2:CX2"/>
    <mergeCell ref="ED3:EG3"/>
    <mergeCell ref="DQ2:DT2"/>
    <mergeCell ref="DU2:DY2"/>
    <mergeCell ref="DZ2:EC2"/>
    <mergeCell ref="ED2:EG2"/>
    <mergeCell ref="DH3:DL3"/>
    <mergeCell ref="DM3:DP3"/>
    <mergeCell ref="DQ3:DT3"/>
    <mergeCell ref="DU3:DY3"/>
    <mergeCell ref="DZ3:EC3"/>
    <mergeCell ref="FD3:FH3"/>
    <mergeCell ref="EQ2:ET2"/>
    <mergeCell ref="EU2:EY2"/>
    <mergeCell ref="EZ2:FC2"/>
    <mergeCell ref="FD2:FH2"/>
    <mergeCell ref="EH3:EL3"/>
    <mergeCell ref="EM3:EP3"/>
    <mergeCell ref="EQ3:ET3"/>
    <mergeCell ref="EU3:EY3"/>
    <mergeCell ref="EZ3:FC3"/>
  </mergeCells>
  <conditionalFormatting sqref="F8:BF42">
    <cfRule type="expression" dxfId="139" priority="141">
      <formula>AND(F$4&gt;=#REF!,F$4&lt;=#REF!)</formula>
    </cfRule>
  </conditionalFormatting>
  <conditionalFormatting sqref="BG8:DG42">
    <cfRule type="expression" dxfId="138" priority="15">
      <formula>AND(BG$4&gt;=#REF!,BG$4&lt;=#REF!)</formula>
    </cfRule>
  </conditionalFormatting>
  <conditionalFormatting sqref="DH8:FH42">
    <cfRule type="expression" dxfId="137" priority="14">
      <formula>AND(DH$4&gt;=#REF!,DH$4&lt;=#REF!)</formula>
    </cfRule>
  </conditionalFormatting>
  <conditionalFormatting sqref="B6:C6">
    <cfRule type="cellIs" dxfId="136" priority="13" operator="equal">
      <formula>"Main Activity"</formula>
    </cfRule>
  </conditionalFormatting>
  <conditionalFormatting sqref="B6">
    <cfRule type="cellIs" dxfId="135" priority="12" operator="equal">
      <formula>"Sub Activity"</formula>
    </cfRule>
  </conditionalFormatting>
  <conditionalFormatting sqref="B7:B42 B80:B1048576">
    <cfRule type="cellIs" dxfId="134" priority="11" operator="equal">
      <formula>"Main Activity"</formula>
    </cfRule>
  </conditionalFormatting>
  <conditionalFormatting sqref="B7:B42 B80:B1048576">
    <cfRule type="cellIs" dxfId="133" priority="10" operator="equal">
      <formula>"Sub Activity"</formula>
    </cfRule>
  </conditionalFormatting>
  <conditionalFormatting sqref="F45:BF79">
    <cfRule type="expression" dxfId="132" priority="9">
      <formula>AND(F$4&gt;=#REF!,F$4&lt;=#REF!)</formula>
    </cfRule>
  </conditionalFormatting>
  <conditionalFormatting sqref="BG45:DG79">
    <cfRule type="expression" dxfId="131" priority="8">
      <formula>AND(BG$4&gt;=#REF!,BG$4&lt;=#REF!)</formula>
    </cfRule>
  </conditionalFormatting>
  <conditionalFormatting sqref="DH45:FH79">
    <cfRule type="expression" dxfId="130" priority="7">
      <formula>AND(DH$4&gt;=#REF!,DH$4&lt;=#REF!)</formula>
    </cfRule>
  </conditionalFormatting>
  <conditionalFormatting sqref="C43">
    <cfRule type="cellIs" dxfId="129" priority="6" operator="equal">
      <formula>"Main Activity"</formula>
    </cfRule>
  </conditionalFormatting>
  <conditionalFormatting sqref="B44:B79">
    <cfRule type="cellIs" dxfId="128" priority="4" operator="equal">
      <formula>"Main Activity"</formula>
    </cfRule>
  </conditionalFormatting>
  <conditionalFormatting sqref="B44:B79">
    <cfRule type="cellIs" dxfId="127" priority="3" operator="equal">
      <formula>"Sub Activity"</formula>
    </cfRule>
  </conditionalFormatting>
  <conditionalFormatting sqref="B43">
    <cfRule type="cellIs" dxfId="126" priority="2" operator="equal">
      <formula>"Main Activity"</formula>
    </cfRule>
  </conditionalFormatting>
  <conditionalFormatting sqref="B43">
    <cfRule type="cellIs" dxfId="125" priority="1" operator="equal">
      <formula>"Sub Activity"</formula>
    </cfRule>
  </conditionalFormatting>
  <dataValidations count="1">
    <dataValidation type="list" allowBlank="1" showInputMessage="1" showErrorMessage="1" sqref="B6:B1048576" xr:uid="{0A260BCD-FD9A-4A9E-B1D9-CB7893E19D44}">
      <formula1>"Main Activity, Sub Activity"</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5" tint="0.39997558519241921"/>
  </sheetPr>
  <dimension ref="A1:AQ813"/>
  <sheetViews>
    <sheetView workbookViewId="0">
      <pane xSplit="3" ySplit="2" topLeftCell="S3" activePane="bottomRight" state="frozen"/>
      <selection pane="topRight" activeCell="D1" sqref="D1"/>
      <selection pane="bottomLeft" activeCell="A3" sqref="A3"/>
      <selection pane="bottomRight" activeCell="AH170" sqref="AH170"/>
    </sheetView>
  </sheetViews>
  <sheetFormatPr defaultColWidth="14.453125" defaultRowHeight="14.5" x14ac:dyDescent="0.35"/>
  <cols>
    <col min="1" max="1" width="4" style="7" customWidth="1"/>
    <col min="2" max="2" width="9.26953125" style="82" customWidth="1"/>
    <col min="3" max="3" width="40.453125" style="84" customWidth="1"/>
    <col min="4" max="4" width="20.7265625" style="5" customWidth="1"/>
    <col min="5" max="5" width="6.81640625" style="5" customWidth="1"/>
    <col min="6" max="6" width="7.1796875" style="5" customWidth="1"/>
    <col min="7" max="7" width="6.81640625" style="5" customWidth="1"/>
    <col min="8" max="8" width="7.1796875" style="5" customWidth="1"/>
    <col min="9" max="9" width="6.81640625" style="5" customWidth="1"/>
    <col min="10" max="10" width="7.1796875" style="5" customWidth="1"/>
    <col min="11" max="11" width="6.81640625" style="5" customWidth="1"/>
    <col min="12" max="12" width="7.1796875" style="5" customWidth="1"/>
    <col min="13" max="13" width="6.81640625" style="5" customWidth="1"/>
    <col min="14" max="20" width="7.1796875" style="5" customWidth="1"/>
    <col min="21" max="40" width="6.81640625" style="5" customWidth="1"/>
    <col min="41" max="41" width="10.26953125" customWidth="1"/>
    <col min="42" max="43" width="19.453125" customWidth="1"/>
  </cols>
  <sheetData>
    <row r="1" spans="1:43" ht="19" thickBot="1" x14ac:dyDescent="0.5">
      <c r="A1" s="1189" t="s">
        <v>165</v>
      </c>
      <c r="B1" s="1189"/>
      <c r="C1" s="1189"/>
      <c r="D1" s="1189"/>
      <c r="E1" s="1189"/>
      <c r="F1" s="1189"/>
      <c r="G1" s="1189"/>
      <c r="H1" s="1189"/>
      <c r="I1" s="1189"/>
      <c r="J1" s="1189"/>
      <c r="K1" s="1189"/>
      <c r="L1" s="1189"/>
      <c r="M1" s="1189"/>
      <c r="N1" s="1189"/>
      <c r="O1" s="1189"/>
      <c r="P1" s="1189"/>
      <c r="Q1" s="1189"/>
      <c r="R1" s="1189"/>
      <c r="S1" s="1189"/>
      <c r="T1" s="1189"/>
      <c r="U1" s="1189"/>
      <c r="V1" s="1189"/>
      <c r="W1" s="1189"/>
      <c r="X1" s="1189"/>
      <c r="Y1" s="1189"/>
      <c r="Z1" s="1189"/>
      <c r="AA1" s="1189"/>
      <c r="AB1" s="1189"/>
      <c r="AC1" s="1189"/>
      <c r="AD1" s="1189"/>
      <c r="AE1" s="1189"/>
      <c r="AF1" s="1189"/>
      <c r="AG1" s="1189"/>
      <c r="AH1" s="1189"/>
      <c r="AI1" s="1189"/>
      <c r="AJ1" s="1189"/>
      <c r="AK1" s="1189"/>
      <c r="AL1" s="1189"/>
      <c r="AM1" s="1189"/>
      <c r="AN1" s="1189"/>
      <c r="AO1" s="1189"/>
    </row>
    <row r="2" spans="1:43" ht="29.5" thickBot="1" x14ac:dyDescent="0.4">
      <c r="A2" s="489" t="s">
        <v>166</v>
      </c>
      <c r="B2" s="490" t="s">
        <v>167</v>
      </c>
      <c r="C2" s="491" t="s">
        <v>168</v>
      </c>
      <c r="D2" s="492" t="s">
        <v>169</v>
      </c>
      <c r="E2" s="12">
        <v>45292</v>
      </c>
      <c r="F2" s="493">
        <v>45323</v>
      </c>
      <c r="G2" s="493">
        <v>45352</v>
      </c>
      <c r="H2" s="493">
        <v>45383</v>
      </c>
      <c r="I2" s="493">
        <v>45413</v>
      </c>
      <c r="J2" s="493">
        <v>45444</v>
      </c>
      <c r="K2" s="493">
        <v>45474</v>
      </c>
      <c r="L2" s="493">
        <v>45505</v>
      </c>
      <c r="M2" s="493">
        <v>45536</v>
      </c>
      <c r="N2" s="493">
        <v>45566</v>
      </c>
      <c r="O2" s="493">
        <v>45597</v>
      </c>
      <c r="P2" s="493">
        <v>45627</v>
      </c>
      <c r="Q2" s="493">
        <v>45658</v>
      </c>
      <c r="R2" s="493">
        <v>45689</v>
      </c>
      <c r="S2" s="493">
        <v>45717</v>
      </c>
      <c r="T2" s="493">
        <v>45748</v>
      </c>
      <c r="U2" s="493">
        <v>45778</v>
      </c>
      <c r="V2" s="493">
        <v>45809</v>
      </c>
      <c r="W2" s="493">
        <v>45839</v>
      </c>
      <c r="X2" s="493">
        <v>45870</v>
      </c>
      <c r="Y2" s="493">
        <v>45901</v>
      </c>
      <c r="Z2" s="493">
        <v>45931</v>
      </c>
      <c r="AA2" s="493">
        <v>45962</v>
      </c>
      <c r="AB2" s="493">
        <v>45992</v>
      </c>
      <c r="AC2" s="493">
        <v>46023</v>
      </c>
      <c r="AD2" s="493">
        <v>46054</v>
      </c>
      <c r="AE2" s="493">
        <v>46082</v>
      </c>
      <c r="AF2" s="493">
        <v>46113</v>
      </c>
      <c r="AG2" s="493">
        <v>46143</v>
      </c>
      <c r="AH2" s="493">
        <v>46174</v>
      </c>
      <c r="AI2" s="493">
        <v>46204</v>
      </c>
      <c r="AJ2" s="493">
        <v>46235</v>
      </c>
      <c r="AK2" s="493">
        <v>46266</v>
      </c>
      <c r="AL2" s="493">
        <v>46296</v>
      </c>
      <c r="AM2" s="493">
        <v>46327</v>
      </c>
      <c r="AN2" s="493">
        <v>46357</v>
      </c>
      <c r="AO2" s="133" t="s">
        <v>170</v>
      </c>
      <c r="AP2" s="178" t="s">
        <v>121</v>
      </c>
      <c r="AQ2" s="178" t="s">
        <v>171</v>
      </c>
    </row>
    <row r="3" spans="1:43" ht="15" customHeight="1" x14ac:dyDescent="0.35">
      <c r="A3" s="1175">
        <v>1</v>
      </c>
      <c r="B3" s="1178" t="str">
        <f>IF(VLOOKUP(A:A,'Pivot Table'!Z:AD,5,FALSE)=0,"",VLOOKUP(A:A,'Pivot Table'!Z:AD,5,FALSE))</f>
        <v/>
      </c>
      <c r="C3" s="1181" t="str">
        <f>_xlfn.IFNA(VLOOKUP(A:A,'Pivot Table'!P:W,8,FALSE),"")</f>
        <v/>
      </c>
      <c r="D3" s="494" t="s">
        <v>172</v>
      </c>
      <c r="E3" s="495">
        <f>SUM(E4:E5)</f>
        <v>0</v>
      </c>
      <c r="F3" s="496">
        <f>SUM(F4:F5)</f>
        <v>0</v>
      </c>
      <c r="G3" s="496">
        <f t="shared" ref="G3:M3" si="0">SUM(G4:G5)</f>
        <v>0</v>
      </c>
      <c r="H3" s="496">
        <f t="shared" si="0"/>
        <v>0</v>
      </c>
      <c r="I3" s="496">
        <f t="shared" si="0"/>
        <v>0</v>
      </c>
      <c r="J3" s="496">
        <f t="shared" si="0"/>
        <v>0</v>
      </c>
      <c r="K3" s="496">
        <f t="shared" si="0"/>
        <v>0</v>
      </c>
      <c r="L3" s="496">
        <f t="shared" si="0"/>
        <v>0</v>
      </c>
      <c r="M3" s="496">
        <f t="shared" si="0"/>
        <v>0</v>
      </c>
      <c r="N3" s="496">
        <f>SUM(N4:N5)</f>
        <v>0</v>
      </c>
      <c r="O3" s="496">
        <f t="shared" ref="O3:AB3" si="1">SUM(O4:O5)</f>
        <v>0</v>
      </c>
      <c r="P3" s="496">
        <f t="shared" si="1"/>
        <v>0</v>
      </c>
      <c r="Q3" s="496">
        <f t="shared" si="1"/>
        <v>0</v>
      </c>
      <c r="R3" s="496">
        <f t="shared" si="1"/>
        <v>0</v>
      </c>
      <c r="S3" s="496">
        <f t="shared" si="1"/>
        <v>0</v>
      </c>
      <c r="T3" s="496">
        <f t="shared" si="1"/>
        <v>0</v>
      </c>
      <c r="U3" s="496">
        <f t="shared" si="1"/>
        <v>0</v>
      </c>
      <c r="V3" s="496">
        <f t="shared" si="1"/>
        <v>0</v>
      </c>
      <c r="W3" s="496">
        <f t="shared" si="1"/>
        <v>0</v>
      </c>
      <c r="X3" s="496">
        <f t="shared" si="1"/>
        <v>0</v>
      </c>
      <c r="Y3" s="496">
        <f t="shared" si="1"/>
        <v>0</v>
      </c>
      <c r="Z3" s="496">
        <f t="shared" si="1"/>
        <v>0</v>
      </c>
      <c r="AA3" s="496">
        <f t="shared" si="1"/>
        <v>0</v>
      </c>
      <c r="AB3" s="496">
        <f t="shared" si="1"/>
        <v>0</v>
      </c>
      <c r="AC3" s="496">
        <f t="shared" ref="AC3:AN3" si="2">SUM(AC4:AC5)</f>
        <v>0</v>
      </c>
      <c r="AD3" s="496">
        <f t="shared" si="2"/>
        <v>0</v>
      </c>
      <c r="AE3" s="496">
        <f t="shared" si="2"/>
        <v>0</v>
      </c>
      <c r="AF3" s="496">
        <f t="shared" si="2"/>
        <v>0</v>
      </c>
      <c r="AG3" s="496">
        <f t="shared" si="2"/>
        <v>0</v>
      </c>
      <c r="AH3" s="496">
        <f t="shared" si="2"/>
        <v>0</v>
      </c>
      <c r="AI3" s="496">
        <f t="shared" si="2"/>
        <v>0</v>
      </c>
      <c r="AJ3" s="496">
        <f t="shared" si="2"/>
        <v>0</v>
      </c>
      <c r="AK3" s="496">
        <f t="shared" si="2"/>
        <v>0</v>
      </c>
      <c r="AL3" s="496">
        <f t="shared" si="2"/>
        <v>0</v>
      </c>
      <c r="AM3" s="496">
        <f t="shared" si="2"/>
        <v>0</v>
      </c>
      <c r="AN3" s="496">
        <f t="shared" si="2"/>
        <v>0</v>
      </c>
      <c r="AO3" s="497"/>
      <c r="AP3" s="1184"/>
      <c r="AQ3" s="1184"/>
    </row>
    <row r="4" spans="1:43" x14ac:dyDescent="0.35">
      <c r="A4" s="1176"/>
      <c r="B4" s="1179"/>
      <c r="C4" s="1182"/>
      <c r="D4" s="479" t="s">
        <v>173</v>
      </c>
      <c r="E4" s="476"/>
      <c r="F4" s="477"/>
      <c r="G4" s="478"/>
      <c r="H4" s="478"/>
      <c r="I4" s="478"/>
      <c r="J4" s="478"/>
      <c r="K4" s="478"/>
      <c r="L4" s="478"/>
      <c r="M4" s="478"/>
      <c r="N4" s="478"/>
      <c r="O4" s="478"/>
      <c r="P4" s="1078"/>
      <c r="Q4" s="477"/>
      <c r="R4" s="478"/>
      <c r="S4" s="478"/>
      <c r="T4" s="478"/>
      <c r="U4" s="478"/>
      <c r="V4" s="478"/>
      <c r="W4" s="478"/>
      <c r="X4" s="478"/>
      <c r="Y4" s="478"/>
      <c r="Z4" s="478"/>
      <c r="AA4" s="478"/>
      <c r="AB4" s="1078"/>
      <c r="AC4" s="478"/>
      <c r="AD4" s="478"/>
      <c r="AE4" s="478"/>
      <c r="AF4" s="478"/>
      <c r="AG4" s="478"/>
      <c r="AH4" s="478"/>
      <c r="AI4" s="478"/>
      <c r="AJ4" s="478"/>
      <c r="AK4" s="478"/>
      <c r="AL4" s="478"/>
      <c r="AM4" s="478"/>
      <c r="AN4" s="478"/>
      <c r="AO4" s="65">
        <f>SUM(E4:AN4)</f>
        <v>0</v>
      </c>
      <c r="AP4" s="1185"/>
      <c r="AQ4" s="1185"/>
    </row>
    <row r="5" spans="1:43" ht="15" thickBot="1" x14ac:dyDescent="0.4">
      <c r="A5" s="1176"/>
      <c r="B5" s="1179"/>
      <c r="C5" s="1182"/>
      <c r="D5" s="480" t="s">
        <v>174</v>
      </c>
      <c r="E5" s="473"/>
      <c r="F5" s="474"/>
      <c r="G5" s="475"/>
      <c r="H5" s="475"/>
      <c r="I5" s="475"/>
      <c r="J5" s="475"/>
      <c r="K5" s="475"/>
      <c r="L5" s="475"/>
      <c r="M5" s="475"/>
      <c r="N5" s="475"/>
      <c r="O5" s="475"/>
      <c r="P5" s="1079"/>
      <c r="Q5" s="474"/>
      <c r="R5" s="475"/>
      <c r="S5" s="475"/>
      <c r="T5" s="475"/>
      <c r="U5" s="475"/>
      <c r="V5" s="475"/>
      <c r="W5" s="475"/>
      <c r="X5" s="475"/>
      <c r="Y5" s="475"/>
      <c r="Z5" s="475"/>
      <c r="AA5" s="475"/>
      <c r="AB5" s="1079"/>
      <c r="AC5" s="475"/>
      <c r="AD5" s="475"/>
      <c r="AE5" s="475"/>
      <c r="AF5" s="475"/>
      <c r="AG5" s="475"/>
      <c r="AH5" s="475"/>
      <c r="AI5" s="475"/>
      <c r="AJ5" s="475"/>
      <c r="AK5" s="475"/>
      <c r="AL5" s="475"/>
      <c r="AM5" s="475"/>
      <c r="AN5" s="475"/>
      <c r="AO5" s="65"/>
      <c r="AP5" s="1185"/>
      <c r="AQ5" s="1185"/>
    </row>
    <row r="6" spans="1:43" s="10" customFormat="1" ht="14.5" customHeight="1" thickBot="1" x14ac:dyDescent="0.4">
      <c r="A6" s="1176"/>
      <c r="B6" s="1179"/>
      <c r="C6" s="1182"/>
      <c r="D6" s="1187" t="s">
        <v>175</v>
      </c>
      <c r="E6" s="1188"/>
      <c r="F6" s="1188"/>
      <c r="G6" s="1188"/>
      <c r="H6" s="1188"/>
      <c r="I6" s="1188"/>
      <c r="J6" s="1188"/>
      <c r="K6" s="1188"/>
      <c r="L6" s="1188"/>
      <c r="M6" s="1188"/>
      <c r="N6" s="1188"/>
      <c r="O6" s="1188"/>
      <c r="P6" s="1188"/>
      <c r="Q6" s="1188"/>
      <c r="R6" s="1188"/>
      <c r="S6" s="1188"/>
      <c r="T6" s="1188"/>
      <c r="U6" s="1188"/>
      <c r="V6" s="1188"/>
      <c r="W6" s="1188"/>
      <c r="X6" s="1188"/>
      <c r="Y6" s="1188"/>
      <c r="Z6" s="1188"/>
      <c r="AA6" s="1188"/>
      <c r="AB6" s="1188"/>
      <c r="AC6" s="1188"/>
      <c r="AD6" s="1188"/>
      <c r="AE6" s="1188"/>
      <c r="AF6" s="1188"/>
      <c r="AG6" s="1188"/>
      <c r="AH6" s="1188"/>
      <c r="AI6" s="1188"/>
      <c r="AJ6" s="1188"/>
      <c r="AK6" s="1188"/>
      <c r="AL6" s="1188"/>
      <c r="AM6" s="1188"/>
      <c r="AN6" s="1188"/>
      <c r="AO6" s="349" t="e">
        <f>SUM(E8:AN8)/AO4*100%</f>
        <v>#DIV/0!</v>
      </c>
      <c r="AP6" s="1185"/>
      <c r="AQ6" s="1185"/>
    </row>
    <row r="7" spans="1:43" s="10" customFormat="1" ht="14.5" customHeight="1" x14ac:dyDescent="0.35">
      <c r="A7" s="1176"/>
      <c r="B7" s="1179"/>
      <c r="C7" s="1182"/>
      <c r="D7" s="481" t="s">
        <v>176</v>
      </c>
      <c r="E7" s="487">
        <f>SUM(E8:E9)</f>
        <v>0</v>
      </c>
      <c r="F7" s="488">
        <f>SUM(F8:F9)</f>
        <v>0</v>
      </c>
      <c r="G7" s="488">
        <f t="shared" ref="G7" si="3">SUM(G8:G9)</f>
        <v>0</v>
      </c>
      <c r="H7" s="488">
        <f t="shared" ref="H7" si="4">SUM(H8:H9)</f>
        <v>0</v>
      </c>
      <c r="I7" s="488">
        <f t="shared" ref="I7" si="5">SUM(I8:I9)</f>
        <v>0</v>
      </c>
      <c r="J7" s="488">
        <f t="shared" ref="J7" si="6">SUM(J8:J9)</f>
        <v>0</v>
      </c>
      <c r="K7" s="488">
        <f t="shared" ref="K7" si="7">SUM(K8:K9)</f>
        <v>0</v>
      </c>
      <c r="L7" s="488">
        <f t="shared" ref="L7" si="8">SUM(L8:L9)</f>
        <v>0</v>
      </c>
      <c r="M7" s="488">
        <f t="shared" ref="M7" si="9">SUM(M8:M9)</f>
        <v>0</v>
      </c>
      <c r="N7" s="488">
        <f t="shared" ref="N7:AA7" si="10">SUM(N8:N9)</f>
        <v>0</v>
      </c>
      <c r="O7" s="488">
        <f t="shared" si="10"/>
        <v>0</v>
      </c>
      <c r="P7" s="488">
        <f t="shared" si="10"/>
        <v>0</v>
      </c>
      <c r="Q7" s="488">
        <f t="shared" si="10"/>
        <v>0</v>
      </c>
      <c r="R7" s="488">
        <f t="shared" si="10"/>
        <v>0</v>
      </c>
      <c r="S7" s="488">
        <f t="shared" si="10"/>
        <v>0</v>
      </c>
      <c r="T7" s="488">
        <f t="shared" si="10"/>
        <v>0</v>
      </c>
      <c r="U7" s="488">
        <f t="shared" si="10"/>
        <v>0</v>
      </c>
      <c r="V7" s="488">
        <f t="shared" si="10"/>
        <v>0</v>
      </c>
      <c r="W7" s="488">
        <f t="shared" si="10"/>
        <v>0</v>
      </c>
      <c r="X7" s="488">
        <f t="shared" si="10"/>
        <v>0</v>
      </c>
      <c r="Y7" s="488">
        <f t="shared" si="10"/>
        <v>0</v>
      </c>
      <c r="Z7" s="488">
        <f t="shared" si="10"/>
        <v>0</v>
      </c>
      <c r="AA7" s="488">
        <f t="shared" si="10"/>
        <v>0</v>
      </c>
      <c r="AB7" s="488">
        <f t="shared" ref="AB7:AN7" si="11">SUM(AB8:AB9)</f>
        <v>0</v>
      </c>
      <c r="AC7" s="488">
        <f t="shared" si="11"/>
        <v>0</v>
      </c>
      <c r="AD7" s="488">
        <f t="shared" si="11"/>
        <v>0</v>
      </c>
      <c r="AE7" s="488">
        <f t="shared" si="11"/>
        <v>0</v>
      </c>
      <c r="AF7" s="488">
        <f t="shared" si="11"/>
        <v>0</v>
      </c>
      <c r="AG7" s="488">
        <f t="shared" si="11"/>
        <v>0</v>
      </c>
      <c r="AH7" s="488">
        <f t="shared" si="11"/>
        <v>0</v>
      </c>
      <c r="AI7" s="488">
        <f t="shared" si="11"/>
        <v>0</v>
      </c>
      <c r="AJ7" s="488">
        <f t="shared" si="11"/>
        <v>0</v>
      </c>
      <c r="AK7" s="488">
        <f t="shared" si="11"/>
        <v>0</v>
      </c>
      <c r="AL7" s="488">
        <f t="shared" si="11"/>
        <v>0</v>
      </c>
      <c r="AM7" s="488">
        <f t="shared" si="11"/>
        <v>0</v>
      </c>
      <c r="AN7" s="488">
        <f t="shared" si="11"/>
        <v>0</v>
      </c>
      <c r="AO7" s="136"/>
      <c r="AP7" s="1185"/>
      <c r="AQ7" s="1185"/>
    </row>
    <row r="8" spans="1:43" s="2" customFormat="1" x14ac:dyDescent="0.35">
      <c r="A8" s="1176"/>
      <c r="B8" s="1179"/>
      <c r="C8" s="1182"/>
      <c r="D8" s="482" t="s">
        <v>177</v>
      </c>
      <c r="E8" s="40"/>
      <c r="F8" s="41"/>
      <c r="G8" s="42"/>
      <c r="H8" s="42"/>
      <c r="I8" s="42"/>
      <c r="J8" s="42"/>
      <c r="K8" s="42"/>
      <c r="L8" s="42"/>
      <c r="M8" s="42"/>
      <c r="N8" s="42"/>
      <c r="O8" s="42"/>
      <c r="P8" s="1080"/>
      <c r="Q8" s="41"/>
      <c r="R8" s="42"/>
      <c r="S8" s="42"/>
      <c r="T8" s="42"/>
      <c r="U8" s="42"/>
      <c r="V8" s="42"/>
      <c r="W8" s="42"/>
      <c r="X8" s="42"/>
      <c r="Y8" s="42"/>
      <c r="Z8" s="42"/>
      <c r="AA8" s="42"/>
      <c r="AB8" s="1080"/>
      <c r="AC8" s="42"/>
      <c r="AD8" s="42"/>
      <c r="AE8" s="42"/>
      <c r="AF8" s="42"/>
      <c r="AG8" s="42"/>
      <c r="AH8" s="42"/>
      <c r="AI8" s="42"/>
      <c r="AJ8" s="42"/>
      <c r="AK8" s="42"/>
      <c r="AL8" s="42"/>
      <c r="AM8" s="42"/>
      <c r="AN8" s="42"/>
      <c r="AO8" s="65">
        <f>SUM(E8:AN8)</f>
        <v>0</v>
      </c>
      <c r="AP8" s="1185"/>
      <c r="AQ8" s="1185"/>
    </row>
    <row r="9" spans="1:43" s="2" customFormat="1" ht="15" thickBot="1" x14ac:dyDescent="0.4">
      <c r="A9" s="1177"/>
      <c r="B9" s="1180"/>
      <c r="C9" s="1183"/>
      <c r="D9" s="483" t="s">
        <v>178</v>
      </c>
      <c r="E9" s="484"/>
      <c r="F9" s="485"/>
      <c r="G9" s="486"/>
      <c r="H9" s="486"/>
      <c r="I9" s="486"/>
      <c r="J9" s="486"/>
      <c r="K9" s="486"/>
      <c r="L9" s="486"/>
      <c r="M9" s="486"/>
      <c r="N9" s="486"/>
      <c r="O9" s="486"/>
      <c r="P9" s="1081"/>
      <c r="Q9" s="485"/>
      <c r="R9" s="486"/>
      <c r="S9" s="486"/>
      <c r="T9" s="486"/>
      <c r="U9" s="486"/>
      <c r="V9" s="486"/>
      <c r="W9" s="486"/>
      <c r="X9" s="486"/>
      <c r="Y9" s="486"/>
      <c r="Z9" s="486"/>
      <c r="AA9" s="486"/>
      <c r="AB9" s="1081"/>
      <c r="AC9" s="486"/>
      <c r="AD9" s="486"/>
      <c r="AE9" s="486"/>
      <c r="AF9" s="486"/>
      <c r="AG9" s="486"/>
      <c r="AH9" s="486"/>
      <c r="AI9" s="486"/>
      <c r="AJ9" s="486"/>
      <c r="AK9" s="486"/>
      <c r="AL9" s="486"/>
      <c r="AM9" s="486"/>
      <c r="AN9" s="486"/>
      <c r="AO9" s="141"/>
      <c r="AP9" s="1186"/>
      <c r="AQ9" s="1186"/>
    </row>
    <row r="10" spans="1:43" ht="15" customHeight="1" x14ac:dyDescent="0.35">
      <c r="A10" s="1175">
        <v>2</v>
      </c>
      <c r="B10" s="1178" t="str">
        <f>IF(VLOOKUP(A:A,'Pivot Table'!Z:AD,5,FALSE)=0,"",VLOOKUP(A:A,'Pivot Table'!Z:AD,5,FALSE))</f>
        <v/>
      </c>
      <c r="C10" s="1181" t="str">
        <f>_xlfn.IFNA(VLOOKUP(A:A,'Pivot Table'!P:W,8,FALSE),"")</f>
        <v/>
      </c>
      <c r="D10" s="494" t="s">
        <v>172</v>
      </c>
      <c r="E10" s="495">
        <f>SUM(E11:E12)</f>
        <v>0</v>
      </c>
      <c r="F10" s="496">
        <f>SUM(F11:F12)</f>
        <v>0</v>
      </c>
      <c r="G10" s="496">
        <f t="shared" ref="G10:M10" si="12">SUM(G11:G12)</f>
        <v>0</v>
      </c>
      <c r="H10" s="496">
        <f t="shared" si="12"/>
        <v>0</v>
      </c>
      <c r="I10" s="496">
        <f t="shared" si="12"/>
        <v>0</v>
      </c>
      <c r="J10" s="496">
        <f t="shared" si="12"/>
        <v>0</v>
      </c>
      <c r="K10" s="496">
        <f t="shared" si="12"/>
        <v>0</v>
      </c>
      <c r="L10" s="496">
        <f t="shared" si="12"/>
        <v>0</v>
      </c>
      <c r="M10" s="496">
        <f t="shared" si="12"/>
        <v>0</v>
      </c>
      <c r="N10" s="496">
        <f>SUM(N11:N12)</f>
        <v>0</v>
      </c>
      <c r="O10" s="496">
        <f t="shared" ref="O10:AN10" si="13">SUM(O11:O12)</f>
        <v>0</v>
      </c>
      <c r="P10" s="496">
        <f t="shared" si="13"/>
        <v>0</v>
      </c>
      <c r="Q10" s="496">
        <f t="shared" si="13"/>
        <v>0</v>
      </c>
      <c r="R10" s="496">
        <f t="shared" si="13"/>
        <v>0</v>
      </c>
      <c r="S10" s="496">
        <f t="shared" si="13"/>
        <v>0</v>
      </c>
      <c r="T10" s="496">
        <f t="shared" si="13"/>
        <v>0</v>
      </c>
      <c r="U10" s="496">
        <f t="shared" si="13"/>
        <v>0</v>
      </c>
      <c r="V10" s="496">
        <f t="shared" si="13"/>
        <v>0</v>
      </c>
      <c r="W10" s="496">
        <f t="shared" si="13"/>
        <v>0</v>
      </c>
      <c r="X10" s="496">
        <f t="shared" si="13"/>
        <v>0</v>
      </c>
      <c r="Y10" s="496">
        <f t="shared" si="13"/>
        <v>0</v>
      </c>
      <c r="Z10" s="496">
        <f t="shared" si="13"/>
        <v>0</v>
      </c>
      <c r="AA10" s="496">
        <f t="shared" si="13"/>
        <v>0</v>
      </c>
      <c r="AB10" s="496">
        <f t="shared" si="13"/>
        <v>0</v>
      </c>
      <c r="AC10" s="496">
        <f t="shared" si="13"/>
        <v>0</v>
      </c>
      <c r="AD10" s="496">
        <f t="shared" si="13"/>
        <v>0</v>
      </c>
      <c r="AE10" s="496">
        <f t="shared" si="13"/>
        <v>0</v>
      </c>
      <c r="AF10" s="496">
        <f t="shared" si="13"/>
        <v>0</v>
      </c>
      <c r="AG10" s="496">
        <f t="shared" si="13"/>
        <v>0</v>
      </c>
      <c r="AH10" s="496">
        <f t="shared" si="13"/>
        <v>0</v>
      </c>
      <c r="AI10" s="496">
        <f t="shared" si="13"/>
        <v>0</v>
      </c>
      <c r="AJ10" s="496">
        <f t="shared" si="13"/>
        <v>0</v>
      </c>
      <c r="AK10" s="496">
        <f t="shared" si="13"/>
        <v>0</v>
      </c>
      <c r="AL10" s="496">
        <f t="shared" si="13"/>
        <v>0</v>
      </c>
      <c r="AM10" s="496">
        <f t="shared" si="13"/>
        <v>0</v>
      </c>
      <c r="AN10" s="496">
        <f t="shared" si="13"/>
        <v>0</v>
      </c>
      <c r="AO10" s="497"/>
      <c r="AP10" s="1184"/>
      <c r="AQ10" s="1184"/>
    </row>
    <row r="11" spans="1:43" x14ac:dyDescent="0.35">
      <c r="A11" s="1176"/>
      <c r="B11" s="1179"/>
      <c r="C11" s="1182"/>
      <c r="D11" s="479" t="s">
        <v>173</v>
      </c>
      <c r="E11" s="476"/>
      <c r="F11" s="477"/>
      <c r="G11" s="478"/>
      <c r="H11" s="478"/>
      <c r="I11" s="478"/>
      <c r="J11" s="478"/>
      <c r="K11" s="478"/>
      <c r="L11" s="478"/>
      <c r="M11" s="478"/>
      <c r="N11" s="478"/>
      <c r="O11" s="478"/>
      <c r="P11" s="1078"/>
      <c r="Q11" s="477"/>
      <c r="R11" s="478"/>
      <c r="S11" s="478"/>
      <c r="T11" s="478"/>
      <c r="U11" s="478"/>
      <c r="V11" s="478"/>
      <c r="W11" s="478"/>
      <c r="X11" s="478"/>
      <c r="Y11" s="478"/>
      <c r="Z11" s="478"/>
      <c r="AA11" s="478"/>
      <c r="AB11" s="1078"/>
      <c r="AC11" s="478"/>
      <c r="AD11" s="478"/>
      <c r="AE11" s="478"/>
      <c r="AF11" s="478"/>
      <c r="AG11" s="478"/>
      <c r="AH11" s="478"/>
      <c r="AI11" s="478"/>
      <c r="AJ11" s="478"/>
      <c r="AK11" s="478"/>
      <c r="AL11" s="478"/>
      <c r="AM11" s="478"/>
      <c r="AN11" s="478"/>
      <c r="AO11" s="65">
        <f>SUM(E11:AN11)</f>
        <v>0</v>
      </c>
      <c r="AP11" s="1185"/>
      <c r="AQ11" s="1185"/>
    </row>
    <row r="12" spans="1:43" ht="15" thickBot="1" x14ac:dyDescent="0.4">
      <c r="A12" s="1176"/>
      <c r="B12" s="1179"/>
      <c r="C12" s="1182"/>
      <c r="D12" s="480" t="s">
        <v>174</v>
      </c>
      <c r="E12" s="473"/>
      <c r="F12" s="474"/>
      <c r="G12" s="475"/>
      <c r="H12" s="475"/>
      <c r="I12" s="475"/>
      <c r="J12" s="475"/>
      <c r="K12" s="475"/>
      <c r="L12" s="475"/>
      <c r="M12" s="475"/>
      <c r="N12" s="475"/>
      <c r="O12" s="475"/>
      <c r="P12" s="1079"/>
      <c r="Q12" s="474"/>
      <c r="R12" s="475"/>
      <c r="S12" s="475"/>
      <c r="T12" s="475"/>
      <c r="U12" s="475"/>
      <c r="V12" s="475"/>
      <c r="W12" s="475"/>
      <c r="X12" s="475"/>
      <c r="Y12" s="475"/>
      <c r="Z12" s="475"/>
      <c r="AA12" s="475"/>
      <c r="AB12" s="1079"/>
      <c r="AC12" s="475"/>
      <c r="AD12" s="475"/>
      <c r="AE12" s="475"/>
      <c r="AF12" s="475"/>
      <c r="AG12" s="475"/>
      <c r="AH12" s="475"/>
      <c r="AI12" s="475"/>
      <c r="AJ12" s="475"/>
      <c r="AK12" s="475"/>
      <c r="AL12" s="475"/>
      <c r="AM12" s="475"/>
      <c r="AN12" s="475"/>
      <c r="AO12" s="65"/>
      <c r="AP12" s="1185"/>
      <c r="AQ12" s="1185"/>
    </row>
    <row r="13" spans="1:43" s="10" customFormat="1" ht="14.5" customHeight="1" thickBot="1" x14ac:dyDescent="0.4">
      <c r="A13" s="1176"/>
      <c r="B13" s="1179"/>
      <c r="C13" s="1182"/>
      <c r="D13" s="1187" t="s">
        <v>175</v>
      </c>
      <c r="E13" s="1188"/>
      <c r="F13" s="1188"/>
      <c r="G13" s="1188"/>
      <c r="H13" s="1188"/>
      <c r="I13" s="1188"/>
      <c r="J13" s="1188"/>
      <c r="K13" s="1188"/>
      <c r="L13" s="1188"/>
      <c r="M13" s="1188"/>
      <c r="N13" s="1188"/>
      <c r="O13" s="1188"/>
      <c r="P13" s="1188"/>
      <c r="Q13" s="1188"/>
      <c r="R13" s="1188"/>
      <c r="S13" s="1188"/>
      <c r="T13" s="1188"/>
      <c r="U13" s="1188"/>
      <c r="V13" s="1188"/>
      <c r="W13" s="1188"/>
      <c r="X13" s="1188"/>
      <c r="Y13" s="1188"/>
      <c r="Z13" s="1188"/>
      <c r="AA13" s="1188"/>
      <c r="AB13" s="1188"/>
      <c r="AC13" s="1188"/>
      <c r="AD13" s="1188"/>
      <c r="AE13" s="1188"/>
      <c r="AF13" s="1188"/>
      <c r="AG13" s="1188"/>
      <c r="AH13" s="1188"/>
      <c r="AI13" s="1188"/>
      <c r="AJ13" s="1188"/>
      <c r="AK13" s="1188"/>
      <c r="AL13" s="1188"/>
      <c r="AM13" s="1188"/>
      <c r="AN13" s="1188"/>
      <c r="AO13" s="349" t="e">
        <f>SUM(E15:AN15)/AO11*100%</f>
        <v>#DIV/0!</v>
      </c>
      <c r="AP13" s="1185"/>
      <c r="AQ13" s="1185"/>
    </row>
    <row r="14" spans="1:43" s="10" customFormat="1" ht="14.5" customHeight="1" x14ac:dyDescent="0.35">
      <c r="A14" s="1176"/>
      <c r="B14" s="1179"/>
      <c r="C14" s="1182"/>
      <c r="D14" s="481" t="s">
        <v>176</v>
      </c>
      <c r="E14" s="487">
        <f>SUM(E15:E16)</f>
        <v>0</v>
      </c>
      <c r="F14" s="488">
        <f>SUM(F15:F16)</f>
        <v>0</v>
      </c>
      <c r="G14" s="488">
        <f t="shared" ref="G14:AN14" si="14">SUM(G15:G16)</f>
        <v>0</v>
      </c>
      <c r="H14" s="488">
        <f t="shared" si="14"/>
        <v>0</v>
      </c>
      <c r="I14" s="488">
        <f t="shared" si="14"/>
        <v>0</v>
      </c>
      <c r="J14" s="488">
        <f t="shared" si="14"/>
        <v>0</v>
      </c>
      <c r="K14" s="488">
        <f t="shared" si="14"/>
        <v>0</v>
      </c>
      <c r="L14" s="488">
        <f t="shared" si="14"/>
        <v>0</v>
      </c>
      <c r="M14" s="488">
        <f t="shared" si="14"/>
        <v>0</v>
      </c>
      <c r="N14" s="488">
        <f t="shared" si="14"/>
        <v>0</v>
      </c>
      <c r="O14" s="488">
        <f t="shared" si="14"/>
        <v>0</v>
      </c>
      <c r="P14" s="488">
        <f t="shared" si="14"/>
        <v>0</v>
      </c>
      <c r="Q14" s="488">
        <f t="shared" si="14"/>
        <v>0</v>
      </c>
      <c r="R14" s="488">
        <f t="shared" si="14"/>
        <v>0</v>
      </c>
      <c r="S14" s="488">
        <f t="shared" si="14"/>
        <v>0</v>
      </c>
      <c r="T14" s="488">
        <f t="shared" si="14"/>
        <v>0</v>
      </c>
      <c r="U14" s="488">
        <f t="shared" si="14"/>
        <v>0</v>
      </c>
      <c r="V14" s="488">
        <f t="shared" si="14"/>
        <v>0</v>
      </c>
      <c r="W14" s="488">
        <f t="shared" si="14"/>
        <v>0</v>
      </c>
      <c r="X14" s="488">
        <f t="shared" si="14"/>
        <v>0</v>
      </c>
      <c r="Y14" s="488">
        <f t="shared" si="14"/>
        <v>0</v>
      </c>
      <c r="Z14" s="488">
        <f t="shared" si="14"/>
        <v>0</v>
      </c>
      <c r="AA14" s="488">
        <f t="shared" si="14"/>
        <v>0</v>
      </c>
      <c r="AB14" s="488">
        <f t="shared" si="14"/>
        <v>0</v>
      </c>
      <c r="AC14" s="488">
        <f t="shared" si="14"/>
        <v>0</v>
      </c>
      <c r="AD14" s="488">
        <f t="shared" si="14"/>
        <v>0</v>
      </c>
      <c r="AE14" s="488">
        <f t="shared" si="14"/>
        <v>0</v>
      </c>
      <c r="AF14" s="488">
        <f t="shared" si="14"/>
        <v>0</v>
      </c>
      <c r="AG14" s="488">
        <f t="shared" si="14"/>
        <v>0</v>
      </c>
      <c r="AH14" s="488">
        <f t="shared" si="14"/>
        <v>0</v>
      </c>
      <c r="AI14" s="488">
        <f t="shared" si="14"/>
        <v>0</v>
      </c>
      <c r="AJ14" s="488">
        <f t="shared" si="14"/>
        <v>0</v>
      </c>
      <c r="AK14" s="488">
        <f t="shared" si="14"/>
        <v>0</v>
      </c>
      <c r="AL14" s="488">
        <f t="shared" si="14"/>
        <v>0</v>
      </c>
      <c r="AM14" s="488">
        <f t="shared" si="14"/>
        <v>0</v>
      </c>
      <c r="AN14" s="488">
        <f t="shared" si="14"/>
        <v>0</v>
      </c>
      <c r="AO14" s="136"/>
      <c r="AP14" s="1185"/>
      <c r="AQ14" s="1185"/>
    </row>
    <row r="15" spans="1:43" s="2" customFormat="1" x14ac:dyDescent="0.35">
      <c r="A15" s="1176"/>
      <c r="B15" s="1179"/>
      <c r="C15" s="1182"/>
      <c r="D15" s="482" t="s">
        <v>177</v>
      </c>
      <c r="E15" s="40"/>
      <c r="F15" s="41"/>
      <c r="G15" s="42"/>
      <c r="H15" s="42"/>
      <c r="I15" s="42"/>
      <c r="J15" s="42"/>
      <c r="K15" s="42"/>
      <c r="L15" s="42"/>
      <c r="M15" s="42"/>
      <c r="N15" s="42"/>
      <c r="O15" s="42"/>
      <c r="P15" s="1080"/>
      <c r="Q15" s="41"/>
      <c r="R15" s="42"/>
      <c r="S15" s="42"/>
      <c r="T15" s="42"/>
      <c r="U15" s="42"/>
      <c r="V15" s="42"/>
      <c r="W15" s="42"/>
      <c r="X15" s="42"/>
      <c r="Y15" s="42"/>
      <c r="Z15" s="42"/>
      <c r="AA15" s="42"/>
      <c r="AB15" s="1080"/>
      <c r="AC15" s="42"/>
      <c r="AD15" s="42"/>
      <c r="AE15" s="42"/>
      <c r="AF15" s="42"/>
      <c r="AG15" s="42"/>
      <c r="AH15" s="42"/>
      <c r="AI15" s="42"/>
      <c r="AJ15" s="42"/>
      <c r="AK15" s="42"/>
      <c r="AL15" s="42"/>
      <c r="AM15" s="42"/>
      <c r="AN15" s="42"/>
      <c r="AO15" s="65">
        <f>SUM(E15:AN15)</f>
        <v>0</v>
      </c>
      <c r="AP15" s="1185"/>
      <c r="AQ15" s="1185"/>
    </row>
    <row r="16" spans="1:43" s="2" customFormat="1" ht="15" thickBot="1" x14ac:dyDescent="0.4">
      <c r="A16" s="1177"/>
      <c r="B16" s="1180"/>
      <c r="C16" s="1183"/>
      <c r="D16" s="483" t="s">
        <v>178</v>
      </c>
      <c r="E16" s="484"/>
      <c r="F16" s="485"/>
      <c r="G16" s="486"/>
      <c r="H16" s="486"/>
      <c r="I16" s="486"/>
      <c r="J16" s="486"/>
      <c r="K16" s="486"/>
      <c r="L16" s="486"/>
      <c r="M16" s="486"/>
      <c r="N16" s="486"/>
      <c r="O16" s="486"/>
      <c r="P16" s="1081"/>
      <c r="Q16" s="485"/>
      <c r="R16" s="486"/>
      <c r="S16" s="486"/>
      <c r="T16" s="486"/>
      <c r="U16" s="486"/>
      <c r="V16" s="486"/>
      <c r="W16" s="486"/>
      <c r="X16" s="486"/>
      <c r="Y16" s="486"/>
      <c r="Z16" s="486"/>
      <c r="AA16" s="486"/>
      <c r="AB16" s="1081"/>
      <c r="AC16" s="486"/>
      <c r="AD16" s="486"/>
      <c r="AE16" s="486"/>
      <c r="AF16" s="486"/>
      <c r="AG16" s="486"/>
      <c r="AH16" s="486"/>
      <c r="AI16" s="486"/>
      <c r="AJ16" s="486"/>
      <c r="AK16" s="486"/>
      <c r="AL16" s="486"/>
      <c r="AM16" s="486"/>
      <c r="AN16" s="486"/>
      <c r="AO16" s="141"/>
      <c r="AP16" s="1186"/>
      <c r="AQ16" s="1186"/>
    </row>
    <row r="17" spans="1:43" ht="15" customHeight="1" x14ac:dyDescent="0.35">
      <c r="A17" s="1175">
        <v>3</v>
      </c>
      <c r="B17" s="1178" t="str">
        <f>IF(VLOOKUP(A:A,'Pivot Table'!Z:AD,5,FALSE)=0,"",VLOOKUP(A:A,'Pivot Table'!Z:AD,5,FALSE))</f>
        <v/>
      </c>
      <c r="C17" s="1181" t="str">
        <f>_xlfn.IFNA(VLOOKUP(A:A,'Pivot Table'!P:W,8,FALSE),"")</f>
        <v/>
      </c>
      <c r="D17" s="494" t="s">
        <v>172</v>
      </c>
      <c r="E17" s="495">
        <f>SUM(E18:E19)</f>
        <v>0</v>
      </c>
      <c r="F17" s="496">
        <f>SUM(F18:F19)</f>
        <v>0</v>
      </c>
      <c r="G17" s="496">
        <f t="shared" ref="G17:M17" si="15">SUM(G18:G19)</f>
        <v>0</v>
      </c>
      <c r="H17" s="496">
        <f t="shared" si="15"/>
        <v>0</v>
      </c>
      <c r="I17" s="496">
        <f t="shared" si="15"/>
        <v>0</v>
      </c>
      <c r="J17" s="496">
        <f t="shared" si="15"/>
        <v>0</v>
      </c>
      <c r="K17" s="496">
        <f t="shared" si="15"/>
        <v>0</v>
      </c>
      <c r="L17" s="496">
        <f t="shared" si="15"/>
        <v>0</v>
      </c>
      <c r="M17" s="496">
        <f t="shared" si="15"/>
        <v>0</v>
      </c>
      <c r="N17" s="496">
        <f>SUM(N18:N19)</f>
        <v>0</v>
      </c>
      <c r="O17" s="496">
        <f t="shared" ref="O17:AN17" si="16">SUM(O18:O19)</f>
        <v>0</v>
      </c>
      <c r="P17" s="496">
        <f t="shared" si="16"/>
        <v>0</v>
      </c>
      <c r="Q17" s="496">
        <f t="shared" si="16"/>
        <v>0</v>
      </c>
      <c r="R17" s="496">
        <f t="shared" si="16"/>
        <v>0</v>
      </c>
      <c r="S17" s="496">
        <f t="shared" si="16"/>
        <v>0</v>
      </c>
      <c r="T17" s="496">
        <f t="shared" si="16"/>
        <v>0</v>
      </c>
      <c r="U17" s="496">
        <f t="shared" si="16"/>
        <v>0</v>
      </c>
      <c r="V17" s="496">
        <f t="shared" si="16"/>
        <v>0</v>
      </c>
      <c r="W17" s="496">
        <f t="shared" si="16"/>
        <v>0</v>
      </c>
      <c r="X17" s="496">
        <f t="shared" si="16"/>
        <v>0</v>
      </c>
      <c r="Y17" s="496">
        <f t="shared" si="16"/>
        <v>0</v>
      </c>
      <c r="Z17" s="496">
        <f t="shared" si="16"/>
        <v>0</v>
      </c>
      <c r="AA17" s="496">
        <f t="shared" si="16"/>
        <v>0</v>
      </c>
      <c r="AB17" s="496">
        <f t="shared" si="16"/>
        <v>0</v>
      </c>
      <c r="AC17" s="496">
        <f t="shared" si="16"/>
        <v>0</v>
      </c>
      <c r="AD17" s="496">
        <f t="shared" si="16"/>
        <v>0</v>
      </c>
      <c r="AE17" s="496">
        <f t="shared" si="16"/>
        <v>0</v>
      </c>
      <c r="AF17" s="496">
        <f t="shared" si="16"/>
        <v>0</v>
      </c>
      <c r="AG17" s="496">
        <f t="shared" si="16"/>
        <v>0</v>
      </c>
      <c r="AH17" s="496">
        <f t="shared" si="16"/>
        <v>0</v>
      </c>
      <c r="AI17" s="496">
        <f t="shared" si="16"/>
        <v>0</v>
      </c>
      <c r="AJ17" s="496">
        <f t="shared" si="16"/>
        <v>0</v>
      </c>
      <c r="AK17" s="496">
        <f t="shared" si="16"/>
        <v>0</v>
      </c>
      <c r="AL17" s="496">
        <f t="shared" si="16"/>
        <v>0</v>
      </c>
      <c r="AM17" s="496">
        <f t="shared" si="16"/>
        <v>0</v>
      </c>
      <c r="AN17" s="496">
        <f t="shared" si="16"/>
        <v>0</v>
      </c>
      <c r="AO17" s="497"/>
      <c r="AP17" s="1184"/>
      <c r="AQ17" s="1184"/>
    </row>
    <row r="18" spans="1:43" x14ac:dyDescent="0.35">
      <c r="A18" s="1176"/>
      <c r="B18" s="1179"/>
      <c r="C18" s="1182"/>
      <c r="D18" s="479" t="s">
        <v>173</v>
      </c>
      <c r="E18" s="476"/>
      <c r="F18" s="477"/>
      <c r="G18" s="478"/>
      <c r="H18" s="478"/>
      <c r="I18" s="478"/>
      <c r="J18" s="478"/>
      <c r="K18" s="478"/>
      <c r="L18" s="478"/>
      <c r="M18" s="478"/>
      <c r="N18" s="478"/>
      <c r="O18" s="478"/>
      <c r="P18" s="1078"/>
      <c r="Q18" s="477"/>
      <c r="R18" s="478"/>
      <c r="S18" s="478"/>
      <c r="T18" s="478"/>
      <c r="U18" s="478"/>
      <c r="V18" s="478"/>
      <c r="W18" s="478"/>
      <c r="X18" s="478"/>
      <c r="Y18" s="478"/>
      <c r="Z18" s="478"/>
      <c r="AA18" s="478"/>
      <c r="AB18" s="1078"/>
      <c r="AC18" s="478"/>
      <c r="AD18" s="478"/>
      <c r="AE18" s="478"/>
      <c r="AF18" s="478"/>
      <c r="AG18" s="478"/>
      <c r="AH18" s="478"/>
      <c r="AI18" s="478"/>
      <c r="AJ18" s="478"/>
      <c r="AK18" s="478"/>
      <c r="AL18" s="478"/>
      <c r="AM18" s="478"/>
      <c r="AN18" s="478"/>
      <c r="AO18" s="65">
        <f>SUM(E18:AN18)</f>
        <v>0</v>
      </c>
      <c r="AP18" s="1185"/>
      <c r="AQ18" s="1185"/>
    </row>
    <row r="19" spans="1:43" ht="15" thickBot="1" x14ac:dyDescent="0.4">
      <c r="A19" s="1176"/>
      <c r="B19" s="1179"/>
      <c r="C19" s="1182"/>
      <c r="D19" s="480" t="s">
        <v>174</v>
      </c>
      <c r="E19" s="473"/>
      <c r="F19" s="474"/>
      <c r="G19" s="475"/>
      <c r="H19" s="475"/>
      <c r="I19" s="475"/>
      <c r="J19" s="475"/>
      <c r="K19" s="475"/>
      <c r="L19" s="475"/>
      <c r="M19" s="475"/>
      <c r="N19" s="475"/>
      <c r="O19" s="475"/>
      <c r="P19" s="1079"/>
      <c r="Q19" s="474"/>
      <c r="R19" s="475"/>
      <c r="S19" s="475"/>
      <c r="T19" s="475"/>
      <c r="U19" s="475"/>
      <c r="V19" s="475"/>
      <c r="W19" s="475"/>
      <c r="X19" s="475"/>
      <c r="Y19" s="475"/>
      <c r="Z19" s="475"/>
      <c r="AA19" s="475"/>
      <c r="AB19" s="1079"/>
      <c r="AC19" s="475"/>
      <c r="AD19" s="475"/>
      <c r="AE19" s="475"/>
      <c r="AF19" s="475"/>
      <c r="AG19" s="475"/>
      <c r="AH19" s="475"/>
      <c r="AI19" s="475"/>
      <c r="AJ19" s="475"/>
      <c r="AK19" s="475"/>
      <c r="AL19" s="475"/>
      <c r="AM19" s="475"/>
      <c r="AN19" s="475"/>
      <c r="AO19" s="65"/>
      <c r="AP19" s="1185"/>
      <c r="AQ19" s="1185"/>
    </row>
    <row r="20" spans="1:43" s="10" customFormat="1" ht="14.5" customHeight="1" thickBot="1" x14ac:dyDescent="0.4">
      <c r="A20" s="1176"/>
      <c r="B20" s="1179"/>
      <c r="C20" s="1182"/>
      <c r="D20" s="1187" t="s">
        <v>175</v>
      </c>
      <c r="E20" s="1188"/>
      <c r="F20" s="1188"/>
      <c r="G20" s="1188"/>
      <c r="H20" s="1188"/>
      <c r="I20" s="1188"/>
      <c r="J20" s="1188"/>
      <c r="K20" s="1188"/>
      <c r="L20" s="1188"/>
      <c r="M20" s="1188"/>
      <c r="N20" s="1188"/>
      <c r="O20" s="1188"/>
      <c r="P20" s="1188"/>
      <c r="Q20" s="1188"/>
      <c r="R20" s="1188"/>
      <c r="S20" s="1188"/>
      <c r="T20" s="1188"/>
      <c r="U20" s="1188"/>
      <c r="V20" s="1188"/>
      <c r="W20" s="1188"/>
      <c r="X20" s="1188"/>
      <c r="Y20" s="1188"/>
      <c r="Z20" s="1188"/>
      <c r="AA20" s="1188"/>
      <c r="AB20" s="1188"/>
      <c r="AC20" s="1188"/>
      <c r="AD20" s="1188"/>
      <c r="AE20" s="1188"/>
      <c r="AF20" s="1188"/>
      <c r="AG20" s="1188"/>
      <c r="AH20" s="1188"/>
      <c r="AI20" s="1188"/>
      <c r="AJ20" s="1188"/>
      <c r="AK20" s="1188"/>
      <c r="AL20" s="1188"/>
      <c r="AM20" s="1188"/>
      <c r="AN20" s="1188"/>
      <c r="AO20" s="349" t="e">
        <f>SUM(E22:AN22)/AO18*100%</f>
        <v>#DIV/0!</v>
      </c>
      <c r="AP20" s="1185"/>
      <c r="AQ20" s="1185"/>
    </row>
    <row r="21" spans="1:43" s="10" customFormat="1" ht="14.5" customHeight="1" x14ac:dyDescent="0.35">
      <c r="A21" s="1176"/>
      <c r="B21" s="1179"/>
      <c r="C21" s="1182"/>
      <c r="D21" s="481" t="s">
        <v>176</v>
      </c>
      <c r="E21" s="487">
        <f>SUM(E22:E23)</f>
        <v>0</v>
      </c>
      <c r="F21" s="488">
        <f>SUM(F22:F23)</f>
        <v>0</v>
      </c>
      <c r="G21" s="488">
        <f t="shared" ref="G21:AN21" si="17">SUM(G22:G23)</f>
        <v>0</v>
      </c>
      <c r="H21" s="488">
        <f t="shared" si="17"/>
        <v>0</v>
      </c>
      <c r="I21" s="488">
        <f t="shared" si="17"/>
        <v>0</v>
      </c>
      <c r="J21" s="488">
        <f t="shared" si="17"/>
        <v>0</v>
      </c>
      <c r="K21" s="488">
        <f t="shared" si="17"/>
        <v>0</v>
      </c>
      <c r="L21" s="488">
        <f t="shared" si="17"/>
        <v>0</v>
      </c>
      <c r="M21" s="488">
        <f t="shared" si="17"/>
        <v>0</v>
      </c>
      <c r="N21" s="488">
        <f t="shared" si="17"/>
        <v>0</v>
      </c>
      <c r="O21" s="488">
        <f t="shared" si="17"/>
        <v>0</v>
      </c>
      <c r="P21" s="488">
        <f t="shared" si="17"/>
        <v>0</v>
      </c>
      <c r="Q21" s="488">
        <f t="shared" si="17"/>
        <v>0</v>
      </c>
      <c r="R21" s="488">
        <f t="shared" si="17"/>
        <v>0</v>
      </c>
      <c r="S21" s="488">
        <f t="shared" si="17"/>
        <v>0</v>
      </c>
      <c r="T21" s="488">
        <f t="shared" si="17"/>
        <v>0</v>
      </c>
      <c r="U21" s="488">
        <f t="shared" si="17"/>
        <v>0</v>
      </c>
      <c r="V21" s="488">
        <f t="shared" si="17"/>
        <v>0</v>
      </c>
      <c r="W21" s="488">
        <f t="shared" si="17"/>
        <v>0</v>
      </c>
      <c r="X21" s="488">
        <f t="shared" si="17"/>
        <v>0</v>
      </c>
      <c r="Y21" s="488">
        <f t="shared" si="17"/>
        <v>0</v>
      </c>
      <c r="Z21" s="488">
        <f t="shared" si="17"/>
        <v>0</v>
      </c>
      <c r="AA21" s="488">
        <f t="shared" si="17"/>
        <v>0</v>
      </c>
      <c r="AB21" s="488">
        <f t="shared" si="17"/>
        <v>0</v>
      </c>
      <c r="AC21" s="488">
        <f t="shared" si="17"/>
        <v>0</v>
      </c>
      <c r="AD21" s="488">
        <f t="shared" si="17"/>
        <v>0</v>
      </c>
      <c r="AE21" s="488">
        <f t="shared" si="17"/>
        <v>0</v>
      </c>
      <c r="AF21" s="488">
        <f t="shared" si="17"/>
        <v>0</v>
      </c>
      <c r="AG21" s="488">
        <f t="shared" si="17"/>
        <v>0</v>
      </c>
      <c r="AH21" s="488">
        <f t="shared" si="17"/>
        <v>0</v>
      </c>
      <c r="AI21" s="488">
        <f t="shared" si="17"/>
        <v>0</v>
      </c>
      <c r="AJ21" s="488">
        <f t="shared" si="17"/>
        <v>0</v>
      </c>
      <c r="AK21" s="488">
        <f t="shared" si="17"/>
        <v>0</v>
      </c>
      <c r="AL21" s="488">
        <f t="shared" si="17"/>
        <v>0</v>
      </c>
      <c r="AM21" s="488">
        <f t="shared" si="17"/>
        <v>0</v>
      </c>
      <c r="AN21" s="488">
        <f t="shared" si="17"/>
        <v>0</v>
      </c>
      <c r="AO21" s="136"/>
      <c r="AP21" s="1185"/>
      <c r="AQ21" s="1185"/>
    </row>
    <row r="22" spans="1:43" s="2" customFormat="1" x14ac:dyDescent="0.35">
      <c r="A22" s="1176"/>
      <c r="B22" s="1179"/>
      <c r="C22" s="1182"/>
      <c r="D22" s="482" t="s">
        <v>177</v>
      </c>
      <c r="E22" s="40"/>
      <c r="F22" s="41"/>
      <c r="G22" s="42"/>
      <c r="H22" s="42"/>
      <c r="I22" s="42"/>
      <c r="J22" s="42"/>
      <c r="K22" s="42"/>
      <c r="L22" s="42"/>
      <c r="M22" s="42"/>
      <c r="N22" s="42"/>
      <c r="O22" s="42"/>
      <c r="P22" s="1080"/>
      <c r="Q22" s="41"/>
      <c r="R22" s="42"/>
      <c r="S22" s="42"/>
      <c r="T22" s="42"/>
      <c r="U22" s="42"/>
      <c r="V22" s="42"/>
      <c r="W22" s="42"/>
      <c r="X22" s="42"/>
      <c r="Y22" s="42"/>
      <c r="Z22" s="42"/>
      <c r="AA22" s="42"/>
      <c r="AB22" s="1080"/>
      <c r="AC22" s="42"/>
      <c r="AD22" s="42"/>
      <c r="AE22" s="42"/>
      <c r="AF22" s="42"/>
      <c r="AG22" s="42"/>
      <c r="AH22" s="42"/>
      <c r="AI22" s="42"/>
      <c r="AJ22" s="42"/>
      <c r="AK22" s="42"/>
      <c r="AL22" s="42"/>
      <c r="AM22" s="42"/>
      <c r="AN22" s="42"/>
      <c r="AO22" s="65">
        <f>SUM(E22:AN22)</f>
        <v>0</v>
      </c>
      <c r="AP22" s="1185"/>
      <c r="AQ22" s="1185"/>
    </row>
    <row r="23" spans="1:43" s="2" customFormat="1" ht="15" thickBot="1" x14ac:dyDescent="0.4">
      <c r="A23" s="1177"/>
      <c r="B23" s="1180"/>
      <c r="C23" s="1183"/>
      <c r="D23" s="483" t="s">
        <v>178</v>
      </c>
      <c r="E23" s="484"/>
      <c r="F23" s="485"/>
      <c r="G23" s="486"/>
      <c r="H23" s="486"/>
      <c r="I23" s="486"/>
      <c r="J23" s="486"/>
      <c r="K23" s="486"/>
      <c r="L23" s="486"/>
      <c r="M23" s="486"/>
      <c r="N23" s="486"/>
      <c r="O23" s="486"/>
      <c r="P23" s="1081"/>
      <c r="Q23" s="485"/>
      <c r="R23" s="486"/>
      <c r="S23" s="486"/>
      <c r="T23" s="486"/>
      <c r="U23" s="486"/>
      <c r="V23" s="486"/>
      <c r="W23" s="486"/>
      <c r="X23" s="486"/>
      <c r="Y23" s="486"/>
      <c r="Z23" s="486"/>
      <c r="AA23" s="486"/>
      <c r="AB23" s="1081"/>
      <c r="AC23" s="486"/>
      <c r="AD23" s="486"/>
      <c r="AE23" s="486"/>
      <c r="AF23" s="486"/>
      <c r="AG23" s="486"/>
      <c r="AH23" s="486"/>
      <c r="AI23" s="486"/>
      <c r="AJ23" s="486"/>
      <c r="AK23" s="486"/>
      <c r="AL23" s="486"/>
      <c r="AM23" s="486"/>
      <c r="AN23" s="486"/>
      <c r="AO23" s="141"/>
      <c r="AP23" s="1186"/>
      <c r="AQ23" s="1186"/>
    </row>
    <row r="24" spans="1:43" ht="15" customHeight="1" x14ac:dyDescent="0.35">
      <c r="A24" s="1175">
        <v>4</v>
      </c>
      <c r="B24" s="1178" t="str">
        <f>IF(VLOOKUP(A:A,'Pivot Table'!Z:AD,5,FALSE)=0,"",VLOOKUP(A:A,'Pivot Table'!Z:AD,5,FALSE))</f>
        <v/>
      </c>
      <c r="C24" s="1181" t="str">
        <f>_xlfn.IFNA(VLOOKUP(A:A,'Pivot Table'!P:W,8,FALSE),"")</f>
        <v/>
      </c>
      <c r="D24" s="494" t="s">
        <v>172</v>
      </c>
      <c r="E24" s="495">
        <f>SUM(E25:E26)</f>
        <v>0</v>
      </c>
      <c r="F24" s="496">
        <f>SUM(F25:F26)</f>
        <v>0</v>
      </c>
      <c r="G24" s="496">
        <f t="shared" ref="G24:M24" si="18">SUM(G25:G26)</f>
        <v>0</v>
      </c>
      <c r="H24" s="496">
        <f t="shared" si="18"/>
        <v>0</v>
      </c>
      <c r="I24" s="496">
        <f t="shared" si="18"/>
        <v>0</v>
      </c>
      <c r="J24" s="496">
        <f t="shared" si="18"/>
        <v>0</v>
      </c>
      <c r="K24" s="496">
        <f t="shared" si="18"/>
        <v>0</v>
      </c>
      <c r="L24" s="496">
        <f t="shared" si="18"/>
        <v>0</v>
      </c>
      <c r="M24" s="496">
        <f t="shared" si="18"/>
        <v>0</v>
      </c>
      <c r="N24" s="496">
        <f>SUM(N25:N26)</f>
        <v>0</v>
      </c>
      <c r="O24" s="496">
        <f t="shared" ref="O24:AN24" si="19">SUM(O25:O26)</f>
        <v>0</v>
      </c>
      <c r="P24" s="496">
        <f t="shared" si="19"/>
        <v>0</v>
      </c>
      <c r="Q24" s="496">
        <f t="shared" si="19"/>
        <v>0</v>
      </c>
      <c r="R24" s="496">
        <f t="shared" si="19"/>
        <v>0</v>
      </c>
      <c r="S24" s="496">
        <f t="shared" si="19"/>
        <v>0</v>
      </c>
      <c r="T24" s="496">
        <f t="shared" si="19"/>
        <v>0</v>
      </c>
      <c r="U24" s="496">
        <f t="shared" si="19"/>
        <v>0</v>
      </c>
      <c r="V24" s="496">
        <f t="shared" si="19"/>
        <v>0</v>
      </c>
      <c r="W24" s="496">
        <f t="shared" si="19"/>
        <v>0</v>
      </c>
      <c r="X24" s="496">
        <f t="shared" si="19"/>
        <v>0</v>
      </c>
      <c r="Y24" s="496">
        <f t="shared" si="19"/>
        <v>0</v>
      </c>
      <c r="Z24" s="496">
        <f t="shared" si="19"/>
        <v>0</v>
      </c>
      <c r="AA24" s="496">
        <f t="shared" si="19"/>
        <v>0</v>
      </c>
      <c r="AB24" s="496">
        <f t="shared" si="19"/>
        <v>0</v>
      </c>
      <c r="AC24" s="496">
        <f t="shared" si="19"/>
        <v>0</v>
      </c>
      <c r="AD24" s="496">
        <f t="shared" si="19"/>
        <v>0</v>
      </c>
      <c r="AE24" s="496">
        <f t="shared" si="19"/>
        <v>0</v>
      </c>
      <c r="AF24" s="496">
        <f t="shared" si="19"/>
        <v>0</v>
      </c>
      <c r="AG24" s="496">
        <f t="shared" si="19"/>
        <v>0</v>
      </c>
      <c r="AH24" s="496">
        <f t="shared" si="19"/>
        <v>0</v>
      </c>
      <c r="AI24" s="496">
        <f t="shared" si="19"/>
        <v>0</v>
      </c>
      <c r="AJ24" s="496">
        <f t="shared" si="19"/>
        <v>0</v>
      </c>
      <c r="AK24" s="496">
        <f t="shared" si="19"/>
        <v>0</v>
      </c>
      <c r="AL24" s="496">
        <f t="shared" si="19"/>
        <v>0</v>
      </c>
      <c r="AM24" s="496">
        <f t="shared" si="19"/>
        <v>0</v>
      </c>
      <c r="AN24" s="496">
        <f t="shared" si="19"/>
        <v>0</v>
      </c>
      <c r="AO24" s="497"/>
      <c r="AP24" s="1184"/>
      <c r="AQ24" s="1184"/>
    </row>
    <row r="25" spans="1:43" x14ac:dyDescent="0.35">
      <c r="A25" s="1176"/>
      <c r="B25" s="1179"/>
      <c r="C25" s="1182"/>
      <c r="D25" s="479" t="s">
        <v>173</v>
      </c>
      <c r="E25" s="476"/>
      <c r="F25" s="477"/>
      <c r="G25" s="478"/>
      <c r="H25" s="478"/>
      <c r="I25" s="478"/>
      <c r="J25" s="478"/>
      <c r="K25" s="478"/>
      <c r="L25" s="478"/>
      <c r="M25" s="478"/>
      <c r="N25" s="478"/>
      <c r="O25" s="478"/>
      <c r="P25" s="1078"/>
      <c r="Q25" s="477"/>
      <c r="R25" s="478"/>
      <c r="S25" s="478"/>
      <c r="T25" s="478"/>
      <c r="U25" s="478"/>
      <c r="V25" s="478"/>
      <c r="W25" s="478"/>
      <c r="X25" s="478"/>
      <c r="Y25" s="478"/>
      <c r="Z25" s="478"/>
      <c r="AA25" s="478"/>
      <c r="AB25" s="1078"/>
      <c r="AC25" s="478"/>
      <c r="AD25" s="478"/>
      <c r="AE25" s="478"/>
      <c r="AF25" s="478"/>
      <c r="AG25" s="478"/>
      <c r="AH25" s="478"/>
      <c r="AI25" s="478"/>
      <c r="AJ25" s="478"/>
      <c r="AK25" s="478"/>
      <c r="AL25" s="478"/>
      <c r="AM25" s="478"/>
      <c r="AN25" s="478"/>
      <c r="AO25" s="65">
        <f>SUM(E25:AN25)</f>
        <v>0</v>
      </c>
      <c r="AP25" s="1185"/>
      <c r="AQ25" s="1185"/>
    </row>
    <row r="26" spans="1:43" ht="15" thickBot="1" x14ac:dyDescent="0.4">
      <c r="A26" s="1176"/>
      <c r="B26" s="1179"/>
      <c r="C26" s="1182"/>
      <c r="D26" s="480" t="s">
        <v>174</v>
      </c>
      <c r="E26" s="473"/>
      <c r="F26" s="474"/>
      <c r="G26" s="475"/>
      <c r="H26" s="475"/>
      <c r="I26" s="475"/>
      <c r="J26" s="475"/>
      <c r="K26" s="475"/>
      <c r="L26" s="475"/>
      <c r="M26" s="475"/>
      <c r="N26" s="475"/>
      <c r="O26" s="475"/>
      <c r="P26" s="1079"/>
      <c r="Q26" s="474"/>
      <c r="R26" s="475"/>
      <c r="S26" s="475"/>
      <c r="T26" s="475"/>
      <c r="U26" s="475"/>
      <c r="V26" s="475"/>
      <c r="W26" s="475"/>
      <c r="X26" s="475"/>
      <c r="Y26" s="475"/>
      <c r="Z26" s="475"/>
      <c r="AA26" s="475"/>
      <c r="AB26" s="1079"/>
      <c r="AC26" s="475"/>
      <c r="AD26" s="475"/>
      <c r="AE26" s="475"/>
      <c r="AF26" s="475"/>
      <c r="AG26" s="475"/>
      <c r="AH26" s="475"/>
      <c r="AI26" s="475"/>
      <c r="AJ26" s="475"/>
      <c r="AK26" s="475"/>
      <c r="AL26" s="475"/>
      <c r="AM26" s="475"/>
      <c r="AN26" s="475"/>
      <c r="AO26" s="65"/>
      <c r="AP26" s="1185"/>
      <c r="AQ26" s="1185"/>
    </row>
    <row r="27" spans="1:43" s="10" customFormat="1" ht="14.5" customHeight="1" thickBot="1" x14ac:dyDescent="0.4">
      <c r="A27" s="1176"/>
      <c r="B27" s="1179"/>
      <c r="C27" s="1182"/>
      <c r="D27" s="1187" t="s">
        <v>175</v>
      </c>
      <c r="E27" s="1188"/>
      <c r="F27" s="1188"/>
      <c r="G27" s="1188"/>
      <c r="H27" s="1188"/>
      <c r="I27" s="1188"/>
      <c r="J27" s="1188"/>
      <c r="K27" s="1188"/>
      <c r="L27" s="1188"/>
      <c r="M27" s="1188"/>
      <c r="N27" s="1188"/>
      <c r="O27" s="1188"/>
      <c r="P27" s="1188"/>
      <c r="Q27" s="1188"/>
      <c r="R27" s="1188"/>
      <c r="S27" s="1188"/>
      <c r="T27" s="1188"/>
      <c r="U27" s="1188"/>
      <c r="V27" s="1188"/>
      <c r="W27" s="1188"/>
      <c r="X27" s="1188"/>
      <c r="Y27" s="1188"/>
      <c r="Z27" s="1188"/>
      <c r="AA27" s="1188"/>
      <c r="AB27" s="1188"/>
      <c r="AC27" s="1188"/>
      <c r="AD27" s="1188"/>
      <c r="AE27" s="1188"/>
      <c r="AF27" s="1188"/>
      <c r="AG27" s="1188"/>
      <c r="AH27" s="1188"/>
      <c r="AI27" s="1188"/>
      <c r="AJ27" s="1188"/>
      <c r="AK27" s="1188"/>
      <c r="AL27" s="1188"/>
      <c r="AM27" s="1188"/>
      <c r="AN27" s="1188"/>
      <c r="AO27" s="349" t="e">
        <f>SUM(E29:AN29)/AO25*100%</f>
        <v>#DIV/0!</v>
      </c>
      <c r="AP27" s="1185"/>
      <c r="AQ27" s="1185"/>
    </row>
    <row r="28" spans="1:43" s="10" customFormat="1" ht="14.5" customHeight="1" x14ac:dyDescent="0.35">
      <c r="A28" s="1176"/>
      <c r="B28" s="1179"/>
      <c r="C28" s="1182"/>
      <c r="D28" s="481" t="s">
        <v>176</v>
      </c>
      <c r="E28" s="487">
        <f>SUM(E29:E30)</f>
        <v>0</v>
      </c>
      <c r="F28" s="488">
        <f>SUM(F29:F30)</f>
        <v>0</v>
      </c>
      <c r="G28" s="488">
        <f t="shared" ref="G28:AN28" si="20">SUM(G29:G30)</f>
        <v>0</v>
      </c>
      <c r="H28" s="488">
        <f t="shared" si="20"/>
        <v>0</v>
      </c>
      <c r="I28" s="488">
        <f t="shared" si="20"/>
        <v>0</v>
      </c>
      <c r="J28" s="488">
        <f t="shared" si="20"/>
        <v>0</v>
      </c>
      <c r="K28" s="488">
        <f t="shared" si="20"/>
        <v>0</v>
      </c>
      <c r="L28" s="488">
        <f t="shared" si="20"/>
        <v>0</v>
      </c>
      <c r="M28" s="488">
        <f t="shared" si="20"/>
        <v>0</v>
      </c>
      <c r="N28" s="488">
        <f t="shared" si="20"/>
        <v>0</v>
      </c>
      <c r="O28" s="488">
        <f t="shared" si="20"/>
        <v>0</v>
      </c>
      <c r="P28" s="488">
        <f t="shared" si="20"/>
        <v>0</v>
      </c>
      <c r="Q28" s="488">
        <f t="shared" si="20"/>
        <v>0</v>
      </c>
      <c r="R28" s="488">
        <f t="shared" si="20"/>
        <v>0</v>
      </c>
      <c r="S28" s="488">
        <f t="shared" si="20"/>
        <v>0</v>
      </c>
      <c r="T28" s="488">
        <f t="shared" si="20"/>
        <v>0</v>
      </c>
      <c r="U28" s="488">
        <f t="shared" si="20"/>
        <v>0</v>
      </c>
      <c r="V28" s="488">
        <f t="shared" si="20"/>
        <v>0</v>
      </c>
      <c r="W28" s="488">
        <f t="shared" si="20"/>
        <v>0</v>
      </c>
      <c r="X28" s="488">
        <f t="shared" si="20"/>
        <v>0</v>
      </c>
      <c r="Y28" s="488">
        <f t="shared" si="20"/>
        <v>0</v>
      </c>
      <c r="Z28" s="488">
        <f t="shared" si="20"/>
        <v>0</v>
      </c>
      <c r="AA28" s="488">
        <f t="shared" si="20"/>
        <v>0</v>
      </c>
      <c r="AB28" s="488">
        <f t="shared" si="20"/>
        <v>0</v>
      </c>
      <c r="AC28" s="488">
        <f t="shared" si="20"/>
        <v>0</v>
      </c>
      <c r="AD28" s="488">
        <f t="shared" si="20"/>
        <v>0</v>
      </c>
      <c r="AE28" s="488">
        <f t="shared" si="20"/>
        <v>0</v>
      </c>
      <c r="AF28" s="488">
        <f t="shared" si="20"/>
        <v>0</v>
      </c>
      <c r="AG28" s="488">
        <f t="shared" si="20"/>
        <v>0</v>
      </c>
      <c r="AH28" s="488">
        <f t="shared" si="20"/>
        <v>0</v>
      </c>
      <c r="AI28" s="488">
        <f t="shared" si="20"/>
        <v>0</v>
      </c>
      <c r="AJ28" s="488">
        <f t="shared" si="20"/>
        <v>0</v>
      </c>
      <c r="AK28" s="488">
        <f t="shared" si="20"/>
        <v>0</v>
      </c>
      <c r="AL28" s="488">
        <f t="shared" si="20"/>
        <v>0</v>
      </c>
      <c r="AM28" s="488">
        <f t="shared" si="20"/>
        <v>0</v>
      </c>
      <c r="AN28" s="488">
        <f t="shared" si="20"/>
        <v>0</v>
      </c>
      <c r="AO28" s="136"/>
      <c r="AP28" s="1185"/>
      <c r="AQ28" s="1185"/>
    </row>
    <row r="29" spans="1:43" s="2" customFormat="1" x14ac:dyDescent="0.35">
      <c r="A29" s="1176"/>
      <c r="B29" s="1179"/>
      <c r="C29" s="1182"/>
      <c r="D29" s="482" t="s">
        <v>177</v>
      </c>
      <c r="E29" s="40"/>
      <c r="F29" s="41"/>
      <c r="G29" s="42"/>
      <c r="H29" s="42"/>
      <c r="I29" s="42"/>
      <c r="J29" s="42"/>
      <c r="K29" s="42"/>
      <c r="L29" s="42"/>
      <c r="M29" s="42"/>
      <c r="N29" s="42"/>
      <c r="O29" s="42"/>
      <c r="P29" s="1080"/>
      <c r="Q29" s="41"/>
      <c r="R29" s="42"/>
      <c r="S29" s="42"/>
      <c r="T29" s="42"/>
      <c r="U29" s="42"/>
      <c r="V29" s="42"/>
      <c r="W29" s="42"/>
      <c r="X29" s="42"/>
      <c r="Y29" s="42"/>
      <c r="Z29" s="42"/>
      <c r="AA29" s="42"/>
      <c r="AB29" s="1080"/>
      <c r="AC29" s="42"/>
      <c r="AD29" s="42"/>
      <c r="AE29" s="42"/>
      <c r="AF29" s="42"/>
      <c r="AG29" s="42"/>
      <c r="AH29" s="42"/>
      <c r="AI29" s="42"/>
      <c r="AJ29" s="42"/>
      <c r="AK29" s="42"/>
      <c r="AL29" s="42"/>
      <c r="AM29" s="42"/>
      <c r="AN29" s="42"/>
      <c r="AO29" s="65">
        <f>SUM(E29:AN29)</f>
        <v>0</v>
      </c>
      <c r="AP29" s="1185"/>
      <c r="AQ29" s="1185"/>
    </row>
    <row r="30" spans="1:43" s="2" customFormat="1" ht="15" thickBot="1" x14ac:dyDescent="0.4">
      <c r="A30" s="1177"/>
      <c r="B30" s="1180"/>
      <c r="C30" s="1183"/>
      <c r="D30" s="483" t="s">
        <v>178</v>
      </c>
      <c r="E30" s="484"/>
      <c r="F30" s="485"/>
      <c r="G30" s="486"/>
      <c r="H30" s="486"/>
      <c r="I30" s="486"/>
      <c r="J30" s="486"/>
      <c r="K30" s="486"/>
      <c r="L30" s="486"/>
      <c r="M30" s="486"/>
      <c r="N30" s="486"/>
      <c r="O30" s="486"/>
      <c r="P30" s="1081"/>
      <c r="Q30" s="485"/>
      <c r="R30" s="486"/>
      <c r="S30" s="486"/>
      <c r="T30" s="486"/>
      <c r="U30" s="486"/>
      <c r="V30" s="486"/>
      <c r="W30" s="486"/>
      <c r="X30" s="486"/>
      <c r="Y30" s="486"/>
      <c r="Z30" s="486"/>
      <c r="AA30" s="486"/>
      <c r="AB30" s="1081"/>
      <c r="AC30" s="486"/>
      <c r="AD30" s="486"/>
      <c r="AE30" s="486"/>
      <c r="AF30" s="486"/>
      <c r="AG30" s="486"/>
      <c r="AH30" s="486"/>
      <c r="AI30" s="486"/>
      <c r="AJ30" s="486"/>
      <c r="AK30" s="486"/>
      <c r="AL30" s="486"/>
      <c r="AM30" s="486"/>
      <c r="AN30" s="486"/>
      <c r="AO30" s="141"/>
      <c r="AP30" s="1186"/>
      <c r="AQ30" s="1186"/>
    </row>
    <row r="31" spans="1:43" ht="15" customHeight="1" x14ac:dyDescent="0.35">
      <c r="A31" s="1175">
        <v>5</v>
      </c>
      <c r="B31" s="1178" t="str">
        <f>IF(VLOOKUP(A:A,'Pivot Table'!Z:AD,5,FALSE)=0,"",VLOOKUP(A:A,'Pivot Table'!Z:AD,5,FALSE))</f>
        <v/>
      </c>
      <c r="C31" s="1181" t="str">
        <f>_xlfn.IFNA(VLOOKUP(A:A,'Pivot Table'!P:W,8,FALSE),"")</f>
        <v/>
      </c>
      <c r="D31" s="494" t="s">
        <v>172</v>
      </c>
      <c r="E31" s="495">
        <f>SUM(E32:E33)</f>
        <v>0</v>
      </c>
      <c r="F31" s="496">
        <f>SUM(F32:F33)</f>
        <v>0</v>
      </c>
      <c r="G31" s="496">
        <f t="shared" ref="G31:M31" si="21">SUM(G32:G33)</f>
        <v>0</v>
      </c>
      <c r="H31" s="496">
        <f t="shared" si="21"/>
        <v>0</v>
      </c>
      <c r="I31" s="496">
        <f t="shared" si="21"/>
        <v>0</v>
      </c>
      <c r="J31" s="496">
        <f t="shared" si="21"/>
        <v>0</v>
      </c>
      <c r="K31" s="496">
        <f t="shared" si="21"/>
        <v>0</v>
      </c>
      <c r="L31" s="496">
        <f t="shared" si="21"/>
        <v>0</v>
      </c>
      <c r="M31" s="496">
        <f t="shared" si="21"/>
        <v>0</v>
      </c>
      <c r="N31" s="496">
        <f>SUM(N32:N33)</f>
        <v>0</v>
      </c>
      <c r="O31" s="496">
        <f t="shared" ref="O31:AN31" si="22">SUM(O32:O33)</f>
        <v>0</v>
      </c>
      <c r="P31" s="496">
        <f t="shared" si="22"/>
        <v>0</v>
      </c>
      <c r="Q31" s="496">
        <f t="shared" si="22"/>
        <v>0</v>
      </c>
      <c r="R31" s="496">
        <f t="shared" si="22"/>
        <v>0</v>
      </c>
      <c r="S31" s="496">
        <f t="shared" si="22"/>
        <v>0</v>
      </c>
      <c r="T31" s="496">
        <f t="shared" si="22"/>
        <v>0</v>
      </c>
      <c r="U31" s="496">
        <f t="shared" si="22"/>
        <v>0</v>
      </c>
      <c r="V31" s="496">
        <f t="shared" si="22"/>
        <v>0</v>
      </c>
      <c r="W31" s="496">
        <f t="shared" si="22"/>
        <v>0</v>
      </c>
      <c r="X31" s="496">
        <f t="shared" si="22"/>
        <v>0</v>
      </c>
      <c r="Y31" s="496">
        <f t="shared" si="22"/>
        <v>0</v>
      </c>
      <c r="Z31" s="496">
        <f t="shared" si="22"/>
        <v>0</v>
      </c>
      <c r="AA31" s="496">
        <f t="shared" si="22"/>
        <v>0</v>
      </c>
      <c r="AB31" s="496">
        <f t="shared" si="22"/>
        <v>0</v>
      </c>
      <c r="AC31" s="496">
        <f t="shared" si="22"/>
        <v>0</v>
      </c>
      <c r="AD31" s="496">
        <f t="shared" si="22"/>
        <v>0</v>
      </c>
      <c r="AE31" s="496">
        <f t="shared" si="22"/>
        <v>0</v>
      </c>
      <c r="AF31" s="496">
        <f t="shared" si="22"/>
        <v>0</v>
      </c>
      <c r="AG31" s="496">
        <f t="shared" si="22"/>
        <v>0</v>
      </c>
      <c r="AH31" s="496">
        <f t="shared" si="22"/>
        <v>0</v>
      </c>
      <c r="AI31" s="496">
        <f t="shared" si="22"/>
        <v>0</v>
      </c>
      <c r="AJ31" s="496">
        <f t="shared" si="22"/>
        <v>0</v>
      </c>
      <c r="AK31" s="496">
        <f t="shared" si="22"/>
        <v>0</v>
      </c>
      <c r="AL31" s="496">
        <f t="shared" si="22"/>
        <v>0</v>
      </c>
      <c r="AM31" s="496">
        <f t="shared" si="22"/>
        <v>0</v>
      </c>
      <c r="AN31" s="496">
        <f t="shared" si="22"/>
        <v>0</v>
      </c>
      <c r="AO31" s="497"/>
      <c r="AP31" s="1184"/>
      <c r="AQ31" s="1184"/>
    </row>
    <row r="32" spans="1:43" x14ac:dyDescent="0.35">
      <c r="A32" s="1176"/>
      <c r="B32" s="1179"/>
      <c r="C32" s="1182"/>
      <c r="D32" s="479" t="s">
        <v>173</v>
      </c>
      <c r="E32" s="476"/>
      <c r="F32" s="477"/>
      <c r="G32" s="478"/>
      <c r="H32" s="478"/>
      <c r="I32" s="478"/>
      <c r="J32" s="478"/>
      <c r="K32" s="478"/>
      <c r="L32" s="478"/>
      <c r="M32" s="478"/>
      <c r="N32" s="478"/>
      <c r="O32" s="478"/>
      <c r="P32" s="1078"/>
      <c r="Q32" s="477"/>
      <c r="R32" s="478"/>
      <c r="S32" s="478"/>
      <c r="T32" s="478"/>
      <c r="U32" s="478"/>
      <c r="V32" s="478"/>
      <c r="W32" s="478"/>
      <c r="X32" s="478"/>
      <c r="Y32" s="478"/>
      <c r="Z32" s="478"/>
      <c r="AA32" s="478"/>
      <c r="AB32" s="1078"/>
      <c r="AC32" s="478"/>
      <c r="AD32" s="478"/>
      <c r="AE32" s="478"/>
      <c r="AF32" s="478"/>
      <c r="AG32" s="478"/>
      <c r="AH32" s="478"/>
      <c r="AI32" s="478"/>
      <c r="AJ32" s="478"/>
      <c r="AK32" s="478"/>
      <c r="AL32" s="478"/>
      <c r="AM32" s="478"/>
      <c r="AN32" s="478"/>
      <c r="AO32" s="65">
        <f>SUM(E32:AN32)</f>
        <v>0</v>
      </c>
      <c r="AP32" s="1185"/>
      <c r="AQ32" s="1185"/>
    </row>
    <row r="33" spans="1:43" ht="15" thickBot="1" x14ac:dyDescent="0.4">
      <c r="A33" s="1176"/>
      <c r="B33" s="1179"/>
      <c r="C33" s="1182"/>
      <c r="D33" s="480" t="s">
        <v>174</v>
      </c>
      <c r="E33" s="473"/>
      <c r="F33" s="474"/>
      <c r="G33" s="475"/>
      <c r="H33" s="475"/>
      <c r="I33" s="475"/>
      <c r="J33" s="475"/>
      <c r="K33" s="475"/>
      <c r="L33" s="475"/>
      <c r="M33" s="475"/>
      <c r="N33" s="475"/>
      <c r="O33" s="475"/>
      <c r="P33" s="1079"/>
      <c r="Q33" s="474"/>
      <c r="R33" s="475"/>
      <c r="S33" s="475"/>
      <c r="T33" s="475"/>
      <c r="U33" s="475"/>
      <c r="V33" s="475"/>
      <c r="W33" s="475"/>
      <c r="X33" s="475"/>
      <c r="Y33" s="475"/>
      <c r="Z33" s="475"/>
      <c r="AA33" s="475"/>
      <c r="AB33" s="1079"/>
      <c r="AC33" s="475"/>
      <c r="AD33" s="475"/>
      <c r="AE33" s="475"/>
      <c r="AF33" s="475"/>
      <c r="AG33" s="475"/>
      <c r="AH33" s="475"/>
      <c r="AI33" s="475"/>
      <c r="AJ33" s="475"/>
      <c r="AK33" s="475"/>
      <c r="AL33" s="475"/>
      <c r="AM33" s="475"/>
      <c r="AN33" s="475"/>
      <c r="AO33" s="65"/>
      <c r="AP33" s="1185"/>
      <c r="AQ33" s="1185"/>
    </row>
    <row r="34" spans="1:43" s="10" customFormat="1" ht="14.5" customHeight="1" thickBot="1" x14ac:dyDescent="0.4">
      <c r="A34" s="1176"/>
      <c r="B34" s="1179"/>
      <c r="C34" s="1182"/>
      <c r="D34" s="1187" t="s">
        <v>175</v>
      </c>
      <c r="E34" s="1188"/>
      <c r="F34" s="1188"/>
      <c r="G34" s="1188"/>
      <c r="H34" s="1188"/>
      <c r="I34" s="1188"/>
      <c r="J34" s="1188"/>
      <c r="K34" s="1188"/>
      <c r="L34" s="1188"/>
      <c r="M34" s="1188"/>
      <c r="N34" s="1188"/>
      <c r="O34" s="1188"/>
      <c r="P34" s="1188"/>
      <c r="Q34" s="1188"/>
      <c r="R34" s="1188"/>
      <c r="S34" s="1188"/>
      <c r="T34" s="1188"/>
      <c r="U34" s="1188"/>
      <c r="V34" s="1188"/>
      <c r="W34" s="1188"/>
      <c r="X34" s="1188"/>
      <c r="Y34" s="1188"/>
      <c r="Z34" s="1188"/>
      <c r="AA34" s="1188"/>
      <c r="AB34" s="1188"/>
      <c r="AC34" s="1188"/>
      <c r="AD34" s="1188"/>
      <c r="AE34" s="1188"/>
      <c r="AF34" s="1188"/>
      <c r="AG34" s="1188"/>
      <c r="AH34" s="1188"/>
      <c r="AI34" s="1188"/>
      <c r="AJ34" s="1188"/>
      <c r="AK34" s="1188"/>
      <c r="AL34" s="1188"/>
      <c r="AM34" s="1188"/>
      <c r="AN34" s="1188"/>
      <c r="AO34" s="349" t="e">
        <f>SUM(E36:AN36)/AO32*100%</f>
        <v>#DIV/0!</v>
      </c>
      <c r="AP34" s="1185"/>
      <c r="AQ34" s="1185"/>
    </row>
    <row r="35" spans="1:43" s="10" customFormat="1" ht="14.5" customHeight="1" x14ac:dyDescent="0.35">
      <c r="A35" s="1176"/>
      <c r="B35" s="1179"/>
      <c r="C35" s="1182"/>
      <c r="D35" s="481" t="s">
        <v>176</v>
      </c>
      <c r="E35" s="487">
        <f>SUM(E36:E37)</f>
        <v>0</v>
      </c>
      <c r="F35" s="488">
        <f>SUM(F36:F37)</f>
        <v>0</v>
      </c>
      <c r="G35" s="488">
        <f t="shared" ref="G35:AN35" si="23">SUM(G36:G37)</f>
        <v>0</v>
      </c>
      <c r="H35" s="488">
        <f t="shared" si="23"/>
        <v>0</v>
      </c>
      <c r="I35" s="488">
        <f t="shared" si="23"/>
        <v>0</v>
      </c>
      <c r="J35" s="488">
        <f t="shared" si="23"/>
        <v>0</v>
      </c>
      <c r="K35" s="488">
        <f t="shared" si="23"/>
        <v>0</v>
      </c>
      <c r="L35" s="488">
        <f t="shared" si="23"/>
        <v>0</v>
      </c>
      <c r="M35" s="488">
        <f t="shared" si="23"/>
        <v>0</v>
      </c>
      <c r="N35" s="488">
        <f t="shared" si="23"/>
        <v>0</v>
      </c>
      <c r="O35" s="488">
        <f t="shared" si="23"/>
        <v>0</v>
      </c>
      <c r="P35" s="488">
        <f t="shared" si="23"/>
        <v>0</v>
      </c>
      <c r="Q35" s="488">
        <f t="shared" si="23"/>
        <v>0</v>
      </c>
      <c r="R35" s="488">
        <f t="shared" si="23"/>
        <v>0</v>
      </c>
      <c r="S35" s="488">
        <f t="shared" si="23"/>
        <v>0</v>
      </c>
      <c r="T35" s="488">
        <f t="shared" si="23"/>
        <v>0</v>
      </c>
      <c r="U35" s="488">
        <f t="shared" si="23"/>
        <v>0</v>
      </c>
      <c r="V35" s="488">
        <f t="shared" si="23"/>
        <v>0</v>
      </c>
      <c r="W35" s="488">
        <f t="shared" si="23"/>
        <v>0</v>
      </c>
      <c r="X35" s="488">
        <f t="shared" si="23"/>
        <v>0</v>
      </c>
      <c r="Y35" s="488">
        <f t="shared" si="23"/>
        <v>0</v>
      </c>
      <c r="Z35" s="488">
        <f t="shared" si="23"/>
        <v>0</v>
      </c>
      <c r="AA35" s="488">
        <f t="shared" si="23"/>
        <v>0</v>
      </c>
      <c r="AB35" s="488">
        <f t="shared" si="23"/>
        <v>0</v>
      </c>
      <c r="AC35" s="488">
        <f t="shared" si="23"/>
        <v>0</v>
      </c>
      <c r="AD35" s="488">
        <f t="shared" si="23"/>
        <v>0</v>
      </c>
      <c r="AE35" s="488">
        <f t="shared" si="23"/>
        <v>0</v>
      </c>
      <c r="AF35" s="488">
        <f t="shared" si="23"/>
        <v>0</v>
      </c>
      <c r="AG35" s="488">
        <f t="shared" si="23"/>
        <v>0</v>
      </c>
      <c r="AH35" s="488">
        <f t="shared" si="23"/>
        <v>0</v>
      </c>
      <c r="AI35" s="488">
        <f t="shared" si="23"/>
        <v>0</v>
      </c>
      <c r="AJ35" s="488">
        <f t="shared" si="23"/>
        <v>0</v>
      </c>
      <c r="AK35" s="488">
        <f t="shared" si="23"/>
        <v>0</v>
      </c>
      <c r="AL35" s="488">
        <f t="shared" si="23"/>
        <v>0</v>
      </c>
      <c r="AM35" s="488">
        <f t="shared" si="23"/>
        <v>0</v>
      </c>
      <c r="AN35" s="488">
        <f t="shared" si="23"/>
        <v>0</v>
      </c>
      <c r="AO35" s="136"/>
      <c r="AP35" s="1185"/>
      <c r="AQ35" s="1185"/>
    </row>
    <row r="36" spans="1:43" s="2" customFormat="1" x14ac:dyDescent="0.35">
      <c r="A36" s="1176"/>
      <c r="B36" s="1179"/>
      <c r="C36" s="1182"/>
      <c r="D36" s="482" t="s">
        <v>177</v>
      </c>
      <c r="E36" s="40"/>
      <c r="F36" s="41"/>
      <c r="G36" s="42"/>
      <c r="H36" s="42"/>
      <c r="I36" s="42"/>
      <c r="J36" s="42"/>
      <c r="K36" s="42"/>
      <c r="L36" s="42"/>
      <c r="M36" s="42"/>
      <c r="N36" s="42"/>
      <c r="O36" s="42"/>
      <c r="P36" s="1080"/>
      <c r="Q36" s="41"/>
      <c r="R36" s="42"/>
      <c r="S36" s="42"/>
      <c r="T36" s="42"/>
      <c r="U36" s="42"/>
      <c r="V36" s="42"/>
      <c r="W36" s="42"/>
      <c r="X36" s="42"/>
      <c r="Y36" s="42"/>
      <c r="Z36" s="42"/>
      <c r="AA36" s="42"/>
      <c r="AB36" s="1080"/>
      <c r="AC36" s="42"/>
      <c r="AD36" s="42"/>
      <c r="AE36" s="42"/>
      <c r="AF36" s="42"/>
      <c r="AG36" s="42"/>
      <c r="AH36" s="42"/>
      <c r="AI36" s="42"/>
      <c r="AJ36" s="42"/>
      <c r="AK36" s="42"/>
      <c r="AL36" s="42"/>
      <c r="AM36" s="42"/>
      <c r="AN36" s="42"/>
      <c r="AO36" s="65">
        <f>SUM(E36:AN36)</f>
        <v>0</v>
      </c>
      <c r="AP36" s="1185"/>
      <c r="AQ36" s="1185"/>
    </row>
    <row r="37" spans="1:43" s="2" customFormat="1" ht="15" thickBot="1" x14ac:dyDescent="0.4">
      <c r="A37" s="1177"/>
      <c r="B37" s="1180"/>
      <c r="C37" s="1183"/>
      <c r="D37" s="483" t="s">
        <v>178</v>
      </c>
      <c r="E37" s="484"/>
      <c r="F37" s="485"/>
      <c r="G37" s="486"/>
      <c r="H37" s="486"/>
      <c r="I37" s="486"/>
      <c r="J37" s="486"/>
      <c r="K37" s="486"/>
      <c r="L37" s="486"/>
      <c r="M37" s="486"/>
      <c r="N37" s="486"/>
      <c r="O37" s="486"/>
      <c r="P37" s="1081"/>
      <c r="Q37" s="485"/>
      <c r="R37" s="486"/>
      <c r="S37" s="486"/>
      <c r="T37" s="486"/>
      <c r="U37" s="486"/>
      <c r="V37" s="486"/>
      <c r="W37" s="486"/>
      <c r="X37" s="486"/>
      <c r="Y37" s="486"/>
      <c r="Z37" s="486"/>
      <c r="AA37" s="486"/>
      <c r="AB37" s="1081"/>
      <c r="AC37" s="486"/>
      <c r="AD37" s="486"/>
      <c r="AE37" s="486"/>
      <c r="AF37" s="486"/>
      <c r="AG37" s="486"/>
      <c r="AH37" s="486"/>
      <c r="AI37" s="486"/>
      <c r="AJ37" s="486"/>
      <c r="AK37" s="486"/>
      <c r="AL37" s="486"/>
      <c r="AM37" s="486"/>
      <c r="AN37" s="486"/>
      <c r="AO37" s="141"/>
      <c r="AP37" s="1186"/>
      <c r="AQ37" s="1186"/>
    </row>
    <row r="38" spans="1:43" ht="15" customHeight="1" x14ac:dyDescent="0.35">
      <c r="A38" s="1175">
        <v>6</v>
      </c>
      <c r="B38" s="1178" t="str">
        <f>IF(VLOOKUP(A:A,'Pivot Table'!Z:AD,5,FALSE)=0,"",VLOOKUP(A:A,'Pivot Table'!Z:AD,5,FALSE))</f>
        <v/>
      </c>
      <c r="C38" s="1181" t="str">
        <f>_xlfn.IFNA(VLOOKUP(A:A,'Pivot Table'!P:W,8,FALSE),"")</f>
        <v/>
      </c>
      <c r="D38" s="494" t="s">
        <v>172</v>
      </c>
      <c r="E38" s="495">
        <f>SUM(E39:E40)</f>
        <v>0</v>
      </c>
      <c r="F38" s="496">
        <f>SUM(F39:F40)</f>
        <v>0</v>
      </c>
      <c r="G38" s="496">
        <f t="shared" ref="G38:M38" si="24">SUM(G39:G40)</f>
        <v>0</v>
      </c>
      <c r="H38" s="496">
        <f t="shared" si="24"/>
        <v>0</v>
      </c>
      <c r="I38" s="496">
        <f t="shared" si="24"/>
        <v>0</v>
      </c>
      <c r="J38" s="496">
        <f t="shared" si="24"/>
        <v>0</v>
      </c>
      <c r="K38" s="496">
        <f t="shared" si="24"/>
        <v>0</v>
      </c>
      <c r="L38" s="496">
        <f t="shared" si="24"/>
        <v>0</v>
      </c>
      <c r="M38" s="496">
        <f t="shared" si="24"/>
        <v>0</v>
      </c>
      <c r="N38" s="496">
        <f>SUM(N39:N40)</f>
        <v>0</v>
      </c>
      <c r="O38" s="496">
        <f t="shared" ref="O38:AN38" si="25">SUM(O39:O40)</f>
        <v>0</v>
      </c>
      <c r="P38" s="496">
        <f t="shared" si="25"/>
        <v>0</v>
      </c>
      <c r="Q38" s="496">
        <f t="shared" si="25"/>
        <v>0</v>
      </c>
      <c r="R38" s="496">
        <f t="shared" si="25"/>
        <v>0</v>
      </c>
      <c r="S38" s="496">
        <f t="shared" si="25"/>
        <v>0</v>
      </c>
      <c r="T38" s="496">
        <f t="shared" si="25"/>
        <v>0</v>
      </c>
      <c r="U38" s="496">
        <f t="shared" si="25"/>
        <v>0</v>
      </c>
      <c r="V38" s="496">
        <f t="shared" si="25"/>
        <v>0</v>
      </c>
      <c r="W38" s="496">
        <f t="shared" si="25"/>
        <v>0</v>
      </c>
      <c r="X38" s="496">
        <f t="shared" si="25"/>
        <v>0</v>
      </c>
      <c r="Y38" s="496">
        <f t="shared" si="25"/>
        <v>0</v>
      </c>
      <c r="Z38" s="496">
        <f t="shared" si="25"/>
        <v>0</v>
      </c>
      <c r="AA38" s="496">
        <f t="shared" si="25"/>
        <v>0</v>
      </c>
      <c r="AB38" s="496">
        <f t="shared" si="25"/>
        <v>0</v>
      </c>
      <c r="AC38" s="496">
        <f t="shared" si="25"/>
        <v>0</v>
      </c>
      <c r="AD38" s="496">
        <f t="shared" si="25"/>
        <v>0</v>
      </c>
      <c r="AE38" s="496">
        <f t="shared" si="25"/>
        <v>0</v>
      </c>
      <c r="AF38" s="496">
        <f t="shared" si="25"/>
        <v>0</v>
      </c>
      <c r="AG38" s="496">
        <f t="shared" si="25"/>
        <v>0</v>
      </c>
      <c r="AH38" s="496">
        <f t="shared" si="25"/>
        <v>0</v>
      </c>
      <c r="AI38" s="496">
        <f t="shared" si="25"/>
        <v>0</v>
      </c>
      <c r="AJ38" s="496">
        <f t="shared" si="25"/>
        <v>0</v>
      </c>
      <c r="AK38" s="496">
        <f t="shared" si="25"/>
        <v>0</v>
      </c>
      <c r="AL38" s="496">
        <f t="shared" si="25"/>
        <v>0</v>
      </c>
      <c r="AM38" s="496">
        <f t="shared" si="25"/>
        <v>0</v>
      </c>
      <c r="AN38" s="496">
        <f t="shared" si="25"/>
        <v>0</v>
      </c>
      <c r="AO38" s="497"/>
      <c r="AP38" s="1184"/>
      <c r="AQ38" s="1184"/>
    </row>
    <row r="39" spans="1:43" x14ac:dyDescent="0.35">
      <c r="A39" s="1176"/>
      <c r="B39" s="1179"/>
      <c r="C39" s="1182"/>
      <c r="D39" s="479" t="s">
        <v>173</v>
      </c>
      <c r="E39" s="476"/>
      <c r="F39" s="477"/>
      <c r="G39" s="478"/>
      <c r="H39" s="478"/>
      <c r="I39" s="478"/>
      <c r="J39" s="478"/>
      <c r="K39" s="478"/>
      <c r="L39" s="478"/>
      <c r="M39" s="478"/>
      <c r="N39" s="478"/>
      <c r="O39" s="478"/>
      <c r="P39" s="1078"/>
      <c r="Q39" s="477"/>
      <c r="R39" s="478"/>
      <c r="S39" s="478"/>
      <c r="T39" s="478"/>
      <c r="U39" s="478"/>
      <c r="V39" s="478"/>
      <c r="W39" s="478"/>
      <c r="X39" s="478"/>
      <c r="Y39" s="478"/>
      <c r="Z39" s="478"/>
      <c r="AA39" s="478"/>
      <c r="AB39" s="1078"/>
      <c r="AC39" s="478"/>
      <c r="AD39" s="478"/>
      <c r="AE39" s="478"/>
      <c r="AF39" s="478"/>
      <c r="AG39" s="478"/>
      <c r="AH39" s="478"/>
      <c r="AI39" s="478"/>
      <c r="AJ39" s="478"/>
      <c r="AK39" s="478"/>
      <c r="AL39" s="478"/>
      <c r="AM39" s="478"/>
      <c r="AN39" s="478"/>
      <c r="AO39" s="65">
        <f>SUM(E39:AN39)</f>
        <v>0</v>
      </c>
      <c r="AP39" s="1185"/>
      <c r="AQ39" s="1185"/>
    </row>
    <row r="40" spans="1:43" ht="15" thickBot="1" x14ac:dyDescent="0.4">
      <c r="A40" s="1176"/>
      <c r="B40" s="1179"/>
      <c r="C40" s="1182"/>
      <c r="D40" s="480" t="s">
        <v>174</v>
      </c>
      <c r="E40" s="473"/>
      <c r="F40" s="474"/>
      <c r="G40" s="475"/>
      <c r="H40" s="475"/>
      <c r="I40" s="475"/>
      <c r="J40" s="475"/>
      <c r="K40" s="475"/>
      <c r="L40" s="475"/>
      <c r="M40" s="475"/>
      <c r="N40" s="475"/>
      <c r="O40" s="475"/>
      <c r="P40" s="1079"/>
      <c r="Q40" s="474"/>
      <c r="R40" s="475"/>
      <c r="S40" s="475"/>
      <c r="T40" s="475"/>
      <c r="U40" s="475"/>
      <c r="V40" s="475"/>
      <c r="W40" s="475"/>
      <c r="X40" s="475"/>
      <c r="Y40" s="475"/>
      <c r="Z40" s="475"/>
      <c r="AA40" s="475"/>
      <c r="AB40" s="1079"/>
      <c r="AC40" s="475"/>
      <c r="AD40" s="475"/>
      <c r="AE40" s="475"/>
      <c r="AF40" s="475"/>
      <c r="AG40" s="475"/>
      <c r="AH40" s="475"/>
      <c r="AI40" s="475"/>
      <c r="AJ40" s="475"/>
      <c r="AK40" s="475"/>
      <c r="AL40" s="475"/>
      <c r="AM40" s="475"/>
      <c r="AN40" s="475"/>
      <c r="AO40" s="65"/>
      <c r="AP40" s="1185"/>
      <c r="AQ40" s="1185"/>
    </row>
    <row r="41" spans="1:43" s="10" customFormat="1" ht="14.5" customHeight="1" thickBot="1" x14ac:dyDescent="0.4">
      <c r="A41" s="1176"/>
      <c r="B41" s="1179"/>
      <c r="C41" s="1182"/>
      <c r="D41" s="1187" t="s">
        <v>175</v>
      </c>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88"/>
      <c r="AM41" s="1188"/>
      <c r="AN41" s="1188"/>
      <c r="AO41" s="349" t="e">
        <f>SUM(E43:AN43)/AO39*100%</f>
        <v>#DIV/0!</v>
      </c>
      <c r="AP41" s="1185"/>
      <c r="AQ41" s="1185"/>
    </row>
    <row r="42" spans="1:43" s="10" customFormat="1" ht="14.5" customHeight="1" x14ac:dyDescent="0.35">
      <c r="A42" s="1176"/>
      <c r="B42" s="1179"/>
      <c r="C42" s="1182"/>
      <c r="D42" s="481" t="s">
        <v>176</v>
      </c>
      <c r="E42" s="487">
        <f>SUM(E43:E44)</f>
        <v>0</v>
      </c>
      <c r="F42" s="488">
        <f>SUM(F43:F44)</f>
        <v>0</v>
      </c>
      <c r="G42" s="488">
        <f t="shared" ref="G42:AN42" si="26">SUM(G43:G44)</f>
        <v>0</v>
      </c>
      <c r="H42" s="488">
        <f t="shared" si="26"/>
        <v>0</v>
      </c>
      <c r="I42" s="488">
        <f t="shared" si="26"/>
        <v>0</v>
      </c>
      <c r="J42" s="488">
        <f t="shared" si="26"/>
        <v>0</v>
      </c>
      <c r="K42" s="488">
        <f t="shared" si="26"/>
        <v>0</v>
      </c>
      <c r="L42" s="488">
        <f t="shared" si="26"/>
        <v>0</v>
      </c>
      <c r="M42" s="488">
        <f t="shared" si="26"/>
        <v>0</v>
      </c>
      <c r="N42" s="488">
        <f t="shared" si="26"/>
        <v>0</v>
      </c>
      <c r="O42" s="488">
        <f t="shared" si="26"/>
        <v>0</v>
      </c>
      <c r="P42" s="488">
        <f t="shared" si="26"/>
        <v>0</v>
      </c>
      <c r="Q42" s="488">
        <f t="shared" si="26"/>
        <v>0</v>
      </c>
      <c r="R42" s="488">
        <f t="shared" si="26"/>
        <v>0</v>
      </c>
      <c r="S42" s="488">
        <f t="shared" si="26"/>
        <v>0</v>
      </c>
      <c r="T42" s="488">
        <f t="shared" si="26"/>
        <v>0</v>
      </c>
      <c r="U42" s="488">
        <f t="shared" si="26"/>
        <v>0</v>
      </c>
      <c r="V42" s="488">
        <f t="shared" si="26"/>
        <v>0</v>
      </c>
      <c r="W42" s="488">
        <f t="shared" si="26"/>
        <v>0</v>
      </c>
      <c r="X42" s="488">
        <f t="shared" si="26"/>
        <v>0</v>
      </c>
      <c r="Y42" s="488">
        <f t="shared" si="26"/>
        <v>0</v>
      </c>
      <c r="Z42" s="488">
        <f t="shared" si="26"/>
        <v>0</v>
      </c>
      <c r="AA42" s="488">
        <f t="shared" si="26"/>
        <v>0</v>
      </c>
      <c r="AB42" s="488">
        <f t="shared" si="26"/>
        <v>0</v>
      </c>
      <c r="AC42" s="488">
        <f t="shared" si="26"/>
        <v>0</v>
      </c>
      <c r="AD42" s="488">
        <f t="shared" si="26"/>
        <v>0</v>
      </c>
      <c r="AE42" s="488">
        <f t="shared" si="26"/>
        <v>0</v>
      </c>
      <c r="AF42" s="488">
        <f t="shared" si="26"/>
        <v>0</v>
      </c>
      <c r="AG42" s="488">
        <f t="shared" si="26"/>
        <v>0</v>
      </c>
      <c r="AH42" s="488">
        <f t="shared" si="26"/>
        <v>0</v>
      </c>
      <c r="AI42" s="488">
        <f t="shared" si="26"/>
        <v>0</v>
      </c>
      <c r="AJ42" s="488">
        <f t="shared" si="26"/>
        <v>0</v>
      </c>
      <c r="AK42" s="488">
        <f t="shared" si="26"/>
        <v>0</v>
      </c>
      <c r="AL42" s="488">
        <f t="shared" si="26"/>
        <v>0</v>
      </c>
      <c r="AM42" s="488">
        <f t="shared" si="26"/>
        <v>0</v>
      </c>
      <c r="AN42" s="488">
        <f t="shared" si="26"/>
        <v>0</v>
      </c>
      <c r="AO42" s="136"/>
      <c r="AP42" s="1185"/>
      <c r="AQ42" s="1185"/>
    </row>
    <row r="43" spans="1:43" s="2" customFormat="1" x14ac:dyDescent="0.35">
      <c r="A43" s="1176"/>
      <c r="B43" s="1179"/>
      <c r="C43" s="1182"/>
      <c r="D43" s="482" t="s">
        <v>177</v>
      </c>
      <c r="E43" s="40"/>
      <c r="F43" s="41"/>
      <c r="G43" s="42"/>
      <c r="H43" s="42"/>
      <c r="I43" s="42"/>
      <c r="J43" s="42"/>
      <c r="K43" s="42"/>
      <c r="L43" s="42"/>
      <c r="M43" s="42"/>
      <c r="N43" s="42"/>
      <c r="O43" s="42"/>
      <c r="P43" s="1080"/>
      <c r="Q43" s="41"/>
      <c r="R43" s="42"/>
      <c r="S43" s="42"/>
      <c r="T43" s="42"/>
      <c r="U43" s="42"/>
      <c r="V43" s="42"/>
      <c r="W43" s="42"/>
      <c r="X43" s="42"/>
      <c r="Y43" s="42"/>
      <c r="Z43" s="42"/>
      <c r="AA43" s="42"/>
      <c r="AB43" s="1080"/>
      <c r="AC43" s="42"/>
      <c r="AD43" s="42"/>
      <c r="AE43" s="42"/>
      <c r="AF43" s="42"/>
      <c r="AG43" s="42"/>
      <c r="AH43" s="42"/>
      <c r="AI43" s="42"/>
      <c r="AJ43" s="42"/>
      <c r="AK43" s="42"/>
      <c r="AL43" s="42"/>
      <c r="AM43" s="42"/>
      <c r="AN43" s="42"/>
      <c r="AO43" s="65">
        <f>SUM(E43:AN43)</f>
        <v>0</v>
      </c>
      <c r="AP43" s="1185"/>
      <c r="AQ43" s="1185"/>
    </row>
    <row r="44" spans="1:43" s="2" customFormat="1" ht="15" thickBot="1" x14ac:dyDescent="0.4">
      <c r="A44" s="1177"/>
      <c r="B44" s="1180"/>
      <c r="C44" s="1183"/>
      <c r="D44" s="483" t="s">
        <v>178</v>
      </c>
      <c r="E44" s="484"/>
      <c r="F44" s="485"/>
      <c r="G44" s="486"/>
      <c r="H44" s="486"/>
      <c r="I44" s="486"/>
      <c r="J44" s="486"/>
      <c r="K44" s="486"/>
      <c r="L44" s="486"/>
      <c r="M44" s="486"/>
      <c r="N44" s="486"/>
      <c r="O44" s="486"/>
      <c r="P44" s="1081"/>
      <c r="Q44" s="485"/>
      <c r="R44" s="486"/>
      <c r="S44" s="486"/>
      <c r="T44" s="486"/>
      <c r="U44" s="486"/>
      <c r="V44" s="486"/>
      <c r="W44" s="486"/>
      <c r="X44" s="486"/>
      <c r="Y44" s="486"/>
      <c r="Z44" s="486"/>
      <c r="AA44" s="486"/>
      <c r="AB44" s="1081"/>
      <c r="AC44" s="486"/>
      <c r="AD44" s="486"/>
      <c r="AE44" s="486"/>
      <c r="AF44" s="486"/>
      <c r="AG44" s="486"/>
      <c r="AH44" s="486"/>
      <c r="AI44" s="486"/>
      <c r="AJ44" s="486"/>
      <c r="AK44" s="486"/>
      <c r="AL44" s="486"/>
      <c r="AM44" s="486"/>
      <c r="AN44" s="486"/>
      <c r="AO44" s="141"/>
      <c r="AP44" s="1186"/>
      <c r="AQ44" s="1186"/>
    </row>
    <row r="45" spans="1:43" ht="15" customHeight="1" x14ac:dyDescent="0.35">
      <c r="A45" s="1175">
        <v>7</v>
      </c>
      <c r="B45" s="1178" t="str">
        <f>IF(VLOOKUP(A:A,'Pivot Table'!Z:AD,5,FALSE)=0,"",VLOOKUP(A:A,'Pivot Table'!Z:AD,5,FALSE))</f>
        <v/>
      </c>
      <c r="C45" s="1181" t="str">
        <f>_xlfn.IFNA(VLOOKUP(A:A,'Pivot Table'!P:W,8,FALSE),"")</f>
        <v/>
      </c>
      <c r="D45" s="494" t="s">
        <v>172</v>
      </c>
      <c r="E45" s="495">
        <f>SUM(E46:E47)</f>
        <v>0</v>
      </c>
      <c r="F45" s="496">
        <f>SUM(F46:F47)</f>
        <v>0</v>
      </c>
      <c r="G45" s="496">
        <f t="shared" ref="G45:M45" si="27">SUM(G46:G47)</f>
        <v>0</v>
      </c>
      <c r="H45" s="496">
        <f t="shared" si="27"/>
        <v>0</v>
      </c>
      <c r="I45" s="496">
        <f t="shared" si="27"/>
        <v>0</v>
      </c>
      <c r="J45" s="496">
        <f t="shared" si="27"/>
        <v>0</v>
      </c>
      <c r="K45" s="496">
        <f t="shared" si="27"/>
        <v>0</v>
      </c>
      <c r="L45" s="496">
        <f t="shared" si="27"/>
        <v>0</v>
      </c>
      <c r="M45" s="496">
        <f t="shared" si="27"/>
        <v>0</v>
      </c>
      <c r="N45" s="496">
        <f>SUM(N46:N47)</f>
        <v>0</v>
      </c>
      <c r="O45" s="496">
        <f t="shared" ref="O45:AN45" si="28">SUM(O46:O47)</f>
        <v>0</v>
      </c>
      <c r="P45" s="496">
        <f t="shared" si="28"/>
        <v>0</v>
      </c>
      <c r="Q45" s="496">
        <f t="shared" si="28"/>
        <v>0</v>
      </c>
      <c r="R45" s="496">
        <f t="shared" si="28"/>
        <v>0</v>
      </c>
      <c r="S45" s="496">
        <f t="shared" si="28"/>
        <v>0</v>
      </c>
      <c r="T45" s="496">
        <f t="shared" si="28"/>
        <v>0</v>
      </c>
      <c r="U45" s="496">
        <f t="shared" si="28"/>
        <v>0</v>
      </c>
      <c r="V45" s="496">
        <f t="shared" si="28"/>
        <v>0</v>
      </c>
      <c r="W45" s="496">
        <f t="shared" si="28"/>
        <v>0</v>
      </c>
      <c r="X45" s="496">
        <f t="shared" si="28"/>
        <v>0</v>
      </c>
      <c r="Y45" s="496">
        <f t="shared" si="28"/>
        <v>0</v>
      </c>
      <c r="Z45" s="496">
        <f t="shared" si="28"/>
        <v>0</v>
      </c>
      <c r="AA45" s="496">
        <f t="shared" si="28"/>
        <v>0</v>
      </c>
      <c r="AB45" s="496">
        <f t="shared" si="28"/>
        <v>0</v>
      </c>
      <c r="AC45" s="496">
        <f t="shared" si="28"/>
        <v>0</v>
      </c>
      <c r="AD45" s="496">
        <f t="shared" si="28"/>
        <v>0</v>
      </c>
      <c r="AE45" s="496">
        <f t="shared" si="28"/>
        <v>0</v>
      </c>
      <c r="AF45" s="496">
        <f t="shared" si="28"/>
        <v>0</v>
      </c>
      <c r="AG45" s="496">
        <f t="shared" si="28"/>
        <v>0</v>
      </c>
      <c r="AH45" s="496">
        <f t="shared" si="28"/>
        <v>0</v>
      </c>
      <c r="AI45" s="496">
        <f t="shared" si="28"/>
        <v>0</v>
      </c>
      <c r="AJ45" s="496">
        <f t="shared" si="28"/>
        <v>0</v>
      </c>
      <c r="AK45" s="496">
        <f t="shared" si="28"/>
        <v>0</v>
      </c>
      <c r="AL45" s="496">
        <f t="shared" si="28"/>
        <v>0</v>
      </c>
      <c r="AM45" s="496">
        <f t="shared" si="28"/>
        <v>0</v>
      </c>
      <c r="AN45" s="496">
        <f t="shared" si="28"/>
        <v>0</v>
      </c>
      <c r="AO45" s="497"/>
      <c r="AP45" s="1184"/>
      <c r="AQ45" s="1184"/>
    </row>
    <row r="46" spans="1:43" x14ac:dyDescent="0.35">
      <c r="A46" s="1176"/>
      <c r="B46" s="1179"/>
      <c r="C46" s="1182"/>
      <c r="D46" s="479" t="s">
        <v>173</v>
      </c>
      <c r="E46" s="476"/>
      <c r="F46" s="477"/>
      <c r="G46" s="478"/>
      <c r="H46" s="478"/>
      <c r="I46" s="478"/>
      <c r="J46" s="478"/>
      <c r="K46" s="478"/>
      <c r="L46" s="478"/>
      <c r="M46" s="478"/>
      <c r="N46" s="478"/>
      <c r="O46" s="478"/>
      <c r="P46" s="1078"/>
      <c r="Q46" s="477"/>
      <c r="R46" s="478"/>
      <c r="S46" s="478"/>
      <c r="T46" s="478"/>
      <c r="U46" s="478"/>
      <c r="V46" s="478"/>
      <c r="W46" s="478"/>
      <c r="X46" s="478"/>
      <c r="Y46" s="478"/>
      <c r="Z46" s="478"/>
      <c r="AA46" s="478"/>
      <c r="AB46" s="1078"/>
      <c r="AC46" s="478"/>
      <c r="AD46" s="478"/>
      <c r="AE46" s="478"/>
      <c r="AF46" s="478"/>
      <c r="AG46" s="478"/>
      <c r="AH46" s="478"/>
      <c r="AI46" s="478"/>
      <c r="AJ46" s="478"/>
      <c r="AK46" s="478"/>
      <c r="AL46" s="478"/>
      <c r="AM46" s="478"/>
      <c r="AN46" s="478"/>
      <c r="AO46" s="65">
        <f>SUM(E46:AN46)</f>
        <v>0</v>
      </c>
      <c r="AP46" s="1185"/>
      <c r="AQ46" s="1185"/>
    </row>
    <row r="47" spans="1:43" ht="15" thickBot="1" x14ac:dyDescent="0.4">
      <c r="A47" s="1176"/>
      <c r="B47" s="1179"/>
      <c r="C47" s="1182"/>
      <c r="D47" s="480" t="s">
        <v>174</v>
      </c>
      <c r="E47" s="473"/>
      <c r="F47" s="474"/>
      <c r="G47" s="475"/>
      <c r="H47" s="475"/>
      <c r="I47" s="475"/>
      <c r="J47" s="475"/>
      <c r="K47" s="475"/>
      <c r="L47" s="475"/>
      <c r="M47" s="475"/>
      <c r="N47" s="475"/>
      <c r="O47" s="475"/>
      <c r="P47" s="1079"/>
      <c r="Q47" s="474"/>
      <c r="R47" s="475"/>
      <c r="S47" s="475"/>
      <c r="T47" s="475"/>
      <c r="U47" s="475"/>
      <c r="V47" s="475"/>
      <c r="W47" s="475"/>
      <c r="X47" s="475"/>
      <c r="Y47" s="475"/>
      <c r="Z47" s="475"/>
      <c r="AA47" s="475"/>
      <c r="AB47" s="1079"/>
      <c r="AC47" s="475"/>
      <c r="AD47" s="475"/>
      <c r="AE47" s="475"/>
      <c r="AF47" s="475"/>
      <c r="AG47" s="475"/>
      <c r="AH47" s="475"/>
      <c r="AI47" s="475"/>
      <c r="AJ47" s="475"/>
      <c r="AK47" s="475"/>
      <c r="AL47" s="475"/>
      <c r="AM47" s="475"/>
      <c r="AN47" s="475"/>
      <c r="AO47" s="65"/>
      <c r="AP47" s="1185"/>
      <c r="AQ47" s="1185"/>
    </row>
    <row r="48" spans="1:43" s="10" customFormat="1" ht="14.5" customHeight="1" thickBot="1" x14ac:dyDescent="0.4">
      <c r="A48" s="1176"/>
      <c r="B48" s="1179"/>
      <c r="C48" s="1182"/>
      <c r="D48" s="1187" t="s">
        <v>175</v>
      </c>
      <c r="E48" s="1188"/>
      <c r="F48" s="1188"/>
      <c r="G48" s="1188"/>
      <c r="H48" s="1188"/>
      <c r="I48" s="1188"/>
      <c r="J48" s="1188"/>
      <c r="K48" s="1188"/>
      <c r="L48" s="1188"/>
      <c r="M48" s="1188"/>
      <c r="N48" s="1188"/>
      <c r="O48" s="1188"/>
      <c r="P48" s="1188"/>
      <c r="Q48" s="1188"/>
      <c r="R48" s="1188"/>
      <c r="S48" s="1188"/>
      <c r="T48" s="1188"/>
      <c r="U48" s="1188"/>
      <c r="V48" s="1188"/>
      <c r="W48" s="1188"/>
      <c r="X48" s="1188"/>
      <c r="Y48" s="1188"/>
      <c r="Z48" s="1188"/>
      <c r="AA48" s="1188"/>
      <c r="AB48" s="1188"/>
      <c r="AC48" s="1188"/>
      <c r="AD48" s="1188"/>
      <c r="AE48" s="1188"/>
      <c r="AF48" s="1188"/>
      <c r="AG48" s="1188"/>
      <c r="AH48" s="1188"/>
      <c r="AI48" s="1188"/>
      <c r="AJ48" s="1188"/>
      <c r="AK48" s="1188"/>
      <c r="AL48" s="1188"/>
      <c r="AM48" s="1188"/>
      <c r="AN48" s="1188"/>
      <c r="AO48" s="349" t="e">
        <f>SUM(E50:AN50)/AO46*100%</f>
        <v>#DIV/0!</v>
      </c>
      <c r="AP48" s="1185"/>
      <c r="AQ48" s="1185"/>
    </row>
    <row r="49" spans="1:43" s="10" customFormat="1" ht="14.5" customHeight="1" x14ac:dyDescent="0.35">
      <c r="A49" s="1176"/>
      <c r="B49" s="1179"/>
      <c r="C49" s="1182"/>
      <c r="D49" s="481" t="s">
        <v>176</v>
      </c>
      <c r="E49" s="487">
        <f>SUM(E50:E51)</f>
        <v>0</v>
      </c>
      <c r="F49" s="488">
        <f>SUM(F50:F51)</f>
        <v>0</v>
      </c>
      <c r="G49" s="488">
        <f t="shared" ref="G49:AN49" si="29">SUM(G50:G51)</f>
        <v>0</v>
      </c>
      <c r="H49" s="488">
        <f t="shared" si="29"/>
        <v>0</v>
      </c>
      <c r="I49" s="488">
        <f t="shared" si="29"/>
        <v>0</v>
      </c>
      <c r="J49" s="488">
        <f t="shared" si="29"/>
        <v>0</v>
      </c>
      <c r="K49" s="488">
        <f t="shared" si="29"/>
        <v>0</v>
      </c>
      <c r="L49" s="488">
        <f t="shared" si="29"/>
        <v>0</v>
      </c>
      <c r="M49" s="488">
        <f t="shared" si="29"/>
        <v>0</v>
      </c>
      <c r="N49" s="488">
        <f t="shared" si="29"/>
        <v>0</v>
      </c>
      <c r="O49" s="488">
        <f t="shared" si="29"/>
        <v>0</v>
      </c>
      <c r="P49" s="488">
        <f t="shared" si="29"/>
        <v>0</v>
      </c>
      <c r="Q49" s="488">
        <f t="shared" si="29"/>
        <v>0</v>
      </c>
      <c r="R49" s="488">
        <f t="shared" si="29"/>
        <v>0</v>
      </c>
      <c r="S49" s="488">
        <f t="shared" si="29"/>
        <v>0</v>
      </c>
      <c r="T49" s="488">
        <f t="shared" si="29"/>
        <v>0</v>
      </c>
      <c r="U49" s="488">
        <f t="shared" si="29"/>
        <v>0</v>
      </c>
      <c r="V49" s="488">
        <f t="shared" si="29"/>
        <v>0</v>
      </c>
      <c r="W49" s="488">
        <f t="shared" si="29"/>
        <v>0</v>
      </c>
      <c r="X49" s="488">
        <f t="shared" si="29"/>
        <v>0</v>
      </c>
      <c r="Y49" s="488">
        <f t="shared" si="29"/>
        <v>0</v>
      </c>
      <c r="Z49" s="488">
        <f t="shared" si="29"/>
        <v>0</v>
      </c>
      <c r="AA49" s="488">
        <f t="shared" si="29"/>
        <v>0</v>
      </c>
      <c r="AB49" s="488">
        <f t="shared" si="29"/>
        <v>0</v>
      </c>
      <c r="AC49" s="488">
        <f t="shared" si="29"/>
        <v>0</v>
      </c>
      <c r="AD49" s="488">
        <f t="shared" si="29"/>
        <v>0</v>
      </c>
      <c r="AE49" s="488">
        <f t="shared" si="29"/>
        <v>0</v>
      </c>
      <c r="AF49" s="488">
        <f t="shared" si="29"/>
        <v>0</v>
      </c>
      <c r="AG49" s="488">
        <f t="shared" si="29"/>
        <v>0</v>
      </c>
      <c r="AH49" s="488">
        <f t="shared" si="29"/>
        <v>0</v>
      </c>
      <c r="AI49" s="488">
        <f t="shared" si="29"/>
        <v>0</v>
      </c>
      <c r="AJ49" s="488">
        <f t="shared" si="29"/>
        <v>0</v>
      </c>
      <c r="AK49" s="488">
        <f t="shared" si="29"/>
        <v>0</v>
      </c>
      <c r="AL49" s="488">
        <f t="shared" si="29"/>
        <v>0</v>
      </c>
      <c r="AM49" s="488">
        <f t="shared" si="29"/>
        <v>0</v>
      </c>
      <c r="AN49" s="488">
        <f t="shared" si="29"/>
        <v>0</v>
      </c>
      <c r="AO49" s="136"/>
      <c r="AP49" s="1185"/>
      <c r="AQ49" s="1185"/>
    </row>
    <row r="50" spans="1:43" s="2" customFormat="1" x14ac:dyDescent="0.35">
      <c r="A50" s="1176"/>
      <c r="B50" s="1179"/>
      <c r="C50" s="1182"/>
      <c r="D50" s="482" t="s">
        <v>177</v>
      </c>
      <c r="E50" s="40"/>
      <c r="F50" s="41"/>
      <c r="G50" s="42"/>
      <c r="H50" s="42"/>
      <c r="I50" s="42"/>
      <c r="J50" s="42"/>
      <c r="K50" s="42"/>
      <c r="L50" s="42"/>
      <c r="M50" s="42"/>
      <c r="N50" s="42"/>
      <c r="O50" s="42"/>
      <c r="P50" s="1080"/>
      <c r="Q50" s="41"/>
      <c r="R50" s="42"/>
      <c r="S50" s="42"/>
      <c r="T50" s="42"/>
      <c r="U50" s="42"/>
      <c r="V50" s="42"/>
      <c r="W50" s="42"/>
      <c r="X50" s="42"/>
      <c r="Y50" s="42"/>
      <c r="Z50" s="42"/>
      <c r="AA50" s="42"/>
      <c r="AB50" s="1080"/>
      <c r="AC50" s="42"/>
      <c r="AD50" s="42"/>
      <c r="AE50" s="42"/>
      <c r="AF50" s="42"/>
      <c r="AG50" s="42"/>
      <c r="AH50" s="42"/>
      <c r="AI50" s="42"/>
      <c r="AJ50" s="42"/>
      <c r="AK50" s="42"/>
      <c r="AL50" s="42"/>
      <c r="AM50" s="42"/>
      <c r="AN50" s="42"/>
      <c r="AO50" s="65">
        <f>SUM(E50:AN50)</f>
        <v>0</v>
      </c>
      <c r="AP50" s="1185"/>
      <c r="AQ50" s="1185"/>
    </row>
    <row r="51" spans="1:43" s="2" customFormat="1" ht="15" thickBot="1" x14ac:dyDescent="0.4">
      <c r="A51" s="1177"/>
      <c r="B51" s="1180"/>
      <c r="C51" s="1183"/>
      <c r="D51" s="483" t="s">
        <v>178</v>
      </c>
      <c r="E51" s="484"/>
      <c r="F51" s="485"/>
      <c r="G51" s="486"/>
      <c r="H51" s="486"/>
      <c r="I51" s="486"/>
      <c r="J51" s="486"/>
      <c r="K51" s="486"/>
      <c r="L51" s="486"/>
      <c r="M51" s="486"/>
      <c r="N51" s="486"/>
      <c r="O51" s="486"/>
      <c r="P51" s="1081"/>
      <c r="Q51" s="485"/>
      <c r="R51" s="486"/>
      <c r="S51" s="486"/>
      <c r="T51" s="486"/>
      <c r="U51" s="486"/>
      <c r="V51" s="486"/>
      <c r="W51" s="486"/>
      <c r="X51" s="486"/>
      <c r="Y51" s="486"/>
      <c r="Z51" s="486"/>
      <c r="AA51" s="486"/>
      <c r="AB51" s="1081"/>
      <c r="AC51" s="486"/>
      <c r="AD51" s="486"/>
      <c r="AE51" s="486"/>
      <c r="AF51" s="486"/>
      <c r="AG51" s="486"/>
      <c r="AH51" s="486"/>
      <c r="AI51" s="486"/>
      <c r="AJ51" s="486"/>
      <c r="AK51" s="486"/>
      <c r="AL51" s="486"/>
      <c r="AM51" s="486"/>
      <c r="AN51" s="486"/>
      <c r="AO51" s="141"/>
      <c r="AP51" s="1186"/>
      <c r="AQ51" s="1186"/>
    </row>
    <row r="52" spans="1:43" ht="15" customHeight="1" x14ac:dyDescent="0.35">
      <c r="A52" s="1175">
        <v>8</v>
      </c>
      <c r="B52" s="1178" t="str">
        <f>IF(VLOOKUP(A:A,'Pivot Table'!Z:AD,5,FALSE)=0,"",VLOOKUP(A:A,'Pivot Table'!Z:AD,5,FALSE))</f>
        <v/>
      </c>
      <c r="C52" s="1181" t="str">
        <f>_xlfn.IFNA(VLOOKUP(A:A,'Pivot Table'!P:W,8,FALSE),"")</f>
        <v/>
      </c>
      <c r="D52" s="494" t="s">
        <v>172</v>
      </c>
      <c r="E52" s="495">
        <f>SUM(E53:E54)</f>
        <v>0</v>
      </c>
      <c r="F52" s="496">
        <f>SUM(F53:F54)</f>
        <v>0</v>
      </c>
      <c r="G52" s="496">
        <f t="shared" ref="G52:M52" si="30">SUM(G53:G54)</f>
        <v>0</v>
      </c>
      <c r="H52" s="496">
        <f t="shared" si="30"/>
        <v>0</v>
      </c>
      <c r="I52" s="496">
        <f t="shared" si="30"/>
        <v>0</v>
      </c>
      <c r="J52" s="496">
        <f t="shared" si="30"/>
        <v>0</v>
      </c>
      <c r="K52" s="496">
        <f t="shared" si="30"/>
        <v>0</v>
      </c>
      <c r="L52" s="496">
        <f t="shared" si="30"/>
        <v>0</v>
      </c>
      <c r="M52" s="496">
        <f t="shared" si="30"/>
        <v>0</v>
      </c>
      <c r="N52" s="496">
        <f>SUM(N53:N54)</f>
        <v>0</v>
      </c>
      <c r="O52" s="496">
        <f t="shared" ref="O52:AN52" si="31">SUM(O53:O54)</f>
        <v>0</v>
      </c>
      <c r="P52" s="496">
        <f t="shared" si="31"/>
        <v>0</v>
      </c>
      <c r="Q52" s="496">
        <f t="shared" si="31"/>
        <v>0</v>
      </c>
      <c r="R52" s="496">
        <f t="shared" si="31"/>
        <v>0</v>
      </c>
      <c r="S52" s="496">
        <f t="shared" si="31"/>
        <v>0</v>
      </c>
      <c r="T52" s="496">
        <f t="shared" si="31"/>
        <v>0</v>
      </c>
      <c r="U52" s="496">
        <f t="shared" si="31"/>
        <v>0</v>
      </c>
      <c r="V52" s="496">
        <f t="shared" si="31"/>
        <v>0</v>
      </c>
      <c r="W52" s="496">
        <f t="shared" si="31"/>
        <v>0</v>
      </c>
      <c r="X52" s="496">
        <f t="shared" si="31"/>
        <v>0</v>
      </c>
      <c r="Y52" s="496">
        <f t="shared" si="31"/>
        <v>0</v>
      </c>
      <c r="Z52" s="496">
        <f t="shared" si="31"/>
        <v>0</v>
      </c>
      <c r="AA52" s="496">
        <f t="shared" si="31"/>
        <v>0</v>
      </c>
      <c r="AB52" s="496">
        <f t="shared" si="31"/>
        <v>0</v>
      </c>
      <c r="AC52" s="496">
        <f t="shared" si="31"/>
        <v>0</v>
      </c>
      <c r="AD52" s="496">
        <f t="shared" si="31"/>
        <v>0</v>
      </c>
      <c r="AE52" s="496">
        <f t="shared" si="31"/>
        <v>0</v>
      </c>
      <c r="AF52" s="496">
        <f t="shared" si="31"/>
        <v>0</v>
      </c>
      <c r="AG52" s="496">
        <f t="shared" si="31"/>
        <v>0</v>
      </c>
      <c r="AH52" s="496">
        <f t="shared" si="31"/>
        <v>0</v>
      </c>
      <c r="AI52" s="496">
        <f t="shared" si="31"/>
        <v>0</v>
      </c>
      <c r="AJ52" s="496">
        <f t="shared" si="31"/>
        <v>0</v>
      </c>
      <c r="AK52" s="496">
        <f t="shared" si="31"/>
        <v>0</v>
      </c>
      <c r="AL52" s="496">
        <f t="shared" si="31"/>
        <v>0</v>
      </c>
      <c r="AM52" s="496">
        <f t="shared" si="31"/>
        <v>0</v>
      </c>
      <c r="AN52" s="496">
        <f t="shared" si="31"/>
        <v>0</v>
      </c>
      <c r="AO52" s="497"/>
      <c r="AP52" s="1184"/>
      <c r="AQ52" s="1184"/>
    </row>
    <row r="53" spans="1:43" x14ac:dyDescent="0.35">
      <c r="A53" s="1176"/>
      <c r="B53" s="1179"/>
      <c r="C53" s="1182"/>
      <c r="D53" s="479" t="s">
        <v>173</v>
      </c>
      <c r="E53" s="476"/>
      <c r="F53" s="477"/>
      <c r="G53" s="478"/>
      <c r="H53" s="478"/>
      <c r="I53" s="478"/>
      <c r="J53" s="478"/>
      <c r="K53" s="478"/>
      <c r="L53" s="478"/>
      <c r="M53" s="478"/>
      <c r="N53" s="478"/>
      <c r="O53" s="478"/>
      <c r="P53" s="1078"/>
      <c r="Q53" s="477"/>
      <c r="R53" s="478"/>
      <c r="S53" s="478"/>
      <c r="T53" s="478"/>
      <c r="U53" s="478"/>
      <c r="V53" s="478"/>
      <c r="W53" s="478"/>
      <c r="X53" s="478"/>
      <c r="Y53" s="478"/>
      <c r="Z53" s="478"/>
      <c r="AA53" s="478"/>
      <c r="AB53" s="1078"/>
      <c r="AC53" s="478"/>
      <c r="AD53" s="478"/>
      <c r="AE53" s="478"/>
      <c r="AF53" s="478"/>
      <c r="AG53" s="478"/>
      <c r="AH53" s="478"/>
      <c r="AI53" s="478"/>
      <c r="AJ53" s="478"/>
      <c r="AK53" s="478"/>
      <c r="AL53" s="478"/>
      <c r="AM53" s="478"/>
      <c r="AN53" s="478"/>
      <c r="AO53" s="65">
        <f>SUM(E53:AN53)</f>
        <v>0</v>
      </c>
      <c r="AP53" s="1185"/>
      <c r="AQ53" s="1185"/>
    </row>
    <row r="54" spans="1:43" ht="15" thickBot="1" x14ac:dyDescent="0.4">
      <c r="A54" s="1176"/>
      <c r="B54" s="1179"/>
      <c r="C54" s="1182"/>
      <c r="D54" s="480" t="s">
        <v>174</v>
      </c>
      <c r="E54" s="473"/>
      <c r="F54" s="474"/>
      <c r="G54" s="475"/>
      <c r="H54" s="475"/>
      <c r="I54" s="475"/>
      <c r="J54" s="475"/>
      <c r="K54" s="475"/>
      <c r="L54" s="475"/>
      <c r="M54" s="475"/>
      <c r="N54" s="475"/>
      <c r="O54" s="475"/>
      <c r="P54" s="1079"/>
      <c r="Q54" s="474"/>
      <c r="R54" s="475"/>
      <c r="S54" s="475"/>
      <c r="T54" s="475"/>
      <c r="U54" s="475"/>
      <c r="V54" s="475"/>
      <c r="W54" s="475"/>
      <c r="X54" s="475"/>
      <c r="Y54" s="475"/>
      <c r="Z54" s="475"/>
      <c r="AA54" s="475"/>
      <c r="AB54" s="1079"/>
      <c r="AC54" s="475"/>
      <c r="AD54" s="475"/>
      <c r="AE54" s="475"/>
      <c r="AF54" s="475"/>
      <c r="AG54" s="475"/>
      <c r="AH54" s="475"/>
      <c r="AI54" s="475"/>
      <c r="AJ54" s="475"/>
      <c r="AK54" s="475"/>
      <c r="AL54" s="475"/>
      <c r="AM54" s="475"/>
      <c r="AN54" s="475"/>
      <c r="AO54" s="65"/>
      <c r="AP54" s="1185"/>
      <c r="AQ54" s="1185"/>
    </row>
    <row r="55" spans="1:43" s="10" customFormat="1" ht="14.5" customHeight="1" thickBot="1" x14ac:dyDescent="0.4">
      <c r="A55" s="1176"/>
      <c r="B55" s="1179"/>
      <c r="C55" s="1182"/>
      <c r="D55" s="1187" t="s">
        <v>175</v>
      </c>
      <c r="E55" s="1188"/>
      <c r="F55" s="1188"/>
      <c r="G55" s="1188"/>
      <c r="H55" s="1188"/>
      <c r="I55" s="1188"/>
      <c r="J55" s="1188"/>
      <c r="K55" s="1188"/>
      <c r="L55" s="1188"/>
      <c r="M55" s="1188"/>
      <c r="N55" s="1188"/>
      <c r="O55" s="1188"/>
      <c r="P55" s="1188"/>
      <c r="Q55" s="1188"/>
      <c r="R55" s="1188"/>
      <c r="S55" s="1188"/>
      <c r="T55" s="1188"/>
      <c r="U55" s="1188"/>
      <c r="V55" s="1188"/>
      <c r="W55" s="1188"/>
      <c r="X55" s="1188"/>
      <c r="Y55" s="1188"/>
      <c r="Z55" s="1188"/>
      <c r="AA55" s="1188"/>
      <c r="AB55" s="1188"/>
      <c r="AC55" s="1188"/>
      <c r="AD55" s="1188"/>
      <c r="AE55" s="1188"/>
      <c r="AF55" s="1188"/>
      <c r="AG55" s="1188"/>
      <c r="AH55" s="1188"/>
      <c r="AI55" s="1188"/>
      <c r="AJ55" s="1188"/>
      <c r="AK55" s="1188"/>
      <c r="AL55" s="1188"/>
      <c r="AM55" s="1188"/>
      <c r="AN55" s="1188"/>
      <c r="AO55" s="349" t="e">
        <f>SUM(E57:AN57)/AO53*100%</f>
        <v>#DIV/0!</v>
      </c>
      <c r="AP55" s="1185"/>
      <c r="AQ55" s="1185"/>
    </row>
    <row r="56" spans="1:43" s="10" customFormat="1" ht="14.5" customHeight="1" x14ac:dyDescent="0.35">
      <c r="A56" s="1176"/>
      <c r="B56" s="1179"/>
      <c r="C56" s="1182"/>
      <c r="D56" s="481" t="s">
        <v>176</v>
      </c>
      <c r="E56" s="487">
        <f>SUM(E57:E58)</f>
        <v>0</v>
      </c>
      <c r="F56" s="488">
        <f>SUM(F57:F58)</f>
        <v>0</v>
      </c>
      <c r="G56" s="488">
        <f t="shared" ref="G56:AN56" si="32">SUM(G57:G58)</f>
        <v>0</v>
      </c>
      <c r="H56" s="488">
        <f t="shared" si="32"/>
        <v>0</v>
      </c>
      <c r="I56" s="488">
        <f t="shared" si="32"/>
        <v>0</v>
      </c>
      <c r="J56" s="488">
        <f t="shared" si="32"/>
        <v>0</v>
      </c>
      <c r="K56" s="488">
        <f t="shared" si="32"/>
        <v>0</v>
      </c>
      <c r="L56" s="488">
        <f t="shared" si="32"/>
        <v>0</v>
      </c>
      <c r="M56" s="488">
        <f t="shared" si="32"/>
        <v>0</v>
      </c>
      <c r="N56" s="488">
        <f t="shared" si="32"/>
        <v>0</v>
      </c>
      <c r="O56" s="488">
        <f t="shared" si="32"/>
        <v>0</v>
      </c>
      <c r="P56" s="488">
        <f t="shared" si="32"/>
        <v>0</v>
      </c>
      <c r="Q56" s="488">
        <f t="shared" si="32"/>
        <v>0</v>
      </c>
      <c r="R56" s="488">
        <f t="shared" si="32"/>
        <v>0</v>
      </c>
      <c r="S56" s="488">
        <f t="shared" si="32"/>
        <v>0</v>
      </c>
      <c r="T56" s="488">
        <f t="shared" si="32"/>
        <v>0</v>
      </c>
      <c r="U56" s="488">
        <f t="shared" si="32"/>
        <v>0</v>
      </c>
      <c r="V56" s="488">
        <f t="shared" si="32"/>
        <v>0</v>
      </c>
      <c r="W56" s="488">
        <f t="shared" si="32"/>
        <v>0</v>
      </c>
      <c r="X56" s="488">
        <f t="shared" si="32"/>
        <v>0</v>
      </c>
      <c r="Y56" s="488">
        <f t="shared" si="32"/>
        <v>0</v>
      </c>
      <c r="Z56" s="488">
        <f t="shared" si="32"/>
        <v>0</v>
      </c>
      <c r="AA56" s="488">
        <f t="shared" si="32"/>
        <v>0</v>
      </c>
      <c r="AB56" s="488">
        <f t="shared" si="32"/>
        <v>0</v>
      </c>
      <c r="AC56" s="488">
        <f t="shared" si="32"/>
        <v>0</v>
      </c>
      <c r="AD56" s="488">
        <f t="shared" si="32"/>
        <v>0</v>
      </c>
      <c r="AE56" s="488">
        <f t="shared" si="32"/>
        <v>0</v>
      </c>
      <c r="AF56" s="488">
        <f t="shared" si="32"/>
        <v>0</v>
      </c>
      <c r="AG56" s="488">
        <f t="shared" si="32"/>
        <v>0</v>
      </c>
      <c r="AH56" s="488">
        <f t="shared" si="32"/>
        <v>0</v>
      </c>
      <c r="AI56" s="488">
        <f t="shared" si="32"/>
        <v>0</v>
      </c>
      <c r="AJ56" s="488">
        <f t="shared" si="32"/>
        <v>0</v>
      </c>
      <c r="AK56" s="488">
        <f t="shared" si="32"/>
        <v>0</v>
      </c>
      <c r="AL56" s="488">
        <f t="shared" si="32"/>
        <v>0</v>
      </c>
      <c r="AM56" s="488">
        <f t="shared" si="32"/>
        <v>0</v>
      </c>
      <c r="AN56" s="488">
        <f t="shared" si="32"/>
        <v>0</v>
      </c>
      <c r="AO56" s="136"/>
      <c r="AP56" s="1185"/>
      <c r="AQ56" s="1185"/>
    </row>
    <row r="57" spans="1:43" s="2" customFormat="1" x14ac:dyDescent="0.35">
      <c r="A57" s="1176"/>
      <c r="B57" s="1179"/>
      <c r="C57" s="1182"/>
      <c r="D57" s="482" t="s">
        <v>177</v>
      </c>
      <c r="E57" s="40"/>
      <c r="F57" s="41"/>
      <c r="G57" s="42"/>
      <c r="H57" s="42"/>
      <c r="I57" s="42"/>
      <c r="J57" s="42"/>
      <c r="K57" s="42"/>
      <c r="L57" s="42"/>
      <c r="M57" s="42"/>
      <c r="N57" s="42"/>
      <c r="O57" s="42"/>
      <c r="P57" s="1080"/>
      <c r="Q57" s="41"/>
      <c r="R57" s="42"/>
      <c r="S57" s="42"/>
      <c r="T57" s="42"/>
      <c r="U57" s="42"/>
      <c r="V57" s="42"/>
      <c r="W57" s="42"/>
      <c r="X57" s="42"/>
      <c r="Y57" s="42"/>
      <c r="Z57" s="42"/>
      <c r="AA57" s="42"/>
      <c r="AB57" s="1080"/>
      <c r="AC57" s="42"/>
      <c r="AD57" s="42"/>
      <c r="AE57" s="42"/>
      <c r="AF57" s="42"/>
      <c r="AG57" s="42"/>
      <c r="AH57" s="42"/>
      <c r="AI57" s="42"/>
      <c r="AJ57" s="42"/>
      <c r="AK57" s="42"/>
      <c r="AL57" s="42"/>
      <c r="AM57" s="42"/>
      <c r="AN57" s="42"/>
      <c r="AO57" s="65">
        <f>SUM(E57:AN57)</f>
        <v>0</v>
      </c>
      <c r="AP57" s="1185"/>
      <c r="AQ57" s="1185"/>
    </row>
    <row r="58" spans="1:43" s="2" customFormat="1" ht="15" thickBot="1" x14ac:dyDescent="0.4">
      <c r="A58" s="1177"/>
      <c r="B58" s="1180"/>
      <c r="C58" s="1183"/>
      <c r="D58" s="483" t="s">
        <v>178</v>
      </c>
      <c r="E58" s="484"/>
      <c r="F58" s="485"/>
      <c r="G58" s="486"/>
      <c r="H58" s="486"/>
      <c r="I58" s="486"/>
      <c r="J58" s="486"/>
      <c r="K58" s="486"/>
      <c r="L58" s="486"/>
      <c r="M58" s="486"/>
      <c r="N58" s="486"/>
      <c r="O58" s="486"/>
      <c r="P58" s="1081"/>
      <c r="Q58" s="485"/>
      <c r="R58" s="486"/>
      <c r="S58" s="486"/>
      <c r="T58" s="486"/>
      <c r="U58" s="486"/>
      <c r="V58" s="486"/>
      <c r="W58" s="486"/>
      <c r="X58" s="486"/>
      <c r="Y58" s="486"/>
      <c r="Z58" s="486"/>
      <c r="AA58" s="486"/>
      <c r="AB58" s="1081"/>
      <c r="AC58" s="486"/>
      <c r="AD58" s="486"/>
      <c r="AE58" s="486"/>
      <c r="AF58" s="486"/>
      <c r="AG58" s="486"/>
      <c r="AH58" s="486"/>
      <c r="AI58" s="486"/>
      <c r="AJ58" s="486"/>
      <c r="AK58" s="486"/>
      <c r="AL58" s="486"/>
      <c r="AM58" s="486"/>
      <c r="AN58" s="486"/>
      <c r="AO58" s="141"/>
      <c r="AP58" s="1186"/>
      <c r="AQ58" s="1186"/>
    </row>
    <row r="59" spans="1:43" ht="15" customHeight="1" x14ac:dyDescent="0.35">
      <c r="A59" s="1175">
        <v>9</v>
      </c>
      <c r="B59" s="1178" t="str">
        <f>IF(VLOOKUP(A:A,'Pivot Table'!Z:AD,5,FALSE)=0,"",VLOOKUP(A:A,'Pivot Table'!Z:AD,5,FALSE))</f>
        <v/>
      </c>
      <c r="C59" s="1181" t="str">
        <f>_xlfn.IFNA(VLOOKUP(A:A,'Pivot Table'!P:W,8,FALSE),"")</f>
        <v/>
      </c>
      <c r="D59" s="494" t="s">
        <v>172</v>
      </c>
      <c r="E59" s="495">
        <f>SUM(E60:E61)</f>
        <v>0</v>
      </c>
      <c r="F59" s="496">
        <f>SUM(F60:F61)</f>
        <v>0</v>
      </c>
      <c r="G59" s="496">
        <f t="shared" ref="G59:M59" si="33">SUM(G60:G61)</f>
        <v>0</v>
      </c>
      <c r="H59" s="496">
        <f t="shared" si="33"/>
        <v>0</v>
      </c>
      <c r="I59" s="496">
        <f t="shared" si="33"/>
        <v>0</v>
      </c>
      <c r="J59" s="496">
        <f t="shared" si="33"/>
        <v>0</v>
      </c>
      <c r="K59" s="496">
        <f t="shared" si="33"/>
        <v>0</v>
      </c>
      <c r="L59" s="496">
        <f t="shared" si="33"/>
        <v>0</v>
      </c>
      <c r="M59" s="496">
        <f t="shared" si="33"/>
        <v>0</v>
      </c>
      <c r="N59" s="496">
        <f>SUM(N60:N61)</f>
        <v>0</v>
      </c>
      <c r="O59" s="496">
        <f t="shared" ref="O59:AN59" si="34">SUM(O60:O61)</f>
        <v>0</v>
      </c>
      <c r="P59" s="496">
        <f t="shared" si="34"/>
        <v>0</v>
      </c>
      <c r="Q59" s="496">
        <f t="shared" si="34"/>
        <v>0</v>
      </c>
      <c r="R59" s="496">
        <f t="shared" si="34"/>
        <v>0</v>
      </c>
      <c r="S59" s="496">
        <f t="shared" si="34"/>
        <v>0</v>
      </c>
      <c r="T59" s="496">
        <f t="shared" si="34"/>
        <v>0</v>
      </c>
      <c r="U59" s="496">
        <f t="shared" si="34"/>
        <v>0</v>
      </c>
      <c r="V59" s="496">
        <f t="shared" si="34"/>
        <v>0</v>
      </c>
      <c r="W59" s="496">
        <f t="shared" si="34"/>
        <v>0</v>
      </c>
      <c r="X59" s="496">
        <f t="shared" si="34"/>
        <v>0</v>
      </c>
      <c r="Y59" s="496">
        <f t="shared" si="34"/>
        <v>0</v>
      </c>
      <c r="Z59" s="496">
        <f t="shared" si="34"/>
        <v>0</v>
      </c>
      <c r="AA59" s="496">
        <f t="shared" si="34"/>
        <v>0</v>
      </c>
      <c r="AB59" s="496">
        <f t="shared" si="34"/>
        <v>0</v>
      </c>
      <c r="AC59" s="496">
        <f t="shared" si="34"/>
        <v>0</v>
      </c>
      <c r="AD59" s="496">
        <f t="shared" si="34"/>
        <v>0</v>
      </c>
      <c r="AE59" s="496">
        <f t="shared" si="34"/>
        <v>0</v>
      </c>
      <c r="AF59" s="496">
        <f t="shared" si="34"/>
        <v>0</v>
      </c>
      <c r="AG59" s="496">
        <f t="shared" si="34"/>
        <v>0</v>
      </c>
      <c r="AH59" s="496">
        <f t="shared" si="34"/>
        <v>0</v>
      </c>
      <c r="AI59" s="496">
        <f t="shared" si="34"/>
        <v>0</v>
      </c>
      <c r="AJ59" s="496">
        <f t="shared" si="34"/>
        <v>0</v>
      </c>
      <c r="AK59" s="496">
        <f t="shared" si="34"/>
        <v>0</v>
      </c>
      <c r="AL59" s="496">
        <f t="shared" si="34"/>
        <v>0</v>
      </c>
      <c r="AM59" s="496">
        <f t="shared" si="34"/>
        <v>0</v>
      </c>
      <c r="AN59" s="496">
        <f t="shared" si="34"/>
        <v>0</v>
      </c>
      <c r="AO59" s="497"/>
      <c r="AP59" s="1184"/>
      <c r="AQ59" s="1184"/>
    </row>
    <row r="60" spans="1:43" x14ac:dyDescent="0.35">
      <c r="A60" s="1176"/>
      <c r="B60" s="1179"/>
      <c r="C60" s="1182"/>
      <c r="D60" s="479" t="s">
        <v>173</v>
      </c>
      <c r="E60" s="476"/>
      <c r="F60" s="477"/>
      <c r="G60" s="478"/>
      <c r="H60" s="478"/>
      <c r="I60" s="478"/>
      <c r="J60" s="478"/>
      <c r="K60" s="478"/>
      <c r="L60" s="478"/>
      <c r="M60" s="478"/>
      <c r="N60" s="478"/>
      <c r="O60" s="478"/>
      <c r="P60" s="1078"/>
      <c r="Q60" s="477"/>
      <c r="R60" s="478"/>
      <c r="S60" s="478"/>
      <c r="T60" s="478"/>
      <c r="U60" s="478"/>
      <c r="V60" s="478"/>
      <c r="W60" s="478"/>
      <c r="X60" s="478"/>
      <c r="Y60" s="478"/>
      <c r="Z60" s="478"/>
      <c r="AA60" s="478"/>
      <c r="AB60" s="1078"/>
      <c r="AC60" s="478"/>
      <c r="AD60" s="478"/>
      <c r="AE60" s="478"/>
      <c r="AF60" s="478"/>
      <c r="AG60" s="478"/>
      <c r="AH60" s="478"/>
      <c r="AI60" s="478"/>
      <c r="AJ60" s="478"/>
      <c r="AK60" s="478"/>
      <c r="AL60" s="478"/>
      <c r="AM60" s="478"/>
      <c r="AN60" s="478"/>
      <c r="AO60" s="65">
        <f>SUM(E60:AN60)</f>
        <v>0</v>
      </c>
      <c r="AP60" s="1185"/>
      <c r="AQ60" s="1185"/>
    </row>
    <row r="61" spans="1:43" ht="15" thickBot="1" x14ac:dyDescent="0.4">
      <c r="A61" s="1176"/>
      <c r="B61" s="1179"/>
      <c r="C61" s="1182"/>
      <c r="D61" s="480" t="s">
        <v>174</v>
      </c>
      <c r="E61" s="473"/>
      <c r="F61" s="474"/>
      <c r="G61" s="475"/>
      <c r="H61" s="475"/>
      <c r="I61" s="475"/>
      <c r="J61" s="475"/>
      <c r="K61" s="475"/>
      <c r="L61" s="475"/>
      <c r="M61" s="475"/>
      <c r="N61" s="475"/>
      <c r="O61" s="475"/>
      <c r="P61" s="1079"/>
      <c r="Q61" s="474"/>
      <c r="R61" s="475"/>
      <c r="S61" s="475"/>
      <c r="T61" s="475"/>
      <c r="U61" s="475"/>
      <c r="V61" s="475"/>
      <c r="W61" s="475"/>
      <c r="X61" s="475"/>
      <c r="Y61" s="475"/>
      <c r="Z61" s="475"/>
      <c r="AA61" s="475"/>
      <c r="AB61" s="1079"/>
      <c r="AC61" s="475"/>
      <c r="AD61" s="475"/>
      <c r="AE61" s="475"/>
      <c r="AF61" s="475"/>
      <c r="AG61" s="475"/>
      <c r="AH61" s="475"/>
      <c r="AI61" s="475"/>
      <c r="AJ61" s="475"/>
      <c r="AK61" s="475"/>
      <c r="AL61" s="475"/>
      <c r="AM61" s="475"/>
      <c r="AN61" s="475"/>
      <c r="AO61" s="65"/>
      <c r="AP61" s="1185"/>
      <c r="AQ61" s="1185"/>
    </row>
    <row r="62" spans="1:43" s="10" customFormat="1" ht="14.5" customHeight="1" thickBot="1" x14ac:dyDescent="0.4">
      <c r="A62" s="1176"/>
      <c r="B62" s="1179"/>
      <c r="C62" s="1182"/>
      <c r="D62" s="1187" t="s">
        <v>175</v>
      </c>
      <c r="E62" s="1188"/>
      <c r="F62" s="1188"/>
      <c r="G62" s="1188"/>
      <c r="H62" s="1188"/>
      <c r="I62" s="1188"/>
      <c r="J62" s="1188"/>
      <c r="K62" s="1188"/>
      <c r="L62" s="1188"/>
      <c r="M62" s="1188"/>
      <c r="N62" s="1188"/>
      <c r="O62" s="1188"/>
      <c r="P62" s="1188"/>
      <c r="Q62" s="1188"/>
      <c r="R62" s="1188"/>
      <c r="S62" s="1188"/>
      <c r="T62" s="1188"/>
      <c r="U62" s="1188"/>
      <c r="V62" s="1188"/>
      <c r="W62" s="1188"/>
      <c r="X62" s="1188"/>
      <c r="Y62" s="1188"/>
      <c r="Z62" s="1188"/>
      <c r="AA62" s="1188"/>
      <c r="AB62" s="1188"/>
      <c r="AC62" s="1188"/>
      <c r="AD62" s="1188"/>
      <c r="AE62" s="1188"/>
      <c r="AF62" s="1188"/>
      <c r="AG62" s="1188"/>
      <c r="AH62" s="1188"/>
      <c r="AI62" s="1188"/>
      <c r="AJ62" s="1188"/>
      <c r="AK62" s="1188"/>
      <c r="AL62" s="1188"/>
      <c r="AM62" s="1188"/>
      <c r="AN62" s="1188"/>
      <c r="AO62" s="349" t="e">
        <f>SUM(E64:AN64)/AO60*100%</f>
        <v>#DIV/0!</v>
      </c>
      <c r="AP62" s="1185"/>
      <c r="AQ62" s="1185"/>
    </row>
    <row r="63" spans="1:43" s="10" customFormat="1" ht="14.5" customHeight="1" x14ac:dyDescent="0.35">
      <c r="A63" s="1176"/>
      <c r="B63" s="1179"/>
      <c r="C63" s="1182"/>
      <c r="D63" s="481" t="s">
        <v>176</v>
      </c>
      <c r="E63" s="487">
        <f>SUM(E64:E65)</f>
        <v>0</v>
      </c>
      <c r="F63" s="488">
        <f>SUM(F64:F65)</f>
        <v>0</v>
      </c>
      <c r="G63" s="488">
        <f t="shared" ref="G63:AN63" si="35">SUM(G64:G65)</f>
        <v>0</v>
      </c>
      <c r="H63" s="488">
        <f t="shared" si="35"/>
        <v>0</v>
      </c>
      <c r="I63" s="488">
        <f t="shared" si="35"/>
        <v>0</v>
      </c>
      <c r="J63" s="488">
        <f t="shared" si="35"/>
        <v>0</v>
      </c>
      <c r="K63" s="488">
        <f t="shared" si="35"/>
        <v>0</v>
      </c>
      <c r="L63" s="488">
        <f t="shared" si="35"/>
        <v>0</v>
      </c>
      <c r="M63" s="488">
        <f t="shared" si="35"/>
        <v>0</v>
      </c>
      <c r="N63" s="488">
        <f t="shared" si="35"/>
        <v>0</v>
      </c>
      <c r="O63" s="488">
        <f t="shared" si="35"/>
        <v>0</v>
      </c>
      <c r="P63" s="488">
        <f t="shared" si="35"/>
        <v>0</v>
      </c>
      <c r="Q63" s="488">
        <f t="shared" si="35"/>
        <v>0</v>
      </c>
      <c r="R63" s="488">
        <f t="shared" si="35"/>
        <v>0</v>
      </c>
      <c r="S63" s="488">
        <f t="shared" si="35"/>
        <v>0</v>
      </c>
      <c r="T63" s="488">
        <f t="shared" si="35"/>
        <v>0</v>
      </c>
      <c r="U63" s="488">
        <f t="shared" si="35"/>
        <v>0</v>
      </c>
      <c r="V63" s="488">
        <f t="shared" si="35"/>
        <v>0</v>
      </c>
      <c r="W63" s="488">
        <f t="shared" si="35"/>
        <v>0</v>
      </c>
      <c r="X63" s="488">
        <f t="shared" si="35"/>
        <v>0</v>
      </c>
      <c r="Y63" s="488">
        <f t="shared" si="35"/>
        <v>0</v>
      </c>
      <c r="Z63" s="488">
        <f t="shared" si="35"/>
        <v>0</v>
      </c>
      <c r="AA63" s="488">
        <f t="shared" si="35"/>
        <v>0</v>
      </c>
      <c r="AB63" s="488">
        <f t="shared" si="35"/>
        <v>0</v>
      </c>
      <c r="AC63" s="488">
        <f t="shared" si="35"/>
        <v>0</v>
      </c>
      <c r="AD63" s="488">
        <f t="shared" si="35"/>
        <v>0</v>
      </c>
      <c r="AE63" s="488">
        <f t="shared" si="35"/>
        <v>0</v>
      </c>
      <c r="AF63" s="488">
        <f t="shared" si="35"/>
        <v>0</v>
      </c>
      <c r="AG63" s="488">
        <f t="shared" si="35"/>
        <v>0</v>
      </c>
      <c r="AH63" s="488">
        <f t="shared" si="35"/>
        <v>0</v>
      </c>
      <c r="AI63" s="488">
        <f t="shared" si="35"/>
        <v>0</v>
      </c>
      <c r="AJ63" s="488">
        <f t="shared" si="35"/>
        <v>0</v>
      </c>
      <c r="AK63" s="488">
        <f t="shared" si="35"/>
        <v>0</v>
      </c>
      <c r="AL63" s="488">
        <f t="shared" si="35"/>
        <v>0</v>
      </c>
      <c r="AM63" s="488">
        <f t="shared" si="35"/>
        <v>0</v>
      </c>
      <c r="AN63" s="488">
        <f t="shared" si="35"/>
        <v>0</v>
      </c>
      <c r="AO63" s="136"/>
      <c r="AP63" s="1185"/>
      <c r="AQ63" s="1185"/>
    </row>
    <row r="64" spans="1:43" s="2" customFormat="1" x14ac:dyDescent="0.35">
      <c r="A64" s="1176"/>
      <c r="B64" s="1179"/>
      <c r="C64" s="1182"/>
      <c r="D64" s="482" t="s">
        <v>177</v>
      </c>
      <c r="E64" s="40"/>
      <c r="F64" s="41"/>
      <c r="G64" s="42"/>
      <c r="H64" s="42"/>
      <c r="I64" s="42"/>
      <c r="J64" s="42"/>
      <c r="K64" s="42"/>
      <c r="L64" s="42"/>
      <c r="M64" s="42"/>
      <c r="N64" s="42"/>
      <c r="O64" s="42"/>
      <c r="P64" s="1080"/>
      <c r="Q64" s="41"/>
      <c r="R64" s="42"/>
      <c r="S64" s="42"/>
      <c r="T64" s="42"/>
      <c r="U64" s="42"/>
      <c r="V64" s="42"/>
      <c r="W64" s="42"/>
      <c r="X64" s="42"/>
      <c r="Y64" s="42"/>
      <c r="Z64" s="42"/>
      <c r="AA64" s="42"/>
      <c r="AB64" s="1080"/>
      <c r="AC64" s="42"/>
      <c r="AD64" s="42"/>
      <c r="AE64" s="42"/>
      <c r="AF64" s="42"/>
      <c r="AG64" s="42"/>
      <c r="AH64" s="42"/>
      <c r="AI64" s="42"/>
      <c r="AJ64" s="42"/>
      <c r="AK64" s="42"/>
      <c r="AL64" s="42"/>
      <c r="AM64" s="42"/>
      <c r="AN64" s="42"/>
      <c r="AO64" s="65">
        <f>SUM(E64:AN64)</f>
        <v>0</v>
      </c>
      <c r="AP64" s="1185"/>
      <c r="AQ64" s="1185"/>
    </row>
    <row r="65" spans="1:43" s="2" customFormat="1" ht="15" thickBot="1" x14ac:dyDescent="0.4">
      <c r="A65" s="1177"/>
      <c r="B65" s="1180"/>
      <c r="C65" s="1183"/>
      <c r="D65" s="483" t="s">
        <v>178</v>
      </c>
      <c r="E65" s="484"/>
      <c r="F65" s="485"/>
      <c r="G65" s="486"/>
      <c r="H65" s="486"/>
      <c r="I65" s="486"/>
      <c r="J65" s="486"/>
      <c r="K65" s="486"/>
      <c r="L65" s="486"/>
      <c r="M65" s="486"/>
      <c r="N65" s="486"/>
      <c r="O65" s="486"/>
      <c r="P65" s="1081"/>
      <c r="Q65" s="485"/>
      <c r="R65" s="486"/>
      <c r="S65" s="486"/>
      <c r="T65" s="486"/>
      <c r="U65" s="486"/>
      <c r="V65" s="486"/>
      <c r="W65" s="486"/>
      <c r="X65" s="486"/>
      <c r="Y65" s="486"/>
      <c r="Z65" s="486"/>
      <c r="AA65" s="486"/>
      <c r="AB65" s="1081"/>
      <c r="AC65" s="486"/>
      <c r="AD65" s="486"/>
      <c r="AE65" s="486"/>
      <c r="AF65" s="486"/>
      <c r="AG65" s="486"/>
      <c r="AH65" s="486"/>
      <c r="AI65" s="486"/>
      <c r="AJ65" s="486"/>
      <c r="AK65" s="486"/>
      <c r="AL65" s="486"/>
      <c r="AM65" s="486"/>
      <c r="AN65" s="486"/>
      <c r="AO65" s="141"/>
      <c r="AP65" s="1186"/>
      <c r="AQ65" s="1186"/>
    </row>
    <row r="66" spans="1:43" ht="15" customHeight="1" x14ac:dyDescent="0.35">
      <c r="A66" s="1175">
        <v>10</v>
      </c>
      <c r="B66" s="1178" t="str">
        <f>IF(VLOOKUP(A:A,'Pivot Table'!Z:AD,5,FALSE)=0,"",VLOOKUP(A:A,'Pivot Table'!Z:AD,5,FALSE))</f>
        <v/>
      </c>
      <c r="C66" s="1181" t="str">
        <f>_xlfn.IFNA(VLOOKUP(A:A,'Pivot Table'!P:W,8,FALSE),"")</f>
        <v/>
      </c>
      <c r="D66" s="494" t="s">
        <v>172</v>
      </c>
      <c r="E66" s="495">
        <f>SUM(E67:E68)</f>
        <v>0</v>
      </c>
      <c r="F66" s="496">
        <f>SUM(F67:F68)</f>
        <v>0</v>
      </c>
      <c r="G66" s="496">
        <f t="shared" ref="G66:M66" si="36">SUM(G67:G68)</f>
        <v>0</v>
      </c>
      <c r="H66" s="496">
        <f t="shared" si="36"/>
        <v>0</v>
      </c>
      <c r="I66" s="496">
        <f t="shared" si="36"/>
        <v>0</v>
      </c>
      <c r="J66" s="496">
        <f t="shared" si="36"/>
        <v>0</v>
      </c>
      <c r="K66" s="496">
        <f t="shared" si="36"/>
        <v>0</v>
      </c>
      <c r="L66" s="496">
        <f t="shared" si="36"/>
        <v>0</v>
      </c>
      <c r="M66" s="496">
        <f t="shared" si="36"/>
        <v>0</v>
      </c>
      <c r="N66" s="496">
        <f>SUM(N67:N68)</f>
        <v>0</v>
      </c>
      <c r="O66" s="496">
        <f t="shared" ref="O66:AN66" si="37">SUM(O67:O68)</f>
        <v>0</v>
      </c>
      <c r="P66" s="496">
        <f t="shared" si="37"/>
        <v>0</v>
      </c>
      <c r="Q66" s="496">
        <f t="shared" si="37"/>
        <v>0</v>
      </c>
      <c r="R66" s="496">
        <f t="shared" si="37"/>
        <v>0</v>
      </c>
      <c r="S66" s="496">
        <f t="shared" si="37"/>
        <v>0</v>
      </c>
      <c r="T66" s="496">
        <f t="shared" si="37"/>
        <v>0</v>
      </c>
      <c r="U66" s="496">
        <f t="shared" si="37"/>
        <v>0</v>
      </c>
      <c r="V66" s="496">
        <f t="shared" si="37"/>
        <v>0</v>
      </c>
      <c r="W66" s="496">
        <f t="shared" si="37"/>
        <v>0</v>
      </c>
      <c r="X66" s="496">
        <f t="shared" si="37"/>
        <v>0</v>
      </c>
      <c r="Y66" s="496">
        <f t="shared" si="37"/>
        <v>0</v>
      </c>
      <c r="Z66" s="496">
        <f t="shared" si="37"/>
        <v>0</v>
      </c>
      <c r="AA66" s="496">
        <f t="shared" si="37"/>
        <v>0</v>
      </c>
      <c r="AB66" s="496">
        <f t="shared" si="37"/>
        <v>0</v>
      </c>
      <c r="AC66" s="496">
        <f t="shared" si="37"/>
        <v>0</v>
      </c>
      <c r="AD66" s="496">
        <f t="shared" si="37"/>
        <v>0</v>
      </c>
      <c r="AE66" s="496">
        <f t="shared" si="37"/>
        <v>0</v>
      </c>
      <c r="AF66" s="496">
        <f t="shared" si="37"/>
        <v>0</v>
      </c>
      <c r="AG66" s="496">
        <f t="shared" si="37"/>
        <v>0</v>
      </c>
      <c r="AH66" s="496">
        <f t="shared" si="37"/>
        <v>0</v>
      </c>
      <c r="AI66" s="496">
        <f t="shared" si="37"/>
        <v>0</v>
      </c>
      <c r="AJ66" s="496">
        <f t="shared" si="37"/>
        <v>0</v>
      </c>
      <c r="AK66" s="496">
        <f t="shared" si="37"/>
        <v>0</v>
      </c>
      <c r="AL66" s="496">
        <f t="shared" si="37"/>
        <v>0</v>
      </c>
      <c r="AM66" s="496">
        <f t="shared" si="37"/>
        <v>0</v>
      </c>
      <c r="AN66" s="496">
        <f t="shared" si="37"/>
        <v>0</v>
      </c>
      <c r="AO66" s="497"/>
      <c r="AP66" s="1184"/>
      <c r="AQ66" s="1184"/>
    </row>
    <row r="67" spans="1:43" x14ac:dyDescent="0.35">
      <c r="A67" s="1176"/>
      <c r="B67" s="1179"/>
      <c r="C67" s="1182"/>
      <c r="D67" s="479" t="s">
        <v>173</v>
      </c>
      <c r="E67" s="476"/>
      <c r="F67" s="477"/>
      <c r="G67" s="478"/>
      <c r="H67" s="478"/>
      <c r="I67" s="478"/>
      <c r="J67" s="478"/>
      <c r="K67" s="478"/>
      <c r="L67" s="478"/>
      <c r="M67" s="478"/>
      <c r="N67" s="478"/>
      <c r="O67" s="478"/>
      <c r="P67" s="1078"/>
      <c r="Q67" s="477"/>
      <c r="R67" s="478"/>
      <c r="S67" s="478"/>
      <c r="T67" s="478"/>
      <c r="U67" s="478"/>
      <c r="V67" s="478"/>
      <c r="W67" s="478"/>
      <c r="X67" s="478"/>
      <c r="Y67" s="478"/>
      <c r="Z67" s="478"/>
      <c r="AA67" s="478"/>
      <c r="AB67" s="1078"/>
      <c r="AC67" s="478"/>
      <c r="AD67" s="478"/>
      <c r="AE67" s="478"/>
      <c r="AF67" s="478"/>
      <c r="AG67" s="478"/>
      <c r="AH67" s="478"/>
      <c r="AI67" s="478"/>
      <c r="AJ67" s="478"/>
      <c r="AK67" s="478"/>
      <c r="AL67" s="478"/>
      <c r="AM67" s="478"/>
      <c r="AN67" s="478"/>
      <c r="AO67" s="65">
        <f>SUM(E67:AN67)</f>
        <v>0</v>
      </c>
      <c r="AP67" s="1185"/>
      <c r="AQ67" s="1185"/>
    </row>
    <row r="68" spans="1:43" ht="15" thickBot="1" x14ac:dyDescent="0.4">
      <c r="A68" s="1176"/>
      <c r="B68" s="1179"/>
      <c r="C68" s="1182"/>
      <c r="D68" s="480" t="s">
        <v>174</v>
      </c>
      <c r="E68" s="473"/>
      <c r="F68" s="474"/>
      <c r="G68" s="475"/>
      <c r="H68" s="475"/>
      <c r="I68" s="475"/>
      <c r="J68" s="475"/>
      <c r="K68" s="475"/>
      <c r="L68" s="475"/>
      <c r="M68" s="475"/>
      <c r="N68" s="475"/>
      <c r="O68" s="475"/>
      <c r="P68" s="1079"/>
      <c r="Q68" s="474"/>
      <c r="R68" s="475"/>
      <c r="S68" s="475"/>
      <c r="T68" s="475"/>
      <c r="U68" s="475"/>
      <c r="V68" s="475"/>
      <c r="W68" s="475"/>
      <c r="X68" s="475"/>
      <c r="Y68" s="475"/>
      <c r="Z68" s="475"/>
      <c r="AA68" s="475"/>
      <c r="AB68" s="1079"/>
      <c r="AC68" s="475"/>
      <c r="AD68" s="475"/>
      <c r="AE68" s="475"/>
      <c r="AF68" s="475"/>
      <c r="AG68" s="475"/>
      <c r="AH68" s="475"/>
      <c r="AI68" s="475"/>
      <c r="AJ68" s="475"/>
      <c r="AK68" s="475"/>
      <c r="AL68" s="475"/>
      <c r="AM68" s="475"/>
      <c r="AN68" s="475"/>
      <c r="AO68" s="65"/>
      <c r="AP68" s="1185"/>
      <c r="AQ68" s="1185"/>
    </row>
    <row r="69" spans="1:43" s="10" customFormat="1" ht="14.5" customHeight="1" thickBot="1" x14ac:dyDescent="0.4">
      <c r="A69" s="1176"/>
      <c r="B69" s="1179"/>
      <c r="C69" s="1182"/>
      <c r="D69" s="1187" t="s">
        <v>175</v>
      </c>
      <c r="E69" s="1188"/>
      <c r="F69" s="1188"/>
      <c r="G69" s="1188"/>
      <c r="H69" s="1188"/>
      <c r="I69" s="1188"/>
      <c r="J69" s="1188"/>
      <c r="K69" s="1188"/>
      <c r="L69" s="1188"/>
      <c r="M69" s="1188"/>
      <c r="N69" s="1188"/>
      <c r="O69" s="1188"/>
      <c r="P69" s="1188"/>
      <c r="Q69" s="1188"/>
      <c r="R69" s="1188"/>
      <c r="S69" s="1188"/>
      <c r="T69" s="1188"/>
      <c r="U69" s="1188"/>
      <c r="V69" s="1188"/>
      <c r="W69" s="1188"/>
      <c r="X69" s="1188"/>
      <c r="Y69" s="1188"/>
      <c r="Z69" s="1188"/>
      <c r="AA69" s="1188"/>
      <c r="AB69" s="1188"/>
      <c r="AC69" s="1188"/>
      <c r="AD69" s="1188"/>
      <c r="AE69" s="1188"/>
      <c r="AF69" s="1188"/>
      <c r="AG69" s="1188"/>
      <c r="AH69" s="1188"/>
      <c r="AI69" s="1188"/>
      <c r="AJ69" s="1188"/>
      <c r="AK69" s="1188"/>
      <c r="AL69" s="1188"/>
      <c r="AM69" s="1188"/>
      <c r="AN69" s="1188"/>
      <c r="AO69" s="349" t="e">
        <f>SUM(E71:AN71)/AO67*100%</f>
        <v>#DIV/0!</v>
      </c>
      <c r="AP69" s="1185"/>
      <c r="AQ69" s="1185"/>
    </row>
    <row r="70" spans="1:43" s="10" customFormat="1" ht="14.5" customHeight="1" x14ac:dyDescent="0.35">
      <c r="A70" s="1176"/>
      <c r="B70" s="1179"/>
      <c r="C70" s="1182"/>
      <c r="D70" s="481" t="s">
        <v>176</v>
      </c>
      <c r="E70" s="487">
        <f>SUM(E71:E72)</f>
        <v>0</v>
      </c>
      <c r="F70" s="488">
        <f>SUM(F71:F72)</f>
        <v>0</v>
      </c>
      <c r="G70" s="488">
        <f t="shared" ref="G70:AN70" si="38">SUM(G71:G72)</f>
        <v>0</v>
      </c>
      <c r="H70" s="488">
        <f t="shared" si="38"/>
        <v>0</v>
      </c>
      <c r="I70" s="488">
        <f t="shared" si="38"/>
        <v>0</v>
      </c>
      <c r="J70" s="488">
        <f t="shared" si="38"/>
        <v>0</v>
      </c>
      <c r="K70" s="488">
        <f t="shared" si="38"/>
        <v>0</v>
      </c>
      <c r="L70" s="488">
        <f t="shared" si="38"/>
        <v>0</v>
      </c>
      <c r="M70" s="488">
        <f t="shared" si="38"/>
        <v>0</v>
      </c>
      <c r="N70" s="488">
        <f t="shared" si="38"/>
        <v>0</v>
      </c>
      <c r="O70" s="488">
        <f t="shared" si="38"/>
        <v>0</v>
      </c>
      <c r="P70" s="488">
        <f t="shared" si="38"/>
        <v>0</v>
      </c>
      <c r="Q70" s="488">
        <f t="shared" si="38"/>
        <v>0</v>
      </c>
      <c r="R70" s="488">
        <f t="shared" si="38"/>
        <v>0</v>
      </c>
      <c r="S70" s="488">
        <f t="shared" si="38"/>
        <v>0</v>
      </c>
      <c r="T70" s="488">
        <f t="shared" si="38"/>
        <v>0</v>
      </c>
      <c r="U70" s="488">
        <f t="shared" si="38"/>
        <v>0</v>
      </c>
      <c r="V70" s="488">
        <f t="shared" si="38"/>
        <v>0</v>
      </c>
      <c r="W70" s="488">
        <f t="shared" si="38"/>
        <v>0</v>
      </c>
      <c r="X70" s="488">
        <f t="shared" si="38"/>
        <v>0</v>
      </c>
      <c r="Y70" s="488">
        <f t="shared" si="38"/>
        <v>0</v>
      </c>
      <c r="Z70" s="488">
        <f t="shared" si="38"/>
        <v>0</v>
      </c>
      <c r="AA70" s="488">
        <f t="shared" si="38"/>
        <v>0</v>
      </c>
      <c r="AB70" s="488">
        <f t="shared" si="38"/>
        <v>0</v>
      </c>
      <c r="AC70" s="488">
        <f t="shared" si="38"/>
        <v>0</v>
      </c>
      <c r="AD70" s="488">
        <f t="shared" si="38"/>
        <v>0</v>
      </c>
      <c r="AE70" s="488">
        <f t="shared" si="38"/>
        <v>0</v>
      </c>
      <c r="AF70" s="488">
        <f t="shared" si="38"/>
        <v>0</v>
      </c>
      <c r="AG70" s="488">
        <f t="shared" si="38"/>
        <v>0</v>
      </c>
      <c r="AH70" s="488">
        <f t="shared" si="38"/>
        <v>0</v>
      </c>
      <c r="AI70" s="488">
        <f t="shared" si="38"/>
        <v>0</v>
      </c>
      <c r="AJ70" s="488">
        <f t="shared" si="38"/>
        <v>0</v>
      </c>
      <c r="AK70" s="488">
        <f t="shared" si="38"/>
        <v>0</v>
      </c>
      <c r="AL70" s="488">
        <f t="shared" si="38"/>
        <v>0</v>
      </c>
      <c r="AM70" s="488">
        <f t="shared" si="38"/>
        <v>0</v>
      </c>
      <c r="AN70" s="488">
        <f t="shared" si="38"/>
        <v>0</v>
      </c>
      <c r="AO70" s="136"/>
      <c r="AP70" s="1185"/>
      <c r="AQ70" s="1185"/>
    </row>
    <row r="71" spans="1:43" s="2" customFormat="1" x14ac:dyDescent="0.35">
      <c r="A71" s="1176"/>
      <c r="B71" s="1179"/>
      <c r="C71" s="1182"/>
      <c r="D71" s="482" t="s">
        <v>177</v>
      </c>
      <c r="E71" s="40"/>
      <c r="F71" s="41"/>
      <c r="G71" s="42"/>
      <c r="H71" s="42"/>
      <c r="I71" s="42"/>
      <c r="J71" s="42"/>
      <c r="K71" s="42"/>
      <c r="L71" s="42"/>
      <c r="M71" s="42"/>
      <c r="N71" s="42"/>
      <c r="O71" s="42"/>
      <c r="P71" s="1080"/>
      <c r="Q71" s="41"/>
      <c r="R71" s="42"/>
      <c r="S71" s="42"/>
      <c r="T71" s="42"/>
      <c r="U71" s="42"/>
      <c r="V71" s="42"/>
      <c r="W71" s="42"/>
      <c r="X71" s="42"/>
      <c r="Y71" s="42"/>
      <c r="Z71" s="42"/>
      <c r="AA71" s="42"/>
      <c r="AB71" s="1080"/>
      <c r="AC71" s="42"/>
      <c r="AD71" s="42"/>
      <c r="AE71" s="42"/>
      <c r="AF71" s="42"/>
      <c r="AG71" s="42"/>
      <c r="AH71" s="42"/>
      <c r="AI71" s="42"/>
      <c r="AJ71" s="42"/>
      <c r="AK71" s="42"/>
      <c r="AL71" s="42"/>
      <c r="AM71" s="42"/>
      <c r="AN71" s="42"/>
      <c r="AO71" s="65">
        <f>SUM(E71:AN71)</f>
        <v>0</v>
      </c>
      <c r="AP71" s="1185"/>
      <c r="AQ71" s="1185"/>
    </row>
    <row r="72" spans="1:43" s="2" customFormat="1" ht="15" thickBot="1" x14ac:dyDescent="0.4">
      <c r="A72" s="1177"/>
      <c r="B72" s="1180"/>
      <c r="C72" s="1183"/>
      <c r="D72" s="483" t="s">
        <v>178</v>
      </c>
      <c r="E72" s="484"/>
      <c r="F72" s="485"/>
      <c r="G72" s="486"/>
      <c r="H72" s="486"/>
      <c r="I72" s="486"/>
      <c r="J72" s="486"/>
      <c r="K72" s="486"/>
      <c r="L72" s="486"/>
      <c r="M72" s="486"/>
      <c r="N72" s="486"/>
      <c r="O72" s="486"/>
      <c r="P72" s="1081"/>
      <c r="Q72" s="485"/>
      <c r="R72" s="486"/>
      <c r="S72" s="486"/>
      <c r="T72" s="486"/>
      <c r="U72" s="486"/>
      <c r="V72" s="486"/>
      <c r="W72" s="486"/>
      <c r="X72" s="486"/>
      <c r="Y72" s="486"/>
      <c r="Z72" s="486"/>
      <c r="AA72" s="486"/>
      <c r="AB72" s="1081"/>
      <c r="AC72" s="486"/>
      <c r="AD72" s="486"/>
      <c r="AE72" s="486"/>
      <c r="AF72" s="486"/>
      <c r="AG72" s="486"/>
      <c r="AH72" s="486"/>
      <c r="AI72" s="486"/>
      <c r="AJ72" s="486"/>
      <c r="AK72" s="486"/>
      <c r="AL72" s="486"/>
      <c r="AM72" s="486"/>
      <c r="AN72" s="486"/>
      <c r="AO72" s="141"/>
      <c r="AP72" s="1186"/>
      <c r="AQ72" s="1186"/>
    </row>
    <row r="73" spans="1:43" ht="15" customHeight="1" x14ac:dyDescent="0.35">
      <c r="A73" s="1175">
        <v>11</v>
      </c>
      <c r="B73" s="1178" t="str">
        <f>IF(VLOOKUP(A:A,'Pivot Table'!Z:AD,5,FALSE)=0,"",VLOOKUP(A:A,'Pivot Table'!Z:AD,5,FALSE))</f>
        <v/>
      </c>
      <c r="C73" s="1181" t="str">
        <f>_xlfn.IFNA(VLOOKUP(A:A,'Pivot Table'!P:W,8,FALSE),"")</f>
        <v/>
      </c>
      <c r="D73" s="494" t="s">
        <v>172</v>
      </c>
      <c r="E73" s="495">
        <f>SUM(E74:E75)</f>
        <v>0</v>
      </c>
      <c r="F73" s="496">
        <f>SUM(F74:F75)</f>
        <v>0</v>
      </c>
      <c r="G73" s="496">
        <f t="shared" ref="G73:M73" si="39">SUM(G74:G75)</f>
        <v>0</v>
      </c>
      <c r="H73" s="496">
        <f t="shared" si="39"/>
        <v>0</v>
      </c>
      <c r="I73" s="496">
        <f t="shared" si="39"/>
        <v>0</v>
      </c>
      <c r="J73" s="496">
        <f t="shared" si="39"/>
        <v>0</v>
      </c>
      <c r="K73" s="496">
        <f t="shared" si="39"/>
        <v>0</v>
      </c>
      <c r="L73" s="496">
        <f t="shared" si="39"/>
        <v>0</v>
      </c>
      <c r="M73" s="496">
        <f t="shared" si="39"/>
        <v>0</v>
      </c>
      <c r="N73" s="496">
        <f>SUM(N74:N75)</f>
        <v>0</v>
      </c>
      <c r="O73" s="496">
        <f t="shared" ref="O73:AN73" si="40">SUM(O74:O75)</f>
        <v>0</v>
      </c>
      <c r="P73" s="496">
        <f t="shared" si="40"/>
        <v>0</v>
      </c>
      <c r="Q73" s="496">
        <f t="shared" si="40"/>
        <v>0</v>
      </c>
      <c r="R73" s="496">
        <f t="shared" si="40"/>
        <v>0</v>
      </c>
      <c r="S73" s="496">
        <f t="shared" si="40"/>
        <v>0</v>
      </c>
      <c r="T73" s="496">
        <f t="shared" si="40"/>
        <v>0</v>
      </c>
      <c r="U73" s="496">
        <f t="shared" si="40"/>
        <v>0</v>
      </c>
      <c r="V73" s="496">
        <f t="shared" si="40"/>
        <v>0</v>
      </c>
      <c r="W73" s="496">
        <f t="shared" si="40"/>
        <v>0</v>
      </c>
      <c r="X73" s="496">
        <f t="shared" si="40"/>
        <v>0</v>
      </c>
      <c r="Y73" s="496">
        <f t="shared" si="40"/>
        <v>0</v>
      </c>
      <c r="Z73" s="496">
        <f t="shared" si="40"/>
        <v>0</v>
      </c>
      <c r="AA73" s="496">
        <f t="shared" si="40"/>
        <v>0</v>
      </c>
      <c r="AB73" s="496">
        <f t="shared" si="40"/>
        <v>0</v>
      </c>
      <c r="AC73" s="496">
        <f t="shared" si="40"/>
        <v>0</v>
      </c>
      <c r="AD73" s="496">
        <f t="shared" si="40"/>
        <v>0</v>
      </c>
      <c r="AE73" s="496">
        <f t="shared" si="40"/>
        <v>0</v>
      </c>
      <c r="AF73" s="496">
        <f t="shared" si="40"/>
        <v>0</v>
      </c>
      <c r="AG73" s="496">
        <f t="shared" si="40"/>
        <v>0</v>
      </c>
      <c r="AH73" s="496">
        <f t="shared" si="40"/>
        <v>0</v>
      </c>
      <c r="AI73" s="496">
        <f t="shared" si="40"/>
        <v>0</v>
      </c>
      <c r="AJ73" s="496">
        <f t="shared" si="40"/>
        <v>0</v>
      </c>
      <c r="AK73" s="496">
        <f t="shared" si="40"/>
        <v>0</v>
      </c>
      <c r="AL73" s="496">
        <f t="shared" si="40"/>
        <v>0</v>
      </c>
      <c r="AM73" s="496">
        <f t="shared" si="40"/>
        <v>0</v>
      </c>
      <c r="AN73" s="496">
        <f t="shared" si="40"/>
        <v>0</v>
      </c>
      <c r="AO73" s="497"/>
      <c r="AP73" s="1184"/>
      <c r="AQ73" s="1184"/>
    </row>
    <row r="74" spans="1:43" x14ac:dyDescent="0.35">
      <c r="A74" s="1176"/>
      <c r="B74" s="1179"/>
      <c r="C74" s="1182"/>
      <c r="D74" s="479" t="s">
        <v>173</v>
      </c>
      <c r="E74" s="476"/>
      <c r="F74" s="477"/>
      <c r="G74" s="478"/>
      <c r="H74" s="478"/>
      <c r="I74" s="478"/>
      <c r="J74" s="478"/>
      <c r="K74" s="478"/>
      <c r="L74" s="478"/>
      <c r="M74" s="478"/>
      <c r="N74" s="478"/>
      <c r="O74" s="478"/>
      <c r="P74" s="1078"/>
      <c r="Q74" s="477"/>
      <c r="R74" s="478"/>
      <c r="S74" s="478"/>
      <c r="T74" s="478"/>
      <c r="U74" s="478"/>
      <c r="V74" s="478"/>
      <c r="W74" s="478"/>
      <c r="X74" s="478"/>
      <c r="Y74" s="478"/>
      <c r="Z74" s="478"/>
      <c r="AA74" s="478"/>
      <c r="AB74" s="1078"/>
      <c r="AC74" s="478"/>
      <c r="AD74" s="478"/>
      <c r="AE74" s="478"/>
      <c r="AF74" s="478"/>
      <c r="AG74" s="478"/>
      <c r="AH74" s="478"/>
      <c r="AI74" s="478"/>
      <c r="AJ74" s="478"/>
      <c r="AK74" s="478"/>
      <c r="AL74" s="478"/>
      <c r="AM74" s="478"/>
      <c r="AN74" s="478"/>
      <c r="AO74" s="65">
        <f>SUM(E74:AN74)</f>
        <v>0</v>
      </c>
      <c r="AP74" s="1185"/>
      <c r="AQ74" s="1185"/>
    </row>
    <row r="75" spans="1:43" ht="15" thickBot="1" x14ac:dyDescent="0.4">
      <c r="A75" s="1176"/>
      <c r="B75" s="1179"/>
      <c r="C75" s="1182"/>
      <c r="D75" s="480" t="s">
        <v>174</v>
      </c>
      <c r="E75" s="473"/>
      <c r="F75" s="474"/>
      <c r="G75" s="475"/>
      <c r="H75" s="475"/>
      <c r="I75" s="475"/>
      <c r="J75" s="475"/>
      <c r="K75" s="475"/>
      <c r="L75" s="475"/>
      <c r="M75" s="475"/>
      <c r="N75" s="475"/>
      <c r="O75" s="475"/>
      <c r="P75" s="1079"/>
      <c r="Q75" s="474"/>
      <c r="R75" s="475"/>
      <c r="S75" s="475"/>
      <c r="T75" s="475"/>
      <c r="U75" s="475"/>
      <c r="V75" s="475"/>
      <c r="W75" s="475"/>
      <c r="X75" s="475"/>
      <c r="Y75" s="475"/>
      <c r="Z75" s="475"/>
      <c r="AA75" s="475"/>
      <c r="AB75" s="1079"/>
      <c r="AC75" s="475"/>
      <c r="AD75" s="475"/>
      <c r="AE75" s="475"/>
      <c r="AF75" s="475"/>
      <c r="AG75" s="475"/>
      <c r="AH75" s="475"/>
      <c r="AI75" s="475"/>
      <c r="AJ75" s="475"/>
      <c r="AK75" s="475"/>
      <c r="AL75" s="475"/>
      <c r="AM75" s="475"/>
      <c r="AN75" s="475"/>
      <c r="AO75" s="65"/>
      <c r="AP75" s="1185"/>
      <c r="AQ75" s="1185"/>
    </row>
    <row r="76" spans="1:43" s="10" customFormat="1" ht="14.5" customHeight="1" thickBot="1" x14ac:dyDescent="0.4">
      <c r="A76" s="1176"/>
      <c r="B76" s="1179"/>
      <c r="C76" s="1182"/>
      <c r="D76" s="1187" t="s">
        <v>175</v>
      </c>
      <c r="E76" s="1188"/>
      <c r="F76" s="1188"/>
      <c r="G76" s="1188"/>
      <c r="H76" s="1188"/>
      <c r="I76" s="1188"/>
      <c r="J76" s="1188"/>
      <c r="K76" s="1188"/>
      <c r="L76" s="1188"/>
      <c r="M76" s="1188"/>
      <c r="N76" s="1188"/>
      <c r="O76" s="1188"/>
      <c r="P76" s="1188"/>
      <c r="Q76" s="1188"/>
      <c r="R76" s="1188"/>
      <c r="S76" s="1188"/>
      <c r="T76" s="1188"/>
      <c r="U76" s="1188"/>
      <c r="V76" s="1188"/>
      <c r="W76" s="1188"/>
      <c r="X76" s="1188"/>
      <c r="Y76" s="1188"/>
      <c r="Z76" s="1188"/>
      <c r="AA76" s="1188"/>
      <c r="AB76" s="1188"/>
      <c r="AC76" s="1188"/>
      <c r="AD76" s="1188"/>
      <c r="AE76" s="1188"/>
      <c r="AF76" s="1188"/>
      <c r="AG76" s="1188"/>
      <c r="AH76" s="1188"/>
      <c r="AI76" s="1188"/>
      <c r="AJ76" s="1188"/>
      <c r="AK76" s="1188"/>
      <c r="AL76" s="1188"/>
      <c r="AM76" s="1188"/>
      <c r="AN76" s="1188"/>
      <c r="AO76" s="349" t="e">
        <f>SUM(E78:AN78)/AO74*100%</f>
        <v>#DIV/0!</v>
      </c>
      <c r="AP76" s="1185"/>
      <c r="AQ76" s="1185"/>
    </row>
    <row r="77" spans="1:43" s="10" customFormat="1" ht="14.5" customHeight="1" x14ac:dyDescent="0.35">
      <c r="A77" s="1176"/>
      <c r="B77" s="1179"/>
      <c r="C77" s="1182"/>
      <c r="D77" s="481" t="s">
        <v>176</v>
      </c>
      <c r="E77" s="487">
        <f>SUM(E78:E79)</f>
        <v>0</v>
      </c>
      <c r="F77" s="488">
        <f>SUM(F78:F79)</f>
        <v>0</v>
      </c>
      <c r="G77" s="488">
        <f t="shared" ref="G77:AN77" si="41">SUM(G78:G79)</f>
        <v>0</v>
      </c>
      <c r="H77" s="488">
        <f t="shared" si="41"/>
        <v>0</v>
      </c>
      <c r="I77" s="488">
        <f t="shared" si="41"/>
        <v>0</v>
      </c>
      <c r="J77" s="488">
        <f t="shared" si="41"/>
        <v>0</v>
      </c>
      <c r="K77" s="488">
        <f t="shared" si="41"/>
        <v>0</v>
      </c>
      <c r="L77" s="488">
        <f t="shared" si="41"/>
        <v>0</v>
      </c>
      <c r="M77" s="488">
        <f t="shared" si="41"/>
        <v>0</v>
      </c>
      <c r="N77" s="488">
        <f t="shared" si="41"/>
        <v>0</v>
      </c>
      <c r="O77" s="488">
        <f t="shared" si="41"/>
        <v>0</v>
      </c>
      <c r="P77" s="488">
        <f t="shared" si="41"/>
        <v>0</v>
      </c>
      <c r="Q77" s="488">
        <f t="shared" si="41"/>
        <v>0</v>
      </c>
      <c r="R77" s="488">
        <f t="shared" si="41"/>
        <v>0</v>
      </c>
      <c r="S77" s="488">
        <f t="shared" si="41"/>
        <v>0</v>
      </c>
      <c r="T77" s="488">
        <f t="shared" si="41"/>
        <v>0</v>
      </c>
      <c r="U77" s="488">
        <f t="shared" si="41"/>
        <v>0</v>
      </c>
      <c r="V77" s="488">
        <f t="shared" si="41"/>
        <v>0</v>
      </c>
      <c r="W77" s="488">
        <f t="shared" si="41"/>
        <v>0</v>
      </c>
      <c r="X77" s="488">
        <f t="shared" si="41"/>
        <v>0</v>
      </c>
      <c r="Y77" s="488">
        <f t="shared" si="41"/>
        <v>0</v>
      </c>
      <c r="Z77" s="488">
        <f t="shared" si="41"/>
        <v>0</v>
      </c>
      <c r="AA77" s="488">
        <f t="shared" si="41"/>
        <v>0</v>
      </c>
      <c r="AB77" s="488">
        <f t="shared" si="41"/>
        <v>0</v>
      </c>
      <c r="AC77" s="488">
        <f t="shared" si="41"/>
        <v>0</v>
      </c>
      <c r="AD77" s="488">
        <f t="shared" si="41"/>
        <v>0</v>
      </c>
      <c r="AE77" s="488">
        <f t="shared" si="41"/>
        <v>0</v>
      </c>
      <c r="AF77" s="488">
        <f t="shared" si="41"/>
        <v>0</v>
      </c>
      <c r="AG77" s="488">
        <f t="shared" si="41"/>
        <v>0</v>
      </c>
      <c r="AH77" s="488">
        <f t="shared" si="41"/>
        <v>0</v>
      </c>
      <c r="AI77" s="488">
        <f t="shared" si="41"/>
        <v>0</v>
      </c>
      <c r="AJ77" s="488">
        <f t="shared" si="41"/>
        <v>0</v>
      </c>
      <c r="AK77" s="488">
        <f t="shared" si="41"/>
        <v>0</v>
      </c>
      <c r="AL77" s="488">
        <f t="shared" si="41"/>
        <v>0</v>
      </c>
      <c r="AM77" s="488">
        <f t="shared" si="41"/>
        <v>0</v>
      </c>
      <c r="AN77" s="488">
        <f t="shared" si="41"/>
        <v>0</v>
      </c>
      <c r="AO77" s="136"/>
      <c r="AP77" s="1185"/>
      <c r="AQ77" s="1185"/>
    </row>
    <row r="78" spans="1:43" s="2" customFormat="1" x14ac:dyDescent="0.35">
      <c r="A78" s="1176"/>
      <c r="B78" s="1179"/>
      <c r="C78" s="1182"/>
      <c r="D78" s="482" t="s">
        <v>177</v>
      </c>
      <c r="E78" s="40"/>
      <c r="F78" s="41"/>
      <c r="G78" s="42"/>
      <c r="H78" s="42"/>
      <c r="I78" s="42"/>
      <c r="J78" s="42"/>
      <c r="K78" s="42"/>
      <c r="L78" s="42"/>
      <c r="M78" s="42"/>
      <c r="N78" s="42"/>
      <c r="O78" s="42"/>
      <c r="P78" s="1080"/>
      <c r="Q78" s="41"/>
      <c r="R78" s="42"/>
      <c r="S78" s="42"/>
      <c r="T78" s="42"/>
      <c r="U78" s="42"/>
      <c r="V78" s="42"/>
      <c r="W78" s="42"/>
      <c r="X78" s="42"/>
      <c r="Y78" s="42"/>
      <c r="Z78" s="42"/>
      <c r="AA78" s="42"/>
      <c r="AB78" s="1080"/>
      <c r="AC78" s="42"/>
      <c r="AD78" s="42"/>
      <c r="AE78" s="42"/>
      <c r="AF78" s="42"/>
      <c r="AG78" s="42"/>
      <c r="AH78" s="42"/>
      <c r="AI78" s="42"/>
      <c r="AJ78" s="42"/>
      <c r="AK78" s="42"/>
      <c r="AL78" s="42"/>
      <c r="AM78" s="42"/>
      <c r="AN78" s="42"/>
      <c r="AO78" s="65">
        <f>SUM(E78:AN78)</f>
        <v>0</v>
      </c>
      <c r="AP78" s="1185"/>
      <c r="AQ78" s="1185"/>
    </row>
    <row r="79" spans="1:43" s="2" customFormat="1" ht="15" thickBot="1" x14ac:dyDescent="0.4">
      <c r="A79" s="1177"/>
      <c r="B79" s="1180"/>
      <c r="C79" s="1183"/>
      <c r="D79" s="483" t="s">
        <v>178</v>
      </c>
      <c r="E79" s="484"/>
      <c r="F79" s="485"/>
      <c r="G79" s="486"/>
      <c r="H79" s="486"/>
      <c r="I79" s="486"/>
      <c r="J79" s="486"/>
      <c r="K79" s="486"/>
      <c r="L79" s="486"/>
      <c r="M79" s="486"/>
      <c r="N79" s="486"/>
      <c r="O79" s="486"/>
      <c r="P79" s="1081"/>
      <c r="Q79" s="485"/>
      <c r="R79" s="486"/>
      <c r="S79" s="486"/>
      <c r="T79" s="486"/>
      <c r="U79" s="486"/>
      <c r="V79" s="486"/>
      <c r="W79" s="486"/>
      <c r="X79" s="486"/>
      <c r="Y79" s="486"/>
      <c r="Z79" s="486"/>
      <c r="AA79" s="486"/>
      <c r="AB79" s="1081"/>
      <c r="AC79" s="486"/>
      <c r="AD79" s="486"/>
      <c r="AE79" s="486"/>
      <c r="AF79" s="486"/>
      <c r="AG79" s="486"/>
      <c r="AH79" s="486"/>
      <c r="AI79" s="486"/>
      <c r="AJ79" s="486"/>
      <c r="AK79" s="486"/>
      <c r="AL79" s="486"/>
      <c r="AM79" s="486"/>
      <c r="AN79" s="486"/>
      <c r="AO79" s="141"/>
      <c r="AP79" s="1186"/>
      <c r="AQ79" s="1186"/>
    </row>
    <row r="80" spans="1:43" ht="15" customHeight="1" x14ac:dyDescent="0.35">
      <c r="A80" s="1175">
        <v>12</v>
      </c>
      <c r="B80" s="1178" t="str">
        <f>IF(VLOOKUP(A:A,'Pivot Table'!Z:AD,5,FALSE)=0,"",VLOOKUP(A:A,'Pivot Table'!Z:AD,5,FALSE))</f>
        <v/>
      </c>
      <c r="C80" s="1181" t="str">
        <f>_xlfn.IFNA(VLOOKUP(A:A,'Pivot Table'!P:W,8,FALSE),"")</f>
        <v/>
      </c>
      <c r="D80" s="494" t="s">
        <v>172</v>
      </c>
      <c r="E80" s="495">
        <f>SUM(E81:E82)</f>
        <v>0</v>
      </c>
      <c r="F80" s="496">
        <f>SUM(F81:F82)</f>
        <v>0</v>
      </c>
      <c r="G80" s="496">
        <f t="shared" ref="G80:M80" si="42">SUM(G81:G82)</f>
        <v>0</v>
      </c>
      <c r="H80" s="496">
        <f t="shared" si="42"/>
        <v>0</v>
      </c>
      <c r="I80" s="496">
        <f t="shared" si="42"/>
        <v>0</v>
      </c>
      <c r="J80" s="496">
        <f t="shared" si="42"/>
        <v>0</v>
      </c>
      <c r="K80" s="496">
        <f t="shared" si="42"/>
        <v>0</v>
      </c>
      <c r="L80" s="496">
        <f t="shared" si="42"/>
        <v>0</v>
      </c>
      <c r="M80" s="496">
        <f t="shared" si="42"/>
        <v>0</v>
      </c>
      <c r="N80" s="496">
        <f>SUM(N81:N82)</f>
        <v>0</v>
      </c>
      <c r="O80" s="496">
        <f t="shared" ref="O80:AN80" si="43">SUM(O81:O82)</f>
        <v>0</v>
      </c>
      <c r="P80" s="496">
        <f t="shared" si="43"/>
        <v>0</v>
      </c>
      <c r="Q80" s="496">
        <f t="shared" si="43"/>
        <v>0</v>
      </c>
      <c r="R80" s="496">
        <f t="shared" si="43"/>
        <v>0</v>
      </c>
      <c r="S80" s="496">
        <f t="shared" si="43"/>
        <v>0</v>
      </c>
      <c r="T80" s="496">
        <f t="shared" si="43"/>
        <v>0</v>
      </c>
      <c r="U80" s="496">
        <f t="shared" si="43"/>
        <v>0</v>
      </c>
      <c r="V80" s="496">
        <f t="shared" si="43"/>
        <v>0</v>
      </c>
      <c r="W80" s="496">
        <f t="shared" si="43"/>
        <v>0</v>
      </c>
      <c r="X80" s="496">
        <f t="shared" si="43"/>
        <v>0</v>
      </c>
      <c r="Y80" s="496">
        <f t="shared" si="43"/>
        <v>0</v>
      </c>
      <c r="Z80" s="496">
        <f t="shared" si="43"/>
        <v>0</v>
      </c>
      <c r="AA80" s="496">
        <f t="shared" si="43"/>
        <v>0</v>
      </c>
      <c r="AB80" s="496">
        <f t="shared" si="43"/>
        <v>0</v>
      </c>
      <c r="AC80" s="496">
        <f t="shared" si="43"/>
        <v>0</v>
      </c>
      <c r="AD80" s="496">
        <f t="shared" si="43"/>
        <v>0</v>
      </c>
      <c r="AE80" s="496">
        <f t="shared" si="43"/>
        <v>0</v>
      </c>
      <c r="AF80" s="496">
        <f t="shared" si="43"/>
        <v>0</v>
      </c>
      <c r="AG80" s="496">
        <f t="shared" si="43"/>
        <v>0</v>
      </c>
      <c r="AH80" s="496">
        <f t="shared" si="43"/>
        <v>0</v>
      </c>
      <c r="AI80" s="496">
        <f t="shared" si="43"/>
        <v>0</v>
      </c>
      <c r="AJ80" s="496">
        <f t="shared" si="43"/>
        <v>0</v>
      </c>
      <c r="AK80" s="496">
        <f t="shared" si="43"/>
        <v>0</v>
      </c>
      <c r="AL80" s="496">
        <f t="shared" si="43"/>
        <v>0</v>
      </c>
      <c r="AM80" s="496">
        <f t="shared" si="43"/>
        <v>0</v>
      </c>
      <c r="AN80" s="496">
        <f t="shared" si="43"/>
        <v>0</v>
      </c>
      <c r="AO80" s="497"/>
      <c r="AP80" s="1184"/>
      <c r="AQ80" s="1184"/>
    </row>
    <row r="81" spans="1:43" x14ac:dyDescent="0.35">
      <c r="A81" s="1176"/>
      <c r="B81" s="1179"/>
      <c r="C81" s="1182"/>
      <c r="D81" s="479" t="s">
        <v>173</v>
      </c>
      <c r="E81" s="476"/>
      <c r="F81" s="477"/>
      <c r="G81" s="478"/>
      <c r="H81" s="478"/>
      <c r="I81" s="478"/>
      <c r="J81" s="478"/>
      <c r="K81" s="478"/>
      <c r="L81" s="478"/>
      <c r="M81" s="478"/>
      <c r="N81" s="478"/>
      <c r="O81" s="478"/>
      <c r="P81" s="1078"/>
      <c r="Q81" s="477"/>
      <c r="R81" s="478"/>
      <c r="S81" s="478"/>
      <c r="T81" s="478"/>
      <c r="U81" s="478"/>
      <c r="V81" s="478"/>
      <c r="W81" s="478"/>
      <c r="X81" s="478"/>
      <c r="Y81" s="478"/>
      <c r="Z81" s="478"/>
      <c r="AA81" s="478"/>
      <c r="AB81" s="1078"/>
      <c r="AC81" s="478"/>
      <c r="AD81" s="478"/>
      <c r="AE81" s="478"/>
      <c r="AF81" s="478"/>
      <c r="AG81" s="478"/>
      <c r="AH81" s="478"/>
      <c r="AI81" s="478"/>
      <c r="AJ81" s="478"/>
      <c r="AK81" s="478"/>
      <c r="AL81" s="478"/>
      <c r="AM81" s="478"/>
      <c r="AN81" s="478"/>
      <c r="AO81" s="65">
        <f>SUM(E81:AN81)</f>
        <v>0</v>
      </c>
      <c r="AP81" s="1185"/>
      <c r="AQ81" s="1185"/>
    </row>
    <row r="82" spans="1:43" ht="15" thickBot="1" x14ac:dyDescent="0.4">
      <c r="A82" s="1176"/>
      <c r="B82" s="1179"/>
      <c r="C82" s="1182"/>
      <c r="D82" s="480" t="s">
        <v>174</v>
      </c>
      <c r="E82" s="473"/>
      <c r="F82" s="474"/>
      <c r="G82" s="475"/>
      <c r="H82" s="475"/>
      <c r="I82" s="475"/>
      <c r="J82" s="475"/>
      <c r="K82" s="475"/>
      <c r="L82" s="475"/>
      <c r="M82" s="475"/>
      <c r="N82" s="475"/>
      <c r="O82" s="475"/>
      <c r="P82" s="1079"/>
      <c r="Q82" s="474"/>
      <c r="R82" s="475"/>
      <c r="S82" s="475"/>
      <c r="T82" s="475"/>
      <c r="U82" s="475"/>
      <c r="V82" s="475"/>
      <c r="W82" s="475"/>
      <c r="X82" s="475"/>
      <c r="Y82" s="475"/>
      <c r="Z82" s="475"/>
      <c r="AA82" s="475"/>
      <c r="AB82" s="1079"/>
      <c r="AC82" s="475"/>
      <c r="AD82" s="475"/>
      <c r="AE82" s="475"/>
      <c r="AF82" s="475"/>
      <c r="AG82" s="475"/>
      <c r="AH82" s="475"/>
      <c r="AI82" s="475"/>
      <c r="AJ82" s="475"/>
      <c r="AK82" s="475"/>
      <c r="AL82" s="475"/>
      <c r="AM82" s="475"/>
      <c r="AN82" s="475"/>
      <c r="AO82" s="65"/>
      <c r="AP82" s="1185"/>
      <c r="AQ82" s="1185"/>
    </row>
    <row r="83" spans="1:43" s="10" customFormat="1" ht="14.5" customHeight="1" thickBot="1" x14ac:dyDescent="0.4">
      <c r="A83" s="1176"/>
      <c r="B83" s="1179"/>
      <c r="C83" s="1182"/>
      <c r="D83" s="1187" t="s">
        <v>175</v>
      </c>
      <c r="E83" s="1188"/>
      <c r="F83" s="1188"/>
      <c r="G83" s="1188"/>
      <c r="H83" s="1188"/>
      <c r="I83" s="1188"/>
      <c r="J83" s="1188"/>
      <c r="K83" s="1188"/>
      <c r="L83" s="1188"/>
      <c r="M83" s="1188"/>
      <c r="N83" s="1188"/>
      <c r="O83" s="1188"/>
      <c r="P83" s="1188"/>
      <c r="Q83" s="1188"/>
      <c r="R83" s="1188"/>
      <c r="S83" s="1188"/>
      <c r="T83" s="1188"/>
      <c r="U83" s="1188"/>
      <c r="V83" s="1188"/>
      <c r="W83" s="1188"/>
      <c r="X83" s="1188"/>
      <c r="Y83" s="1188"/>
      <c r="Z83" s="1188"/>
      <c r="AA83" s="1188"/>
      <c r="AB83" s="1188"/>
      <c r="AC83" s="1188"/>
      <c r="AD83" s="1188"/>
      <c r="AE83" s="1188"/>
      <c r="AF83" s="1188"/>
      <c r="AG83" s="1188"/>
      <c r="AH83" s="1188"/>
      <c r="AI83" s="1188"/>
      <c r="AJ83" s="1188"/>
      <c r="AK83" s="1188"/>
      <c r="AL83" s="1188"/>
      <c r="AM83" s="1188"/>
      <c r="AN83" s="1188"/>
      <c r="AO83" s="349" t="e">
        <f>SUM(E85:AN85)/AO81*100%</f>
        <v>#DIV/0!</v>
      </c>
      <c r="AP83" s="1185"/>
      <c r="AQ83" s="1185"/>
    </row>
    <row r="84" spans="1:43" s="10" customFormat="1" ht="14.5" customHeight="1" x14ac:dyDescent="0.35">
      <c r="A84" s="1176"/>
      <c r="B84" s="1179"/>
      <c r="C84" s="1182"/>
      <c r="D84" s="481" t="s">
        <v>176</v>
      </c>
      <c r="E84" s="487">
        <f>SUM(E85:E86)</f>
        <v>0</v>
      </c>
      <c r="F84" s="488">
        <f>SUM(F85:F86)</f>
        <v>0</v>
      </c>
      <c r="G84" s="488">
        <f t="shared" ref="G84:AN84" si="44">SUM(G85:G86)</f>
        <v>0</v>
      </c>
      <c r="H84" s="488">
        <f t="shared" si="44"/>
        <v>0</v>
      </c>
      <c r="I84" s="488">
        <f t="shared" si="44"/>
        <v>0</v>
      </c>
      <c r="J84" s="488">
        <f t="shared" si="44"/>
        <v>0</v>
      </c>
      <c r="K84" s="488">
        <f t="shared" si="44"/>
        <v>0</v>
      </c>
      <c r="L84" s="488">
        <f t="shared" si="44"/>
        <v>0</v>
      </c>
      <c r="M84" s="488">
        <f t="shared" si="44"/>
        <v>0</v>
      </c>
      <c r="N84" s="488">
        <f t="shared" si="44"/>
        <v>0</v>
      </c>
      <c r="O84" s="488">
        <f t="shared" si="44"/>
        <v>0</v>
      </c>
      <c r="P84" s="488">
        <f t="shared" si="44"/>
        <v>0</v>
      </c>
      <c r="Q84" s="488">
        <f t="shared" si="44"/>
        <v>0</v>
      </c>
      <c r="R84" s="488">
        <f t="shared" si="44"/>
        <v>0</v>
      </c>
      <c r="S84" s="488">
        <f t="shared" si="44"/>
        <v>0</v>
      </c>
      <c r="T84" s="488">
        <f t="shared" si="44"/>
        <v>0</v>
      </c>
      <c r="U84" s="488">
        <f t="shared" si="44"/>
        <v>0</v>
      </c>
      <c r="V84" s="488">
        <f t="shared" si="44"/>
        <v>0</v>
      </c>
      <c r="W84" s="488">
        <f t="shared" si="44"/>
        <v>0</v>
      </c>
      <c r="X84" s="488">
        <f t="shared" si="44"/>
        <v>0</v>
      </c>
      <c r="Y84" s="488">
        <f t="shared" si="44"/>
        <v>0</v>
      </c>
      <c r="Z84" s="488">
        <f t="shared" si="44"/>
        <v>0</v>
      </c>
      <c r="AA84" s="488">
        <f t="shared" si="44"/>
        <v>0</v>
      </c>
      <c r="AB84" s="488">
        <f t="shared" si="44"/>
        <v>0</v>
      </c>
      <c r="AC84" s="488">
        <f t="shared" si="44"/>
        <v>0</v>
      </c>
      <c r="AD84" s="488">
        <f t="shared" si="44"/>
        <v>0</v>
      </c>
      <c r="AE84" s="488">
        <f t="shared" si="44"/>
        <v>0</v>
      </c>
      <c r="AF84" s="488">
        <f t="shared" si="44"/>
        <v>0</v>
      </c>
      <c r="AG84" s="488">
        <f t="shared" si="44"/>
        <v>0</v>
      </c>
      <c r="AH84" s="488">
        <f t="shared" si="44"/>
        <v>0</v>
      </c>
      <c r="AI84" s="488">
        <f t="shared" si="44"/>
        <v>0</v>
      </c>
      <c r="AJ84" s="488">
        <f t="shared" si="44"/>
        <v>0</v>
      </c>
      <c r="AK84" s="488">
        <f t="shared" si="44"/>
        <v>0</v>
      </c>
      <c r="AL84" s="488">
        <f t="shared" si="44"/>
        <v>0</v>
      </c>
      <c r="AM84" s="488">
        <f t="shared" si="44"/>
        <v>0</v>
      </c>
      <c r="AN84" s="488">
        <f t="shared" si="44"/>
        <v>0</v>
      </c>
      <c r="AO84" s="136"/>
      <c r="AP84" s="1185"/>
      <c r="AQ84" s="1185"/>
    </row>
    <row r="85" spans="1:43" s="2" customFormat="1" x14ac:dyDescent="0.35">
      <c r="A85" s="1176"/>
      <c r="B85" s="1179"/>
      <c r="C85" s="1182"/>
      <c r="D85" s="482" t="s">
        <v>177</v>
      </c>
      <c r="E85" s="40"/>
      <c r="F85" s="41"/>
      <c r="G85" s="42"/>
      <c r="H85" s="42"/>
      <c r="I85" s="42"/>
      <c r="J85" s="42"/>
      <c r="K85" s="42"/>
      <c r="L85" s="42"/>
      <c r="M85" s="42"/>
      <c r="N85" s="42"/>
      <c r="O85" s="42"/>
      <c r="P85" s="1080"/>
      <c r="Q85" s="41"/>
      <c r="R85" s="42"/>
      <c r="S85" s="42"/>
      <c r="T85" s="42"/>
      <c r="U85" s="42"/>
      <c r="V85" s="42"/>
      <c r="W85" s="42"/>
      <c r="X85" s="42"/>
      <c r="Y85" s="42"/>
      <c r="Z85" s="42"/>
      <c r="AA85" s="42"/>
      <c r="AB85" s="1080"/>
      <c r="AC85" s="42"/>
      <c r="AD85" s="42"/>
      <c r="AE85" s="42"/>
      <c r="AF85" s="42"/>
      <c r="AG85" s="42"/>
      <c r="AH85" s="42"/>
      <c r="AI85" s="42"/>
      <c r="AJ85" s="42"/>
      <c r="AK85" s="42"/>
      <c r="AL85" s="42"/>
      <c r="AM85" s="42"/>
      <c r="AN85" s="42"/>
      <c r="AO85" s="65">
        <f>SUM(E85:AN85)</f>
        <v>0</v>
      </c>
      <c r="AP85" s="1185"/>
      <c r="AQ85" s="1185"/>
    </row>
    <row r="86" spans="1:43" s="2" customFormat="1" ht="15" thickBot="1" x14ac:dyDescent="0.4">
      <c r="A86" s="1177"/>
      <c r="B86" s="1180"/>
      <c r="C86" s="1183"/>
      <c r="D86" s="483" t="s">
        <v>178</v>
      </c>
      <c r="E86" s="484"/>
      <c r="F86" s="485"/>
      <c r="G86" s="486"/>
      <c r="H86" s="486"/>
      <c r="I86" s="486"/>
      <c r="J86" s="486"/>
      <c r="K86" s="486"/>
      <c r="L86" s="486"/>
      <c r="M86" s="486"/>
      <c r="N86" s="486"/>
      <c r="O86" s="486"/>
      <c r="P86" s="1081"/>
      <c r="Q86" s="485"/>
      <c r="R86" s="486"/>
      <c r="S86" s="486"/>
      <c r="T86" s="486"/>
      <c r="U86" s="486"/>
      <c r="V86" s="486"/>
      <c r="W86" s="486"/>
      <c r="X86" s="486"/>
      <c r="Y86" s="486"/>
      <c r="Z86" s="486"/>
      <c r="AA86" s="486"/>
      <c r="AB86" s="1081"/>
      <c r="AC86" s="486"/>
      <c r="AD86" s="486"/>
      <c r="AE86" s="486"/>
      <c r="AF86" s="486"/>
      <c r="AG86" s="486"/>
      <c r="AH86" s="486"/>
      <c r="AI86" s="486"/>
      <c r="AJ86" s="486"/>
      <c r="AK86" s="486"/>
      <c r="AL86" s="486"/>
      <c r="AM86" s="486"/>
      <c r="AN86" s="486"/>
      <c r="AO86" s="141"/>
      <c r="AP86" s="1186"/>
      <c r="AQ86" s="1186"/>
    </row>
    <row r="87" spans="1:43" ht="15" customHeight="1" x14ac:dyDescent="0.35">
      <c r="A87" s="1175">
        <v>13</v>
      </c>
      <c r="B87" s="1178" t="str">
        <f>IF(VLOOKUP(A:A,'Pivot Table'!Z:AD,5,FALSE)=0,"",VLOOKUP(A:A,'Pivot Table'!Z:AD,5,FALSE))</f>
        <v/>
      </c>
      <c r="C87" s="1181" t="str">
        <f>_xlfn.IFNA(VLOOKUP(A:A,'Pivot Table'!P:W,8,FALSE),"")</f>
        <v/>
      </c>
      <c r="D87" s="494" t="s">
        <v>172</v>
      </c>
      <c r="E87" s="495">
        <f>SUM(E88:E89)</f>
        <v>0</v>
      </c>
      <c r="F87" s="496">
        <f>SUM(F88:F89)</f>
        <v>0</v>
      </c>
      <c r="G87" s="496">
        <f t="shared" ref="G87:M87" si="45">SUM(G88:G89)</f>
        <v>0</v>
      </c>
      <c r="H87" s="496">
        <f t="shared" si="45"/>
        <v>0</v>
      </c>
      <c r="I87" s="496">
        <f t="shared" si="45"/>
        <v>0</v>
      </c>
      <c r="J87" s="496">
        <f t="shared" si="45"/>
        <v>0</v>
      </c>
      <c r="K87" s="496">
        <f t="shared" si="45"/>
        <v>0</v>
      </c>
      <c r="L87" s="496">
        <f t="shared" si="45"/>
        <v>0</v>
      </c>
      <c r="M87" s="496">
        <f t="shared" si="45"/>
        <v>0</v>
      </c>
      <c r="N87" s="496">
        <f>SUM(N88:N89)</f>
        <v>0</v>
      </c>
      <c r="O87" s="496">
        <f t="shared" ref="O87:AN87" si="46">SUM(O88:O89)</f>
        <v>0</v>
      </c>
      <c r="P87" s="496">
        <f t="shared" si="46"/>
        <v>0</v>
      </c>
      <c r="Q87" s="496">
        <f t="shared" si="46"/>
        <v>0</v>
      </c>
      <c r="R87" s="496">
        <f t="shared" si="46"/>
        <v>0</v>
      </c>
      <c r="S87" s="496">
        <f t="shared" si="46"/>
        <v>0</v>
      </c>
      <c r="T87" s="496">
        <f t="shared" si="46"/>
        <v>0</v>
      </c>
      <c r="U87" s="496">
        <f t="shared" si="46"/>
        <v>0</v>
      </c>
      <c r="V87" s="496">
        <f t="shared" si="46"/>
        <v>0</v>
      </c>
      <c r="W87" s="496">
        <f t="shared" si="46"/>
        <v>0</v>
      </c>
      <c r="X87" s="496">
        <f t="shared" si="46"/>
        <v>0</v>
      </c>
      <c r="Y87" s="496">
        <f t="shared" si="46"/>
        <v>0</v>
      </c>
      <c r="Z87" s="496">
        <f t="shared" si="46"/>
        <v>0</v>
      </c>
      <c r="AA87" s="496">
        <f t="shared" si="46"/>
        <v>0</v>
      </c>
      <c r="AB87" s="496">
        <f t="shared" si="46"/>
        <v>0</v>
      </c>
      <c r="AC87" s="496">
        <f t="shared" si="46"/>
        <v>0</v>
      </c>
      <c r="AD87" s="496">
        <f t="shared" si="46"/>
        <v>0</v>
      </c>
      <c r="AE87" s="496">
        <f t="shared" si="46"/>
        <v>0</v>
      </c>
      <c r="AF87" s="496">
        <f t="shared" si="46"/>
        <v>0</v>
      </c>
      <c r="AG87" s="496">
        <f t="shared" si="46"/>
        <v>0</v>
      </c>
      <c r="AH87" s="496">
        <f t="shared" si="46"/>
        <v>0</v>
      </c>
      <c r="AI87" s="496">
        <f t="shared" si="46"/>
        <v>0</v>
      </c>
      <c r="AJ87" s="496">
        <f t="shared" si="46"/>
        <v>0</v>
      </c>
      <c r="AK87" s="496">
        <f t="shared" si="46"/>
        <v>0</v>
      </c>
      <c r="AL87" s="496">
        <f t="shared" si="46"/>
        <v>0</v>
      </c>
      <c r="AM87" s="496">
        <f t="shared" si="46"/>
        <v>0</v>
      </c>
      <c r="AN87" s="496">
        <f t="shared" si="46"/>
        <v>0</v>
      </c>
      <c r="AO87" s="497"/>
      <c r="AP87" s="1184"/>
      <c r="AQ87" s="1184"/>
    </row>
    <row r="88" spans="1:43" x14ac:dyDescent="0.35">
      <c r="A88" s="1176"/>
      <c r="B88" s="1179"/>
      <c r="C88" s="1182"/>
      <c r="D88" s="479" t="s">
        <v>173</v>
      </c>
      <c r="E88" s="476"/>
      <c r="F88" s="477"/>
      <c r="G88" s="478"/>
      <c r="H88" s="478"/>
      <c r="I88" s="478"/>
      <c r="J88" s="478"/>
      <c r="K88" s="478"/>
      <c r="L88" s="478"/>
      <c r="M88" s="478"/>
      <c r="N88" s="478"/>
      <c r="O88" s="478"/>
      <c r="P88" s="1078"/>
      <c r="Q88" s="477"/>
      <c r="R88" s="478"/>
      <c r="S88" s="478"/>
      <c r="T88" s="478"/>
      <c r="U88" s="478"/>
      <c r="V88" s="478"/>
      <c r="W88" s="478"/>
      <c r="X88" s="478"/>
      <c r="Y88" s="478"/>
      <c r="Z88" s="478"/>
      <c r="AA88" s="478"/>
      <c r="AB88" s="1078"/>
      <c r="AC88" s="478"/>
      <c r="AD88" s="478"/>
      <c r="AE88" s="478"/>
      <c r="AF88" s="478"/>
      <c r="AG88" s="478"/>
      <c r="AH88" s="478"/>
      <c r="AI88" s="478"/>
      <c r="AJ88" s="478"/>
      <c r="AK88" s="478"/>
      <c r="AL88" s="478"/>
      <c r="AM88" s="478"/>
      <c r="AN88" s="478"/>
      <c r="AO88" s="65">
        <f>SUM(E88:AN88)</f>
        <v>0</v>
      </c>
      <c r="AP88" s="1185"/>
      <c r="AQ88" s="1185"/>
    </row>
    <row r="89" spans="1:43" ht="15" thickBot="1" x14ac:dyDescent="0.4">
      <c r="A89" s="1176"/>
      <c r="B89" s="1179"/>
      <c r="C89" s="1182"/>
      <c r="D89" s="480" t="s">
        <v>174</v>
      </c>
      <c r="E89" s="473"/>
      <c r="F89" s="474"/>
      <c r="G89" s="475"/>
      <c r="H89" s="475"/>
      <c r="I89" s="475"/>
      <c r="J89" s="475"/>
      <c r="K89" s="475"/>
      <c r="L89" s="475"/>
      <c r="M89" s="475"/>
      <c r="N89" s="475"/>
      <c r="O89" s="475"/>
      <c r="P89" s="1079"/>
      <c r="Q89" s="474"/>
      <c r="R89" s="475"/>
      <c r="S89" s="475"/>
      <c r="T89" s="475"/>
      <c r="U89" s="475"/>
      <c r="V89" s="475"/>
      <c r="W89" s="475"/>
      <c r="X89" s="475"/>
      <c r="Y89" s="475"/>
      <c r="Z89" s="475"/>
      <c r="AA89" s="475"/>
      <c r="AB89" s="1079"/>
      <c r="AC89" s="475"/>
      <c r="AD89" s="475"/>
      <c r="AE89" s="475"/>
      <c r="AF89" s="475"/>
      <c r="AG89" s="475"/>
      <c r="AH89" s="475"/>
      <c r="AI89" s="475"/>
      <c r="AJ89" s="475"/>
      <c r="AK89" s="475"/>
      <c r="AL89" s="475"/>
      <c r="AM89" s="475"/>
      <c r="AN89" s="475"/>
      <c r="AO89" s="65"/>
      <c r="AP89" s="1185"/>
      <c r="AQ89" s="1185"/>
    </row>
    <row r="90" spans="1:43" s="10" customFormat="1" ht="14.5" customHeight="1" thickBot="1" x14ac:dyDescent="0.4">
      <c r="A90" s="1176"/>
      <c r="B90" s="1179"/>
      <c r="C90" s="1182"/>
      <c r="D90" s="1187" t="s">
        <v>175</v>
      </c>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88"/>
      <c r="AM90" s="1188"/>
      <c r="AN90" s="1188"/>
      <c r="AO90" s="349" t="e">
        <f>SUM(E92:AN92)/AO88*100%</f>
        <v>#DIV/0!</v>
      </c>
      <c r="AP90" s="1185"/>
      <c r="AQ90" s="1185"/>
    </row>
    <row r="91" spans="1:43" s="10" customFormat="1" ht="14.5" customHeight="1" x14ac:dyDescent="0.35">
      <c r="A91" s="1176"/>
      <c r="B91" s="1179"/>
      <c r="C91" s="1182"/>
      <c r="D91" s="481" t="s">
        <v>176</v>
      </c>
      <c r="E91" s="487">
        <f>SUM(E92:E93)</f>
        <v>0</v>
      </c>
      <c r="F91" s="488">
        <f>SUM(F92:F93)</f>
        <v>0</v>
      </c>
      <c r="G91" s="488">
        <f t="shared" ref="G91:AN91" si="47">SUM(G92:G93)</f>
        <v>0</v>
      </c>
      <c r="H91" s="488">
        <f t="shared" si="47"/>
        <v>0</v>
      </c>
      <c r="I91" s="488">
        <f t="shared" si="47"/>
        <v>0</v>
      </c>
      <c r="J91" s="488">
        <f t="shared" si="47"/>
        <v>0</v>
      </c>
      <c r="K91" s="488">
        <f t="shared" si="47"/>
        <v>0</v>
      </c>
      <c r="L91" s="488">
        <f t="shared" si="47"/>
        <v>0</v>
      </c>
      <c r="M91" s="488">
        <f t="shared" si="47"/>
        <v>0</v>
      </c>
      <c r="N91" s="488">
        <f t="shared" si="47"/>
        <v>0</v>
      </c>
      <c r="O91" s="488">
        <f t="shared" si="47"/>
        <v>0</v>
      </c>
      <c r="P91" s="488">
        <f t="shared" si="47"/>
        <v>0</v>
      </c>
      <c r="Q91" s="488">
        <f t="shared" si="47"/>
        <v>0</v>
      </c>
      <c r="R91" s="488">
        <f t="shared" si="47"/>
        <v>0</v>
      </c>
      <c r="S91" s="488">
        <f t="shared" si="47"/>
        <v>0</v>
      </c>
      <c r="T91" s="488">
        <f t="shared" si="47"/>
        <v>0</v>
      </c>
      <c r="U91" s="488">
        <f t="shared" si="47"/>
        <v>0</v>
      </c>
      <c r="V91" s="488">
        <f t="shared" si="47"/>
        <v>0</v>
      </c>
      <c r="W91" s="488">
        <f t="shared" si="47"/>
        <v>0</v>
      </c>
      <c r="X91" s="488">
        <f t="shared" si="47"/>
        <v>0</v>
      </c>
      <c r="Y91" s="488">
        <f t="shared" si="47"/>
        <v>0</v>
      </c>
      <c r="Z91" s="488">
        <f t="shared" si="47"/>
        <v>0</v>
      </c>
      <c r="AA91" s="488">
        <f t="shared" si="47"/>
        <v>0</v>
      </c>
      <c r="AB91" s="488">
        <f t="shared" si="47"/>
        <v>0</v>
      </c>
      <c r="AC91" s="488">
        <f t="shared" si="47"/>
        <v>0</v>
      </c>
      <c r="AD91" s="488">
        <f t="shared" si="47"/>
        <v>0</v>
      </c>
      <c r="AE91" s="488">
        <f t="shared" si="47"/>
        <v>0</v>
      </c>
      <c r="AF91" s="488">
        <f t="shared" si="47"/>
        <v>0</v>
      </c>
      <c r="AG91" s="488">
        <f t="shared" si="47"/>
        <v>0</v>
      </c>
      <c r="AH91" s="488">
        <f t="shared" si="47"/>
        <v>0</v>
      </c>
      <c r="AI91" s="488">
        <f t="shared" si="47"/>
        <v>0</v>
      </c>
      <c r="AJ91" s="488">
        <f t="shared" si="47"/>
        <v>0</v>
      </c>
      <c r="AK91" s="488">
        <f t="shared" si="47"/>
        <v>0</v>
      </c>
      <c r="AL91" s="488">
        <f t="shared" si="47"/>
        <v>0</v>
      </c>
      <c r="AM91" s="488">
        <f t="shared" si="47"/>
        <v>0</v>
      </c>
      <c r="AN91" s="488">
        <f t="shared" si="47"/>
        <v>0</v>
      </c>
      <c r="AO91" s="136"/>
      <c r="AP91" s="1185"/>
      <c r="AQ91" s="1185"/>
    </row>
    <row r="92" spans="1:43" s="2" customFormat="1" x14ac:dyDescent="0.35">
      <c r="A92" s="1176"/>
      <c r="B92" s="1179"/>
      <c r="C92" s="1182"/>
      <c r="D92" s="482" t="s">
        <v>177</v>
      </c>
      <c r="E92" s="40"/>
      <c r="F92" s="41"/>
      <c r="G92" s="42"/>
      <c r="H92" s="42"/>
      <c r="I92" s="42"/>
      <c r="J92" s="42"/>
      <c r="K92" s="42"/>
      <c r="L92" s="42"/>
      <c r="M92" s="42"/>
      <c r="N92" s="42"/>
      <c r="O92" s="42"/>
      <c r="P92" s="1080"/>
      <c r="Q92" s="41"/>
      <c r="R92" s="42"/>
      <c r="S92" s="42"/>
      <c r="T92" s="42"/>
      <c r="U92" s="42"/>
      <c r="V92" s="42"/>
      <c r="W92" s="42"/>
      <c r="X92" s="42"/>
      <c r="Y92" s="42"/>
      <c r="Z92" s="42"/>
      <c r="AA92" s="42"/>
      <c r="AB92" s="1080"/>
      <c r="AC92" s="42"/>
      <c r="AD92" s="42"/>
      <c r="AE92" s="42"/>
      <c r="AF92" s="42"/>
      <c r="AG92" s="42"/>
      <c r="AH92" s="42"/>
      <c r="AI92" s="42"/>
      <c r="AJ92" s="42"/>
      <c r="AK92" s="42"/>
      <c r="AL92" s="42"/>
      <c r="AM92" s="42"/>
      <c r="AN92" s="42"/>
      <c r="AO92" s="65">
        <f>SUM(E92:AN92)</f>
        <v>0</v>
      </c>
      <c r="AP92" s="1185"/>
      <c r="AQ92" s="1185"/>
    </row>
    <row r="93" spans="1:43" s="2" customFormat="1" ht="15" thickBot="1" x14ac:dyDescent="0.4">
      <c r="A93" s="1177"/>
      <c r="B93" s="1180"/>
      <c r="C93" s="1183"/>
      <c r="D93" s="483" t="s">
        <v>178</v>
      </c>
      <c r="E93" s="484"/>
      <c r="F93" s="485"/>
      <c r="G93" s="486"/>
      <c r="H93" s="486"/>
      <c r="I93" s="486"/>
      <c r="J93" s="486"/>
      <c r="K93" s="486"/>
      <c r="L93" s="486"/>
      <c r="M93" s="486"/>
      <c r="N93" s="486"/>
      <c r="O93" s="486"/>
      <c r="P93" s="1081"/>
      <c r="Q93" s="485"/>
      <c r="R93" s="486"/>
      <c r="S93" s="486"/>
      <c r="T93" s="486"/>
      <c r="U93" s="486"/>
      <c r="V93" s="486"/>
      <c r="W93" s="486"/>
      <c r="X93" s="486"/>
      <c r="Y93" s="486"/>
      <c r="Z93" s="486"/>
      <c r="AA93" s="486"/>
      <c r="AB93" s="1081"/>
      <c r="AC93" s="486"/>
      <c r="AD93" s="486"/>
      <c r="AE93" s="486"/>
      <c r="AF93" s="486"/>
      <c r="AG93" s="486"/>
      <c r="AH93" s="486"/>
      <c r="AI93" s="486"/>
      <c r="AJ93" s="486"/>
      <c r="AK93" s="486"/>
      <c r="AL93" s="486"/>
      <c r="AM93" s="486"/>
      <c r="AN93" s="486"/>
      <c r="AO93" s="141"/>
      <c r="AP93" s="1186"/>
      <c r="AQ93" s="1186"/>
    </row>
    <row r="94" spans="1:43" ht="15" customHeight="1" x14ac:dyDescent="0.35">
      <c r="A94" s="1175">
        <v>14</v>
      </c>
      <c r="B94" s="1178" t="str">
        <f>IF(VLOOKUP(A:A,'Pivot Table'!Z:AD,5,FALSE)=0,"",VLOOKUP(A:A,'Pivot Table'!Z:AD,5,FALSE))</f>
        <v/>
      </c>
      <c r="C94" s="1181" t="str">
        <f>_xlfn.IFNA(VLOOKUP(A:A,'Pivot Table'!P:W,8,FALSE),"")</f>
        <v/>
      </c>
      <c r="D94" s="494" t="s">
        <v>172</v>
      </c>
      <c r="E94" s="495">
        <f>SUM(E95:E96)</f>
        <v>0</v>
      </c>
      <c r="F94" s="496">
        <f>SUM(F95:F96)</f>
        <v>0</v>
      </c>
      <c r="G94" s="496">
        <f t="shared" ref="G94:M94" si="48">SUM(G95:G96)</f>
        <v>0</v>
      </c>
      <c r="H94" s="496">
        <f t="shared" si="48"/>
        <v>0</v>
      </c>
      <c r="I94" s="496">
        <f t="shared" si="48"/>
        <v>0</v>
      </c>
      <c r="J94" s="496">
        <f t="shared" si="48"/>
        <v>0</v>
      </c>
      <c r="K94" s="496">
        <f t="shared" si="48"/>
        <v>0</v>
      </c>
      <c r="L94" s="496">
        <f t="shared" si="48"/>
        <v>0</v>
      </c>
      <c r="M94" s="496">
        <f t="shared" si="48"/>
        <v>0</v>
      </c>
      <c r="N94" s="496">
        <f>SUM(N95:N96)</f>
        <v>0</v>
      </c>
      <c r="O94" s="496">
        <f t="shared" ref="O94:AN94" si="49">SUM(O95:O96)</f>
        <v>0</v>
      </c>
      <c r="P94" s="496">
        <f t="shared" si="49"/>
        <v>0</v>
      </c>
      <c r="Q94" s="496">
        <f t="shared" si="49"/>
        <v>0</v>
      </c>
      <c r="R94" s="496">
        <f t="shared" si="49"/>
        <v>0</v>
      </c>
      <c r="S94" s="496">
        <f t="shared" si="49"/>
        <v>0</v>
      </c>
      <c r="T94" s="496">
        <f t="shared" si="49"/>
        <v>0</v>
      </c>
      <c r="U94" s="496">
        <f t="shared" si="49"/>
        <v>0</v>
      </c>
      <c r="V94" s="496">
        <f t="shared" si="49"/>
        <v>0</v>
      </c>
      <c r="W94" s="496">
        <f t="shared" si="49"/>
        <v>0</v>
      </c>
      <c r="X94" s="496">
        <f t="shared" si="49"/>
        <v>0</v>
      </c>
      <c r="Y94" s="496">
        <f t="shared" si="49"/>
        <v>0</v>
      </c>
      <c r="Z94" s="496">
        <f t="shared" si="49"/>
        <v>0</v>
      </c>
      <c r="AA94" s="496">
        <f t="shared" si="49"/>
        <v>0</v>
      </c>
      <c r="AB94" s="496">
        <f t="shared" si="49"/>
        <v>0</v>
      </c>
      <c r="AC94" s="496">
        <f t="shared" si="49"/>
        <v>0</v>
      </c>
      <c r="AD94" s="496">
        <f t="shared" si="49"/>
        <v>0</v>
      </c>
      <c r="AE94" s="496">
        <f t="shared" si="49"/>
        <v>0</v>
      </c>
      <c r="AF94" s="496">
        <f t="shared" si="49"/>
        <v>0</v>
      </c>
      <c r="AG94" s="496">
        <f t="shared" si="49"/>
        <v>0</v>
      </c>
      <c r="AH94" s="496">
        <f t="shared" si="49"/>
        <v>0</v>
      </c>
      <c r="AI94" s="496">
        <f t="shared" si="49"/>
        <v>0</v>
      </c>
      <c r="AJ94" s="496">
        <f t="shared" si="49"/>
        <v>0</v>
      </c>
      <c r="AK94" s="496">
        <f t="shared" si="49"/>
        <v>0</v>
      </c>
      <c r="AL94" s="496">
        <f t="shared" si="49"/>
        <v>0</v>
      </c>
      <c r="AM94" s="496">
        <f t="shared" si="49"/>
        <v>0</v>
      </c>
      <c r="AN94" s="496">
        <f t="shared" si="49"/>
        <v>0</v>
      </c>
      <c r="AO94" s="497"/>
      <c r="AP94" s="1184"/>
      <c r="AQ94" s="1184"/>
    </row>
    <row r="95" spans="1:43" x14ac:dyDescent="0.35">
      <c r="A95" s="1176"/>
      <c r="B95" s="1179"/>
      <c r="C95" s="1182"/>
      <c r="D95" s="479" t="s">
        <v>173</v>
      </c>
      <c r="E95" s="476"/>
      <c r="F95" s="477"/>
      <c r="G95" s="478"/>
      <c r="H95" s="478"/>
      <c r="I95" s="478"/>
      <c r="J95" s="478"/>
      <c r="K95" s="478"/>
      <c r="L95" s="478"/>
      <c r="M95" s="478"/>
      <c r="N95" s="478"/>
      <c r="O95" s="478"/>
      <c r="P95" s="1078"/>
      <c r="Q95" s="477"/>
      <c r="R95" s="478"/>
      <c r="S95" s="478"/>
      <c r="T95" s="478"/>
      <c r="U95" s="478"/>
      <c r="V95" s="478"/>
      <c r="W95" s="478"/>
      <c r="X95" s="478"/>
      <c r="Y95" s="478"/>
      <c r="Z95" s="478"/>
      <c r="AA95" s="478"/>
      <c r="AB95" s="1078"/>
      <c r="AC95" s="478"/>
      <c r="AD95" s="478"/>
      <c r="AE95" s="478"/>
      <c r="AF95" s="478"/>
      <c r="AG95" s="478"/>
      <c r="AH95" s="478"/>
      <c r="AI95" s="478"/>
      <c r="AJ95" s="478"/>
      <c r="AK95" s="478"/>
      <c r="AL95" s="478"/>
      <c r="AM95" s="478"/>
      <c r="AN95" s="478"/>
      <c r="AO95" s="65">
        <f>SUM(E95:AN95)</f>
        <v>0</v>
      </c>
      <c r="AP95" s="1185"/>
      <c r="AQ95" s="1185"/>
    </row>
    <row r="96" spans="1:43" ht="15" thickBot="1" x14ac:dyDescent="0.4">
      <c r="A96" s="1176"/>
      <c r="B96" s="1179"/>
      <c r="C96" s="1182"/>
      <c r="D96" s="480" t="s">
        <v>174</v>
      </c>
      <c r="E96" s="473"/>
      <c r="F96" s="474"/>
      <c r="G96" s="475"/>
      <c r="H96" s="475"/>
      <c r="I96" s="475"/>
      <c r="J96" s="475"/>
      <c r="K96" s="475"/>
      <c r="L96" s="475"/>
      <c r="M96" s="475"/>
      <c r="N96" s="475"/>
      <c r="O96" s="475"/>
      <c r="P96" s="1079"/>
      <c r="Q96" s="474"/>
      <c r="R96" s="475"/>
      <c r="S96" s="475"/>
      <c r="T96" s="475"/>
      <c r="U96" s="475"/>
      <c r="V96" s="475"/>
      <c r="W96" s="475"/>
      <c r="X96" s="475"/>
      <c r="Y96" s="475"/>
      <c r="Z96" s="475"/>
      <c r="AA96" s="475"/>
      <c r="AB96" s="1079"/>
      <c r="AC96" s="475"/>
      <c r="AD96" s="475"/>
      <c r="AE96" s="475"/>
      <c r="AF96" s="475"/>
      <c r="AG96" s="475"/>
      <c r="AH96" s="475"/>
      <c r="AI96" s="475"/>
      <c r="AJ96" s="475"/>
      <c r="AK96" s="475"/>
      <c r="AL96" s="475"/>
      <c r="AM96" s="475"/>
      <c r="AN96" s="475"/>
      <c r="AO96" s="65"/>
      <c r="AP96" s="1185"/>
      <c r="AQ96" s="1185"/>
    </row>
    <row r="97" spans="1:43" s="10" customFormat="1" ht="14.5" customHeight="1" thickBot="1" x14ac:dyDescent="0.4">
      <c r="A97" s="1176"/>
      <c r="B97" s="1179"/>
      <c r="C97" s="1182"/>
      <c r="D97" s="1187" t="s">
        <v>175</v>
      </c>
      <c r="E97" s="1188"/>
      <c r="F97" s="1188"/>
      <c r="G97" s="1188"/>
      <c r="H97" s="1188"/>
      <c r="I97" s="1188"/>
      <c r="J97" s="1188"/>
      <c r="K97" s="1188"/>
      <c r="L97" s="1188"/>
      <c r="M97" s="1188"/>
      <c r="N97" s="1188"/>
      <c r="O97" s="1188"/>
      <c r="P97" s="1188"/>
      <c r="Q97" s="1188"/>
      <c r="R97" s="1188"/>
      <c r="S97" s="1188"/>
      <c r="T97" s="1188"/>
      <c r="U97" s="1188"/>
      <c r="V97" s="1188"/>
      <c r="W97" s="1188"/>
      <c r="X97" s="1188"/>
      <c r="Y97" s="1188"/>
      <c r="Z97" s="1188"/>
      <c r="AA97" s="1188"/>
      <c r="AB97" s="1188"/>
      <c r="AC97" s="1188"/>
      <c r="AD97" s="1188"/>
      <c r="AE97" s="1188"/>
      <c r="AF97" s="1188"/>
      <c r="AG97" s="1188"/>
      <c r="AH97" s="1188"/>
      <c r="AI97" s="1188"/>
      <c r="AJ97" s="1188"/>
      <c r="AK97" s="1188"/>
      <c r="AL97" s="1188"/>
      <c r="AM97" s="1188"/>
      <c r="AN97" s="1188"/>
      <c r="AO97" s="349" t="e">
        <f>SUM(E99:AN99)/AO95*100%</f>
        <v>#DIV/0!</v>
      </c>
      <c r="AP97" s="1185"/>
      <c r="AQ97" s="1185"/>
    </row>
    <row r="98" spans="1:43" s="10" customFormat="1" ht="14.5" customHeight="1" x14ac:dyDescent="0.35">
      <c r="A98" s="1176"/>
      <c r="B98" s="1179"/>
      <c r="C98" s="1182"/>
      <c r="D98" s="481" t="s">
        <v>176</v>
      </c>
      <c r="E98" s="487">
        <f>SUM(E99:E100)</f>
        <v>0</v>
      </c>
      <c r="F98" s="488">
        <f>SUM(F99:F100)</f>
        <v>0</v>
      </c>
      <c r="G98" s="488">
        <f t="shared" ref="G98:AN98" si="50">SUM(G99:G100)</f>
        <v>0</v>
      </c>
      <c r="H98" s="488">
        <f t="shared" si="50"/>
        <v>0</v>
      </c>
      <c r="I98" s="488">
        <f t="shared" si="50"/>
        <v>0</v>
      </c>
      <c r="J98" s="488">
        <f t="shared" si="50"/>
        <v>0</v>
      </c>
      <c r="K98" s="488">
        <f t="shared" si="50"/>
        <v>0</v>
      </c>
      <c r="L98" s="488">
        <f t="shared" si="50"/>
        <v>0</v>
      </c>
      <c r="M98" s="488">
        <f t="shared" si="50"/>
        <v>0</v>
      </c>
      <c r="N98" s="488">
        <f t="shared" si="50"/>
        <v>0</v>
      </c>
      <c r="O98" s="488">
        <f t="shared" si="50"/>
        <v>0</v>
      </c>
      <c r="P98" s="488">
        <f t="shared" si="50"/>
        <v>0</v>
      </c>
      <c r="Q98" s="488">
        <f t="shared" si="50"/>
        <v>0</v>
      </c>
      <c r="R98" s="488">
        <f t="shared" si="50"/>
        <v>0</v>
      </c>
      <c r="S98" s="488">
        <f t="shared" si="50"/>
        <v>0</v>
      </c>
      <c r="T98" s="488">
        <f t="shared" si="50"/>
        <v>0</v>
      </c>
      <c r="U98" s="488">
        <f t="shared" si="50"/>
        <v>0</v>
      </c>
      <c r="V98" s="488">
        <f t="shared" si="50"/>
        <v>0</v>
      </c>
      <c r="W98" s="488">
        <f t="shared" si="50"/>
        <v>0</v>
      </c>
      <c r="X98" s="488">
        <f t="shared" si="50"/>
        <v>0</v>
      </c>
      <c r="Y98" s="488">
        <f t="shared" si="50"/>
        <v>0</v>
      </c>
      <c r="Z98" s="488">
        <f t="shared" si="50"/>
        <v>0</v>
      </c>
      <c r="AA98" s="488">
        <f t="shared" si="50"/>
        <v>0</v>
      </c>
      <c r="AB98" s="488">
        <f t="shared" si="50"/>
        <v>0</v>
      </c>
      <c r="AC98" s="488">
        <f t="shared" si="50"/>
        <v>0</v>
      </c>
      <c r="AD98" s="488">
        <f t="shared" si="50"/>
        <v>0</v>
      </c>
      <c r="AE98" s="488">
        <f t="shared" si="50"/>
        <v>0</v>
      </c>
      <c r="AF98" s="488">
        <f t="shared" si="50"/>
        <v>0</v>
      </c>
      <c r="AG98" s="488">
        <f t="shared" si="50"/>
        <v>0</v>
      </c>
      <c r="AH98" s="488">
        <f t="shared" si="50"/>
        <v>0</v>
      </c>
      <c r="AI98" s="488">
        <f t="shared" si="50"/>
        <v>0</v>
      </c>
      <c r="AJ98" s="488">
        <f t="shared" si="50"/>
        <v>0</v>
      </c>
      <c r="AK98" s="488">
        <f t="shared" si="50"/>
        <v>0</v>
      </c>
      <c r="AL98" s="488">
        <f t="shared" si="50"/>
        <v>0</v>
      </c>
      <c r="AM98" s="488">
        <f t="shared" si="50"/>
        <v>0</v>
      </c>
      <c r="AN98" s="488">
        <f t="shared" si="50"/>
        <v>0</v>
      </c>
      <c r="AO98" s="136"/>
      <c r="AP98" s="1185"/>
      <c r="AQ98" s="1185"/>
    </row>
    <row r="99" spans="1:43" s="2" customFormat="1" x14ac:dyDescent="0.35">
      <c r="A99" s="1176"/>
      <c r="B99" s="1179"/>
      <c r="C99" s="1182"/>
      <c r="D99" s="482" t="s">
        <v>177</v>
      </c>
      <c r="E99" s="40"/>
      <c r="F99" s="41"/>
      <c r="G99" s="42"/>
      <c r="H99" s="42"/>
      <c r="I99" s="42"/>
      <c r="J99" s="42"/>
      <c r="K99" s="42"/>
      <c r="L99" s="42"/>
      <c r="M99" s="42"/>
      <c r="N99" s="42"/>
      <c r="O99" s="42"/>
      <c r="P99" s="1080"/>
      <c r="Q99" s="41"/>
      <c r="R99" s="42"/>
      <c r="S99" s="42"/>
      <c r="T99" s="42"/>
      <c r="U99" s="42"/>
      <c r="V99" s="42"/>
      <c r="W99" s="42"/>
      <c r="X99" s="42"/>
      <c r="Y99" s="42"/>
      <c r="Z99" s="42"/>
      <c r="AA99" s="42"/>
      <c r="AB99" s="1080"/>
      <c r="AC99" s="42"/>
      <c r="AD99" s="42"/>
      <c r="AE99" s="42"/>
      <c r="AF99" s="42"/>
      <c r="AG99" s="42"/>
      <c r="AH99" s="42"/>
      <c r="AI99" s="42"/>
      <c r="AJ99" s="42"/>
      <c r="AK99" s="42"/>
      <c r="AL99" s="42"/>
      <c r="AM99" s="42"/>
      <c r="AN99" s="42"/>
      <c r="AO99" s="65">
        <f>SUM(E99:AN99)</f>
        <v>0</v>
      </c>
      <c r="AP99" s="1185"/>
      <c r="AQ99" s="1185"/>
    </row>
    <row r="100" spans="1:43" s="2" customFormat="1" ht="15" thickBot="1" x14ac:dyDescent="0.4">
      <c r="A100" s="1177"/>
      <c r="B100" s="1180"/>
      <c r="C100" s="1183"/>
      <c r="D100" s="483" t="s">
        <v>178</v>
      </c>
      <c r="E100" s="484"/>
      <c r="F100" s="485"/>
      <c r="G100" s="486"/>
      <c r="H100" s="486"/>
      <c r="I100" s="486"/>
      <c r="J100" s="486"/>
      <c r="K100" s="486"/>
      <c r="L100" s="486"/>
      <c r="M100" s="486"/>
      <c r="N100" s="486"/>
      <c r="O100" s="486"/>
      <c r="P100" s="1081"/>
      <c r="Q100" s="485"/>
      <c r="R100" s="486"/>
      <c r="S100" s="486"/>
      <c r="T100" s="486"/>
      <c r="U100" s="486"/>
      <c r="V100" s="486"/>
      <c r="W100" s="486"/>
      <c r="X100" s="486"/>
      <c r="Y100" s="486"/>
      <c r="Z100" s="486"/>
      <c r="AA100" s="486"/>
      <c r="AB100" s="1081"/>
      <c r="AC100" s="486"/>
      <c r="AD100" s="486"/>
      <c r="AE100" s="486"/>
      <c r="AF100" s="486"/>
      <c r="AG100" s="486"/>
      <c r="AH100" s="486"/>
      <c r="AI100" s="486"/>
      <c r="AJ100" s="486"/>
      <c r="AK100" s="486"/>
      <c r="AL100" s="486"/>
      <c r="AM100" s="486"/>
      <c r="AN100" s="486"/>
      <c r="AO100" s="141"/>
      <c r="AP100" s="1186"/>
      <c r="AQ100" s="1186"/>
    </row>
    <row r="101" spans="1:43" ht="15" customHeight="1" x14ac:dyDescent="0.35">
      <c r="A101" s="1175">
        <v>15</v>
      </c>
      <c r="B101" s="1178" t="str">
        <f>IF(VLOOKUP(A:A,'Pivot Table'!Z:AD,5,FALSE)=0,"",VLOOKUP(A:A,'Pivot Table'!Z:AD,5,FALSE))</f>
        <v/>
      </c>
      <c r="C101" s="1181" t="str">
        <f>_xlfn.IFNA(VLOOKUP(A:A,'Pivot Table'!P:W,8,FALSE),"")</f>
        <v/>
      </c>
      <c r="D101" s="494" t="s">
        <v>172</v>
      </c>
      <c r="E101" s="495">
        <f>SUM(E102:E103)</f>
        <v>0</v>
      </c>
      <c r="F101" s="496">
        <f>SUM(F102:F103)</f>
        <v>0</v>
      </c>
      <c r="G101" s="496">
        <f t="shared" ref="G101:M101" si="51">SUM(G102:G103)</f>
        <v>0</v>
      </c>
      <c r="H101" s="496">
        <f t="shared" si="51"/>
        <v>0</v>
      </c>
      <c r="I101" s="496">
        <f t="shared" si="51"/>
        <v>0</v>
      </c>
      <c r="J101" s="496">
        <f t="shared" si="51"/>
        <v>0</v>
      </c>
      <c r="K101" s="496">
        <f t="shared" si="51"/>
        <v>0</v>
      </c>
      <c r="L101" s="496">
        <f t="shared" si="51"/>
        <v>0</v>
      </c>
      <c r="M101" s="496">
        <f t="shared" si="51"/>
        <v>0</v>
      </c>
      <c r="N101" s="496">
        <f>SUM(N102:N103)</f>
        <v>0</v>
      </c>
      <c r="O101" s="496">
        <f t="shared" ref="O101:AN101" si="52">SUM(O102:O103)</f>
        <v>0</v>
      </c>
      <c r="P101" s="496">
        <f t="shared" si="52"/>
        <v>0</v>
      </c>
      <c r="Q101" s="496">
        <f t="shared" si="52"/>
        <v>0</v>
      </c>
      <c r="R101" s="496">
        <f t="shared" si="52"/>
        <v>0</v>
      </c>
      <c r="S101" s="496">
        <f t="shared" si="52"/>
        <v>0</v>
      </c>
      <c r="T101" s="496">
        <f t="shared" si="52"/>
        <v>0</v>
      </c>
      <c r="U101" s="496">
        <f t="shared" si="52"/>
        <v>0</v>
      </c>
      <c r="V101" s="496">
        <f t="shared" si="52"/>
        <v>0</v>
      </c>
      <c r="W101" s="496">
        <f t="shared" si="52"/>
        <v>0</v>
      </c>
      <c r="X101" s="496">
        <f t="shared" si="52"/>
        <v>0</v>
      </c>
      <c r="Y101" s="496">
        <f t="shared" si="52"/>
        <v>0</v>
      </c>
      <c r="Z101" s="496">
        <f t="shared" si="52"/>
        <v>0</v>
      </c>
      <c r="AA101" s="496">
        <f t="shared" si="52"/>
        <v>0</v>
      </c>
      <c r="AB101" s="496">
        <f t="shared" si="52"/>
        <v>0</v>
      </c>
      <c r="AC101" s="496">
        <f t="shared" si="52"/>
        <v>0</v>
      </c>
      <c r="AD101" s="496">
        <f t="shared" si="52"/>
        <v>0</v>
      </c>
      <c r="AE101" s="496">
        <f t="shared" si="52"/>
        <v>0</v>
      </c>
      <c r="AF101" s="496">
        <f t="shared" si="52"/>
        <v>0</v>
      </c>
      <c r="AG101" s="496">
        <f t="shared" si="52"/>
        <v>0</v>
      </c>
      <c r="AH101" s="496">
        <f t="shared" si="52"/>
        <v>0</v>
      </c>
      <c r="AI101" s="496">
        <f t="shared" si="52"/>
        <v>0</v>
      </c>
      <c r="AJ101" s="496">
        <f t="shared" si="52"/>
        <v>0</v>
      </c>
      <c r="AK101" s="496">
        <f t="shared" si="52"/>
        <v>0</v>
      </c>
      <c r="AL101" s="496">
        <f t="shared" si="52"/>
        <v>0</v>
      </c>
      <c r="AM101" s="496">
        <f t="shared" si="52"/>
        <v>0</v>
      </c>
      <c r="AN101" s="496">
        <f t="shared" si="52"/>
        <v>0</v>
      </c>
      <c r="AO101" s="497"/>
      <c r="AP101" s="1184"/>
      <c r="AQ101" s="1184"/>
    </row>
    <row r="102" spans="1:43" x14ac:dyDescent="0.35">
      <c r="A102" s="1176"/>
      <c r="B102" s="1179"/>
      <c r="C102" s="1182"/>
      <c r="D102" s="479" t="s">
        <v>173</v>
      </c>
      <c r="E102" s="476"/>
      <c r="F102" s="477"/>
      <c r="G102" s="478"/>
      <c r="H102" s="478"/>
      <c r="I102" s="478"/>
      <c r="J102" s="478"/>
      <c r="K102" s="478"/>
      <c r="L102" s="478"/>
      <c r="M102" s="478"/>
      <c r="N102" s="478"/>
      <c r="O102" s="478"/>
      <c r="P102" s="1078"/>
      <c r="Q102" s="477"/>
      <c r="R102" s="478"/>
      <c r="S102" s="478"/>
      <c r="T102" s="478"/>
      <c r="U102" s="478"/>
      <c r="V102" s="478"/>
      <c r="W102" s="478"/>
      <c r="X102" s="478"/>
      <c r="Y102" s="478"/>
      <c r="Z102" s="478"/>
      <c r="AA102" s="478"/>
      <c r="AB102" s="1078"/>
      <c r="AC102" s="478"/>
      <c r="AD102" s="478"/>
      <c r="AE102" s="478"/>
      <c r="AF102" s="478"/>
      <c r="AG102" s="478"/>
      <c r="AH102" s="478"/>
      <c r="AI102" s="478"/>
      <c r="AJ102" s="478"/>
      <c r="AK102" s="478"/>
      <c r="AL102" s="478"/>
      <c r="AM102" s="478"/>
      <c r="AN102" s="478"/>
      <c r="AO102" s="65">
        <f>SUM(E102:AN102)</f>
        <v>0</v>
      </c>
      <c r="AP102" s="1185"/>
      <c r="AQ102" s="1185"/>
    </row>
    <row r="103" spans="1:43" ht="15" thickBot="1" x14ac:dyDescent="0.4">
      <c r="A103" s="1176"/>
      <c r="B103" s="1179"/>
      <c r="C103" s="1182"/>
      <c r="D103" s="480" t="s">
        <v>174</v>
      </c>
      <c r="E103" s="473"/>
      <c r="F103" s="474"/>
      <c r="G103" s="475"/>
      <c r="H103" s="475"/>
      <c r="I103" s="475"/>
      <c r="J103" s="475"/>
      <c r="K103" s="475"/>
      <c r="L103" s="475"/>
      <c r="M103" s="475"/>
      <c r="N103" s="475"/>
      <c r="O103" s="475"/>
      <c r="P103" s="1079"/>
      <c r="Q103" s="474"/>
      <c r="R103" s="475"/>
      <c r="S103" s="475"/>
      <c r="T103" s="475"/>
      <c r="U103" s="475"/>
      <c r="V103" s="475"/>
      <c r="W103" s="475"/>
      <c r="X103" s="475"/>
      <c r="Y103" s="475"/>
      <c r="Z103" s="475"/>
      <c r="AA103" s="475"/>
      <c r="AB103" s="1079"/>
      <c r="AC103" s="475"/>
      <c r="AD103" s="475"/>
      <c r="AE103" s="475"/>
      <c r="AF103" s="475"/>
      <c r="AG103" s="475"/>
      <c r="AH103" s="475"/>
      <c r="AI103" s="475"/>
      <c r="AJ103" s="475"/>
      <c r="AK103" s="475"/>
      <c r="AL103" s="475"/>
      <c r="AM103" s="475"/>
      <c r="AN103" s="475"/>
      <c r="AO103" s="65"/>
      <c r="AP103" s="1185"/>
      <c r="AQ103" s="1185"/>
    </row>
    <row r="104" spans="1:43" s="10" customFormat="1" ht="14.5" customHeight="1" thickBot="1" x14ac:dyDescent="0.4">
      <c r="A104" s="1176"/>
      <c r="B104" s="1179"/>
      <c r="C104" s="1182"/>
      <c r="D104" s="1187" t="s">
        <v>175</v>
      </c>
      <c r="E104" s="1188"/>
      <c r="F104" s="1188"/>
      <c r="G104" s="1188"/>
      <c r="H104" s="1188"/>
      <c r="I104" s="1188"/>
      <c r="J104" s="1188"/>
      <c r="K104" s="1188"/>
      <c r="L104" s="1188"/>
      <c r="M104" s="1188"/>
      <c r="N104" s="1188"/>
      <c r="O104" s="1188"/>
      <c r="P104" s="1188"/>
      <c r="Q104" s="1188"/>
      <c r="R104" s="1188"/>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88"/>
      <c r="AM104" s="1188"/>
      <c r="AN104" s="1188"/>
      <c r="AO104" s="349" t="e">
        <f>SUM(E106:AN106)/AO102*100%</f>
        <v>#DIV/0!</v>
      </c>
      <c r="AP104" s="1185"/>
      <c r="AQ104" s="1185"/>
    </row>
    <row r="105" spans="1:43" s="10" customFormat="1" ht="14.5" customHeight="1" x14ac:dyDescent="0.35">
      <c r="A105" s="1176"/>
      <c r="B105" s="1179"/>
      <c r="C105" s="1182"/>
      <c r="D105" s="481" t="s">
        <v>176</v>
      </c>
      <c r="E105" s="487">
        <f>SUM(E106:E107)</f>
        <v>0</v>
      </c>
      <c r="F105" s="488">
        <f>SUM(F106:F107)</f>
        <v>0</v>
      </c>
      <c r="G105" s="488">
        <f t="shared" ref="G105:AN105" si="53">SUM(G106:G107)</f>
        <v>0</v>
      </c>
      <c r="H105" s="488">
        <f t="shared" si="53"/>
        <v>0</v>
      </c>
      <c r="I105" s="488">
        <f t="shared" si="53"/>
        <v>0</v>
      </c>
      <c r="J105" s="488">
        <f t="shared" si="53"/>
        <v>0</v>
      </c>
      <c r="K105" s="488">
        <f t="shared" si="53"/>
        <v>0</v>
      </c>
      <c r="L105" s="488">
        <f t="shared" si="53"/>
        <v>0</v>
      </c>
      <c r="M105" s="488">
        <f t="shared" si="53"/>
        <v>0</v>
      </c>
      <c r="N105" s="488">
        <f t="shared" si="53"/>
        <v>0</v>
      </c>
      <c r="O105" s="488">
        <f t="shared" si="53"/>
        <v>0</v>
      </c>
      <c r="P105" s="488">
        <f t="shared" si="53"/>
        <v>0</v>
      </c>
      <c r="Q105" s="488">
        <f t="shared" si="53"/>
        <v>0</v>
      </c>
      <c r="R105" s="488">
        <f t="shared" si="53"/>
        <v>0</v>
      </c>
      <c r="S105" s="488">
        <f t="shared" si="53"/>
        <v>0</v>
      </c>
      <c r="T105" s="488">
        <f t="shared" si="53"/>
        <v>0</v>
      </c>
      <c r="U105" s="488">
        <f t="shared" si="53"/>
        <v>0</v>
      </c>
      <c r="V105" s="488">
        <f t="shared" si="53"/>
        <v>0</v>
      </c>
      <c r="W105" s="488">
        <f t="shared" si="53"/>
        <v>0</v>
      </c>
      <c r="X105" s="488">
        <f t="shared" si="53"/>
        <v>0</v>
      </c>
      <c r="Y105" s="488">
        <f t="shared" si="53"/>
        <v>0</v>
      </c>
      <c r="Z105" s="488">
        <f t="shared" si="53"/>
        <v>0</v>
      </c>
      <c r="AA105" s="488">
        <f t="shared" si="53"/>
        <v>0</v>
      </c>
      <c r="AB105" s="488">
        <f t="shared" si="53"/>
        <v>0</v>
      </c>
      <c r="AC105" s="488">
        <f t="shared" si="53"/>
        <v>0</v>
      </c>
      <c r="AD105" s="488">
        <f t="shared" si="53"/>
        <v>0</v>
      </c>
      <c r="AE105" s="488">
        <f t="shared" si="53"/>
        <v>0</v>
      </c>
      <c r="AF105" s="488">
        <f t="shared" si="53"/>
        <v>0</v>
      </c>
      <c r="AG105" s="488">
        <f t="shared" si="53"/>
        <v>0</v>
      </c>
      <c r="AH105" s="488">
        <f t="shared" si="53"/>
        <v>0</v>
      </c>
      <c r="AI105" s="488">
        <f t="shared" si="53"/>
        <v>0</v>
      </c>
      <c r="AJ105" s="488">
        <f t="shared" si="53"/>
        <v>0</v>
      </c>
      <c r="AK105" s="488">
        <f t="shared" si="53"/>
        <v>0</v>
      </c>
      <c r="AL105" s="488">
        <f t="shared" si="53"/>
        <v>0</v>
      </c>
      <c r="AM105" s="488">
        <f t="shared" si="53"/>
        <v>0</v>
      </c>
      <c r="AN105" s="488">
        <f t="shared" si="53"/>
        <v>0</v>
      </c>
      <c r="AO105" s="136"/>
      <c r="AP105" s="1185"/>
      <c r="AQ105" s="1185"/>
    </row>
    <row r="106" spans="1:43" s="2" customFormat="1" x14ac:dyDescent="0.35">
      <c r="A106" s="1176"/>
      <c r="B106" s="1179"/>
      <c r="C106" s="1182"/>
      <c r="D106" s="482" t="s">
        <v>177</v>
      </c>
      <c r="E106" s="40"/>
      <c r="F106" s="41"/>
      <c r="G106" s="42"/>
      <c r="H106" s="42"/>
      <c r="I106" s="42"/>
      <c r="J106" s="42"/>
      <c r="K106" s="42"/>
      <c r="L106" s="42"/>
      <c r="M106" s="42"/>
      <c r="N106" s="42"/>
      <c r="O106" s="42"/>
      <c r="P106" s="1080"/>
      <c r="Q106" s="41"/>
      <c r="R106" s="42"/>
      <c r="S106" s="42"/>
      <c r="T106" s="42"/>
      <c r="U106" s="42"/>
      <c r="V106" s="42"/>
      <c r="W106" s="42"/>
      <c r="X106" s="42"/>
      <c r="Y106" s="42"/>
      <c r="Z106" s="42"/>
      <c r="AA106" s="42"/>
      <c r="AB106" s="1080"/>
      <c r="AC106" s="42"/>
      <c r="AD106" s="42"/>
      <c r="AE106" s="42"/>
      <c r="AF106" s="42"/>
      <c r="AG106" s="42"/>
      <c r="AH106" s="42"/>
      <c r="AI106" s="42"/>
      <c r="AJ106" s="42"/>
      <c r="AK106" s="42"/>
      <c r="AL106" s="42"/>
      <c r="AM106" s="42"/>
      <c r="AN106" s="42"/>
      <c r="AO106" s="65">
        <f>SUM(E106:AN106)</f>
        <v>0</v>
      </c>
      <c r="AP106" s="1185"/>
      <c r="AQ106" s="1185"/>
    </row>
    <row r="107" spans="1:43" s="2" customFormat="1" ht="15" thickBot="1" x14ac:dyDescent="0.4">
      <c r="A107" s="1177"/>
      <c r="B107" s="1180"/>
      <c r="C107" s="1183"/>
      <c r="D107" s="483" t="s">
        <v>178</v>
      </c>
      <c r="E107" s="484"/>
      <c r="F107" s="485"/>
      <c r="G107" s="486"/>
      <c r="H107" s="486"/>
      <c r="I107" s="486"/>
      <c r="J107" s="486"/>
      <c r="K107" s="486"/>
      <c r="L107" s="486"/>
      <c r="M107" s="486"/>
      <c r="N107" s="486"/>
      <c r="O107" s="486"/>
      <c r="P107" s="1081"/>
      <c r="Q107" s="485"/>
      <c r="R107" s="486"/>
      <c r="S107" s="486"/>
      <c r="T107" s="486"/>
      <c r="U107" s="486"/>
      <c r="V107" s="486"/>
      <c r="W107" s="486"/>
      <c r="X107" s="486"/>
      <c r="Y107" s="486"/>
      <c r="Z107" s="486"/>
      <c r="AA107" s="486"/>
      <c r="AB107" s="1081"/>
      <c r="AC107" s="486"/>
      <c r="AD107" s="486"/>
      <c r="AE107" s="486"/>
      <c r="AF107" s="486"/>
      <c r="AG107" s="486"/>
      <c r="AH107" s="486"/>
      <c r="AI107" s="486"/>
      <c r="AJ107" s="486"/>
      <c r="AK107" s="486"/>
      <c r="AL107" s="486"/>
      <c r="AM107" s="486"/>
      <c r="AN107" s="486"/>
      <c r="AO107" s="141"/>
      <c r="AP107" s="1186"/>
      <c r="AQ107" s="1186"/>
    </row>
    <row r="108" spans="1:43" ht="15" customHeight="1" x14ac:dyDescent="0.35">
      <c r="A108" s="1175">
        <v>16</v>
      </c>
      <c r="B108" s="1178" t="str">
        <f>IF(VLOOKUP(A:A,'Pivot Table'!Z:AD,5,FALSE)=0,"",VLOOKUP(A:A,'Pivot Table'!Z:AD,5,FALSE))</f>
        <v/>
      </c>
      <c r="C108" s="1181" t="str">
        <f>_xlfn.IFNA(VLOOKUP(A:A,'Pivot Table'!P:W,8,FALSE),"")</f>
        <v/>
      </c>
      <c r="D108" s="494" t="s">
        <v>172</v>
      </c>
      <c r="E108" s="495">
        <f>SUM(E109:E110)</f>
        <v>0</v>
      </c>
      <c r="F108" s="496">
        <f>SUM(F109:F110)</f>
        <v>0</v>
      </c>
      <c r="G108" s="496">
        <f t="shared" ref="G108:M108" si="54">SUM(G109:G110)</f>
        <v>0</v>
      </c>
      <c r="H108" s="496">
        <f t="shared" si="54"/>
        <v>0</v>
      </c>
      <c r="I108" s="496">
        <f t="shared" si="54"/>
        <v>0</v>
      </c>
      <c r="J108" s="496">
        <f t="shared" si="54"/>
        <v>0</v>
      </c>
      <c r="K108" s="496">
        <f t="shared" si="54"/>
        <v>0</v>
      </c>
      <c r="L108" s="496">
        <f t="shared" si="54"/>
        <v>0</v>
      </c>
      <c r="M108" s="496">
        <f t="shared" si="54"/>
        <v>0</v>
      </c>
      <c r="N108" s="496">
        <f>SUM(N109:N110)</f>
        <v>0</v>
      </c>
      <c r="O108" s="496">
        <f t="shared" ref="O108:AN108" si="55">SUM(O109:O110)</f>
        <v>0</v>
      </c>
      <c r="P108" s="496">
        <f t="shared" si="55"/>
        <v>0</v>
      </c>
      <c r="Q108" s="496">
        <f t="shared" si="55"/>
        <v>0</v>
      </c>
      <c r="R108" s="496">
        <f t="shared" si="55"/>
        <v>0</v>
      </c>
      <c r="S108" s="496">
        <f t="shared" si="55"/>
        <v>0</v>
      </c>
      <c r="T108" s="496">
        <f t="shared" si="55"/>
        <v>0</v>
      </c>
      <c r="U108" s="496">
        <f t="shared" si="55"/>
        <v>0</v>
      </c>
      <c r="V108" s="496">
        <f t="shared" si="55"/>
        <v>0</v>
      </c>
      <c r="W108" s="496">
        <f t="shared" si="55"/>
        <v>0</v>
      </c>
      <c r="X108" s="496">
        <f t="shared" si="55"/>
        <v>0</v>
      </c>
      <c r="Y108" s="496">
        <f t="shared" si="55"/>
        <v>0</v>
      </c>
      <c r="Z108" s="496">
        <f t="shared" si="55"/>
        <v>0</v>
      </c>
      <c r="AA108" s="496">
        <f t="shared" si="55"/>
        <v>0</v>
      </c>
      <c r="AB108" s="496">
        <f t="shared" si="55"/>
        <v>0</v>
      </c>
      <c r="AC108" s="496">
        <f t="shared" si="55"/>
        <v>0</v>
      </c>
      <c r="AD108" s="496">
        <f t="shared" si="55"/>
        <v>0</v>
      </c>
      <c r="AE108" s="496">
        <f t="shared" si="55"/>
        <v>0</v>
      </c>
      <c r="AF108" s="496">
        <f t="shared" si="55"/>
        <v>0</v>
      </c>
      <c r="AG108" s="496">
        <f t="shared" si="55"/>
        <v>0</v>
      </c>
      <c r="AH108" s="496">
        <f t="shared" si="55"/>
        <v>0</v>
      </c>
      <c r="AI108" s="496">
        <f t="shared" si="55"/>
        <v>0</v>
      </c>
      <c r="AJ108" s="496">
        <f t="shared" si="55"/>
        <v>0</v>
      </c>
      <c r="AK108" s="496">
        <f t="shared" si="55"/>
        <v>0</v>
      </c>
      <c r="AL108" s="496">
        <f t="shared" si="55"/>
        <v>0</v>
      </c>
      <c r="AM108" s="496">
        <f t="shared" si="55"/>
        <v>0</v>
      </c>
      <c r="AN108" s="496">
        <f t="shared" si="55"/>
        <v>0</v>
      </c>
      <c r="AO108" s="497"/>
      <c r="AP108" s="1184"/>
      <c r="AQ108" s="1184"/>
    </row>
    <row r="109" spans="1:43" x14ac:dyDescent="0.35">
      <c r="A109" s="1176"/>
      <c r="B109" s="1179"/>
      <c r="C109" s="1182"/>
      <c r="D109" s="479" t="s">
        <v>173</v>
      </c>
      <c r="E109" s="476"/>
      <c r="F109" s="477"/>
      <c r="G109" s="478"/>
      <c r="H109" s="478"/>
      <c r="I109" s="478"/>
      <c r="J109" s="478"/>
      <c r="K109" s="478"/>
      <c r="L109" s="478"/>
      <c r="M109" s="478"/>
      <c r="N109" s="478"/>
      <c r="O109" s="478"/>
      <c r="P109" s="1078"/>
      <c r="Q109" s="477"/>
      <c r="R109" s="478"/>
      <c r="S109" s="478"/>
      <c r="T109" s="478"/>
      <c r="U109" s="478"/>
      <c r="V109" s="478"/>
      <c r="W109" s="478"/>
      <c r="X109" s="478"/>
      <c r="Y109" s="478"/>
      <c r="Z109" s="478"/>
      <c r="AA109" s="478"/>
      <c r="AB109" s="1078"/>
      <c r="AC109" s="478"/>
      <c r="AD109" s="478"/>
      <c r="AE109" s="478"/>
      <c r="AF109" s="478"/>
      <c r="AG109" s="478"/>
      <c r="AH109" s="478"/>
      <c r="AI109" s="478"/>
      <c r="AJ109" s="478"/>
      <c r="AK109" s="478"/>
      <c r="AL109" s="478"/>
      <c r="AM109" s="478"/>
      <c r="AN109" s="478"/>
      <c r="AO109" s="65">
        <f>SUM(E109:AN109)</f>
        <v>0</v>
      </c>
      <c r="AP109" s="1185"/>
      <c r="AQ109" s="1185"/>
    </row>
    <row r="110" spans="1:43" ht="15" thickBot="1" x14ac:dyDescent="0.4">
      <c r="A110" s="1176"/>
      <c r="B110" s="1179"/>
      <c r="C110" s="1182"/>
      <c r="D110" s="480" t="s">
        <v>174</v>
      </c>
      <c r="E110" s="473"/>
      <c r="F110" s="474"/>
      <c r="G110" s="475"/>
      <c r="H110" s="475"/>
      <c r="I110" s="475"/>
      <c r="J110" s="475"/>
      <c r="K110" s="475"/>
      <c r="L110" s="475"/>
      <c r="M110" s="475"/>
      <c r="N110" s="475"/>
      <c r="O110" s="475"/>
      <c r="P110" s="1079"/>
      <c r="Q110" s="474"/>
      <c r="R110" s="475"/>
      <c r="S110" s="475"/>
      <c r="T110" s="475"/>
      <c r="U110" s="475"/>
      <c r="V110" s="475"/>
      <c r="W110" s="475"/>
      <c r="X110" s="475"/>
      <c r="Y110" s="475"/>
      <c r="Z110" s="475"/>
      <c r="AA110" s="475"/>
      <c r="AB110" s="1079"/>
      <c r="AC110" s="475"/>
      <c r="AD110" s="475"/>
      <c r="AE110" s="475"/>
      <c r="AF110" s="475"/>
      <c r="AG110" s="475"/>
      <c r="AH110" s="475"/>
      <c r="AI110" s="475"/>
      <c r="AJ110" s="475"/>
      <c r="AK110" s="475"/>
      <c r="AL110" s="475"/>
      <c r="AM110" s="475"/>
      <c r="AN110" s="475"/>
      <c r="AO110" s="65"/>
      <c r="AP110" s="1185"/>
      <c r="AQ110" s="1185"/>
    </row>
    <row r="111" spans="1:43" s="10" customFormat="1" ht="14.5" customHeight="1" thickBot="1" x14ac:dyDescent="0.4">
      <c r="A111" s="1176"/>
      <c r="B111" s="1179"/>
      <c r="C111" s="1182"/>
      <c r="D111" s="1187" t="s">
        <v>175</v>
      </c>
      <c r="E111" s="1188"/>
      <c r="F111" s="1188"/>
      <c r="G111" s="1188"/>
      <c r="H111" s="1188"/>
      <c r="I111" s="1188"/>
      <c r="J111" s="1188"/>
      <c r="K111" s="1188"/>
      <c r="L111" s="1188"/>
      <c r="M111" s="1188"/>
      <c r="N111" s="1188"/>
      <c r="O111" s="1188"/>
      <c r="P111" s="1188"/>
      <c r="Q111" s="1188"/>
      <c r="R111" s="1188"/>
      <c r="S111" s="1188"/>
      <c r="T111" s="1188"/>
      <c r="U111" s="1188"/>
      <c r="V111" s="1188"/>
      <c r="W111" s="1188"/>
      <c r="X111" s="1188"/>
      <c r="Y111" s="1188"/>
      <c r="Z111" s="1188"/>
      <c r="AA111" s="1188"/>
      <c r="AB111" s="1188"/>
      <c r="AC111" s="1188"/>
      <c r="AD111" s="1188"/>
      <c r="AE111" s="1188"/>
      <c r="AF111" s="1188"/>
      <c r="AG111" s="1188"/>
      <c r="AH111" s="1188"/>
      <c r="AI111" s="1188"/>
      <c r="AJ111" s="1188"/>
      <c r="AK111" s="1188"/>
      <c r="AL111" s="1188"/>
      <c r="AM111" s="1188"/>
      <c r="AN111" s="1188"/>
      <c r="AO111" s="349" t="e">
        <f>SUM(E113:AN113)/AO109*100%</f>
        <v>#DIV/0!</v>
      </c>
      <c r="AP111" s="1185"/>
      <c r="AQ111" s="1185"/>
    </row>
    <row r="112" spans="1:43" s="10" customFormat="1" ht="14.5" customHeight="1" x14ac:dyDescent="0.35">
      <c r="A112" s="1176"/>
      <c r="B112" s="1179"/>
      <c r="C112" s="1182"/>
      <c r="D112" s="481" t="s">
        <v>176</v>
      </c>
      <c r="E112" s="487">
        <f>SUM(E113:E114)</f>
        <v>0</v>
      </c>
      <c r="F112" s="488">
        <f>SUM(F113:F114)</f>
        <v>0</v>
      </c>
      <c r="G112" s="488">
        <f t="shared" ref="G112:AN112" si="56">SUM(G113:G114)</f>
        <v>0</v>
      </c>
      <c r="H112" s="488">
        <f t="shared" si="56"/>
        <v>0</v>
      </c>
      <c r="I112" s="488">
        <f t="shared" si="56"/>
        <v>0</v>
      </c>
      <c r="J112" s="488">
        <f t="shared" si="56"/>
        <v>0</v>
      </c>
      <c r="K112" s="488">
        <f t="shared" si="56"/>
        <v>0</v>
      </c>
      <c r="L112" s="488">
        <f t="shared" si="56"/>
        <v>0</v>
      </c>
      <c r="M112" s="488">
        <f t="shared" si="56"/>
        <v>0</v>
      </c>
      <c r="N112" s="488">
        <f t="shared" si="56"/>
        <v>0</v>
      </c>
      <c r="O112" s="488">
        <f t="shared" si="56"/>
        <v>0</v>
      </c>
      <c r="P112" s="488">
        <f t="shared" si="56"/>
        <v>0</v>
      </c>
      <c r="Q112" s="488">
        <f t="shared" si="56"/>
        <v>0</v>
      </c>
      <c r="R112" s="488">
        <f t="shared" si="56"/>
        <v>0</v>
      </c>
      <c r="S112" s="488">
        <f t="shared" si="56"/>
        <v>0</v>
      </c>
      <c r="T112" s="488">
        <f t="shared" si="56"/>
        <v>0</v>
      </c>
      <c r="U112" s="488">
        <f t="shared" si="56"/>
        <v>0</v>
      </c>
      <c r="V112" s="488">
        <f t="shared" si="56"/>
        <v>0</v>
      </c>
      <c r="W112" s="488">
        <f t="shared" si="56"/>
        <v>0</v>
      </c>
      <c r="X112" s="488">
        <f t="shared" si="56"/>
        <v>0</v>
      </c>
      <c r="Y112" s="488">
        <f t="shared" si="56"/>
        <v>0</v>
      </c>
      <c r="Z112" s="488">
        <f t="shared" si="56"/>
        <v>0</v>
      </c>
      <c r="AA112" s="488">
        <f t="shared" si="56"/>
        <v>0</v>
      </c>
      <c r="AB112" s="488">
        <f t="shared" si="56"/>
        <v>0</v>
      </c>
      <c r="AC112" s="488">
        <f t="shared" si="56"/>
        <v>0</v>
      </c>
      <c r="AD112" s="488">
        <f t="shared" si="56"/>
        <v>0</v>
      </c>
      <c r="AE112" s="488">
        <f t="shared" si="56"/>
        <v>0</v>
      </c>
      <c r="AF112" s="488">
        <f t="shared" si="56"/>
        <v>0</v>
      </c>
      <c r="AG112" s="488">
        <f t="shared" si="56"/>
        <v>0</v>
      </c>
      <c r="AH112" s="488">
        <f t="shared" si="56"/>
        <v>0</v>
      </c>
      <c r="AI112" s="488">
        <f t="shared" si="56"/>
        <v>0</v>
      </c>
      <c r="AJ112" s="488">
        <f t="shared" si="56"/>
        <v>0</v>
      </c>
      <c r="AK112" s="488">
        <f t="shared" si="56"/>
        <v>0</v>
      </c>
      <c r="AL112" s="488">
        <f t="shared" si="56"/>
        <v>0</v>
      </c>
      <c r="AM112" s="488">
        <f t="shared" si="56"/>
        <v>0</v>
      </c>
      <c r="AN112" s="488">
        <f t="shared" si="56"/>
        <v>0</v>
      </c>
      <c r="AO112" s="136"/>
      <c r="AP112" s="1185"/>
      <c r="AQ112" s="1185"/>
    </row>
    <row r="113" spans="1:43" s="2" customFormat="1" x14ac:dyDescent="0.35">
      <c r="A113" s="1176"/>
      <c r="B113" s="1179"/>
      <c r="C113" s="1182"/>
      <c r="D113" s="482" t="s">
        <v>177</v>
      </c>
      <c r="E113" s="40"/>
      <c r="F113" s="41"/>
      <c r="G113" s="42"/>
      <c r="H113" s="42"/>
      <c r="I113" s="42"/>
      <c r="J113" s="42"/>
      <c r="K113" s="42"/>
      <c r="L113" s="42"/>
      <c r="M113" s="42"/>
      <c r="N113" s="42"/>
      <c r="O113" s="42"/>
      <c r="P113" s="1080"/>
      <c r="Q113" s="41"/>
      <c r="R113" s="42"/>
      <c r="S113" s="42"/>
      <c r="T113" s="42"/>
      <c r="U113" s="42"/>
      <c r="V113" s="42"/>
      <c r="W113" s="42"/>
      <c r="X113" s="42"/>
      <c r="Y113" s="42"/>
      <c r="Z113" s="42"/>
      <c r="AA113" s="42"/>
      <c r="AB113" s="1080"/>
      <c r="AC113" s="42"/>
      <c r="AD113" s="42"/>
      <c r="AE113" s="42"/>
      <c r="AF113" s="42"/>
      <c r="AG113" s="42"/>
      <c r="AH113" s="42"/>
      <c r="AI113" s="42"/>
      <c r="AJ113" s="42"/>
      <c r="AK113" s="42"/>
      <c r="AL113" s="42"/>
      <c r="AM113" s="42"/>
      <c r="AN113" s="42"/>
      <c r="AO113" s="65">
        <f>SUM(E113:AN113)</f>
        <v>0</v>
      </c>
      <c r="AP113" s="1185"/>
      <c r="AQ113" s="1185"/>
    </row>
    <row r="114" spans="1:43" s="2" customFormat="1" ht="15" thickBot="1" x14ac:dyDescent="0.4">
      <c r="A114" s="1177"/>
      <c r="B114" s="1180"/>
      <c r="C114" s="1183"/>
      <c r="D114" s="483" t="s">
        <v>178</v>
      </c>
      <c r="E114" s="484"/>
      <c r="F114" s="485"/>
      <c r="G114" s="486"/>
      <c r="H114" s="486"/>
      <c r="I114" s="486"/>
      <c r="J114" s="486"/>
      <c r="K114" s="486"/>
      <c r="L114" s="486"/>
      <c r="M114" s="486"/>
      <c r="N114" s="486"/>
      <c r="O114" s="486"/>
      <c r="P114" s="1081"/>
      <c r="Q114" s="485"/>
      <c r="R114" s="486"/>
      <c r="S114" s="486"/>
      <c r="T114" s="486"/>
      <c r="U114" s="486"/>
      <c r="V114" s="486"/>
      <c r="W114" s="486"/>
      <c r="X114" s="486"/>
      <c r="Y114" s="486"/>
      <c r="Z114" s="486"/>
      <c r="AA114" s="486"/>
      <c r="AB114" s="1081"/>
      <c r="AC114" s="486"/>
      <c r="AD114" s="486"/>
      <c r="AE114" s="486"/>
      <c r="AF114" s="486"/>
      <c r="AG114" s="486"/>
      <c r="AH114" s="486"/>
      <c r="AI114" s="486"/>
      <c r="AJ114" s="486"/>
      <c r="AK114" s="486"/>
      <c r="AL114" s="486"/>
      <c r="AM114" s="486"/>
      <c r="AN114" s="486"/>
      <c r="AO114" s="141"/>
      <c r="AP114" s="1186"/>
      <c r="AQ114" s="1186"/>
    </row>
    <row r="115" spans="1:43" ht="15" customHeight="1" x14ac:dyDescent="0.35">
      <c r="A115" s="1175">
        <v>17</v>
      </c>
      <c r="B115" s="1178" t="str">
        <f>IF(VLOOKUP(A:A,'Pivot Table'!Z:AD,5,FALSE)=0,"",VLOOKUP(A:A,'Pivot Table'!Z:AD,5,FALSE))</f>
        <v/>
      </c>
      <c r="C115" s="1181" t="str">
        <f>_xlfn.IFNA(VLOOKUP(A:A,'Pivot Table'!P:W,8,FALSE),"")</f>
        <v/>
      </c>
      <c r="D115" s="494" t="s">
        <v>172</v>
      </c>
      <c r="E115" s="495">
        <f>SUM(E116:E117)</f>
        <v>0</v>
      </c>
      <c r="F115" s="496">
        <f>SUM(F116:F117)</f>
        <v>0</v>
      </c>
      <c r="G115" s="496">
        <f t="shared" ref="G115:M115" si="57">SUM(G116:G117)</f>
        <v>0</v>
      </c>
      <c r="H115" s="496">
        <f t="shared" si="57"/>
        <v>0</v>
      </c>
      <c r="I115" s="496">
        <f t="shared" si="57"/>
        <v>0</v>
      </c>
      <c r="J115" s="496">
        <f t="shared" si="57"/>
        <v>0</v>
      </c>
      <c r="K115" s="496">
        <f t="shared" si="57"/>
        <v>0</v>
      </c>
      <c r="L115" s="496">
        <f t="shared" si="57"/>
        <v>0</v>
      </c>
      <c r="M115" s="496">
        <f t="shared" si="57"/>
        <v>0</v>
      </c>
      <c r="N115" s="496">
        <f>SUM(N116:N117)</f>
        <v>0</v>
      </c>
      <c r="O115" s="496">
        <f t="shared" ref="O115:AN115" si="58">SUM(O116:O117)</f>
        <v>0</v>
      </c>
      <c r="P115" s="496">
        <f t="shared" si="58"/>
        <v>0</v>
      </c>
      <c r="Q115" s="496">
        <f t="shared" si="58"/>
        <v>0</v>
      </c>
      <c r="R115" s="496">
        <f t="shared" si="58"/>
        <v>0</v>
      </c>
      <c r="S115" s="496">
        <f t="shared" si="58"/>
        <v>0</v>
      </c>
      <c r="T115" s="496">
        <f t="shared" si="58"/>
        <v>0</v>
      </c>
      <c r="U115" s="496">
        <f t="shared" si="58"/>
        <v>0</v>
      </c>
      <c r="V115" s="496">
        <f t="shared" si="58"/>
        <v>0</v>
      </c>
      <c r="W115" s="496">
        <f t="shared" si="58"/>
        <v>0</v>
      </c>
      <c r="X115" s="496">
        <f t="shared" si="58"/>
        <v>0</v>
      </c>
      <c r="Y115" s="496">
        <f t="shared" si="58"/>
        <v>0</v>
      </c>
      <c r="Z115" s="496">
        <f t="shared" si="58"/>
        <v>0</v>
      </c>
      <c r="AA115" s="496">
        <f t="shared" si="58"/>
        <v>0</v>
      </c>
      <c r="AB115" s="496">
        <f t="shared" si="58"/>
        <v>0</v>
      </c>
      <c r="AC115" s="496">
        <f t="shared" si="58"/>
        <v>0</v>
      </c>
      <c r="AD115" s="496">
        <f t="shared" si="58"/>
        <v>0</v>
      </c>
      <c r="AE115" s="496">
        <f t="shared" si="58"/>
        <v>0</v>
      </c>
      <c r="AF115" s="496">
        <f t="shared" si="58"/>
        <v>0</v>
      </c>
      <c r="AG115" s="496">
        <f t="shared" si="58"/>
        <v>0</v>
      </c>
      <c r="AH115" s="496">
        <f t="shared" si="58"/>
        <v>0</v>
      </c>
      <c r="AI115" s="496">
        <f t="shared" si="58"/>
        <v>0</v>
      </c>
      <c r="AJ115" s="496">
        <f t="shared" si="58"/>
        <v>0</v>
      </c>
      <c r="AK115" s="496">
        <f t="shared" si="58"/>
        <v>0</v>
      </c>
      <c r="AL115" s="496">
        <f t="shared" si="58"/>
        <v>0</v>
      </c>
      <c r="AM115" s="496">
        <f t="shared" si="58"/>
        <v>0</v>
      </c>
      <c r="AN115" s="496">
        <f t="shared" si="58"/>
        <v>0</v>
      </c>
      <c r="AO115" s="497"/>
      <c r="AP115" s="1184"/>
      <c r="AQ115" s="1184"/>
    </row>
    <row r="116" spans="1:43" x14ac:dyDescent="0.35">
      <c r="A116" s="1176"/>
      <c r="B116" s="1179"/>
      <c r="C116" s="1182"/>
      <c r="D116" s="479" t="s">
        <v>173</v>
      </c>
      <c r="E116" s="476"/>
      <c r="F116" s="477"/>
      <c r="G116" s="478"/>
      <c r="H116" s="478"/>
      <c r="I116" s="478"/>
      <c r="J116" s="478"/>
      <c r="K116" s="478"/>
      <c r="L116" s="478"/>
      <c r="M116" s="478"/>
      <c r="N116" s="478"/>
      <c r="O116" s="478"/>
      <c r="P116" s="1078"/>
      <c r="Q116" s="477"/>
      <c r="R116" s="478"/>
      <c r="S116" s="478"/>
      <c r="T116" s="478"/>
      <c r="U116" s="478"/>
      <c r="V116" s="478"/>
      <c r="W116" s="478"/>
      <c r="X116" s="478"/>
      <c r="Y116" s="478"/>
      <c r="Z116" s="478"/>
      <c r="AA116" s="478"/>
      <c r="AB116" s="1078"/>
      <c r="AC116" s="478"/>
      <c r="AD116" s="478"/>
      <c r="AE116" s="478"/>
      <c r="AF116" s="478"/>
      <c r="AG116" s="478"/>
      <c r="AH116" s="478"/>
      <c r="AI116" s="478"/>
      <c r="AJ116" s="478"/>
      <c r="AK116" s="478"/>
      <c r="AL116" s="478"/>
      <c r="AM116" s="478"/>
      <c r="AN116" s="478"/>
      <c r="AO116" s="65">
        <f>SUM(E116:AN116)</f>
        <v>0</v>
      </c>
      <c r="AP116" s="1185"/>
      <c r="AQ116" s="1185"/>
    </row>
    <row r="117" spans="1:43" ht="15" thickBot="1" x14ac:dyDescent="0.4">
      <c r="A117" s="1176"/>
      <c r="B117" s="1179"/>
      <c r="C117" s="1182"/>
      <c r="D117" s="480" t="s">
        <v>174</v>
      </c>
      <c r="E117" s="473"/>
      <c r="F117" s="474"/>
      <c r="G117" s="475"/>
      <c r="H117" s="475"/>
      <c r="I117" s="475"/>
      <c r="J117" s="475"/>
      <c r="K117" s="475"/>
      <c r="L117" s="475"/>
      <c r="M117" s="475"/>
      <c r="N117" s="475"/>
      <c r="O117" s="475"/>
      <c r="P117" s="1079"/>
      <c r="Q117" s="474"/>
      <c r="R117" s="475"/>
      <c r="S117" s="475"/>
      <c r="T117" s="475"/>
      <c r="U117" s="475"/>
      <c r="V117" s="475"/>
      <c r="W117" s="475"/>
      <c r="X117" s="475"/>
      <c r="Y117" s="475"/>
      <c r="Z117" s="475"/>
      <c r="AA117" s="475"/>
      <c r="AB117" s="1079"/>
      <c r="AC117" s="475"/>
      <c r="AD117" s="475"/>
      <c r="AE117" s="475"/>
      <c r="AF117" s="475"/>
      <c r="AG117" s="475"/>
      <c r="AH117" s="475"/>
      <c r="AI117" s="475"/>
      <c r="AJ117" s="475"/>
      <c r="AK117" s="475"/>
      <c r="AL117" s="475"/>
      <c r="AM117" s="475"/>
      <c r="AN117" s="475"/>
      <c r="AO117" s="65"/>
      <c r="AP117" s="1185"/>
      <c r="AQ117" s="1185"/>
    </row>
    <row r="118" spans="1:43" s="10" customFormat="1" ht="14.5" customHeight="1" thickBot="1" x14ac:dyDescent="0.4">
      <c r="A118" s="1176"/>
      <c r="B118" s="1179"/>
      <c r="C118" s="1182"/>
      <c r="D118" s="1187" t="s">
        <v>175</v>
      </c>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88"/>
      <c r="AM118" s="1188"/>
      <c r="AN118" s="1188"/>
      <c r="AO118" s="349" t="e">
        <f>SUM(E120:AN120)/AO116*100%</f>
        <v>#DIV/0!</v>
      </c>
      <c r="AP118" s="1185"/>
      <c r="AQ118" s="1185"/>
    </row>
    <row r="119" spans="1:43" s="10" customFormat="1" ht="14.5" customHeight="1" x14ac:dyDescent="0.35">
      <c r="A119" s="1176"/>
      <c r="B119" s="1179"/>
      <c r="C119" s="1182"/>
      <c r="D119" s="481" t="s">
        <v>176</v>
      </c>
      <c r="E119" s="487">
        <f>SUM(E120:E121)</f>
        <v>0</v>
      </c>
      <c r="F119" s="488">
        <f>SUM(F120:F121)</f>
        <v>0</v>
      </c>
      <c r="G119" s="488">
        <f t="shared" ref="G119:AN119" si="59">SUM(G120:G121)</f>
        <v>0</v>
      </c>
      <c r="H119" s="488">
        <f t="shared" si="59"/>
        <v>0</v>
      </c>
      <c r="I119" s="488">
        <f t="shared" si="59"/>
        <v>0</v>
      </c>
      <c r="J119" s="488">
        <f t="shared" si="59"/>
        <v>0</v>
      </c>
      <c r="K119" s="488">
        <f t="shared" si="59"/>
        <v>0</v>
      </c>
      <c r="L119" s="488">
        <f t="shared" si="59"/>
        <v>0</v>
      </c>
      <c r="M119" s="488">
        <f t="shared" si="59"/>
        <v>0</v>
      </c>
      <c r="N119" s="488">
        <f t="shared" si="59"/>
        <v>0</v>
      </c>
      <c r="O119" s="488">
        <f t="shared" si="59"/>
        <v>0</v>
      </c>
      <c r="P119" s="488">
        <f t="shared" si="59"/>
        <v>0</v>
      </c>
      <c r="Q119" s="488">
        <f t="shared" si="59"/>
        <v>0</v>
      </c>
      <c r="R119" s="488">
        <f t="shared" si="59"/>
        <v>0</v>
      </c>
      <c r="S119" s="488">
        <f t="shared" si="59"/>
        <v>0</v>
      </c>
      <c r="T119" s="488">
        <f t="shared" si="59"/>
        <v>0</v>
      </c>
      <c r="U119" s="488">
        <f t="shared" si="59"/>
        <v>0</v>
      </c>
      <c r="V119" s="488">
        <f t="shared" si="59"/>
        <v>0</v>
      </c>
      <c r="W119" s="488">
        <f t="shared" si="59"/>
        <v>0</v>
      </c>
      <c r="X119" s="488">
        <f t="shared" si="59"/>
        <v>0</v>
      </c>
      <c r="Y119" s="488">
        <f t="shared" si="59"/>
        <v>0</v>
      </c>
      <c r="Z119" s="488">
        <f t="shared" si="59"/>
        <v>0</v>
      </c>
      <c r="AA119" s="488">
        <f t="shared" si="59"/>
        <v>0</v>
      </c>
      <c r="AB119" s="488">
        <f t="shared" si="59"/>
        <v>0</v>
      </c>
      <c r="AC119" s="488">
        <f t="shared" si="59"/>
        <v>0</v>
      </c>
      <c r="AD119" s="488">
        <f t="shared" si="59"/>
        <v>0</v>
      </c>
      <c r="AE119" s="488">
        <f t="shared" si="59"/>
        <v>0</v>
      </c>
      <c r="AF119" s="488">
        <f t="shared" si="59"/>
        <v>0</v>
      </c>
      <c r="AG119" s="488">
        <f t="shared" si="59"/>
        <v>0</v>
      </c>
      <c r="AH119" s="488">
        <f t="shared" si="59"/>
        <v>0</v>
      </c>
      <c r="AI119" s="488">
        <f t="shared" si="59"/>
        <v>0</v>
      </c>
      <c r="AJ119" s="488">
        <f t="shared" si="59"/>
        <v>0</v>
      </c>
      <c r="AK119" s="488">
        <f t="shared" si="59"/>
        <v>0</v>
      </c>
      <c r="AL119" s="488">
        <f t="shared" si="59"/>
        <v>0</v>
      </c>
      <c r="AM119" s="488">
        <f t="shared" si="59"/>
        <v>0</v>
      </c>
      <c r="AN119" s="488">
        <f t="shared" si="59"/>
        <v>0</v>
      </c>
      <c r="AO119" s="136"/>
      <c r="AP119" s="1185"/>
      <c r="AQ119" s="1185"/>
    </row>
    <row r="120" spans="1:43" s="2" customFormat="1" x14ac:dyDescent="0.35">
      <c r="A120" s="1176"/>
      <c r="B120" s="1179"/>
      <c r="C120" s="1182"/>
      <c r="D120" s="482" t="s">
        <v>177</v>
      </c>
      <c r="E120" s="40"/>
      <c r="F120" s="41"/>
      <c r="G120" s="42"/>
      <c r="H120" s="42"/>
      <c r="I120" s="42"/>
      <c r="J120" s="42"/>
      <c r="K120" s="42"/>
      <c r="L120" s="42"/>
      <c r="M120" s="42"/>
      <c r="N120" s="42"/>
      <c r="O120" s="42"/>
      <c r="P120" s="1080"/>
      <c r="Q120" s="41"/>
      <c r="R120" s="42"/>
      <c r="S120" s="42"/>
      <c r="T120" s="42"/>
      <c r="U120" s="42"/>
      <c r="V120" s="42"/>
      <c r="W120" s="42"/>
      <c r="X120" s="42"/>
      <c r="Y120" s="42"/>
      <c r="Z120" s="42"/>
      <c r="AA120" s="42"/>
      <c r="AB120" s="1080"/>
      <c r="AC120" s="42"/>
      <c r="AD120" s="42"/>
      <c r="AE120" s="42"/>
      <c r="AF120" s="42"/>
      <c r="AG120" s="42"/>
      <c r="AH120" s="42"/>
      <c r="AI120" s="42"/>
      <c r="AJ120" s="42"/>
      <c r="AK120" s="42"/>
      <c r="AL120" s="42"/>
      <c r="AM120" s="42"/>
      <c r="AN120" s="42"/>
      <c r="AO120" s="65">
        <f>SUM(E120:AN120)</f>
        <v>0</v>
      </c>
      <c r="AP120" s="1185"/>
      <c r="AQ120" s="1185"/>
    </row>
    <row r="121" spans="1:43" s="2" customFormat="1" ht="15" thickBot="1" x14ac:dyDescent="0.4">
      <c r="A121" s="1177"/>
      <c r="B121" s="1180"/>
      <c r="C121" s="1183"/>
      <c r="D121" s="483" t="s">
        <v>178</v>
      </c>
      <c r="E121" s="484"/>
      <c r="F121" s="485"/>
      <c r="G121" s="486"/>
      <c r="H121" s="486"/>
      <c r="I121" s="486"/>
      <c r="J121" s="486"/>
      <c r="K121" s="486"/>
      <c r="L121" s="486"/>
      <c r="M121" s="486"/>
      <c r="N121" s="486"/>
      <c r="O121" s="486"/>
      <c r="P121" s="1081"/>
      <c r="Q121" s="485"/>
      <c r="R121" s="486"/>
      <c r="S121" s="486"/>
      <c r="T121" s="486"/>
      <c r="U121" s="486"/>
      <c r="V121" s="486"/>
      <c r="W121" s="486"/>
      <c r="X121" s="486"/>
      <c r="Y121" s="486"/>
      <c r="Z121" s="486"/>
      <c r="AA121" s="486"/>
      <c r="AB121" s="1081"/>
      <c r="AC121" s="486"/>
      <c r="AD121" s="486"/>
      <c r="AE121" s="486"/>
      <c r="AF121" s="486"/>
      <c r="AG121" s="486"/>
      <c r="AH121" s="486"/>
      <c r="AI121" s="486"/>
      <c r="AJ121" s="486"/>
      <c r="AK121" s="486"/>
      <c r="AL121" s="486"/>
      <c r="AM121" s="486"/>
      <c r="AN121" s="486"/>
      <c r="AO121" s="141"/>
      <c r="AP121" s="1186"/>
      <c r="AQ121" s="1186"/>
    </row>
    <row r="122" spans="1:43" ht="15" customHeight="1" x14ac:dyDescent="0.35">
      <c r="A122" s="1175">
        <v>18</v>
      </c>
      <c r="B122" s="1178" t="str">
        <f>IF(VLOOKUP(A:A,'Pivot Table'!Z:AD,5,FALSE)=0,"",VLOOKUP(A:A,'Pivot Table'!Z:AD,5,FALSE))</f>
        <v/>
      </c>
      <c r="C122" s="1181" t="str">
        <f>_xlfn.IFNA(VLOOKUP(A:A,'Pivot Table'!P:W,8,FALSE),"")</f>
        <v/>
      </c>
      <c r="D122" s="494" t="s">
        <v>172</v>
      </c>
      <c r="E122" s="495">
        <f>SUM(E123:E124)</f>
        <v>0</v>
      </c>
      <c r="F122" s="496">
        <f>SUM(F123:F124)</f>
        <v>0</v>
      </c>
      <c r="G122" s="496">
        <f t="shared" ref="G122:M122" si="60">SUM(G123:G124)</f>
        <v>0</v>
      </c>
      <c r="H122" s="496">
        <f t="shared" si="60"/>
        <v>0</v>
      </c>
      <c r="I122" s="496">
        <f t="shared" si="60"/>
        <v>0</v>
      </c>
      <c r="J122" s="496">
        <f t="shared" si="60"/>
        <v>0</v>
      </c>
      <c r="K122" s="496">
        <f t="shared" si="60"/>
        <v>0</v>
      </c>
      <c r="L122" s="496">
        <f t="shared" si="60"/>
        <v>0</v>
      </c>
      <c r="M122" s="496">
        <f t="shared" si="60"/>
        <v>0</v>
      </c>
      <c r="N122" s="496">
        <f>SUM(N123:N124)</f>
        <v>0</v>
      </c>
      <c r="O122" s="496">
        <f t="shared" ref="O122:AN122" si="61">SUM(O123:O124)</f>
        <v>0</v>
      </c>
      <c r="P122" s="496">
        <f t="shared" si="61"/>
        <v>0</v>
      </c>
      <c r="Q122" s="496">
        <f t="shared" si="61"/>
        <v>0</v>
      </c>
      <c r="R122" s="496">
        <f t="shared" si="61"/>
        <v>0</v>
      </c>
      <c r="S122" s="496">
        <f t="shared" si="61"/>
        <v>0</v>
      </c>
      <c r="T122" s="496">
        <f t="shared" si="61"/>
        <v>0</v>
      </c>
      <c r="U122" s="496">
        <f t="shared" si="61"/>
        <v>0</v>
      </c>
      <c r="V122" s="496">
        <f t="shared" si="61"/>
        <v>0</v>
      </c>
      <c r="W122" s="496">
        <f t="shared" si="61"/>
        <v>0</v>
      </c>
      <c r="X122" s="496">
        <f t="shared" si="61"/>
        <v>0</v>
      </c>
      <c r="Y122" s="496">
        <f t="shared" si="61"/>
        <v>0</v>
      </c>
      <c r="Z122" s="496">
        <f t="shared" si="61"/>
        <v>0</v>
      </c>
      <c r="AA122" s="496">
        <f t="shared" si="61"/>
        <v>0</v>
      </c>
      <c r="AB122" s="496">
        <f t="shared" si="61"/>
        <v>0</v>
      </c>
      <c r="AC122" s="496">
        <f t="shared" si="61"/>
        <v>0</v>
      </c>
      <c r="AD122" s="496">
        <f t="shared" si="61"/>
        <v>0</v>
      </c>
      <c r="AE122" s="496">
        <f t="shared" si="61"/>
        <v>0</v>
      </c>
      <c r="AF122" s="496">
        <f t="shared" si="61"/>
        <v>0</v>
      </c>
      <c r="AG122" s="496">
        <f t="shared" si="61"/>
        <v>0</v>
      </c>
      <c r="AH122" s="496">
        <f t="shared" si="61"/>
        <v>0</v>
      </c>
      <c r="AI122" s="496">
        <f t="shared" si="61"/>
        <v>0</v>
      </c>
      <c r="AJ122" s="496">
        <f t="shared" si="61"/>
        <v>0</v>
      </c>
      <c r="AK122" s="496">
        <f t="shared" si="61"/>
        <v>0</v>
      </c>
      <c r="AL122" s="496">
        <f t="shared" si="61"/>
        <v>0</v>
      </c>
      <c r="AM122" s="496">
        <f t="shared" si="61"/>
        <v>0</v>
      </c>
      <c r="AN122" s="496">
        <f t="shared" si="61"/>
        <v>0</v>
      </c>
      <c r="AO122" s="497"/>
      <c r="AP122" s="1184"/>
      <c r="AQ122" s="1184"/>
    </row>
    <row r="123" spans="1:43" x14ac:dyDescent="0.35">
      <c r="A123" s="1176"/>
      <c r="B123" s="1179"/>
      <c r="C123" s="1182"/>
      <c r="D123" s="479" t="s">
        <v>173</v>
      </c>
      <c r="E123" s="476"/>
      <c r="F123" s="477"/>
      <c r="G123" s="478"/>
      <c r="H123" s="478"/>
      <c r="I123" s="478"/>
      <c r="J123" s="478"/>
      <c r="K123" s="478"/>
      <c r="L123" s="478"/>
      <c r="M123" s="478"/>
      <c r="N123" s="478"/>
      <c r="O123" s="478"/>
      <c r="P123" s="1078"/>
      <c r="Q123" s="477"/>
      <c r="R123" s="478"/>
      <c r="S123" s="478"/>
      <c r="T123" s="478"/>
      <c r="U123" s="478"/>
      <c r="V123" s="478"/>
      <c r="W123" s="478"/>
      <c r="X123" s="478"/>
      <c r="Y123" s="478"/>
      <c r="Z123" s="478"/>
      <c r="AA123" s="478"/>
      <c r="AB123" s="1078"/>
      <c r="AC123" s="478"/>
      <c r="AD123" s="478"/>
      <c r="AE123" s="478"/>
      <c r="AF123" s="478"/>
      <c r="AG123" s="478"/>
      <c r="AH123" s="478"/>
      <c r="AI123" s="478"/>
      <c r="AJ123" s="478"/>
      <c r="AK123" s="478"/>
      <c r="AL123" s="478"/>
      <c r="AM123" s="478"/>
      <c r="AN123" s="478"/>
      <c r="AO123" s="65">
        <f>SUM(E123:AN123)</f>
        <v>0</v>
      </c>
      <c r="AP123" s="1185"/>
      <c r="AQ123" s="1185"/>
    </row>
    <row r="124" spans="1:43" ht="15" thickBot="1" x14ac:dyDescent="0.4">
      <c r="A124" s="1176"/>
      <c r="B124" s="1179"/>
      <c r="C124" s="1182"/>
      <c r="D124" s="480" t="s">
        <v>174</v>
      </c>
      <c r="E124" s="473"/>
      <c r="F124" s="474"/>
      <c r="G124" s="475"/>
      <c r="H124" s="475"/>
      <c r="I124" s="475"/>
      <c r="J124" s="475"/>
      <c r="K124" s="475"/>
      <c r="L124" s="475"/>
      <c r="M124" s="475"/>
      <c r="N124" s="475"/>
      <c r="O124" s="475"/>
      <c r="P124" s="1079"/>
      <c r="Q124" s="474"/>
      <c r="R124" s="475"/>
      <c r="S124" s="475"/>
      <c r="T124" s="475"/>
      <c r="U124" s="475"/>
      <c r="V124" s="475"/>
      <c r="W124" s="475"/>
      <c r="X124" s="475"/>
      <c r="Y124" s="475"/>
      <c r="Z124" s="475"/>
      <c r="AA124" s="475"/>
      <c r="AB124" s="1079"/>
      <c r="AC124" s="475"/>
      <c r="AD124" s="475"/>
      <c r="AE124" s="475"/>
      <c r="AF124" s="475"/>
      <c r="AG124" s="475"/>
      <c r="AH124" s="475"/>
      <c r="AI124" s="475"/>
      <c r="AJ124" s="475"/>
      <c r="AK124" s="475"/>
      <c r="AL124" s="475"/>
      <c r="AM124" s="475"/>
      <c r="AN124" s="475"/>
      <c r="AO124" s="65"/>
      <c r="AP124" s="1185"/>
      <c r="AQ124" s="1185"/>
    </row>
    <row r="125" spans="1:43" s="10" customFormat="1" ht="14.5" customHeight="1" thickBot="1" x14ac:dyDescent="0.4">
      <c r="A125" s="1176"/>
      <c r="B125" s="1179"/>
      <c r="C125" s="1182"/>
      <c r="D125" s="1187" t="s">
        <v>175</v>
      </c>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88"/>
      <c r="AM125" s="1188"/>
      <c r="AN125" s="1188"/>
      <c r="AO125" s="349" t="e">
        <f>SUM(E127:AN127)/AO123*100%</f>
        <v>#DIV/0!</v>
      </c>
      <c r="AP125" s="1185"/>
      <c r="AQ125" s="1185"/>
    </row>
    <row r="126" spans="1:43" s="10" customFormat="1" ht="14.5" customHeight="1" x14ac:dyDescent="0.35">
      <c r="A126" s="1176"/>
      <c r="B126" s="1179"/>
      <c r="C126" s="1182"/>
      <c r="D126" s="481" t="s">
        <v>176</v>
      </c>
      <c r="E126" s="487">
        <f>SUM(E127:E128)</f>
        <v>0</v>
      </c>
      <c r="F126" s="488">
        <f>SUM(F127:F128)</f>
        <v>0</v>
      </c>
      <c r="G126" s="488">
        <f t="shared" ref="G126:AN126" si="62">SUM(G127:G128)</f>
        <v>0</v>
      </c>
      <c r="H126" s="488">
        <f t="shared" si="62"/>
        <v>0</v>
      </c>
      <c r="I126" s="488">
        <f t="shared" si="62"/>
        <v>0</v>
      </c>
      <c r="J126" s="488">
        <f t="shared" si="62"/>
        <v>0</v>
      </c>
      <c r="K126" s="488">
        <f t="shared" si="62"/>
        <v>0</v>
      </c>
      <c r="L126" s="488">
        <f t="shared" si="62"/>
        <v>0</v>
      </c>
      <c r="M126" s="488">
        <f t="shared" si="62"/>
        <v>0</v>
      </c>
      <c r="N126" s="488">
        <f t="shared" si="62"/>
        <v>0</v>
      </c>
      <c r="O126" s="488">
        <f t="shared" si="62"/>
        <v>0</v>
      </c>
      <c r="P126" s="488">
        <f t="shared" si="62"/>
        <v>0</v>
      </c>
      <c r="Q126" s="488">
        <f t="shared" si="62"/>
        <v>0</v>
      </c>
      <c r="R126" s="488">
        <f t="shared" si="62"/>
        <v>0</v>
      </c>
      <c r="S126" s="488">
        <f t="shared" si="62"/>
        <v>0</v>
      </c>
      <c r="T126" s="488">
        <f t="shared" si="62"/>
        <v>0</v>
      </c>
      <c r="U126" s="488">
        <f t="shared" si="62"/>
        <v>0</v>
      </c>
      <c r="V126" s="488">
        <f t="shared" si="62"/>
        <v>0</v>
      </c>
      <c r="W126" s="488">
        <f t="shared" si="62"/>
        <v>0</v>
      </c>
      <c r="X126" s="488">
        <f t="shared" si="62"/>
        <v>0</v>
      </c>
      <c r="Y126" s="488">
        <f t="shared" si="62"/>
        <v>0</v>
      </c>
      <c r="Z126" s="488">
        <f t="shared" si="62"/>
        <v>0</v>
      </c>
      <c r="AA126" s="488">
        <f t="shared" si="62"/>
        <v>0</v>
      </c>
      <c r="AB126" s="488">
        <f t="shared" si="62"/>
        <v>0</v>
      </c>
      <c r="AC126" s="488">
        <f t="shared" si="62"/>
        <v>0</v>
      </c>
      <c r="AD126" s="488">
        <f t="shared" si="62"/>
        <v>0</v>
      </c>
      <c r="AE126" s="488">
        <f t="shared" si="62"/>
        <v>0</v>
      </c>
      <c r="AF126" s="488">
        <f t="shared" si="62"/>
        <v>0</v>
      </c>
      <c r="AG126" s="488">
        <f t="shared" si="62"/>
        <v>0</v>
      </c>
      <c r="AH126" s="488">
        <f t="shared" si="62"/>
        <v>0</v>
      </c>
      <c r="AI126" s="488">
        <f t="shared" si="62"/>
        <v>0</v>
      </c>
      <c r="AJ126" s="488">
        <f t="shared" si="62"/>
        <v>0</v>
      </c>
      <c r="AK126" s="488">
        <f t="shared" si="62"/>
        <v>0</v>
      </c>
      <c r="AL126" s="488">
        <f t="shared" si="62"/>
        <v>0</v>
      </c>
      <c r="AM126" s="488">
        <f t="shared" si="62"/>
        <v>0</v>
      </c>
      <c r="AN126" s="488">
        <f t="shared" si="62"/>
        <v>0</v>
      </c>
      <c r="AO126" s="136"/>
      <c r="AP126" s="1185"/>
      <c r="AQ126" s="1185"/>
    </row>
    <row r="127" spans="1:43" s="2" customFormat="1" x14ac:dyDescent="0.35">
      <c r="A127" s="1176"/>
      <c r="B127" s="1179"/>
      <c r="C127" s="1182"/>
      <c r="D127" s="482" t="s">
        <v>177</v>
      </c>
      <c r="E127" s="40"/>
      <c r="F127" s="41"/>
      <c r="G127" s="42"/>
      <c r="H127" s="42"/>
      <c r="I127" s="42"/>
      <c r="J127" s="42"/>
      <c r="K127" s="42"/>
      <c r="L127" s="42"/>
      <c r="M127" s="42"/>
      <c r="N127" s="42"/>
      <c r="O127" s="42"/>
      <c r="P127" s="1080"/>
      <c r="Q127" s="41"/>
      <c r="R127" s="42"/>
      <c r="S127" s="42"/>
      <c r="T127" s="42"/>
      <c r="U127" s="42"/>
      <c r="V127" s="42"/>
      <c r="W127" s="42"/>
      <c r="X127" s="42"/>
      <c r="Y127" s="42"/>
      <c r="Z127" s="42"/>
      <c r="AA127" s="42"/>
      <c r="AB127" s="1080"/>
      <c r="AC127" s="42"/>
      <c r="AD127" s="42"/>
      <c r="AE127" s="42"/>
      <c r="AF127" s="42"/>
      <c r="AG127" s="42"/>
      <c r="AH127" s="42"/>
      <c r="AI127" s="42"/>
      <c r="AJ127" s="42"/>
      <c r="AK127" s="42"/>
      <c r="AL127" s="42"/>
      <c r="AM127" s="42"/>
      <c r="AN127" s="42"/>
      <c r="AO127" s="65">
        <f>SUM(E127:AN127)</f>
        <v>0</v>
      </c>
      <c r="AP127" s="1185"/>
      <c r="AQ127" s="1185"/>
    </row>
    <row r="128" spans="1:43" s="2" customFormat="1" ht="15" thickBot="1" x14ac:dyDescent="0.4">
      <c r="A128" s="1177"/>
      <c r="B128" s="1180"/>
      <c r="C128" s="1183"/>
      <c r="D128" s="483" t="s">
        <v>178</v>
      </c>
      <c r="E128" s="484"/>
      <c r="F128" s="485"/>
      <c r="G128" s="486"/>
      <c r="H128" s="486"/>
      <c r="I128" s="486"/>
      <c r="J128" s="486"/>
      <c r="K128" s="486"/>
      <c r="L128" s="486"/>
      <c r="M128" s="486"/>
      <c r="N128" s="486"/>
      <c r="O128" s="486"/>
      <c r="P128" s="1081"/>
      <c r="Q128" s="485"/>
      <c r="R128" s="486"/>
      <c r="S128" s="486"/>
      <c r="T128" s="486"/>
      <c r="U128" s="486"/>
      <c r="V128" s="486"/>
      <c r="W128" s="486"/>
      <c r="X128" s="486"/>
      <c r="Y128" s="486"/>
      <c r="Z128" s="486"/>
      <c r="AA128" s="486"/>
      <c r="AB128" s="1081"/>
      <c r="AC128" s="486"/>
      <c r="AD128" s="486"/>
      <c r="AE128" s="486"/>
      <c r="AF128" s="486"/>
      <c r="AG128" s="486"/>
      <c r="AH128" s="486"/>
      <c r="AI128" s="486"/>
      <c r="AJ128" s="486"/>
      <c r="AK128" s="486"/>
      <c r="AL128" s="486"/>
      <c r="AM128" s="486"/>
      <c r="AN128" s="486"/>
      <c r="AO128" s="141"/>
      <c r="AP128" s="1186"/>
      <c r="AQ128" s="1186"/>
    </row>
    <row r="129" spans="1:43" ht="15" customHeight="1" x14ac:dyDescent="0.35">
      <c r="A129" s="1175">
        <v>19</v>
      </c>
      <c r="B129" s="1178" t="str">
        <f>IF(VLOOKUP(A:A,'Pivot Table'!Z:AD,5,FALSE)=0,"",VLOOKUP(A:A,'Pivot Table'!Z:AD,5,FALSE))</f>
        <v/>
      </c>
      <c r="C129" s="1181" t="str">
        <f>_xlfn.IFNA(VLOOKUP(A:A,'Pivot Table'!P:W,8,FALSE),"")</f>
        <v/>
      </c>
      <c r="D129" s="494" t="s">
        <v>172</v>
      </c>
      <c r="E129" s="495">
        <f>SUM(E130:E131)</f>
        <v>0</v>
      </c>
      <c r="F129" s="496">
        <f>SUM(F130:F131)</f>
        <v>0</v>
      </c>
      <c r="G129" s="496">
        <f t="shared" ref="G129:M129" si="63">SUM(G130:G131)</f>
        <v>0</v>
      </c>
      <c r="H129" s="496">
        <f t="shared" si="63"/>
        <v>0</v>
      </c>
      <c r="I129" s="496">
        <f t="shared" si="63"/>
        <v>0</v>
      </c>
      <c r="J129" s="496">
        <f t="shared" si="63"/>
        <v>0</v>
      </c>
      <c r="K129" s="496">
        <f t="shared" si="63"/>
        <v>0</v>
      </c>
      <c r="L129" s="496">
        <f t="shared" si="63"/>
        <v>0</v>
      </c>
      <c r="M129" s="496">
        <f t="shared" si="63"/>
        <v>0</v>
      </c>
      <c r="N129" s="496">
        <f>SUM(N130:N131)</f>
        <v>0</v>
      </c>
      <c r="O129" s="496">
        <f t="shared" ref="O129:AN129" si="64">SUM(O130:O131)</f>
        <v>0</v>
      </c>
      <c r="P129" s="496">
        <f t="shared" si="64"/>
        <v>0</v>
      </c>
      <c r="Q129" s="496">
        <f t="shared" si="64"/>
        <v>0</v>
      </c>
      <c r="R129" s="496">
        <f t="shared" si="64"/>
        <v>0</v>
      </c>
      <c r="S129" s="496">
        <f t="shared" si="64"/>
        <v>0</v>
      </c>
      <c r="T129" s="496">
        <f t="shared" si="64"/>
        <v>0</v>
      </c>
      <c r="U129" s="496">
        <f t="shared" si="64"/>
        <v>0</v>
      </c>
      <c r="V129" s="496">
        <f t="shared" si="64"/>
        <v>0</v>
      </c>
      <c r="W129" s="496">
        <f t="shared" si="64"/>
        <v>0</v>
      </c>
      <c r="X129" s="496">
        <f t="shared" si="64"/>
        <v>0</v>
      </c>
      <c r="Y129" s="496">
        <f t="shared" si="64"/>
        <v>0</v>
      </c>
      <c r="Z129" s="496">
        <f t="shared" si="64"/>
        <v>0</v>
      </c>
      <c r="AA129" s="496">
        <f t="shared" si="64"/>
        <v>0</v>
      </c>
      <c r="AB129" s="496">
        <f t="shared" si="64"/>
        <v>0</v>
      </c>
      <c r="AC129" s="496">
        <f t="shared" si="64"/>
        <v>0</v>
      </c>
      <c r="AD129" s="496">
        <f t="shared" si="64"/>
        <v>0</v>
      </c>
      <c r="AE129" s="496">
        <f t="shared" si="64"/>
        <v>0</v>
      </c>
      <c r="AF129" s="496">
        <f t="shared" si="64"/>
        <v>0</v>
      </c>
      <c r="AG129" s="496">
        <f t="shared" si="64"/>
        <v>0</v>
      </c>
      <c r="AH129" s="496">
        <f t="shared" si="64"/>
        <v>0</v>
      </c>
      <c r="AI129" s="496">
        <f t="shared" si="64"/>
        <v>0</v>
      </c>
      <c r="AJ129" s="496">
        <f t="shared" si="64"/>
        <v>0</v>
      </c>
      <c r="AK129" s="496">
        <f t="shared" si="64"/>
        <v>0</v>
      </c>
      <c r="AL129" s="496">
        <f t="shared" si="64"/>
        <v>0</v>
      </c>
      <c r="AM129" s="496">
        <f t="shared" si="64"/>
        <v>0</v>
      </c>
      <c r="AN129" s="496">
        <f t="shared" si="64"/>
        <v>0</v>
      </c>
      <c r="AO129" s="497"/>
      <c r="AP129" s="1184"/>
      <c r="AQ129" s="1184"/>
    </row>
    <row r="130" spans="1:43" x14ac:dyDescent="0.35">
      <c r="A130" s="1176"/>
      <c r="B130" s="1179"/>
      <c r="C130" s="1182"/>
      <c r="D130" s="479" t="s">
        <v>173</v>
      </c>
      <c r="E130" s="476"/>
      <c r="F130" s="477"/>
      <c r="G130" s="478"/>
      <c r="H130" s="478"/>
      <c r="I130" s="478"/>
      <c r="J130" s="478"/>
      <c r="K130" s="478"/>
      <c r="L130" s="478"/>
      <c r="M130" s="478"/>
      <c r="N130" s="478"/>
      <c r="O130" s="478"/>
      <c r="P130" s="1078"/>
      <c r="Q130" s="477"/>
      <c r="R130" s="478"/>
      <c r="S130" s="478"/>
      <c r="T130" s="478"/>
      <c r="U130" s="478"/>
      <c r="V130" s="478"/>
      <c r="W130" s="478"/>
      <c r="X130" s="478"/>
      <c r="Y130" s="478"/>
      <c r="Z130" s="478"/>
      <c r="AA130" s="478"/>
      <c r="AB130" s="1078"/>
      <c r="AC130" s="478"/>
      <c r="AD130" s="478"/>
      <c r="AE130" s="478"/>
      <c r="AF130" s="478"/>
      <c r="AG130" s="478"/>
      <c r="AH130" s="478"/>
      <c r="AI130" s="478"/>
      <c r="AJ130" s="478"/>
      <c r="AK130" s="478"/>
      <c r="AL130" s="478"/>
      <c r="AM130" s="478"/>
      <c r="AN130" s="478"/>
      <c r="AO130" s="65">
        <f>SUM(E130:AN130)</f>
        <v>0</v>
      </c>
      <c r="AP130" s="1185"/>
      <c r="AQ130" s="1185"/>
    </row>
    <row r="131" spans="1:43" ht="15" thickBot="1" x14ac:dyDescent="0.4">
      <c r="A131" s="1176"/>
      <c r="B131" s="1179"/>
      <c r="C131" s="1182"/>
      <c r="D131" s="480" t="s">
        <v>174</v>
      </c>
      <c r="E131" s="473"/>
      <c r="F131" s="474"/>
      <c r="G131" s="475"/>
      <c r="H131" s="475"/>
      <c r="I131" s="475"/>
      <c r="J131" s="475"/>
      <c r="K131" s="475"/>
      <c r="L131" s="475"/>
      <c r="M131" s="475"/>
      <c r="N131" s="475"/>
      <c r="O131" s="475"/>
      <c r="P131" s="1079"/>
      <c r="Q131" s="474"/>
      <c r="R131" s="475"/>
      <c r="S131" s="475"/>
      <c r="T131" s="475"/>
      <c r="U131" s="475"/>
      <c r="V131" s="475"/>
      <c r="W131" s="475"/>
      <c r="X131" s="475"/>
      <c r="Y131" s="475"/>
      <c r="Z131" s="475"/>
      <c r="AA131" s="475"/>
      <c r="AB131" s="1079"/>
      <c r="AC131" s="475"/>
      <c r="AD131" s="475"/>
      <c r="AE131" s="475"/>
      <c r="AF131" s="475"/>
      <c r="AG131" s="475"/>
      <c r="AH131" s="475"/>
      <c r="AI131" s="475"/>
      <c r="AJ131" s="475"/>
      <c r="AK131" s="475"/>
      <c r="AL131" s="475"/>
      <c r="AM131" s="475"/>
      <c r="AN131" s="475"/>
      <c r="AO131" s="65"/>
      <c r="AP131" s="1185"/>
      <c r="AQ131" s="1185"/>
    </row>
    <row r="132" spans="1:43" s="10" customFormat="1" ht="14.5" customHeight="1" thickBot="1" x14ac:dyDescent="0.4">
      <c r="A132" s="1176"/>
      <c r="B132" s="1179"/>
      <c r="C132" s="1182"/>
      <c r="D132" s="1187" t="s">
        <v>175</v>
      </c>
      <c r="E132" s="1188"/>
      <c r="F132" s="1188"/>
      <c r="G132" s="1188"/>
      <c r="H132" s="1188"/>
      <c r="I132" s="1188"/>
      <c r="J132" s="1188"/>
      <c r="K132" s="1188"/>
      <c r="L132" s="1188"/>
      <c r="M132" s="1188"/>
      <c r="N132" s="1188"/>
      <c r="O132" s="1188"/>
      <c r="P132" s="1188"/>
      <c r="Q132" s="1188"/>
      <c r="R132" s="1188"/>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88"/>
      <c r="AM132" s="1188"/>
      <c r="AN132" s="1188"/>
      <c r="AO132" s="349" t="e">
        <f>SUM(E134:AN134)/AO130*100%</f>
        <v>#DIV/0!</v>
      </c>
      <c r="AP132" s="1185"/>
      <c r="AQ132" s="1185"/>
    </row>
    <row r="133" spans="1:43" s="10" customFormat="1" ht="14.5" customHeight="1" x14ac:dyDescent="0.35">
      <c r="A133" s="1176"/>
      <c r="B133" s="1179"/>
      <c r="C133" s="1182"/>
      <c r="D133" s="481" t="s">
        <v>176</v>
      </c>
      <c r="E133" s="487">
        <f>SUM(E134:E135)</f>
        <v>0</v>
      </c>
      <c r="F133" s="488">
        <f>SUM(F134:F135)</f>
        <v>0</v>
      </c>
      <c r="G133" s="488">
        <f t="shared" ref="G133:AN133" si="65">SUM(G134:G135)</f>
        <v>0</v>
      </c>
      <c r="H133" s="488">
        <f t="shared" si="65"/>
        <v>0</v>
      </c>
      <c r="I133" s="488">
        <f t="shared" si="65"/>
        <v>0</v>
      </c>
      <c r="J133" s="488">
        <f t="shared" si="65"/>
        <v>0</v>
      </c>
      <c r="K133" s="488">
        <f t="shared" si="65"/>
        <v>0</v>
      </c>
      <c r="L133" s="488">
        <f t="shared" si="65"/>
        <v>0</v>
      </c>
      <c r="M133" s="488">
        <f t="shared" si="65"/>
        <v>0</v>
      </c>
      <c r="N133" s="488">
        <f t="shared" si="65"/>
        <v>0</v>
      </c>
      <c r="O133" s="488">
        <f t="shared" si="65"/>
        <v>0</v>
      </c>
      <c r="P133" s="488">
        <f t="shared" si="65"/>
        <v>0</v>
      </c>
      <c r="Q133" s="488">
        <f t="shared" si="65"/>
        <v>0</v>
      </c>
      <c r="R133" s="488">
        <f t="shared" si="65"/>
        <v>0</v>
      </c>
      <c r="S133" s="488">
        <f t="shared" si="65"/>
        <v>0</v>
      </c>
      <c r="T133" s="488">
        <f t="shared" si="65"/>
        <v>0</v>
      </c>
      <c r="U133" s="488">
        <f t="shared" si="65"/>
        <v>0</v>
      </c>
      <c r="V133" s="488">
        <f t="shared" si="65"/>
        <v>0</v>
      </c>
      <c r="W133" s="488">
        <f t="shared" si="65"/>
        <v>0</v>
      </c>
      <c r="X133" s="488">
        <f t="shared" si="65"/>
        <v>0</v>
      </c>
      <c r="Y133" s="488">
        <f t="shared" si="65"/>
        <v>0</v>
      </c>
      <c r="Z133" s="488">
        <f t="shared" si="65"/>
        <v>0</v>
      </c>
      <c r="AA133" s="488">
        <f t="shared" si="65"/>
        <v>0</v>
      </c>
      <c r="AB133" s="488">
        <f t="shared" si="65"/>
        <v>0</v>
      </c>
      <c r="AC133" s="488">
        <f t="shared" si="65"/>
        <v>0</v>
      </c>
      <c r="AD133" s="488">
        <f t="shared" si="65"/>
        <v>0</v>
      </c>
      <c r="AE133" s="488">
        <f t="shared" si="65"/>
        <v>0</v>
      </c>
      <c r="AF133" s="488">
        <f t="shared" si="65"/>
        <v>0</v>
      </c>
      <c r="AG133" s="488">
        <f t="shared" si="65"/>
        <v>0</v>
      </c>
      <c r="AH133" s="488">
        <f t="shared" si="65"/>
        <v>0</v>
      </c>
      <c r="AI133" s="488">
        <f t="shared" si="65"/>
        <v>0</v>
      </c>
      <c r="AJ133" s="488">
        <f t="shared" si="65"/>
        <v>0</v>
      </c>
      <c r="AK133" s="488">
        <f t="shared" si="65"/>
        <v>0</v>
      </c>
      <c r="AL133" s="488">
        <f t="shared" si="65"/>
        <v>0</v>
      </c>
      <c r="AM133" s="488">
        <f t="shared" si="65"/>
        <v>0</v>
      </c>
      <c r="AN133" s="488">
        <f t="shared" si="65"/>
        <v>0</v>
      </c>
      <c r="AO133" s="136"/>
      <c r="AP133" s="1185"/>
      <c r="AQ133" s="1185"/>
    </row>
    <row r="134" spans="1:43" s="2" customFormat="1" x14ac:dyDescent="0.35">
      <c r="A134" s="1176"/>
      <c r="B134" s="1179"/>
      <c r="C134" s="1182"/>
      <c r="D134" s="482" t="s">
        <v>177</v>
      </c>
      <c r="E134" s="40"/>
      <c r="F134" s="41"/>
      <c r="G134" s="42"/>
      <c r="H134" s="42"/>
      <c r="I134" s="42"/>
      <c r="J134" s="42"/>
      <c r="K134" s="42"/>
      <c r="L134" s="42"/>
      <c r="M134" s="42"/>
      <c r="N134" s="42"/>
      <c r="O134" s="42"/>
      <c r="P134" s="1080"/>
      <c r="Q134" s="41"/>
      <c r="R134" s="42"/>
      <c r="S134" s="42"/>
      <c r="T134" s="42"/>
      <c r="U134" s="42"/>
      <c r="V134" s="42"/>
      <c r="W134" s="42"/>
      <c r="X134" s="42"/>
      <c r="Y134" s="42"/>
      <c r="Z134" s="42"/>
      <c r="AA134" s="42"/>
      <c r="AB134" s="1080"/>
      <c r="AC134" s="42"/>
      <c r="AD134" s="42"/>
      <c r="AE134" s="42"/>
      <c r="AF134" s="42"/>
      <c r="AG134" s="42"/>
      <c r="AH134" s="42"/>
      <c r="AI134" s="42"/>
      <c r="AJ134" s="42"/>
      <c r="AK134" s="42"/>
      <c r="AL134" s="42"/>
      <c r="AM134" s="42"/>
      <c r="AN134" s="42"/>
      <c r="AO134" s="65">
        <f>SUM(E134:AN134)</f>
        <v>0</v>
      </c>
      <c r="AP134" s="1185"/>
      <c r="AQ134" s="1185"/>
    </row>
    <row r="135" spans="1:43" s="2" customFormat="1" ht="15" thickBot="1" x14ac:dyDescent="0.4">
      <c r="A135" s="1177"/>
      <c r="B135" s="1180"/>
      <c r="C135" s="1183"/>
      <c r="D135" s="483" t="s">
        <v>178</v>
      </c>
      <c r="E135" s="484"/>
      <c r="F135" s="485"/>
      <c r="G135" s="486"/>
      <c r="H135" s="486"/>
      <c r="I135" s="486"/>
      <c r="J135" s="486"/>
      <c r="K135" s="486"/>
      <c r="L135" s="486"/>
      <c r="M135" s="486"/>
      <c r="N135" s="486"/>
      <c r="O135" s="486"/>
      <c r="P135" s="1081"/>
      <c r="Q135" s="485"/>
      <c r="R135" s="486"/>
      <c r="S135" s="486"/>
      <c r="T135" s="486"/>
      <c r="U135" s="486"/>
      <c r="V135" s="486"/>
      <c r="W135" s="486"/>
      <c r="X135" s="486"/>
      <c r="Y135" s="486"/>
      <c r="Z135" s="486"/>
      <c r="AA135" s="486"/>
      <c r="AB135" s="1081"/>
      <c r="AC135" s="486"/>
      <c r="AD135" s="486"/>
      <c r="AE135" s="486"/>
      <c r="AF135" s="486"/>
      <c r="AG135" s="486"/>
      <c r="AH135" s="486"/>
      <c r="AI135" s="486"/>
      <c r="AJ135" s="486"/>
      <c r="AK135" s="486"/>
      <c r="AL135" s="486"/>
      <c r="AM135" s="486"/>
      <c r="AN135" s="486"/>
      <c r="AO135" s="141"/>
      <c r="AP135" s="1186"/>
      <c r="AQ135" s="1186"/>
    </row>
    <row r="136" spans="1:43" ht="15" customHeight="1" x14ac:dyDescent="0.35">
      <c r="A136" s="1175">
        <v>20</v>
      </c>
      <c r="B136" s="1178" t="str">
        <f>IF(VLOOKUP(A:A,'Pivot Table'!Z:AD,5,FALSE)=0,"",VLOOKUP(A:A,'Pivot Table'!Z:AD,5,FALSE))</f>
        <v/>
      </c>
      <c r="C136" s="1181" t="str">
        <f>_xlfn.IFNA(VLOOKUP(A:A,'Pivot Table'!P:W,8,FALSE),"")</f>
        <v/>
      </c>
      <c r="D136" s="494" t="s">
        <v>172</v>
      </c>
      <c r="E136" s="495">
        <f>SUM(E137:E138)</f>
        <v>0</v>
      </c>
      <c r="F136" s="496">
        <f>SUM(F137:F138)</f>
        <v>0</v>
      </c>
      <c r="G136" s="496">
        <f t="shared" ref="G136:M136" si="66">SUM(G137:G138)</f>
        <v>0</v>
      </c>
      <c r="H136" s="496">
        <f t="shared" si="66"/>
        <v>0</v>
      </c>
      <c r="I136" s="496">
        <f t="shared" si="66"/>
        <v>0</v>
      </c>
      <c r="J136" s="496">
        <f t="shared" si="66"/>
        <v>0</v>
      </c>
      <c r="K136" s="496">
        <f t="shared" si="66"/>
        <v>0</v>
      </c>
      <c r="L136" s="496">
        <f t="shared" si="66"/>
        <v>0</v>
      </c>
      <c r="M136" s="496">
        <f t="shared" si="66"/>
        <v>0</v>
      </c>
      <c r="N136" s="496">
        <f>SUM(N137:N138)</f>
        <v>0</v>
      </c>
      <c r="O136" s="496">
        <f t="shared" ref="O136:AN136" si="67">SUM(O137:O138)</f>
        <v>0</v>
      </c>
      <c r="P136" s="496">
        <f t="shared" si="67"/>
        <v>0</v>
      </c>
      <c r="Q136" s="496">
        <f t="shared" si="67"/>
        <v>0</v>
      </c>
      <c r="R136" s="496">
        <f t="shared" si="67"/>
        <v>0</v>
      </c>
      <c r="S136" s="496">
        <f t="shared" si="67"/>
        <v>0</v>
      </c>
      <c r="T136" s="496">
        <f t="shared" si="67"/>
        <v>0</v>
      </c>
      <c r="U136" s="496">
        <f t="shared" si="67"/>
        <v>0</v>
      </c>
      <c r="V136" s="496">
        <f t="shared" si="67"/>
        <v>0</v>
      </c>
      <c r="W136" s="496">
        <f t="shared" si="67"/>
        <v>0</v>
      </c>
      <c r="X136" s="496">
        <f t="shared" si="67"/>
        <v>0</v>
      </c>
      <c r="Y136" s="496">
        <f t="shared" si="67"/>
        <v>0</v>
      </c>
      <c r="Z136" s="496">
        <f t="shared" si="67"/>
        <v>0</v>
      </c>
      <c r="AA136" s="496">
        <f t="shared" si="67"/>
        <v>0</v>
      </c>
      <c r="AB136" s="496">
        <f t="shared" si="67"/>
        <v>0</v>
      </c>
      <c r="AC136" s="496">
        <f t="shared" si="67"/>
        <v>0</v>
      </c>
      <c r="AD136" s="496">
        <f t="shared" si="67"/>
        <v>0</v>
      </c>
      <c r="AE136" s="496">
        <f t="shared" si="67"/>
        <v>0</v>
      </c>
      <c r="AF136" s="496">
        <f t="shared" si="67"/>
        <v>0</v>
      </c>
      <c r="AG136" s="496">
        <f t="shared" si="67"/>
        <v>0</v>
      </c>
      <c r="AH136" s="496">
        <f t="shared" si="67"/>
        <v>0</v>
      </c>
      <c r="AI136" s="496">
        <f t="shared" si="67"/>
        <v>0</v>
      </c>
      <c r="AJ136" s="496">
        <f t="shared" si="67"/>
        <v>0</v>
      </c>
      <c r="AK136" s="496">
        <f t="shared" si="67"/>
        <v>0</v>
      </c>
      <c r="AL136" s="496">
        <f t="shared" si="67"/>
        <v>0</v>
      </c>
      <c r="AM136" s="496">
        <f t="shared" si="67"/>
        <v>0</v>
      </c>
      <c r="AN136" s="496">
        <f t="shared" si="67"/>
        <v>0</v>
      </c>
      <c r="AO136" s="497"/>
      <c r="AP136" s="1184"/>
      <c r="AQ136" s="1184"/>
    </row>
    <row r="137" spans="1:43" x14ac:dyDescent="0.35">
      <c r="A137" s="1176"/>
      <c r="B137" s="1179"/>
      <c r="C137" s="1182"/>
      <c r="D137" s="479" t="s">
        <v>173</v>
      </c>
      <c r="E137" s="476"/>
      <c r="F137" s="477"/>
      <c r="G137" s="478"/>
      <c r="H137" s="478"/>
      <c r="I137" s="478"/>
      <c r="J137" s="478"/>
      <c r="K137" s="478"/>
      <c r="L137" s="478"/>
      <c r="M137" s="478"/>
      <c r="N137" s="478"/>
      <c r="O137" s="478"/>
      <c r="P137" s="1078"/>
      <c r="Q137" s="477"/>
      <c r="R137" s="478"/>
      <c r="S137" s="478"/>
      <c r="T137" s="478"/>
      <c r="U137" s="478"/>
      <c r="V137" s="478"/>
      <c r="W137" s="478"/>
      <c r="X137" s="478"/>
      <c r="Y137" s="478"/>
      <c r="Z137" s="478"/>
      <c r="AA137" s="478"/>
      <c r="AB137" s="1078"/>
      <c r="AC137" s="478"/>
      <c r="AD137" s="478"/>
      <c r="AE137" s="478"/>
      <c r="AF137" s="478"/>
      <c r="AG137" s="478"/>
      <c r="AH137" s="478"/>
      <c r="AI137" s="478"/>
      <c r="AJ137" s="478"/>
      <c r="AK137" s="478"/>
      <c r="AL137" s="478"/>
      <c r="AM137" s="478"/>
      <c r="AN137" s="478"/>
      <c r="AO137" s="65">
        <f>SUM(E137:AN137)</f>
        <v>0</v>
      </c>
      <c r="AP137" s="1185"/>
      <c r="AQ137" s="1185"/>
    </row>
    <row r="138" spans="1:43" ht="15" thickBot="1" x14ac:dyDescent="0.4">
      <c r="A138" s="1176"/>
      <c r="B138" s="1179"/>
      <c r="C138" s="1182"/>
      <c r="D138" s="480" t="s">
        <v>174</v>
      </c>
      <c r="E138" s="473"/>
      <c r="F138" s="474"/>
      <c r="G138" s="475"/>
      <c r="H138" s="475"/>
      <c r="I138" s="475"/>
      <c r="J138" s="475"/>
      <c r="K138" s="475"/>
      <c r="L138" s="475"/>
      <c r="M138" s="475"/>
      <c r="N138" s="475"/>
      <c r="O138" s="475"/>
      <c r="P138" s="1079"/>
      <c r="Q138" s="474"/>
      <c r="R138" s="475"/>
      <c r="S138" s="475"/>
      <c r="T138" s="475"/>
      <c r="U138" s="475"/>
      <c r="V138" s="475"/>
      <c r="W138" s="475"/>
      <c r="X138" s="475"/>
      <c r="Y138" s="475"/>
      <c r="Z138" s="475"/>
      <c r="AA138" s="475"/>
      <c r="AB138" s="1079"/>
      <c r="AC138" s="475"/>
      <c r="AD138" s="475"/>
      <c r="AE138" s="475"/>
      <c r="AF138" s="475"/>
      <c r="AG138" s="475"/>
      <c r="AH138" s="475"/>
      <c r="AI138" s="475"/>
      <c r="AJ138" s="475"/>
      <c r="AK138" s="475"/>
      <c r="AL138" s="475"/>
      <c r="AM138" s="475"/>
      <c r="AN138" s="475"/>
      <c r="AO138" s="65"/>
      <c r="AP138" s="1185"/>
      <c r="AQ138" s="1185"/>
    </row>
    <row r="139" spans="1:43" s="10" customFormat="1" ht="14.5" customHeight="1" thickBot="1" x14ac:dyDescent="0.4">
      <c r="A139" s="1176"/>
      <c r="B139" s="1179"/>
      <c r="C139" s="1182"/>
      <c r="D139" s="1187" t="s">
        <v>175</v>
      </c>
      <c r="E139" s="1188"/>
      <c r="F139" s="1188"/>
      <c r="G139" s="1188"/>
      <c r="H139" s="1188"/>
      <c r="I139" s="1188"/>
      <c r="J139" s="1188"/>
      <c r="K139" s="1188"/>
      <c r="L139" s="1188"/>
      <c r="M139" s="1188"/>
      <c r="N139" s="1188"/>
      <c r="O139" s="1188"/>
      <c r="P139" s="1188"/>
      <c r="Q139" s="1188"/>
      <c r="R139" s="1188"/>
      <c r="S139" s="1188"/>
      <c r="T139" s="1188"/>
      <c r="U139" s="1188"/>
      <c r="V139" s="1188"/>
      <c r="W139" s="1188"/>
      <c r="X139" s="1188"/>
      <c r="Y139" s="1188"/>
      <c r="Z139" s="1188"/>
      <c r="AA139" s="1188"/>
      <c r="AB139" s="1188"/>
      <c r="AC139" s="1188"/>
      <c r="AD139" s="1188"/>
      <c r="AE139" s="1188"/>
      <c r="AF139" s="1188"/>
      <c r="AG139" s="1188"/>
      <c r="AH139" s="1188"/>
      <c r="AI139" s="1188"/>
      <c r="AJ139" s="1188"/>
      <c r="AK139" s="1188"/>
      <c r="AL139" s="1188"/>
      <c r="AM139" s="1188"/>
      <c r="AN139" s="1188"/>
      <c r="AO139" s="349" t="e">
        <f>SUM(E141:AN141)/AO137*100%</f>
        <v>#DIV/0!</v>
      </c>
      <c r="AP139" s="1185"/>
      <c r="AQ139" s="1185"/>
    </row>
    <row r="140" spans="1:43" s="10" customFormat="1" ht="14.5" customHeight="1" x14ac:dyDescent="0.35">
      <c r="A140" s="1176"/>
      <c r="B140" s="1179"/>
      <c r="C140" s="1182"/>
      <c r="D140" s="481" t="s">
        <v>176</v>
      </c>
      <c r="E140" s="487">
        <f>SUM(E141:E142)</f>
        <v>0</v>
      </c>
      <c r="F140" s="488">
        <f>SUM(F141:F142)</f>
        <v>0</v>
      </c>
      <c r="G140" s="488">
        <f t="shared" ref="G140:AN140" si="68">SUM(G141:G142)</f>
        <v>0</v>
      </c>
      <c r="H140" s="488">
        <f t="shared" si="68"/>
        <v>0</v>
      </c>
      <c r="I140" s="488">
        <f t="shared" si="68"/>
        <v>0</v>
      </c>
      <c r="J140" s="488">
        <f t="shared" si="68"/>
        <v>0</v>
      </c>
      <c r="K140" s="488">
        <f t="shared" si="68"/>
        <v>0</v>
      </c>
      <c r="L140" s="488">
        <f t="shared" si="68"/>
        <v>0</v>
      </c>
      <c r="M140" s="488">
        <f t="shared" si="68"/>
        <v>0</v>
      </c>
      <c r="N140" s="488">
        <f t="shared" si="68"/>
        <v>0</v>
      </c>
      <c r="O140" s="488">
        <f t="shared" si="68"/>
        <v>0</v>
      </c>
      <c r="P140" s="488">
        <f t="shared" si="68"/>
        <v>0</v>
      </c>
      <c r="Q140" s="488">
        <f t="shared" si="68"/>
        <v>0</v>
      </c>
      <c r="R140" s="488">
        <f t="shared" si="68"/>
        <v>0</v>
      </c>
      <c r="S140" s="488">
        <f t="shared" si="68"/>
        <v>0</v>
      </c>
      <c r="T140" s="488">
        <f t="shared" si="68"/>
        <v>0</v>
      </c>
      <c r="U140" s="488">
        <f t="shared" si="68"/>
        <v>0</v>
      </c>
      <c r="V140" s="488">
        <f t="shared" si="68"/>
        <v>0</v>
      </c>
      <c r="W140" s="488">
        <f t="shared" si="68"/>
        <v>0</v>
      </c>
      <c r="X140" s="488">
        <f t="shared" si="68"/>
        <v>0</v>
      </c>
      <c r="Y140" s="488">
        <f t="shared" si="68"/>
        <v>0</v>
      </c>
      <c r="Z140" s="488">
        <f t="shared" si="68"/>
        <v>0</v>
      </c>
      <c r="AA140" s="488">
        <f t="shared" si="68"/>
        <v>0</v>
      </c>
      <c r="AB140" s="488">
        <f t="shared" si="68"/>
        <v>0</v>
      </c>
      <c r="AC140" s="488">
        <f t="shared" si="68"/>
        <v>0</v>
      </c>
      <c r="AD140" s="488">
        <f t="shared" si="68"/>
        <v>0</v>
      </c>
      <c r="AE140" s="488">
        <f t="shared" si="68"/>
        <v>0</v>
      </c>
      <c r="AF140" s="488">
        <f t="shared" si="68"/>
        <v>0</v>
      </c>
      <c r="AG140" s="488">
        <f t="shared" si="68"/>
        <v>0</v>
      </c>
      <c r="AH140" s="488">
        <f t="shared" si="68"/>
        <v>0</v>
      </c>
      <c r="AI140" s="488">
        <f t="shared" si="68"/>
        <v>0</v>
      </c>
      <c r="AJ140" s="488">
        <f t="shared" si="68"/>
        <v>0</v>
      </c>
      <c r="AK140" s="488">
        <f t="shared" si="68"/>
        <v>0</v>
      </c>
      <c r="AL140" s="488">
        <f t="shared" si="68"/>
        <v>0</v>
      </c>
      <c r="AM140" s="488">
        <f t="shared" si="68"/>
        <v>0</v>
      </c>
      <c r="AN140" s="488">
        <f t="shared" si="68"/>
        <v>0</v>
      </c>
      <c r="AO140" s="136"/>
      <c r="AP140" s="1185"/>
      <c r="AQ140" s="1185"/>
    </row>
    <row r="141" spans="1:43" s="2" customFormat="1" x14ac:dyDescent="0.35">
      <c r="A141" s="1176"/>
      <c r="B141" s="1179"/>
      <c r="C141" s="1182"/>
      <c r="D141" s="482" t="s">
        <v>177</v>
      </c>
      <c r="E141" s="40"/>
      <c r="F141" s="41"/>
      <c r="G141" s="42"/>
      <c r="H141" s="42"/>
      <c r="I141" s="42"/>
      <c r="J141" s="42"/>
      <c r="K141" s="42"/>
      <c r="L141" s="42"/>
      <c r="M141" s="42"/>
      <c r="N141" s="42"/>
      <c r="O141" s="42"/>
      <c r="P141" s="1080"/>
      <c r="Q141" s="41"/>
      <c r="R141" s="42"/>
      <c r="S141" s="42"/>
      <c r="T141" s="42"/>
      <c r="U141" s="42"/>
      <c r="V141" s="42"/>
      <c r="W141" s="42"/>
      <c r="X141" s="42"/>
      <c r="Y141" s="42"/>
      <c r="Z141" s="42"/>
      <c r="AA141" s="42"/>
      <c r="AB141" s="1080"/>
      <c r="AC141" s="42"/>
      <c r="AD141" s="42"/>
      <c r="AE141" s="42"/>
      <c r="AF141" s="42"/>
      <c r="AG141" s="42"/>
      <c r="AH141" s="42"/>
      <c r="AI141" s="42"/>
      <c r="AJ141" s="42"/>
      <c r="AK141" s="42"/>
      <c r="AL141" s="42"/>
      <c r="AM141" s="42"/>
      <c r="AN141" s="42"/>
      <c r="AO141" s="65">
        <f>SUM(E141:AN141)</f>
        <v>0</v>
      </c>
      <c r="AP141" s="1185"/>
      <c r="AQ141" s="1185"/>
    </row>
    <row r="142" spans="1:43" s="2" customFormat="1" ht="15" thickBot="1" x14ac:dyDescent="0.4">
      <c r="A142" s="1177"/>
      <c r="B142" s="1180"/>
      <c r="C142" s="1183"/>
      <c r="D142" s="483" t="s">
        <v>178</v>
      </c>
      <c r="E142" s="484"/>
      <c r="F142" s="485"/>
      <c r="G142" s="486"/>
      <c r="H142" s="486"/>
      <c r="I142" s="486"/>
      <c r="J142" s="486"/>
      <c r="K142" s="486"/>
      <c r="L142" s="486"/>
      <c r="M142" s="486"/>
      <c r="N142" s="486"/>
      <c r="O142" s="486"/>
      <c r="P142" s="1081"/>
      <c r="Q142" s="485"/>
      <c r="R142" s="486"/>
      <c r="S142" s="486"/>
      <c r="T142" s="486"/>
      <c r="U142" s="486"/>
      <c r="V142" s="486"/>
      <c r="W142" s="486"/>
      <c r="X142" s="486"/>
      <c r="Y142" s="486"/>
      <c r="Z142" s="486"/>
      <c r="AA142" s="486"/>
      <c r="AB142" s="1081"/>
      <c r="AC142" s="486"/>
      <c r="AD142" s="486"/>
      <c r="AE142" s="486"/>
      <c r="AF142" s="486"/>
      <c r="AG142" s="486"/>
      <c r="AH142" s="486"/>
      <c r="AI142" s="486"/>
      <c r="AJ142" s="486"/>
      <c r="AK142" s="486"/>
      <c r="AL142" s="486"/>
      <c r="AM142" s="486"/>
      <c r="AN142" s="486"/>
      <c r="AO142" s="141"/>
      <c r="AP142" s="1186"/>
      <c r="AQ142" s="1186"/>
    </row>
    <row r="143" spans="1:43" ht="15" customHeight="1" x14ac:dyDescent="0.35">
      <c r="A143" s="1175">
        <v>21</v>
      </c>
      <c r="B143" s="1178" t="str">
        <f>IF(VLOOKUP(A:A,'Pivot Table'!Z:AD,5,FALSE)=0,"",VLOOKUP(A:A,'Pivot Table'!Z:AD,5,FALSE))</f>
        <v/>
      </c>
      <c r="C143" s="1181" t="str">
        <f>_xlfn.IFNA(VLOOKUP(A:A,'Pivot Table'!P:W,8,FALSE),"")</f>
        <v/>
      </c>
      <c r="D143" s="494" t="s">
        <v>172</v>
      </c>
      <c r="E143" s="495">
        <f>SUM(E144:E145)</f>
        <v>0</v>
      </c>
      <c r="F143" s="496">
        <f>SUM(F144:F145)</f>
        <v>0</v>
      </c>
      <c r="G143" s="496">
        <f t="shared" ref="G143:M143" si="69">SUM(G144:G145)</f>
        <v>0</v>
      </c>
      <c r="H143" s="496">
        <f t="shared" si="69"/>
        <v>0</v>
      </c>
      <c r="I143" s="496">
        <f t="shared" si="69"/>
        <v>0</v>
      </c>
      <c r="J143" s="496">
        <f t="shared" si="69"/>
        <v>0</v>
      </c>
      <c r="K143" s="496">
        <f t="shared" si="69"/>
        <v>0</v>
      </c>
      <c r="L143" s="496">
        <f t="shared" si="69"/>
        <v>0</v>
      </c>
      <c r="M143" s="496">
        <f t="shared" si="69"/>
        <v>0</v>
      </c>
      <c r="N143" s="496">
        <f>SUM(N144:N145)</f>
        <v>0</v>
      </c>
      <c r="O143" s="496">
        <f t="shared" ref="O143:AN143" si="70">SUM(O144:O145)</f>
        <v>0</v>
      </c>
      <c r="P143" s="496">
        <f t="shared" si="70"/>
        <v>0</v>
      </c>
      <c r="Q143" s="496">
        <f t="shared" si="70"/>
        <v>0</v>
      </c>
      <c r="R143" s="496">
        <f t="shared" si="70"/>
        <v>0</v>
      </c>
      <c r="S143" s="496">
        <f t="shared" si="70"/>
        <v>0</v>
      </c>
      <c r="T143" s="496">
        <f t="shared" si="70"/>
        <v>0</v>
      </c>
      <c r="U143" s="496">
        <f t="shared" si="70"/>
        <v>0</v>
      </c>
      <c r="V143" s="496">
        <f t="shared" si="70"/>
        <v>0</v>
      </c>
      <c r="W143" s="496">
        <f t="shared" si="70"/>
        <v>0</v>
      </c>
      <c r="X143" s="496">
        <f t="shared" si="70"/>
        <v>0</v>
      </c>
      <c r="Y143" s="496">
        <f t="shared" si="70"/>
        <v>0</v>
      </c>
      <c r="Z143" s="496">
        <f t="shared" si="70"/>
        <v>0</v>
      </c>
      <c r="AA143" s="496">
        <f t="shared" si="70"/>
        <v>0</v>
      </c>
      <c r="AB143" s="496">
        <f t="shared" si="70"/>
        <v>0</v>
      </c>
      <c r="AC143" s="496">
        <f t="shared" si="70"/>
        <v>0</v>
      </c>
      <c r="AD143" s="496">
        <f t="shared" si="70"/>
        <v>0</v>
      </c>
      <c r="AE143" s="496">
        <f t="shared" si="70"/>
        <v>0</v>
      </c>
      <c r="AF143" s="496">
        <f t="shared" si="70"/>
        <v>0</v>
      </c>
      <c r="AG143" s="496">
        <f t="shared" si="70"/>
        <v>0</v>
      </c>
      <c r="AH143" s="496">
        <f t="shared" si="70"/>
        <v>0</v>
      </c>
      <c r="AI143" s="496">
        <f t="shared" si="70"/>
        <v>0</v>
      </c>
      <c r="AJ143" s="496">
        <f t="shared" si="70"/>
        <v>0</v>
      </c>
      <c r="AK143" s="496">
        <f t="shared" si="70"/>
        <v>0</v>
      </c>
      <c r="AL143" s="496">
        <f t="shared" si="70"/>
        <v>0</v>
      </c>
      <c r="AM143" s="496">
        <f t="shared" si="70"/>
        <v>0</v>
      </c>
      <c r="AN143" s="496">
        <f t="shared" si="70"/>
        <v>0</v>
      </c>
      <c r="AO143" s="497"/>
      <c r="AP143" s="1184"/>
      <c r="AQ143" s="1184"/>
    </row>
    <row r="144" spans="1:43" x14ac:dyDescent="0.35">
      <c r="A144" s="1176"/>
      <c r="B144" s="1179"/>
      <c r="C144" s="1182"/>
      <c r="D144" s="479" t="s">
        <v>173</v>
      </c>
      <c r="E144" s="476"/>
      <c r="F144" s="477"/>
      <c r="G144" s="478"/>
      <c r="H144" s="478"/>
      <c r="I144" s="478"/>
      <c r="J144" s="478"/>
      <c r="K144" s="478"/>
      <c r="L144" s="478"/>
      <c r="M144" s="478"/>
      <c r="N144" s="478"/>
      <c r="O144" s="478"/>
      <c r="P144" s="1078"/>
      <c r="Q144" s="477"/>
      <c r="R144" s="478"/>
      <c r="S144" s="478"/>
      <c r="T144" s="478"/>
      <c r="U144" s="478"/>
      <c r="V144" s="478"/>
      <c r="W144" s="478"/>
      <c r="X144" s="478"/>
      <c r="Y144" s="478"/>
      <c r="Z144" s="478"/>
      <c r="AA144" s="478"/>
      <c r="AB144" s="1078"/>
      <c r="AC144" s="478"/>
      <c r="AD144" s="478"/>
      <c r="AE144" s="478"/>
      <c r="AF144" s="478"/>
      <c r="AG144" s="478"/>
      <c r="AH144" s="478"/>
      <c r="AI144" s="478"/>
      <c r="AJ144" s="478"/>
      <c r="AK144" s="478"/>
      <c r="AL144" s="478"/>
      <c r="AM144" s="478"/>
      <c r="AN144" s="478"/>
      <c r="AO144" s="65">
        <f>SUM(E144:AN144)</f>
        <v>0</v>
      </c>
      <c r="AP144" s="1185"/>
      <c r="AQ144" s="1185"/>
    </row>
    <row r="145" spans="1:43" ht="15" thickBot="1" x14ac:dyDescent="0.4">
      <c r="A145" s="1176"/>
      <c r="B145" s="1179"/>
      <c r="C145" s="1182"/>
      <c r="D145" s="480" t="s">
        <v>174</v>
      </c>
      <c r="E145" s="473"/>
      <c r="F145" s="474"/>
      <c r="G145" s="475"/>
      <c r="H145" s="475"/>
      <c r="I145" s="475"/>
      <c r="J145" s="475"/>
      <c r="K145" s="475"/>
      <c r="L145" s="475"/>
      <c r="M145" s="475"/>
      <c r="N145" s="475"/>
      <c r="O145" s="475"/>
      <c r="P145" s="1079"/>
      <c r="Q145" s="474"/>
      <c r="R145" s="475"/>
      <c r="S145" s="475"/>
      <c r="T145" s="475"/>
      <c r="U145" s="475"/>
      <c r="V145" s="475"/>
      <c r="W145" s="475"/>
      <c r="X145" s="475"/>
      <c r="Y145" s="475"/>
      <c r="Z145" s="475"/>
      <c r="AA145" s="475"/>
      <c r="AB145" s="1079"/>
      <c r="AC145" s="475"/>
      <c r="AD145" s="475"/>
      <c r="AE145" s="475"/>
      <c r="AF145" s="475"/>
      <c r="AG145" s="475"/>
      <c r="AH145" s="475"/>
      <c r="AI145" s="475"/>
      <c r="AJ145" s="475"/>
      <c r="AK145" s="475"/>
      <c r="AL145" s="475"/>
      <c r="AM145" s="475"/>
      <c r="AN145" s="475"/>
      <c r="AO145" s="65"/>
      <c r="AP145" s="1185"/>
      <c r="AQ145" s="1185"/>
    </row>
    <row r="146" spans="1:43" s="10" customFormat="1" ht="14.5" customHeight="1" thickBot="1" x14ac:dyDescent="0.4">
      <c r="A146" s="1176"/>
      <c r="B146" s="1179"/>
      <c r="C146" s="1182"/>
      <c r="D146" s="1187" t="s">
        <v>175</v>
      </c>
      <c r="E146" s="1188"/>
      <c r="F146" s="1188"/>
      <c r="G146" s="1188"/>
      <c r="H146" s="1188"/>
      <c r="I146" s="1188"/>
      <c r="J146" s="1188"/>
      <c r="K146" s="1188"/>
      <c r="L146" s="1188"/>
      <c r="M146" s="1188"/>
      <c r="N146" s="1188"/>
      <c r="O146" s="1188"/>
      <c r="P146" s="1188"/>
      <c r="Q146" s="1188"/>
      <c r="R146" s="1188"/>
      <c r="S146" s="1188"/>
      <c r="T146" s="1188"/>
      <c r="U146" s="1188"/>
      <c r="V146" s="1188"/>
      <c r="W146" s="1188"/>
      <c r="X146" s="1188"/>
      <c r="Y146" s="1188"/>
      <c r="Z146" s="1188"/>
      <c r="AA146" s="1188"/>
      <c r="AB146" s="1188"/>
      <c r="AC146" s="1188"/>
      <c r="AD146" s="1188"/>
      <c r="AE146" s="1188"/>
      <c r="AF146" s="1188"/>
      <c r="AG146" s="1188"/>
      <c r="AH146" s="1188"/>
      <c r="AI146" s="1188"/>
      <c r="AJ146" s="1188"/>
      <c r="AK146" s="1188"/>
      <c r="AL146" s="1188"/>
      <c r="AM146" s="1188"/>
      <c r="AN146" s="1188"/>
      <c r="AO146" s="349" t="e">
        <f>SUM(E148:AN148)/AO144*100%</f>
        <v>#DIV/0!</v>
      </c>
      <c r="AP146" s="1185"/>
      <c r="AQ146" s="1185"/>
    </row>
    <row r="147" spans="1:43" s="10" customFormat="1" ht="14.5" customHeight="1" x14ac:dyDescent="0.35">
      <c r="A147" s="1176"/>
      <c r="B147" s="1179"/>
      <c r="C147" s="1182"/>
      <c r="D147" s="481" t="s">
        <v>176</v>
      </c>
      <c r="E147" s="487">
        <f>SUM(E148:E149)</f>
        <v>0</v>
      </c>
      <c r="F147" s="488">
        <f>SUM(F148:F149)</f>
        <v>0</v>
      </c>
      <c r="G147" s="488">
        <f t="shared" ref="G147:AN147" si="71">SUM(G148:G149)</f>
        <v>0</v>
      </c>
      <c r="H147" s="488">
        <f t="shared" si="71"/>
        <v>0</v>
      </c>
      <c r="I147" s="488">
        <f t="shared" si="71"/>
        <v>0</v>
      </c>
      <c r="J147" s="488">
        <f t="shared" si="71"/>
        <v>0</v>
      </c>
      <c r="K147" s="488">
        <f t="shared" si="71"/>
        <v>0</v>
      </c>
      <c r="L147" s="488">
        <f t="shared" si="71"/>
        <v>0</v>
      </c>
      <c r="M147" s="488">
        <f t="shared" si="71"/>
        <v>0</v>
      </c>
      <c r="N147" s="488">
        <f t="shared" si="71"/>
        <v>0</v>
      </c>
      <c r="O147" s="488">
        <f t="shared" si="71"/>
        <v>0</v>
      </c>
      <c r="P147" s="488">
        <f t="shared" si="71"/>
        <v>0</v>
      </c>
      <c r="Q147" s="488">
        <f t="shared" si="71"/>
        <v>0</v>
      </c>
      <c r="R147" s="488">
        <f t="shared" si="71"/>
        <v>0</v>
      </c>
      <c r="S147" s="488">
        <f t="shared" si="71"/>
        <v>0</v>
      </c>
      <c r="T147" s="488">
        <f t="shared" si="71"/>
        <v>0</v>
      </c>
      <c r="U147" s="488">
        <f t="shared" si="71"/>
        <v>0</v>
      </c>
      <c r="V147" s="488">
        <f t="shared" si="71"/>
        <v>0</v>
      </c>
      <c r="W147" s="488">
        <f t="shared" si="71"/>
        <v>0</v>
      </c>
      <c r="X147" s="488">
        <f t="shared" si="71"/>
        <v>0</v>
      </c>
      <c r="Y147" s="488">
        <f t="shared" si="71"/>
        <v>0</v>
      </c>
      <c r="Z147" s="488">
        <f t="shared" si="71"/>
        <v>0</v>
      </c>
      <c r="AA147" s="488">
        <f t="shared" si="71"/>
        <v>0</v>
      </c>
      <c r="AB147" s="488">
        <f t="shared" si="71"/>
        <v>0</v>
      </c>
      <c r="AC147" s="488">
        <f t="shared" si="71"/>
        <v>0</v>
      </c>
      <c r="AD147" s="488">
        <f t="shared" si="71"/>
        <v>0</v>
      </c>
      <c r="AE147" s="488">
        <f t="shared" si="71"/>
        <v>0</v>
      </c>
      <c r="AF147" s="488">
        <f t="shared" si="71"/>
        <v>0</v>
      </c>
      <c r="AG147" s="488">
        <f t="shared" si="71"/>
        <v>0</v>
      </c>
      <c r="AH147" s="488">
        <f t="shared" si="71"/>
        <v>0</v>
      </c>
      <c r="AI147" s="488">
        <f t="shared" si="71"/>
        <v>0</v>
      </c>
      <c r="AJ147" s="488">
        <f t="shared" si="71"/>
        <v>0</v>
      </c>
      <c r="AK147" s="488">
        <f t="shared" si="71"/>
        <v>0</v>
      </c>
      <c r="AL147" s="488">
        <f t="shared" si="71"/>
        <v>0</v>
      </c>
      <c r="AM147" s="488">
        <f t="shared" si="71"/>
        <v>0</v>
      </c>
      <c r="AN147" s="488">
        <f t="shared" si="71"/>
        <v>0</v>
      </c>
      <c r="AO147" s="136"/>
      <c r="AP147" s="1185"/>
      <c r="AQ147" s="1185"/>
    </row>
    <row r="148" spans="1:43" s="2" customFormat="1" x14ac:dyDescent="0.35">
      <c r="A148" s="1176"/>
      <c r="B148" s="1179"/>
      <c r="C148" s="1182"/>
      <c r="D148" s="482" t="s">
        <v>177</v>
      </c>
      <c r="E148" s="40"/>
      <c r="F148" s="41"/>
      <c r="G148" s="42"/>
      <c r="H148" s="42"/>
      <c r="I148" s="42"/>
      <c r="J148" s="42"/>
      <c r="K148" s="42"/>
      <c r="L148" s="42"/>
      <c r="M148" s="42"/>
      <c r="N148" s="42"/>
      <c r="O148" s="42"/>
      <c r="P148" s="1080"/>
      <c r="Q148" s="41"/>
      <c r="R148" s="42"/>
      <c r="S148" s="42"/>
      <c r="T148" s="42"/>
      <c r="U148" s="42"/>
      <c r="V148" s="42"/>
      <c r="W148" s="42"/>
      <c r="X148" s="42"/>
      <c r="Y148" s="42"/>
      <c r="Z148" s="42"/>
      <c r="AA148" s="42"/>
      <c r="AB148" s="1080"/>
      <c r="AC148" s="42"/>
      <c r="AD148" s="42"/>
      <c r="AE148" s="42"/>
      <c r="AF148" s="42"/>
      <c r="AG148" s="42"/>
      <c r="AH148" s="42"/>
      <c r="AI148" s="42"/>
      <c r="AJ148" s="42"/>
      <c r="AK148" s="42"/>
      <c r="AL148" s="42"/>
      <c r="AM148" s="42"/>
      <c r="AN148" s="42"/>
      <c r="AO148" s="65">
        <f>SUM(E148:AN148)</f>
        <v>0</v>
      </c>
      <c r="AP148" s="1185"/>
      <c r="AQ148" s="1185"/>
    </row>
    <row r="149" spans="1:43" s="2" customFormat="1" ht="15" thickBot="1" x14ac:dyDescent="0.4">
      <c r="A149" s="1177"/>
      <c r="B149" s="1180"/>
      <c r="C149" s="1183"/>
      <c r="D149" s="483" t="s">
        <v>178</v>
      </c>
      <c r="E149" s="484"/>
      <c r="F149" s="485"/>
      <c r="G149" s="486"/>
      <c r="H149" s="486"/>
      <c r="I149" s="486"/>
      <c r="J149" s="486"/>
      <c r="K149" s="486"/>
      <c r="L149" s="486"/>
      <c r="M149" s="486"/>
      <c r="N149" s="486"/>
      <c r="O149" s="486"/>
      <c r="P149" s="1081"/>
      <c r="Q149" s="485"/>
      <c r="R149" s="486"/>
      <c r="S149" s="486"/>
      <c r="T149" s="486"/>
      <c r="U149" s="486"/>
      <c r="V149" s="486"/>
      <c r="W149" s="486"/>
      <c r="X149" s="486"/>
      <c r="Y149" s="486"/>
      <c r="Z149" s="486"/>
      <c r="AA149" s="486"/>
      <c r="AB149" s="1081"/>
      <c r="AC149" s="486"/>
      <c r="AD149" s="486"/>
      <c r="AE149" s="486"/>
      <c r="AF149" s="486"/>
      <c r="AG149" s="486"/>
      <c r="AH149" s="486"/>
      <c r="AI149" s="486"/>
      <c r="AJ149" s="486"/>
      <c r="AK149" s="486"/>
      <c r="AL149" s="486"/>
      <c r="AM149" s="486"/>
      <c r="AN149" s="486"/>
      <c r="AO149" s="141"/>
      <c r="AP149" s="1186"/>
      <c r="AQ149" s="1186"/>
    </row>
    <row r="150" spans="1:43" ht="15" customHeight="1" x14ac:dyDescent="0.35">
      <c r="A150" s="1175">
        <v>22</v>
      </c>
      <c r="B150" s="1178" t="str">
        <f>IF(VLOOKUP(A:A,'Pivot Table'!Z:AD,5,FALSE)=0,"",VLOOKUP(A:A,'Pivot Table'!Z:AD,5,FALSE))</f>
        <v/>
      </c>
      <c r="C150" s="1181" t="str">
        <f>_xlfn.IFNA(VLOOKUP(A:A,'Pivot Table'!P:W,8,FALSE),"")</f>
        <v/>
      </c>
      <c r="D150" s="494" t="s">
        <v>172</v>
      </c>
      <c r="E150" s="495">
        <f>SUM(E151:E152)</f>
        <v>0</v>
      </c>
      <c r="F150" s="496">
        <f>SUM(F151:F152)</f>
        <v>0</v>
      </c>
      <c r="G150" s="496">
        <f t="shared" ref="G150:M150" si="72">SUM(G151:G152)</f>
        <v>0</v>
      </c>
      <c r="H150" s="496">
        <f t="shared" si="72"/>
        <v>0</v>
      </c>
      <c r="I150" s="496">
        <f t="shared" si="72"/>
        <v>0</v>
      </c>
      <c r="J150" s="496">
        <f t="shared" si="72"/>
        <v>0</v>
      </c>
      <c r="K150" s="496">
        <f t="shared" si="72"/>
        <v>0</v>
      </c>
      <c r="L150" s="496">
        <f t="shared" si="72"/>
        <v>0</v>
      </c>
      <c r="M150" s="496">
        <f t="shared" si="72"/>
        <v>0</v>
      </c>
      <c r="N150" s="496">
        <f>SUM(N151:N152)</f>
        <v>0</v>
      </c>
      <c r="O150" s="496">
        <f t="shared" ref="O150:AN150" si="73">SUM(O151:O152)</f>
        <v>0</v>
      </c>
      <c r="P150" s="496">
        <f t="shared" si="73"/>
        <v>0</v>
      </c>
      <c r="Q150" s="496">
        <f t="shared" si="73"/>
        <v>0</v>
      </c>
      <c r="R150" s="496">
        <f t="shared" si="73"/>
        <v>0</v>
      </c>
      <c r="S150" s="496">
        <f t="shared" si="73"/>
        <v>0</v>
      </c>
      <c r="T150" s="496">
        <f t="shared" si="73"/>
        <v>0</v>
      </c>
      <c r="U150" s="496">
        <f t="shared" si="73"/>
        <v>0</v>
      </c>
      <c r="V150" s="496">
        <f t="shared" si="73"/>
        <v>0</v>
      </c>
      <c r="W150" s="496">
        <f t="shared" si="73"/>
        <v>0</v>
      </c>
      <c r="X150" s="496">
        <f t="shared" si="73"/>
        <v>0</v>
      </c>
      <c r="Y150" s="496">
        <f t="shared" si="73"/>
        <v>0</v>
      </c>
      <c r="Z150" s="496">
        <f t="shared" si="73"/>
        <v>0</v>
      </c>
      <c r="AA150" s="496">
        <f t="shared" si="73"/>
        <v>0</v>
      </c>
      <c r="AB150" s="496">
        <f t="shared" si="73"/>
        <v>0</v>
      </c>
      <c r="AC150" s="496">
        <f t="shared" si="73"/>
        <v>0</v>
      </c>
      <c r="AD150" s="496">
        <f t="shared" si="73"/>
        <v>0</v>
      </c>
      <c r="AE150" s="496">
        <f t="shared" si="73"/>
        <v>0</v>
      </c>
      <c r="AF150" s="496">
        <f t="shared" si="73"/>
        <v>0</v>
      </c>
      <c r="AG150" s="496">
        <f t="shared" si="73"/>
        <v>0</v>
      </c>
      <c r="AH150" s="496">
        <f t="shared" si="73"/>
        <v>0</v>
      </c>
      <c r="AI150" s="496">
        <f t="shared" si="73"/>
        <v>0</v>
      </c>
      <c r="AJ150" s="496">
        <f t="shared" si="73"/>
        <v>0</v>
      </c>
      <c r="AK150" s="496">
        <f t="shared" si="73"/>
        <v>0</v>
      </c>
      <c r="AL150" s="496">
        <f t="shared" si="73"/>
        <v>0</v>
      </c>
      <c r="AM150" s="496">
        <f t="shared" si="73"/>
        <v>0</v>
      </c>
      <c r="AN150" s="496">
        <f t="shared" si="73"/>
        <v>0</v>
      </c>
      <c r="AO150" s="497"/>
      <c r="AP150" s="1184"/>
      <c r="AQ150" s="1184"/>
    </row>
    <row r="151" spans="1:43" x14ac:dyDescent="0.35">
      <c r="A151" s="1176"/>
      <c r="B151" s="1179"/>
      <c r="C151" s="1182"/>
      <c r="D151" s="479" t="s">
        <v>173</v>
      </c>
      <c r="E151" s="476"/>
      <c r="F151" s="477"/>
      <c r="G151" s="478"/>
      <c r="H151" s="478"/>
      <c r="I151" s="478"/>
      <c r="J151" s="478"/>
      <c r="K151" s="478"/>
      <c r="L151" s="478"/>
      <c r="M151" s="478"/>
      <c r="N151" s="478"/>
      <c r="O151" s="478"/>
      <c r="P151" s="1078"/>
      <c r="Q151" s="477"/>
      <c r="R151" s="478"/>
      <c r="S151" s="478"/>
      <c r="T151" s="478"/>
      <c r="U151" s="478"/>
      <c r="V151" s="478"/>
      <c r="W151" s="478"/>
      <c r="X151" s="478"/>
      <c r="Y151" s="478"/>
      <c r="Z151" s="478"/>
      <c r="AA151" s="478"/>
      <c r="AB151" s="1078"/>
      <c r="AC151" s="478"/>
      <c r="AD151" s="478"/>
      <c r="AE151" s="478"/>
      <c r="AF151" s="478"/>
      <c r="AG151" s="478"/>
      <c r="AH151" s="478"/>
      <c r="AI151" s="478"/>
      <c r="AJ151" s="478"/>
      <c r="AK151" s="478"/>
      <c r="AL151" s="478"/>
      <c r="AM151" s="478"/>
      <c r="AN151" s="478"/>
      <c r="AO151" s="65">
        <f>SUM(E151:AN151)</f>
        <v>0</v>
      </c>
      <c r="AP151" s="1185"/>
      <c r="AQ151" s="1185"/>
    </row>
    <row r="152" spans="1:43" ht="15" thickBot="1" x14ac:dyDescent="0.4">
      <c r="A152" s="1176"/>
      <c r="B152" s="1179"/>
      <c r="C152" s="1182"/>
      <c r="D152" s="480" t="s">
        <v>174</v>
      </c>
      <c r="E152" s="473"/>
      <c r="F152" s="474"/>
      <c r="G152" s="475"/>
      <c r="H152" s="475"/>
      <c r="I152" s="475"/>
      <c r="J152" s="475"/>
      <c r="K152" s="475"/>
      <c r="L152" s="475"/>
      <c r="M152" s="475"/>
      <c r="N152" s="475"/>
      <c r="O152" s="475"/>
      <c r="P152" s="1079"/>
      <c r="Q152" s="474"/>
      <c r="R152" s="475"/>
      <c r="S152" s="475"/>
      <c r="T152" s="475"/>
      <c r="U152" s="475"/>
      <c r="V152" s="475"/>
      <c r="W152" s="475"/>
      <c r="X152" s="475"/>
      <c r="Y152" s="475"/>
      <c r="Z152" s="475"/>
      <c r="AA152" s="475"/>
      <c r="AB152" s="1079"/>
      <c r="AC152" s="475"/>
      <c r="AD152" s="475"/>
      <c r="AE152" s="475"/>
      <c r="AF152" s="475"/>
      <c r="AG152" s="475"/>
      <c r="AH152" s="475"/>
      <c r="AI152" s="475"/>
      <c r="AJ152" s="475"/>
      <c r="AK152" s="475"/>
      <c r="AL152" s="475"/>
      <c r="AM152" s="475"/>
      <c r="AN152" s="475"/>
      <c r="AO152" s="65"/>
      <c r="AP152" s="1185"/>
      <c r="AQ152" s="1185"/>
    </row>
    <row r="153" spans="1:43" s="10" customFormat="1" ht="14.5" customHeight="1" thickBot="1" x14ac:dyDescent="0.4">
      <c r="A153" s="1176"/>
      <c r="B153" s="1179"/>
      <c r="C153" s="1182"/>
      <c r="D153" s="1187" t="s">
        <v>175</v>
      </c>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88"/>
      <c r="AM153" s="1188"/>
      <c r="AN153" s="1188"/>
      <c r="AO153" s="349" t="e">
        <f>SUM(E155:AN155)/AO151*100%</f>
        <v>#DIV/0!</v>
      </c>
      <c r="AP153" s="1185"/>
      <c r="AQ153" s="1185"/>
    </row>
    <row r="154" spans="1:43" s="10" customFormat="1" ht="14.5" customHeight="1" x14ac:dyDescent="0.35">
      <c r="A154" s="1176"/>
      <c r="B154" s="1179"/>
      <c r="C154" s="1182"/>
      <c r="D154" s="481" t="s">
        <v>176</v>
      </c>
      <c r="E154" s="487">
        <f>SUM(E155:E156)</f>
        <v>0</v>
      </c>
      <c r="F154" s="488">
        <f>SUM(F155:F156)</f>
        <v>0</v>
      </c>
      <c r="G154" s="488">
        <f t="shared" ref="G154:AN154" si="74">SUM(G155:G156)</f>
        <v>0</v>
      </c>
      <c r="H154" s="488">
        <f t="shared" si="74"/>
        <v>0</v>
      </c>
      <c r="I154" s="488">
        <f t="shared" si="74"/>
        <v>0</v>
      </c>
      <c r="J154" s="488">
        <f t="shared" si="74"/>
        <v>0</v>
      </c>
      <c r="K154" s="488">
        <f t="shared" si="74"/>
        <v>0</v>
      </c>
      <c r="L154" s="488">
        <f t="shared" si="74"/>
        <v>0</v>
      </c>
      <c r="M154" s="488">
        <f t="shared" si="74"/>
        <v>0</v>
      </c>
      <c r="N154" s="488">
        <f t="shared" si="74"/>
        <v>0</v>
      </c>
      <c r="O154" s="488">
        <f t="shared" si="74"/>
        <v>0</v>
      </c>
      <c r="P154" s="488">
        <f t="shared" si="74"/>
        <v>0</v>
      </c>
      <c r="Q154" s="488">
        <f t="shared" si="74"/>
        <v>0</v>
      </c>
      <c r="R154" s="488">
        <f t="shared" si="74"/>
        <v>0</v>
      </c>
      <c r="S154" s="488">
        <f t="shared" si="74"/>
        <v>0</v>
      </c>
      <c r="T154" s="488">
        <f t="shared" si="74"/>
        <v>0</v>
      </c>
      <c r="U154" s="488">
        <f t="shared" si="74"/>
        <v>0</v>
      </c>
      <c r="V154" s="488">
        <f t="shared" si="74"/>
        <v>0</v>
      </c>
      <c r="W154" s="488">
        <f t="shared" si="74"/>
        <v>0</v>
      </c>
      <c r="X154" s="488">
        <f t="shared" si="74"/>
        <v>0</v>
      </c>
      <c r="Y154" s="488">
        <f t="shared" si="74"/>
        <v>0</v>
      </c>
      <c r="Z154" s="488">
        <f t="shared" si="74"/>
        <v>0</v>
      </c>
      <c r="AA154" s="488">
        <f t="shared" si="74"/>
        <v>0</v>
      </c>
      <c r="AB154" s="488">
        <f t="shared" si="74"/>
        <v>0</v>
      </c>
      <c r="AC154" s="488">
        <f t="shared" si="74"/>
        <v>0</v>
      </c>
      <c r="AD154" s="488">
        <f t="shared" si="74"/>
        <v>0</v>
      </c>
      <c r="AE154" s="488">
        <f t="shared" si="74"/>
        <v>0</v>
      </c>
      <c r="AF154" s="488">
        <f t="shared" si="74"/>
        <v>0</v>
      </c>
      <c r="AG154" s="488">
        <f t="shared" si="74"/>
        <v>0</v>
      </c>
      <c r="AH154" s="488">
        <f t="shared" si="74"/>
        <v>0</v>
      </c>
      <c r="AI154" s="488">
        <f t="shared" si="74"/>
        <v>0</v>
      </c>
      <c r="AJ154" s="488">
        <f t="shared" si="74"/>
        <v>0</v>
      </c>
      <c r="AK154" s="488">
        <f t="shared" si="74"/>
        <v>0</v>
      </c>
      <c r="AL154" s="488">
        <f t="shared" si="74"/>
        <v>0</v>
      </c>
      <c r="AM154" s="488">
        <f t="shared" si="74"/>
        <v>0</v>
      </c>
      <c r="AN154" s="488">
        <f t="shared" si="74"/>
        <v>0</v>
      </c>
      <c r="AO154" s="136"/>
      <c r="AP154" s="1185"/>
      <c r="AQ154" s="1185"/>
    </row>
    <row r="155" spans="1:43" s="2" customFormat="1" x14ac:dyDescent="0.35">
      <c r="A155" s="1176"/>
      <c r="B155" s="1179"/>
      <c r="C155" s="1182"/>
      <c r="D155" s="482" t="s">
        <v>177</v>
      </c>
      <c r="E155" s="40"/>
      <c r="F155" s="41"/>
      <c r="G155" s="42"/>
      <c r="H155" s="42"/>
      <c r="I155" s="42"/>
      <c r="J155" s="42"/>
      <c r="K155" s="42"/>
      <c r="L155" s="42"/>
      <c r="M155" s="42"/>
      <c r="N155" s="42"/>
      <c r="O155" s="42"/>
      <c r="P155" s="1080"/>
      <c r="Q155" s="41"/>
      <c r="R155" s="42"/>
      <c r="S155" s="42"/>
      <c r="T155" s="42"/>
      <c r="U155" s="42"/>
      <c r="V155" s="42"/>
      <c r="W155" s="42"/>
      <c r="X155" s="42"/>
      <c r="Y155" s="42"/>
      <c r="Z155" s="42"/>
      <c r="AA155" s="42"/>
      <c r="AB155" s="1080"/>
      <c r="AC155" s="42"/>
      <c r="AD155" s="42"/>
      <c r="AE155" s="42"/>
      <c r="AF155" s="42"/>
      <c r="AG155" s="42"/>
      <c r="AH155" s="42"/>
      <c r="AI155" s="42"/>
      <c r="AJ155" s="42"/>
      <c r="AK155" s="42"/>
      <c r="AL155" s="42"/>
      <c r="AM155" s="42"/>
      <c r="AN155" s="42"/>
      <c r="AO155" s="65">
        <f>SUM(E155:AN155)</f>
        <v>0</v>
      </c>
      <c r="AP155" s="1185"/>
      <c r="AQ155" s="1185"/>
    </row>
    <row r="156" spans="1:43" s="2" customFormat="1" ht="15" thickBot="1" x14ac:dyDescent="0.4">
      <c r="A156" s="1177"/>
      <c r="B156" s="1180"/>
      <c r="C156" s="1183"/>
      <c r="D156" s="483" t="s">
        <v>178</v>
      </c>
      <c r="E156" s="484"/>
      <c r="F156" s="485"/>
      <c r="G156" s="486"/>
      <c r="H156" s="486"/>
      <c r="I156" s="486"/>
      <c r="J156" s="486"/>
      <c r="K156" s="486"/>
      <c r="L156" s="486"/>
      <c r="M156" s="486"/>
      <c r="N156" s="486"/>
      <c r="O156" s="486"/>
      <c r="P156" s="1081"/>
      <c r="Q156" s="485"/>
      <c r="R156" s="486"/>
      <c r="S156" s="486"/>
      <c r="T156" s="486"/>
      <c r="U156" s="486"/>
      <c r="V156" s="486"/>
      <c r="W156" s="486"/>
      <c r="X156" s="486"/>
      <c r="Y156" s="486"/>
      <c r="Z156" s="486"/>
      <c r="AA156" s="486"/>
      <c r="AB156" s="1081"/>
      <c r="AC156" s="486"/>
      <c r="AD156" s="486"/>
      <c r="AE156" s="486"/>
      <c r="AF156" s="486"/>
      <c r="AG156" s="486"/>
      <c r="AH156" s="486"/>
      <c r="AI156" s="486"/>
      <c r="AJ156" s="486"/>
      <c r="AK156" s="486"/>
      <c r="AL156" s="486"/>
      <c r="AM156" s="486"/>
      <c r="AN156" s="486"/>
      <c r="AO156" s="141"/>
      <c r="AP156" s="1186"/>
      <c r="AQ156" s="1186"/>
    </row>
    <row r="157" spans="1:43" ht="15" customHeight="1" x14ac:dyDescent="0.35">
      <c r="A157" s="1175">
        <v>23</v>
      </c>
      <c r="B157" s="1178" t="str">
        <f>IF(VLOOKUP(A:A,'Pivot Table'!Z:AD,5,FALSE)=0,"",VLOOKUP(A:A,'Pivot Table'!Z:AD,5,FALSE))</f>
        <v/>
      </c>
      <c r="C157" s="1181" t="str">
        <f>_xlfn.IFNA(VLOOKUP(A:A,'Pivot Table'!P:W,8,FALSE),"")</f>
        <v/>
      </c>
      <c r="D157" s="494" t="s">
        <v>172</v>
      </c>
      <c r="E157" s="495">
        <f>SUM(E158:E159)</f>
        <v>0</v>
      </c>
      <c r="F157" s="496">
        <f>SUM(F158:F159)</f>
        <v>0</v>
      </c>
      <c r="G157" s="496">
        <f t="shared" ref="G157:M157" si="75">SUM(G158:G159)</f>
        <v>0</v>
      </c>
      <c r="H157" s="496">
        <f t="shared" si="75"/>
        <v>0</v>
      </c>
      <c r="I157" s="496">
        <f t="shared" si="75"/>
        <v>0</v>
      </c>
      <c r="J157" s="496">
        <f t="shared" si="75"/>
        <v>0</v>
      </c>
      <c r="K157" s="496">
        <f t="shared" si="75"/>
        <v>0</v>
      </c>
      <c r="L157" s="496">
        <f t="shared" si="75"/>
        <v>0</v>
      </c>
      <c r="M157" s="496">
        <f t="shared" si="75"/>
        <v>0</v>
      </c>
      <c r="N157" s="496">
        <f>SUM(N158:N159)</f>
        <v>0</v>
      </c>
      <c r="O157" s="496">
        <f t="shared" ref="O157:AN157" si="76">SUM(O158:O159)</f>
        <v>0</v>
      </c>
      <c r="P157" s="496">
        <f t="shared" si="76"/>
        <v>0</v>
      </c>
      <c r="Q157" s="496">
        <f t="shared" si="76"/>
        <v>0</v>
      </c>
      <c r="R157" s="496">
        <f t="shared" si="76"/>
        <v>0</v>
      </c>
      <c r="S157" s="496">
        <f t="shared" si="76"/>
        <v>0</v>
      </c>
      <c r="T157" s="496">
        <f t="shared" si="76"/>
        <v>0</v>
      </c>
      <c r="U157" s="496">
        <f t="shared" si="76"/>
        <v>0</v>
      </c>
      <c r="V157" s="496">
        <f t="shared" si="76"/>
        <v>0</v>
      </c>
      <c r="W157" s="496">
        <f t="shared" si="76"/>
        <v>0</v>
      </c>
      <c r="X157" s="496">
        <f t="shared" si="76"/>
        <v>0</v>
      </c>
      <c r="Y157" s="496">
        <f t="shared" si="76"/>
        <v>0</v>
      </c>
      <c r="Z157" s="496">
        <f t="shared" si="76"/>
        <v>0</v>
      </c>
      <c r="AA157" s="496">
        <f t="shared" si="76"/>
        <v>0</v>
      </c>
      <c r="AB157" s="496">
        <f t="shared" si="76"/>
        <v>0</v>
      </c>
      <c r="AC157" s="496">
        <f t="shared" si="76"/>
        <v>0</v>
      </c>
      <c r="AD157" s="496">
        <f t="shared" si="76"/>
        <v>0</v>
      </c>
      <c r="AE157" s="496">
        <f t="shared" si="76"/>
        <v>0</v>
      </c>
      <c r="AF157" s="496">
        <f t="shared" si="76"/>
        <v>0</v>
      </c>
      <c r="AG157" s="496">
        <f t="shared" si="76"/>
        <v>0</v>
      </c>
      <c r="AH157" s="496">
        <f t="shared" si="76"/>
        <v>0</v>
      </c>
      <c r="AI157" s="496">
        <f t="shared" si="76"/>
        <v>0</v>
      </c>
      <c r="AJ157" s="496">
        <f t="shared" si="76"/>
        <v>0</v>
      </c>
      <c r="AK157" s="496">
        <f t="shared" si="76"/>
        <v>0</v>
      </c>
      <c r="AL157" s="496">
        <f t="shared" si="76"/>
        <v>0</v>
      </c>
      <c r="AM157" s="496">
        <f t="shared" si="76"/>
        <v>0</v>
      </c>
      <c r="AN157" s="496">
        <f t="shared" si="76"/>
        <v>0</v>
      </c>
      <c r="AO157" s="497"/>
      <c r="AP157" s="1184"/>
      <c r="AQ157" s="1184"/>
    </row>
    <row r="158" spans="1:43" x14ac:dyDescent="0.35">
      <c r="A158" s="1176"/>
      <c r="B158" s="1179"/>
      <c r="C158" s="1182"/>
      <c r="D158" s="479" t="s">
        <v>173</v>
      </c>
      <c r="E158" s="476"/>
      <c r="F158" s="477"/>
      <c r="G158" s="478"/>
      <c r="H158" s="478"/>
      <c r="I158" s="478"/>
      <c r="J158" s="478"/>
      <c r="K158" s="478"/>
      <c r="L158" s="478"/>
      <c r="M158" s="478"/>
      <c r="N158" s="478"/>
      <c r="O158" s="478"/>
      <c r="P158" s="1078"/>
      <c r="Q158" s="477"/>
      <c r="R158" s="478"/>
      <c r="S158" s="478"/>
      <c r="T158" s="478"/>
      <c r="U158" s="478"/>
      <c r="V158" s="478"/>
      <c r="W158" s="478"/>
      <c r="X158" s="478"/>
      <c r="Y158" s="478"/>
      <c r="Z158" s="478"/>
      <c r="AA158" s="478"/>
      <c r="AB158" s="1078"/>
      <c r="AC158" s="478"/>
      <c r="AD158" s="478"/>
      <c r="AE158" s="478"/>
      <c r="AF158" s="478"/>
      <c r="AG158" s="478"/>
      <c r="AH158" s="478"/>
      <c r="AI158" s="478"/>
      <c r="AJ158" s="478"/>
      <c r="AK158" s="478"/>
      <c r="AL158" s="478"/>
      <c r="AM158" s="478"/>
      <c r="AN158" s="478"/>
      <c r="AO158" s="65">
        <f>SUM(E158:AN158)</f>
        <v>0</v>
      </c>
      <c r="AP158" s="1185"/>
      <c r="AQ158" s="1185"/>
    </row>
    <row r="159" spans="1:43" ht="15" thickBot="1" x14ac:dyDescent="0.4">
      <c r="A159" s="1176"/>
      <c r="B159" s="1179"/>
      <c r="C159" s="1182"/>
      <c r="D159" s="480" t="s">
        <v>174</v>
      </c>
      <c r="E159" s="473"/>
      <c r="F159" s="474"/>
      <c r="G159" s="475"/>
      <c r="H159" s="475"/>
      <c r="I159" s="475"/>
      <c r="J159" s="475"/>
      <c r="K159" s="475"/>
      <c r="L159" s="475"/>
      <c r="M159" s="475"/>
      <c r="N159" s="475"/>
      <c r="O159" s="475"/>
      <c r="P159" s="1079"/>
      <c r="Q159" s="474"/>
      <c r="R159" s="475"/>
      <c r="S159" s="475"/>
      <c r="T159" s="475"/>
      <c r="U159" s="475"/>
      <c r="V159" s="475"/>
      <c r="W159" s="475"/>
      <c r="X159" s="475"/>
      <c r="Y159" s="475"/>
      <c r="Z159" s="475"/>
      <c r="AA159" s="475"/>
      <c r="AB159" s="1079"/>
      <c r="AC159" s="475"/>
      <c r="AD159" s="475"/>
      <c r="AE159" s="475"/>
      <c r="AF159" s="475"/>
      <c r="AG159" s="475"/>
      <c r="AH159" s="475"/>
      <c r="AI159" s="475"/>
      <c r="AJ159" s="475"/>
      <c r="AK159" s="475"/>
      <c r="AL159" s="475"/>
      <c r="AM159" s="475"/>
      <c r="AN159" s="475"/>
      <c r="AO159" s="65"/>
      <c r="AP159" s="1185"/>
      <c r="AQ159" s="1185"/>
    </row>
    <row r="160" spans="1:43" s="10" customFormat="1" ht="14.5" customHeight="1" thickBot="1" x14ac:dyDescent="0.4">
      <c r="A160" s="1176"/>
      <c r="B160" s="1179"/>
      <c r="C160" s="1182"/>
      <c r="D160" s="1187" t="s">
        <v>175</v>
      </c>
      <c r="E160" s="1188"/>
      <c r="F160" s="1188"/>
      <c r="G160" s="1188"/>
      <c r="H160" s="1188"/>
      <c r="I160" s="1188"/>
      <c r="J160" s="1188"/>
      <c r="K160" s="1188"/>
      <c r="L160" s="1188"/>
      <c r="M160" s="1188"/>
      <c r="N160" s="1188"/>
      <c r="O160" s="1188"/>
      <c r="P160" s="1188"/>
      <c r="Q160" s="1188"/>
      <c r="R160" s="1188"/>
      <c r="S160" s="1188"/>
      <c r="T160" s="1188"/>
      <c r="U160" s="1188"/>
      <c r="V160" s="1188"/>
      <c r="W160" s="1188"/>
      <c r="X160" s="1188"/>
      <c r="Y160" s="1188"/>
      <c r="Z160" s="1188"/>
      <c r="AA160" s="1188"/>
      <c r="AB160" s="1188"/>
      <c r="AC160" s="1188"/>
      <c r="AD160" s="1188"/>
      <c r="AE160" s="1188"/>
      <c r="AF160" s="1188"/>
      <c r="AG160" s="1188"/>
      <c r="AH160" s="1188"/>
      <c r="AI160" s="1188"/>
      <c r="AJ160" s="1188"/>
      <c r="AK160" s="1188"/>
      <c r="AL160" s="1188"/>
      <c r="AM160" s="1188"/>
      <c r="AN160" s="1188"/>
      <c r="AO160" s="349" t="e">
        <f>SUM(E162:AN162)/AO158*100%</f>
        <v>#DIV/0!</v>
      </c>
      <c r="AP160" s="1185"/>
      <c r="AQ160" s="1185"/>
    </row>
    <row r="161" spans="1:43" s="10" customFormat="1" ht="14.5" customHeight="1" x14ac:dyDescent="0.35">
      <c r="A161" s="1176"/>
      <c r="B161" s="1179"/>
      <c r="C161" s="1182"/>
      <c r="D161" s="481" t="s">
        <v>176</v>
      </c>
      <c r="E161" s="487">
        <f>SUM(E162:E163)</f>
        <v>0</v>
      </c>
      <c r="F161" s="488">
        <f>SUM(F162:F163)</f>
        <v>0</v>
      </c>
      <c r="G161" s="488">
        <f t="shared" ref="G161:AN161" si="77">SUM(G162:G163)</f>
        <v>0</v>
      </c>
      <c r="H161" s="488">
        <f t="shared" si="77"/>
        <v>0</v>
      </c>
      <c r="I161" s="488">
        <f t="shared" si="77"/>
        <v>0</v>
      </c>
      <c r="J161" s="488">
        <f t="shared" si="77"/>
        <v>0</v>
      </c>
      <c r="K161" s="488">
        <f t="shared" si="77"/>
        <v>0</v>
      </c>
      <c r="L161" s="488">
        <f t="shared" si="77"/>
        <v>0</v>
      </c>
      <c r="M161" s="488">
        <f t="shared" si="77"/>
        <v>0</v>
      </c>
      <c r="N161" s="488">
        <f t="shared" si="77"/>
        <v>0</v>
      </c>
      <c r="O161" s="488">
        <f t="shared" si="77"/>
        <v>0</v>
      </c>
      <c r="P161" s="488">
        <f t="shared" si="77"/>
        <v>0</v>
      </c>
      <c r="Q161" s="488">
        <f t="shared" si="77"/>
        <v>0</v>
      </c>
      <c r="R161" s="488">
        <f t="shared" si="77"/>
        <v>0</v>
      </c>
      <c r="S161" s="488">
        <f t="shared" si="77"/>
        <v>0</v>
      </c>
      <c r="T161" s="488">
        <f t="shared" si="77"/>
        <v>0</v>
      </c>
      <c r="U161" s="488">
        <f t="shared" si="77"/>
        <v>0</v>
      </c>
      <c r="V161" s="488">
        <f t="shared" si="77"/>
        <v>0</v>
      </c>
      <c r="W161" s="488">
        <f t="shared" si="77"/>
        <v>0</v>
      </c>
      <c r="X161" s="488">
        <f t="shared" si="77"/>
        <v>0</v>
      </c>
      <c r="Y161" s="488">
        <f t="shared" si="77"/>
        <v>0</v>
      </c>
      <c r="Z161" s="488">
        <f t="shared" si="77"/>
        <v>0</v>
      </c>
      <c r="AA161" s="488">
        <f t="shared" si="77"/>
        <v>0</v>
      </c>
      <c r="AB161" s="488">
        <f t="shared" si="77"/>
        <v>0</v>
      </c>
      <c r="AC161" s="488">
        <f t="shared" si="77"/>
        <v>0</v>
      </c>
      <c r="AD161" s="488">
        <f t="shared" si="77"/>
        <v>0</v>
      </c>
      <c r="AE161" s="488">
        <f t="shared" si="77"/>
        <v>0</v>
      </c>
      <c r="AF161" s="488">
        <f t="shared" si="77"/>
        <v>0</v>
      </c>
      <c r="AG161" s="488">
        <f t="shared" si="77"/>
        <v>0</v>
      </c>
      <c r="AH161" s="488">
        <f t="shared" si="77"/>
        <v>0</v>
      </c>
      <c r="AI161" s="488">
        <f t="shared" si="77"/>
        <v>0</v>
      </c>
      <c r="AJ161" s="488">
        <f t="shared" si="77"/>
        <v>0</v>
      </c>
      <c r="AK161" s="488">
        <f t="shared" si="77"/>
        <v>0</v>
      </c>
      <c r="AL161" s="488">
        <f t="shared" si="77"/>
        <v>0</v>
      </c>
      <c r="AM161" s="488">
        <f t="shared" si="77"/>
        <v>0</v>
      </c>
      <c r="AN161" s="488">
        <f t="shared" si="77"/>
        <v>0</v>
      </c>
      <c r="AO161" s="136"/>
      <c r="AP161" s="1185"/>
      <c r="AQ161" s="1185"/>
    </row>
    <row r="162" spans="1:43" s="2" customFormat="1" x14ac:dyDescent="0.35">
      <c r="A162" s="1176"/>
      <c r="B162" s="1179"/>
      <c r="C162" s="1182"/>
      <c r="D162" s="482" t="s">
        <v>177</v>
      </c>
      <c r="E162" s="40"/>
      <c r="F162" s="41"/>
      <c r="G162" s="42"/>
      <c r="H162" s="42"/>
      <c r="I162" s="42"/>
      <c r="J162" s="42"/>
      <c r="K162" s="42"/>
      <c r="L162" s="42"/>
      <c r="M162" s="42"/>
      <c r="N162" s="42"/>
      <c r="O162" s="42"/>
      <c r="P162" s="1080"/>
      <c r="Q162" s="41"/>
      <c r="R162" s="42"/>
      <c r="S162" s="42"/>
      <c r="T162" s="42"/>
      <c r="U162" s="42"/>
      <c r="V162" s="42"/>
      <c r="W162" s="42"/>
      <c r="X162" s="42"/>
      <c r="Y162" s="42"/>
      <c r="Z162" s="42"/>
      <c r="AA162" s="42"/>
      <c r="AB162" s="1080"/>
      <c r="AC162" s="42"/>
      <c r="AD162" s="42"/>
      <c r="AE162" s="42"/>
      <c r="AF162" s="42"/>
      <c r="AG162" s="42"/>
      <c r="AH162" s="42"/>
      <c r="AI162" s="42"/>
      <c r="AJ162" s="42"/>
      <c r="AK162" s="42"/>
      <c r="AL162" s="42"/>
      <c r="AM162" s="42"/>
      <c r="AN162" s="42"/>
      <c r="AO162" s="65">
        <f>SUM(E162:AN162)</f>
        <v>0</v>
      </c>
      <c r="AP162" s="1185"/>
      <c r="AQ162" s="1185"/>
    </row>
    <row r="163" spans="1:43" s="2" customFormat="1" ht="15" thickBot="1" x14ac:dyDescent="0.4">
      <c r="A163" s="1177"/>
      <c r="B163" s="1180"/>
      <c r="C163" s="1183"/>
      <c r="D163" s="483" t="s">
        <v>178</v>
      </c>
      <c r="E163" s="484"/>
      <c r="F163" s="485"/>
      <c r="G163" s="486"/>
      <c r="H163" s="486"/>
      <c r="I163" s="486"/>
      <c r="J163" s="486"/>
      <c r="K163" s="486"/>
      <c r="L163" s="486"/>
      <c r="M163" s="486"/>
      <c r="N163" s="486"/>
      <c r="O163" s="486"/>
      <c r="P163" s="1081"/>
      <c r="Q163" s="485"/>
      <c r="R163" s="486"/>
      <c r="S163" s="486"/>
      <c r="T163" s="486"/>
      <c r="U163" s="486"/>
      <c r="V163" s="486"/>
      <c r="W163" s="486"/>
      <c r="X163" s="486"/>
      <c r="Y163" s="486"/>
      <c r="Z163" s="486"/>
      <c r="AA163" s="486"/>
      <c r="AB163" s="1081"/>
      <c r="AC163" s="486"/>
      <c r="AD163" s="486"/>
      <c r="AE163" s="486"/>
      <c r="AF163" s="486"/>
      <c r="AG163" s="486"/>
      <c r="AH163" s="486"/>
      <c r="AI163" s="486"/>
      <c r="AJ163" s="486"/>
      <c r="AK163" s="486"/>
      <c r="AL163" s="486"/>
      <c r="AM163" s="486"/>
      <c r="AN163" s="486"/>
      <c r="AO163" s="141"/>
      <c r="AP163" s="1186"/>
      <c r="AQ163" s="1186"/>
    </row>
    <row r="164" spans="1:43" ht="15" customHeight="1" x14ac:dyDescent="0.35">
      <c r="A164" s="1175">
        <v>24</v>
      </c>
      <c r="B164" s="1178" t="str">
        <f>IF(VLOOKUP(A:A,'Pivot Table'!Z:AD,5,FALSE)=0,"",VLOOKUP(A:A,'Pivot Table'!Z:AD,5,FALSE))</f>
        <v/>
      </c>
      <c r="C164" s="1181" t="str">
        <f>_xlfn.IFNA(VLOOKUP(A:A,'Pivot Table'!P:W,8,FALSE),"")</f>
        <v/>
      </c>
      <c r="D164" s="494" t="s">
        <v>172</v>
      </c>
      <c r="E164" s="495">
        <f>SUM(E165:E166)</f>
        <v>0</v>
      </c>
      <c r="F164" s="496">
        <f>SUM(F165:F166)</f>
        <v>0</v>
      </c>
      <c r="G164" s="496">
        <f t="shared" ref="G164:M164" si="78">SUM(G165:G166)</f>
        <v>0</v>
      </c>
      <c r="H164" s="496">
        <f t="shared" si="78"/>
        <v>0</v>
      </c>
      <c r="I164" s="496">
        <f t="shared" si="78"/>
        <v>0</v>
      </c>
      <c r="J164" s="496">
        <f t="shared" si="78"/>
        <v>0</v>
      </c>
      <c r="K164" s="496">
        <f t="shared" si="78"/>
        <v>0</v>
      </c>
      <c r="L164" s="496">
        <f t="shared" si="78"/>
        <v>0</v>
      </c>
      <c r="M164" s="496">
        <f t="shared" si="78"/>
        <v>0</v>
      </c>
      <c r="N164" s="496">
        <f>SUM(N165:N166)</f>
        <v>0</v>
      </c>
      <c r="O164" s="496">
        <f t="shared" ref="O164:AN164" si="79">SUM(O165:O166)</f>
        <v>0</v>
      </c>
      <c r="P164" s="496">
        <f t="shared" si="79"/>
        <v>0</v>
      </c>
      <c r="Q164" s="496">
        <f t="shared" si="79"/>
        <v>0</v>
      </c>
      <c r="R164" s="496">
        <f t="shared" si="79"/>
        <v>0</v>
      </c>
      <c r="S164" s="496">
        <f t="shared" si="79"/>
        <v>0</v>
      </c>
      <c r="T164" s="496">
        <f t="shared" si="79"/>
        <v>0</v>
      </c>
      <c r="U164" s="496">
        <f t="shared" si="79"/>
        <v>0</v>
      </c>
      <c r="V164" s="496">
        <f t="shared" si="79"/>
        <v>0</v>
      </c>
      <c r="W164" s="496">
        <f t="shared" si="79"/>
        <v>0</v>
      </c>
      <c r="X164" s="496">
        <f t="shared" si="79"/>
        <v>0</v>
      </c>
      <c r="Y164" s="496">
        <f t="shared" si="79"/>
        <v>0</v>
      </c>
      <c r="Z164" s="496">
        <f t="shared" si="79"/>
        <v>0</v>
      </c>
      <c r="AA164" s="496">
        <f t="shared" si="79"/>
        <v>0</v>
      </c>
      <c r="AB164" s="496">
        <f t="shared" si="79"/>
        <v>0</v>
      </c>
      <c r="AC164" s="496">
        <f t="shared" si="79"/>
        <v>0</v>
      </c>
      <c r="AD164" s="496">
        <f t="shared" si="79"/>
        <v>0</v>
      </c>
      <c r="AE164" s="496">
        <f t="shared" si="79"/>
        <v>0</v>
      </c>
      <c r="AF164" s="496">
        <f t="shared" si="79"/>
        <v>0</v>
      </c>
      <c r="AG164" s="496">
        <f t="shared" si="79"/>
        <v>0</v>
      </c>
      <c r="AH164" s="496">
        <f t="shared" si="79"/>
        <v>0</v>
      </c>
      <c r="AI164" s="496">
        <f t="shared" si="79"/>
        <v>0</v>
      </c>
      <c r="AJ164" s="496">
        <f t="shared" si="79"/>
        <v>0</v>
      </c>
      <c r="AK164" s="496">
        <f t="shared" si="79"/>
        <v>0</v>
      </c>
      <c r="AL164" s="496">
        <f t="shared" si="79"/>
        <v>0</v>
      </c>
      <c r="AM164" s="496">
        <f t="shared" si="79"/>
        <v>0</v>
      </c>
      <c r="AN164" s="496">
        <f t="shared" si="79"/>
        <v>0</v>
      </c>
      <c r="AO164" s="497"/>
      <c r="AP164" s="1184"/>
      <c r="AQ164" s="1184"/>
    </row>
    <row r="165" spans="1:43" x14ac:dyDescent="0.35">
      <c r="A165" s="1176"/>
      <c r="B165" s="1179"/>
      <c r="C165" s="1182"/>
      <c r="D165" s="479" t="s">
        <v>173</v>
      </c>
      <c r="E165" s="476"/>
      <c r="F165" s="477"/>
      <c r="G165" s="478"/>
      <c r="H165" s="478"/>
      <c r="I165" s="478"/>
      <c r="J165" s="478"/>
      <c r="K165" s="478"/>
      <c r="L165" s="478"/>
      <c r="M165" s="478"/>
      <c r="N165" s="478"/>
      <c r="O165" s="478"/>
      <c r="P165" s="1078"/>
      <c r="Q165" s="477"/>
      <c r="R165" s="478"/>
      <c r="S165" s="478"/>
      <c r="T165" s="478"/>
      <c r="U165" s="478"/>
      <c r="V165" s="478"/>
      <c r="W165" s="478"/>
      <c r="X165" s="478"/>
      <c r="Y165" s="478"/>
      <c r="Z165" s="478"/>
      <c r="AA165" s="478"/>
      <c r="AB165" s="1078"/>
      <c r="AC165" s="478"/>
      <c r="AD165" s="478"/>
      <c r="AE165" s="478"/>
      <c r="AF165" s="478"/>
      <c r="AG165" s="478"/>
      <c r="AH165" s="478"/>
      <c r="AI165" s="478"/>
      <c r="AJ165" s="478"/>
      <c r="AK165" s="478"/>
      <c r="AL165" s="478"/>
      <c r="AM165" s="478"/>
      <c r="AN165" s="478"/>
      <c r="AO165" s="65">
        <f>SUM(E165:AN165)</f>
        <v>0</v>
      </c>
      <c r="AP165" s="1185"/>
      <c r="AQ165" s="1185"/>
    </row>
    <row r="166" spans="1:43" ht="15" thickBot="1" x14ac:dyDescent="0.4">
      <c r="A166" s="1176"/>
      <c r="B166" s="1179"/>
      <c r="C166" s="1182"/>
      <c r="D166" s="480" t="s">
        <v>174</v>
      </c>
      <c r="E166" s="473"/>
      <c r="F166" s="474"/>
      <c r="G166" s="475"/>
      <c r="H166" s="475"/>
      <c r="I166" s="475"/>
      <c r="J166" s="475"/>
      <c r="K166" s="475"/>
      <c r="L166" s="475"/>
      <c r="M166" s="475"/>
      <c r="N166" s="475"/>
      <c r="O166" s="475"/>
      <c r="P166" s="1079"/>
      <c r="Q166" s="474"/>
      <c r="R166" s="475"/>
      <c r="S166" s="475"/>
      <c r="T166" s="475"/>
      <c r="U166" s="475"/>
      <c r="V166" s="475"/>
      <c r="W166" s="475"/>
      <c r="X166" s="475"/>
      <c r="Y166" s="475"/>
      <c r="Z166" s="475"/>
      <c r="AA166" s="475"/>
      <c r="AB166" s="1079"/>
      <c r="AC166" s="475"/>
      <c r="AD166" s="475"/>
      <c r="AE166" s="475"/>
      <c r="AF166" s="475"/>
      <c r="AG166" s="475"/>
      <c r="AH166" s="475"/>
      <c r="AI166" s="475"/>
      <c r="AJ166" s="475"/>
      <c r="AK166" s="475"/>
      <c r="AL166" s="475"/>
      <c r="AM166" s="475"/>
      <c r="AN166" s="475"/>
      <c r="AO166" s="65"/>
      <c r="AP166" s="1185"/>
      <c r="AQ166" s="1185"/>
    </row>
    <row r="167" spans="1:43" s="10" customFormat="1" ht="14.5" customHeight="1" thickBot="1" x14ac:dyDescent="0.4">
      <c r="A167" s="1176"/>
      <c r="B167" s="1179"/>
      <c r="C167" s="1182"/>
      <c r="D167" s="1187" t="s">
        <v>175</v>
      </c>
      <c r="E167" s="1188"/>
      <c r="F167" s="1188"/>
      <c r="G167" s="1188"/>
      <c r="H167" s="1188"/>
      <c r="I167" s="1188"/>
      <c r="J167" s="1188"/>
      <c r="K167" s="1188"/>
      <c r="L167" s="1188"/>
      <c r="M167" s="1188"/>
      <c r="N167" s="1188"/>
      <c r="O167" s="1188"/>
      <c r="P167" s="1188"/>
      <c r="Q167" s="1188"/>
      <c r="R167" s="1188"/>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88"/>
      <c r="AM167" s="1188"/>
      <c r="AN167" s="1188"/>
      <c r="AO167" s="349" t="e">
        <f>SUM(E169:AN169)/AO165*100%</f>
        <v>#DIV/0!</v>
      </c>
      <c r="AP167" s="1185"/>
      <c r="AQ167" s="1185"/>
    </row>
    <row r="168" spans="1:43" s="10" customFormat="1" ht="14.5" customHeight="1" x14ac:dyDescent="0.35">
      <c r="A168" s="1176"/>
      <c r="B168" s="1179"/>
      <c r="C168" s="1182"/>
      <c r="D168" s="481" t="s">
        <v>176</v>
      </c>
      <c r="E168" s="487">
        <f>SUM(E169:E170)</f>
        <v>0</v>
      </c>
      <c r="F168" s="488">
        <f>SUM(F169:F170)</f>
        <v>0</v>
      </c>
      <c r="G168" s="488">
        <f t="shared" ref="G168:AN168" si="80">SUM(G169:G170)</f>
        <v>0</v>
      </c>
      <c r="H168" s="488">
        <f t="shared" si="80"/>
        <v>0</v>
      </c>
      <c r="I168" s="488">
        <f t="shared" si="80"/>
        <v>0</v>
      </c>
      <c r="J168" s="488">
        <f t="shared" si="80"/>
        <v>0</v>
      </c>
      <c r="K168" s="488">
        <f t="shared" si="80"/>
        <v>0</v>
      </c>
      <c r="L168" s="488">
        <f t="shared" si="80"/>
        <v>0</v>
      </c>
      <c r="M168" s="488">
        <f t="shared" si="80"/>
        <v>0</v>
      </c>
      <c r="N168" s="488">
        <f t="shared" si="80"/>
        <v>0</v>
      </c>
      <c r="O168" s="488">
        <f t="shared" si="80"/>
        <v>0</v>
      </c>
      <c r="P168" s="488">
        <f t="shared" si="80"/>
        <v>0</v>
      </c>
      <c r="Q168" s="488">
        <f t="shared" si="80"/>
        <v>0</v>
      </c>
      <c r="R168" s="488">
        <f t="shared" si="80"/>
        <v>0</v>
      </c>
      <c r="S168" s="488">
        <f t="shared" si="80"/>
        <v>0</v>
      </c>
      <c r="T168" s="488">
        <f t="shared" si="80"/>
        <v>0</v>
      </c>
      <c r="U168" s="488">
        <f t="shared" si="80"/>
        <v>0</v>
      </c>
      <c r="V168" s="488">
        <f t="shared" si="80"/>
        <v>0</v>
      </c>
      <c r="W168" s="488">
        <f t="shared" si="80"/>
        <v>0</v>
      </c>
      <c r="X168" s="488">
        <f t="shared" si="80"/>
        <v>0</v>
      </c>
      <c r="Y168" s="488">
        <f t="shared" si="80"/>
        <v>0</v>
      </c>
      <c r="Z168" s="488">
        <f t="shared" si="80"/>
        <v>0</v>
      </c>
      <c r="AA168" s="488">
        <f t="shared" si="80"/>
        <v>0</v>
      </c>
      <c r="AB168" s="488">
        <f t="shared" si="80"/>
        <v>0</v>
      </c>
      <c r="AC168" s="488">
        <f t="shared" si="80"/>
        <v>0</v>
      </c>
      <c r="AD168" s="488">
        <f t="shared" si="80"/>
        <v>0</v>
      </c>
      <c r="AE168" s="488">
        <f t="shared" si="80"/>
        <v>0</v>
      </c>
      <c r="AF168" s="488">
        <f t="shared" si="80"/>
        <v>0</v>
      </c>
      <c r="AG168" s="488">
        <f t="shared" si="80"/>
        <v>0</v>
      </c>
      <c r="AH168" s="488">
        <f t="shared" si="80"/>
        <v>0</v>
      </c>
      <c r="AI168" s="488">
        <f t="shared" si="80"/>
        <v>0</v>
      </c>
      <c r="AJ168" s="488">
        <f t="shared" si="80"/>
        <v>0</v>
      </c>
      <c r="AK168" s="488">
        <f t="shared" si="80"/>
        <v>0</v>
      </c>
      <c r="AL168" s="488">
        <f t="shared" si="80"/>
        <v>0</v>
      </c>
      <c r="AM168" s="488">
        <f t="shared" si="80"/>
        <v>0</v>
      </c>
      <c r="AN168" s="488">
        <f t="shared" si="80"/>
        <v>0</v>
      </c>
      <c r="AO168" s="136"/>
      <c r="AP168" s="1185"/>
      <c r="AQ168" s="1185"/>
    </row>
    <row r="169" spans="1:43" s="2" customFormat="1" x14ac:dyDescent="0.35">
      <c r="A169" s="1176"/>
      <c r="B169" s="1179"/>
      <c r="C169" s="1182"/>
      <c r="D169" s="482" t="s">
        <v>177</v>
      </c>
      <c r="E169" s="40"/>
      <c r="F169" s="41"/>
      <c r="G169" s="42"/>
      <c r="H169" s="42"/>
      <c r="I169" s="42"/>
      <c r="J169" s="42"/>
      <c r="K169" s="42"/>
      <c r="L169" s="42"/>
      <c r="M169" s="42"/>
      <c r="N169" s="42"/>
      <c r="O169" s="42"/>
      <c r="P169" s="1080"/>
      <c r="Q169" s="41"/>
      <c r="R169" s="42"/>
      <c r="S169" s="42"/>
      <c r="T169" s="42"/>
      <c r="U169" s="42"/>
      <c r="V169" s="42"/>
      <c r="W169" s="42"/>
      <c r="X169" s="42"/>
      <c r="Y169" s="42"/>
      <c r="Z169" s="42"/>
      <c r="AA169" s="42"/>
      <c r="AB169" s="1080"/>
      <c r="AC169" s="42"/>
      <c r="AD169" s="42"/>
      <c r="AE169" s="42"/>
      <c r="AF169" s="42"/>
      <c r="AG169" s="42"/>
      <c r="AH169" s="42"/>
      <c r="AI169" s="42"/>
      <c r="AJ169" s="42"/>
      <c r="AK169" s="42"/>
      <c r="AL169" s="42"/>
      <c r="AM169" s="42"/>
      <c r="AN169" s="42"/>
      <c r="AO169" s="65">
        <f>SUM(E169:AN169)</f>
        <v>0</v>
      </c>
      <c r="AP169" s="1185"/>
      <c r="AQ169" s="1185"/>
    </row>
    <row r="170" spans="1:43" s="2" customFormat="1" ht="15" thickBot="1" x14ac:dyDescent="0.4">
      <c r="A170" s="1177"/>
      <c r="B170" s="1180"/>
      <c r="C170" s="1183"/>
      <c r="D170" s="483" t="s">
        <v>178</v>
      </c>
      <c r="E170" s="484"/>
      <c r="F170" s="485"/>
      <c r="G170" s="486"/>
      <c r="H170" s="486"/>
      <c r="I170" s="486"/>
      <c r="J170" s="486"/>
      <c r="K170" s="486"/>
      <c r="L170" s="486"/>
      <c r="M170" s="486"/>
      <c r="N170" s="486"/>
      <c r="O170" s="486"/>
      <c r="P170" s="1081"/>
      <c r="Q170" s="485"/>
      <c r="R170" s="486"/>
      <c r="S170" s="486"/>
      <c r="T170" s="486"/>
      <c r="U170" s="486"/>
      <c r="V170" s="486"/>
      <c r="W170" s="486"/>
      <c r="X170" s="486"/>
      <c r="Y170" s="486"/>
      <c r="Z170" s="486"/>
      <c r="AA170" s="486"/>
      <c r="AB170" s="1081"/>
      <c r="AC170" s="486"/>
      <c r="AD170" s="486"/>
      <c r="AE170" s="486"/>
      <c r="AF170" s="486"/>
      <c r="AG170" s="486"/>
      <c r="AH170" s="486"/>
      <c r="AI170" s="486"/>
      <c r="AJ170" s="486"/>
      <c r="AK170" s="486"/>
      <c r="AL170" s="486"/>
      <c r="AM170" s="486"/>
      <c r="AN170" s="486"/>
      <c r="AO170" s="141"/>
      <c r="AP170" s="1186"/>
      <c r="AQ170" s="1186"/>
    </row>
    <row r="171" spans="1:43" ht="15" customHeight="1" x14ac:dyDescent="0.35">
      <c r="A171" s="1175">
        <v>25</v>
      </c>
      <c r="B171" s="1178" t="str">
        <f>IF(VLOOKUP(A:A,'Pivot Table'!Z:AD,5,FALSE)=0,"",VLOOKUP(A:A,'Pivot Table'!Z:AD,5,FALSE))</f>
        <v/>
      </c>
      <c r="C171" s="1181" t="str">
        <f>_xlfn.IFNA(VLOOKUP(A:A,'Pivot Table'!P:W,8,FALSE),"")</f>
        <v/>
      </c>
      <c r="D171" s="494" t="s">
        <v>172</v>
      </c>
      <c r="E171" s="495">
        <f>SUM(E172:E173)</f>
        <v>0</v>
      </c>
      <c r="F171" s="496">
        <f>SUM(F172:F173)</f>
        <v>0</v>
      </c>
      <c r="G171" s="496">
        <f t="shared" ref="G171:M171" si="81">SUM(G172:G173)</f>
        <v>0</v>
      </c>
      <c r="H171" s="496">
        <f t="shared" si="81"/>
        <v>0</v>
      </c>
      <c r="I171" s="496">
        <f t="shared" si="81"/>
        <v>0</v>
      </c>
      <c r="J171" s="496">
        <f t="shared" si="81"/>
        <v>0</v>
      </c>
      <c r="K171" s="496">
        <f t="shared" si="81"/>
        <v>0</v>
      </c>
      <c r="L171" s="496">
        <f t="shared" si="81"/>
        <v>0</v>
      </c>
      <c r="M171" s="496">
        <f t="shared" si="81"/>
        <v>0</v>
      </c>
      <c r="N171" s="496">
        <f>SUM(N172:N173)</f>
        <v>0</v>
      </c>
      <c r="O171" s="496">
        <f t="shared" ref="O171:AN171" si="82">SUM(O172:O173)</f>
        <v>0</v>
      </c>
      <c r="P171" s="496">
        <f t="shared" si="82"/>
        <v>0</v>
      </c>
      <c r="Q171" s="496">
        <f t="shared" si="82"/>
        <v>0</v>
      </c>
      <c r="R171" s="496">
        <f t="shared" si="82"/>
        <v>0</v>
      </c>
      <c r="S171" s="496">
        <f t="shared" si="82"/>
        <v>0</v>
      </c>
      <c r="T171" s="496">
        <f t="shared" si="82"/>
        <v>0</v>
      </c>
      <c r="U171" s="496">
        <f t="shared" si="82"/>
        <v>0</v>
      </c>
      <c r="V171" s="496">
        <f t="shared" si="82"/>
        <v>0</v>
      </c>
      <c r="W171" s="496">
        <f t="shared" si="82"/>
        <v>0</v>
      </c>
      <c r="X171" s="496">
        <f t="shared" si="82"/>
        <v>0</v>
      </c>
      <c r="Y171" s="496">
        <f t="shared" si="82"/>
        <v>0</v>
      </c>
      <c r="Z171" s="496">
        <f t="shared" si="82"/>
        <v>0</v>
      </c>
      <c r="AA171" s="496">
        <f t="shared" si="82"/>
        <v>0</v>
      </c>
      <c r="AB171" s="496">
        <f t="shared" si="82"/>
        <v>0</v>
      </c>
      <c r="AC171" s="496">
        <f t="shared" si="82"/>
        <v>0</v>
      </c>
      <c r="AD171" s="496">
        <f t="shared" si="82"/>
        <v>0</v>
      </c>
      <c r="AE171" s="496">
        <f t="shared" si="82"/>
        <v>0</v>
      </c>
      <c r="AF171" s="496">
        <f t="shared" si="82"/>
        <v>0</v>
      </c>
      <c r="AG171" s="496">
        <f t="shared" si="82"/>
        <v>0</v>
      </c>
      <c r="AH171" s="496">
        <f t="shared" si="82"/>
        <v>0</v>
      </c>
      <c r="AI171" s="496">
        <f t="shared" si="82"/>
        <v>0</v>
      </c>
      <c r="AJ171" s="496">
        <f t="shared" si="82"/>
        <v>0</v>
      </c>
      <c r="AK171" s="496">
        <f t="shared" si="82"/>
        <v>0</v>
      </c>
      <c r="AL171" s="496">
        <f t="shared" si="82"/>
        <v>0</v>
      </c>
      <c r="AM171" s="496">
        <f t="shared" si="82"/>
        <v>0</v>
      </c>
      <c r="AN171" s="496">
        <f t="shared" si="82"/>
        <v>0</v>
      </c>
      <c r="AO171" s="497"/>
      <c r="AP171" s="1184"/>
      <c r="AQ171" s="1184"/>
    </row>
    <row r="172" spans="1:43" x14ac:dyDescent="0.35">
      <c r="A172" s="1176"/>
      <c r="B172" s="1179"/>
      <c r="C172" s="1182"/>
      <c r="D172" s="479" t="s">
        <v>173</v>
      </c>
      <c r="E172" s="476"/>
      <c r="F172" s="477"/>
      <c r="G172" s="478"/>
      <c r="H172" s="478"/>
      <c r="I172" s="478"/>
      <c r="J172" s="478"/>
      <c r="K172" s="478"/>
      <c r="L172" s="478"/>
      <c r="M172" s="478"/>
      <c r="N172" s="478"/>
      <c r="O172" s="478"/>
      <c r="P172" s="1078"/>
      <c r="Q172" s="477"/>
      <c r="R172" s="478"/>
      <c r="S172" s="478"/>
      <c r="T172" s="478"/>
      <c r="U172" s="478"/>
      <c r="V172" s="478"/>
      <c r="W172" s="478"/>
      <c r="X172" s="478"/>
      <c r="Y172" s="478"/>
      <c r="Z172" s="478"/>
      <c r="AA172" s="478"/>
      <c r="AB172" s="1078"/>
      <c r="AC172" s="478"/>
      <c r="AD172" s="478"/>
      <c r="AE172" s="478"/>
      <c r="AF172" s="478"/>
      <c r="AG172" s="478"/>
      <c r="AH172" s="478"/>
      <c r="AI172" s="478"/>
      <c r="AJ172" s="478"/>
      <c r="AK172" s="478"/>
      <c r="AL172" s="478"/>
      <c r="AM172" s="478"/>
      <c r="AN172" s="478"/>
      <c r="AO172" s="65">
        <f>SUM(E172:AN172)</f>
        <v>0</v>
      </c>
      <c r="AP172" s="1185"/>
      <c r="AQ172" s="1185"/>
    </row>
    <row r="173" spans="1:43" ht="15" thickBot="1" x14ac:dyDescent="0.4">
      <c r="A173" s="1176"/>
      <c r="B173" s="1179"/>
      <c r="C173" s="1182"/>
      <c r="D173" s="480" t="s">
        <v>174</v>
      </c>
      <c r="E173" s="473"/>
      <c r="F173" s="474"/>
      <c r="G173" s="475"/>
      <c r="H173" s="475"/>
      <c r="I173" s="475"/>
      <c r="J173" s="475"/>
      <c r="K173" s="475"/>
      <c r="L173" s="475"/>
      <c r="M173" s="475"/>
      <c r="N173" s="475"/>
      <c r="O173" s="475"/>
      <c r="P173" s="1079"/>
      <c r="Q173" s="474"/>
      <c r="R173" s="475"/>
      <c r="S173" s="475"/>
      <c r="T173" s="475"/>
      <c r="U173" s="475"/>
      <c r="V173" s="475"/>
      <c r="W173" s="475"/>
      <c r="X173" s="475"/>
      <c r="Y173" s="475"/>
      <c r="Z173" s="475"/>
      <c r="AA173" s="475"/>
      <c r="AB173" s="1079"/>
      <c r="AC173" s="475"/>
      <c r="AD173" s="475"/>
      <c r="AE173" s="475"/>
      <c r="AF173" s="475"/>
      <c r="AG173" s="475"/>
      <c r="AH173" s="475"/>
      <c r="AI173" s="475"/>
      <c r="AJ173" s="475"/>
      <c r="AK173" s="475"/>
      <c r="AL173" s="475"/>
      <c r="AM173" s="475"/>
      <c r="AN173" s="475"/>
      <c r="AO173" s="65"/>
      <c r="AP173" s="1185"/>
      <c r="AQ173" s="1185"/>
    </row>
    <row r="174" spans="1:43" s="10" customFormat="1" ht="14.5" customHeight="1" thickBot="1" x14ac:dyDescent="0.4">
      <c r="A174" s="1176"/>
      <c r="B174" s="1179"/>
      <c r="C174" s="1182"/>
      <c r="D174" s="1187" t="s">
        <v>175</v>
      </c>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88"/>
      <c r="AM174" s="1188"/>
      <c r="AN174" s="1188"/>
      <c r="AO174" s="349" t="e">
        <f>SUM(E176:AN176)/AO172*100%</f>
        <v>#DIV/0!</v>
      </c>
      <c r="AP174" s="1185"/>
      <c r="AQ174" s="1185"/>
    </row>
    <row r="175" spans="1:43" s="10" customFormat="1" ht="14.5" customHeight="1" x14ac:dyDescent="0.35">
      <c r="A175" s="1176"/>
      <c r="B175" s="1179"/>
      <c r="C175" s="1182"/>
      <c r="D175" s="481" t="s">
        <v>176</v>
      </c>
      <c r="E175" s="487">
        <f>SUM(E176:E177)</f>
        <v>0</v>
      </c>
      <c r="F175" s="488">
        <f>SUM(F176:F177)</f>
        <v>0</v>
      </c>
      <c r="G175" s="488">
        <f t="shared" ref="G175:AN175" si="83">SUM(G176:G177)</f>
        <v>0</v>
      </c>
      <c r="H175" s="488">
        <f t="shared" si="83"/>
        <v>0</v>
      </c>
      <c r="I175" s="488">
        <f t="shared" si="83"/>
        <v>0</v>
      </c>
      <c r="J175" s="488">
        <f t="shared" si="83"/>
        <v>0</v>
      </c>
      <c r="K175" s="488">
        <f t="shared" si="83"/>
        <v>0</v>
      </c>
      <c r="L175" s="488">
        <f t="shared" si="83"/>
        <v>0</v>
      </c>
      <c r="M175" s="488">
        <f t="shared" si="83"/>
        <v>0</v>
      </c>
      <c r="N175" s="488">
        <f t="shared" si="83"/>
        <v>0</v>
      </c>
      <c r="O175" s="488">
        <f t="shared" si="83"/>
        <v>0</v>
      </c>
      <c r="P175" s="488">
        <f t="shared" si="83"/>
        <v>0</v>
      </c>
      <c r="Q175" s="488">
        <f t="shared" si="83"/>
        <v>0</v>
      </c>
      <c r="R175" s="488">
        <f t="shared" si="83"/>
        <v>0</v>
      </c>
      <c r="S175" s="488">
        <f t="shared" si="83"/>
        <v>0</v>
      </c>
      <c r="T175" s="488">
        <f t="shared" si="83"/>
        <v>0</v>
      </c>
      <c r="U175" s="488">
        <f t="shared" si="83"/>
        <v>0</v>
      </c>
      <c r="V175" s="488">
        <f t="shared" si="83"/>
        <v>0</v>
      </c>
      <c r="W175" s="488">
        <f t="shared" si="83"/>
        <v>0</v>
      </c>
      <c r="X175" s="488">
        <f t="shared" si="83"/>
        <v>0</v>
      </c>
      <c r="Y175" s="488">
        <f t="shared" si="83"/>
        <v>0</v>
      </c>
      <c r="Z175" s="488">
        <f t="shared" si="83"/>
        <v>0</v>
      </c>
      <c r="AA175" s="488">
        <f t="shared" si="83"/>
        <v>0</v>
      </c>
      <c r="AB175" s="488">
        <f t="shared" si="83"/>
        <v>0</v>
      </c>
      <c r="AC175" s="488">
        <f t="shared" si="83"/>
        <v>0</v>
      </c>
      <c r="AD175" s="488">
        <f t="shared" si="83"/>
        <v>0</v>
      </c>
      <c r="AE175" s="488">
        <f t="shared" si="83"/>
        <v>0</v>
      </c>
      <c r="AF175" s="488">
        <f t="shared" si="83"/>
        <v>0</v>
      </c>
      <c r="AG175" s="488">
        <f t="shared" si="83"/>
        <v>0</v>
      </c>
      <c r="AH175" s="488">
        <f t="shared" si="83"/>
        <v>0</v>
      </c>
      <c r="AI175" s="488">
        <f t="shared" si="83"/>
        <v>0</v>
      </c>
      <c r="AJ175" s="488">
        <f t="shared" si="83"/>
        <v>0</v>
      </c>
      <c r="AK175" s="488">
        <f t="shared" si="83"/>
        <v>0</v>
      </c>
      <c r="AL175" s="488">
        <f t="shared" si="83"/>
        <v>0</v>
      </c>
      <c r="AM175" s="488">
        <f t="shared" si="83"/>
        <v>0</v>
      </c>
      <c r="AN175" s="488">
        <f t="shared" si="83"/>
        <v>0</v>
      </c>
      <c r="AO175" s="136"/>
      <c r="AP175" s="1185"/>
      <c r="AQ175" s="1185"/>
    </row>
    <row r="176" spans="1:43" s="2" customFormat="1" x14ac:dyDescent="0.35">
      <c r="A176" s="1176"/>
      <c r="B176" s="1179"/>
      <c r="C176" s="1182"/>
      <c r="D176" s="482" t="s">
        <v>177</v>
      </c>
      <c r="E176" s="40"/>
      <c r="F176" s="41"/>
      <c r="G176" s="42"/>
      <c r="H176" s="42"/>
      <c r="I176" s="42"/>
      <c r="J176" s="42"/>
      <c r="K176" s="42"/>
      <c r="L176" s="42"/>
      <c r="M176" s="42"/>
      <c r="N176" s="42"/>
      <c r="O176" s="42"/>
      <c r="P176" s="1080"/>
      <c r="Q176" s="41"/>
      <c r="R176" s="42"/>
      <c r="S176" s="42"/>
      <c r="T176" s="42"/>
      <c r="U176" s="42"/>
      <c r="V176" s="42"/>
      <c r="W176" s="42"/>
      <c r="X176" s="42"/>
      <c r="Y176" s="42"/>
      <c r="Z176" s="42"/>
      <c r="AA176" s="42"/>
      <c r="AB176" s="1080"/>
      <c r="AC176" s="42"/>
      <c r="AD176" s="42"/>
      <c r="AE176" s="42"/>
      <c r="AF176" s="42"/>
      <c r="AG176" s="42"/>
      <c r="AH176" s="42"/>
      <c r="AI176" s="42"/>
      <c r="AJ176" s="42"/>
      <c r="AK176" s="42"/>
      <c r="AL176" s="42"/>
      <c r="AM176" s="42"/>
      <c r="AN176" s="42"/>
      <c r="AO176" s="65">
        <f>SUM(E176:AN176)</f>
        <v>0</v>
      </c>
      <c r="AP176" s="1185"/>
      <c r="AQ176" s="1185"/>
    </row>
    <row r="177" spans="1:43" s="2" customFormat="1" ht="15" thickBot="1" x14ac:dyDescent="0.4">
      <c r="A177" s="1177"/>
      <c r="B177" s="1180"/>
      <c r="C177" s="1183"/>
      <c r="D177" s="483" t="s">
        <v>178</v>
      </c>
      <c r="E177" s="484"/>
      <c r="F177" s="485"/>
      <c r="G177" s="486"/>
      <c r="H177" s="486"/>
      <c r="I177" s="486"/>
      <c r="J177" s="486"/>
      <c r="K177" s="486"/>
      <c r="L177" s="486"/>
      <c r="M177" s="486"/>
      <c r="N177" s="486"/>
      <c r="O177" s="486"/>
      <c r="P177" s="1081"/>
      <c r="Q177" s="485"/>
      <c r="R177" s="486"/>
      <c r="S177" s="486"/>
      <c r="T177" s="486"/>
      <c r="U177" s="486"/>
      <c r="V177" s="486"/>
      <c r="W177" s="486"/>
      <c r="X177" s="486"/>
      <c r="Y177" s="486"/>
      <c r="Z177" s="486"/>
      <c r="AA177" s="486"/>
      <c r="AB177" s="1081"/>
      <c r="AC177" s="486"/>
      <c r="AD177" s="486"/>
      <c r="AE177" s="486"/>
      <c r="AF177" s="486"/>
      <c r="AG177" s="486"/>
      <c r="AH177" s="486"/>
      <c r="AI177" s="486"/>
      <c r="AJ177" s="486"/>
      <c r="AK177" s="486"/>
      <c r="AL177" s="486"/>
      <c r="AM177" s="486"/>
      <c r="AN177" s="486"/>
      <c r="AO177" s="141"/>
      <c r="AP177" s="1186"/>
      <c r="AQ177" s="1186"/>
    </row>
    <row r="178" spans="1:43" x14ac:dyDescent="0.35">
      <c r="A178" s="6"/>
      <c r="B178" s="81"/>
      <c r="C178" s="83"/>
      <c r="D178" s="8"/>
      <c r="E178" s="8"/>
      <c r="F178" s="8"/>
      <c r="G178" s="8"/>
      <c r="H178" s="8"/>
      <c r="I178" s="8"/>
      <c r="J178" s="8"/>
      <c r="K178" s="8"/>
      <c r="L178" s="8"/>
      <c r="M178" s="8"/>
      <c r="N178" s="8"/>
      <c r="O178" s="8"/>
      <c r="P178" s="8"/>
      <c r="Q178" s="8"/>
      <c r="R178" s="8"/>
      <c r="S178" s="8"/>
      <c r="T178" s="8"/>
      <c r="U178" s="8"/>
      <c r="V178" s="8"/>
      <c r="W178" s="8"/>
      <c r="X178" s="8"/>
      <c r="Y178" s="8"/>
      <c r="Z178" s="8"/>
      <c r="AA178" s="8"/>
      <c r="AB178" s="8"/>
      <c r="AC178" s="8"/>
      <c r="AD178" s="8"/>
      <c r="AE178" s="8"/>
      <c r="AF178" s="8"/>
      <c r="AG178" s="8"/>
      <c r="AH178" s="8"/>
      <c r="AI178" s="8"/>
      <c r="AJ178" s="8"/>
      <c r="AK178" s="8"/>
      <c r="AL178" s="8"/>
      <c r="AM178" s="8"/>
      <c r="AN178" s="8"/>
      <c r="AO178" s="1"/>
    </row>
    <row r="179" spans="1:43" x14ac:dyDescent="0.35">
      <c r="A179" s="6"/>
      <c r="B179" s="81"/>
      <c r="C179" s="83"/>
      <c r="D179" s="8"/>
      <c r="E179" s="8"/>
      <c r="F179" s="8"/>
      <c r="G179" s="8"/>
      <c r="H179" s="8"/>
      <c r="I179" s="8"/>
      <c r="J179" s="8"/>
      <c r="K179" s="8"/>
      <c r="L179" s="8"/>
      <c r="M179" s="8"/>
      <c r="N179" s="8"/>
      <c r="O179" s="8"/>
      <c r="P179" s="8"/>
      <c r="Q179" s="8"/>
      <c r="R179" s="8"/>
      <c r="S179" s="8"/>
      <c r="T179" s="8"/>
      <c r="U179" s="8"/>
      <c r="V179" s="8"/>
      <c r="W179" s="8"/>
      <c r="X179" s="8"/>
      <c r="Y179" s="8"/>
      <c r="Z179" s="8"/>
      <c r="AA179" s="8"/>
      <c r="AB179" s="8"/>
      <c r="AC179" s="8"/>
      <c r="AD179" s="8"/>
      <c r="AE179" s="8"/>
      <c r="AF179" s="8"/>
      <c r="AG179" s="8"/>
      <c r="AH179" s="8"/>
      <c r="AI179" s="8"/>
      <c r="AJ179" s="8"/>
      <c r="AK179" s="8"/>
      <c r="AL179" s="8"/>
      <c r="AM179" s="8"/>
      <c r="AN179" s="8"/>
      <c r="AO179" s="1"/>
    </row>
    <row r="180" spans="1:43" x14ac:dyDescent="0.35">
      <c r="A180" s="6"/>
      <c r="B180" s="81"/>
      <c r="C180" s="83"/>
      <c r="D180" s="8"/>
      <c r="E180" s="8"/>
      <c r="F180" s="8"/>
      <c r="G180" s="8"/>
      <c r="H180" s="8"/>
      <c r="I180" s="8"/>
      <c r="J180" s="8"/>
      <c r="K180" s="8"/>
      <c r="L180" s="8"/>
      <c r="M180" s="8"/>
      <c r="N180" s="8"/>
      <c r="O180" s="8"/>
      <c r="P180" s="8"/>
      <c r="Q180" s="8"/>
      <c r="R180" s="8"/>
      <c r="S180" s="8"/>
      <c r="T180" s="8"/>
      <c r="U180" s="8"/>
      <c r="V180" s="8"/>
      <c r="W180" s="8"/>
      <c r="X180" s="8"/>
      <c r="Y180" s="8"/>
      <c r="Z180" s="8"/>
      <c r="AA180" s="8"/>
      <c r="AB180" s="8"/>
      <c r="AC180" s="8"/>
      <c r="AD180" s="8"/>
      <c r="AE180" s="8"/>
      <c r="AF180" s="8"/>
      <c r="AG180" s="8"/>
      <c r="AH180" s="8"/>
      <c r="AI180" s="8"/>
      <c r="AJ180" s="8"/>
      <c r="AK180" s="8"/>
      <c r="AL180" s="8"/>
      <c r="AM180" s="8"/>
      <c r="AN180" s="8"/>
      <c r="AO180" s="1"/>
    </row>
    <row r="181" spans="1:43" x14ac:dyDescent="0.35">
      <c r="A181" s="6"/>
      <c r="B181" s="81"/>
      <c r="C181" s="83"/>
      <c r="D181" s="8"/>
      <c r="E181" s="8"/>
      <c r="F181" s="8"/>
      <c r="G181" s="8"/>
      <c r="H181" s="8"/>
      <c r="I181" s="8"/>
      <c r="J181" s="8"/>
      <c r="K181" s="8"/>
      <c r="L181" s="8"/>
      <c r="M181" s="8"/>
      <c r="N181" s="8"/>
      <c r="O181" s="8"/>
      <c r="P181" s="8"/>
      <c r="Q181" s="8"/>
      <c r="R181" s="8"/>
      <c r="S181" s="8"/>
      <c r="T181" s="8"/>
      <c r="U181" s="8"/>
      <c r="V181" s="8"/>
      <c r="W181" s="8"/>
      <c r="X181" s="8"/>
      <c r="Y181" s="8"/>
      <c r="Z181" s="8"/>
      <c r="AA181" s="8"/>
      <c r="AB181" s="8"/>
      <c r="AC181" s="8"/>
      <c r="AD181" s="8"/>
      <c r="AE181" s="8"/>
      <c r="AF181" s="8"/>
      <c r="AG181" s="8"/>
      <c r="AH181" s="8"/>
      <c r="AI181" s="8"/>
      <c r="AJ181" s="8"/>
      <c r="AK181" s="8"/>
      <c r="AL181" s="8"/>
      <c r="AM181" s="8"/>
      <c r="AN181" s="8"/>
      <c r="AO181" s="1"/>
    </row>
    <row r="182" spans="1:43" x14ac:dyDescent="0.35">
      <c r="A182" s="6"/>
      <c r="B182" s="81"/>
      <c r="C182" s="83"/>
      <c r="D182" s="8"/>
      <c r="E182" s="8"/>
      <c r="F182" s="8"/>
      <c r="G182" s="8"/>
      <c r="H182" s="8"/>
      <c r="I182" s="8"/>
      <c r="J182" s="8"/>
      <c r="K182" s="8"/>
      <c r="L182" s="8"/>
      <c r="M182" s="8"/>
      <c r="N182" s="8"/>
      <c r="O182" s="8"/>
      <c r="P182" s="8"/>
      <c r="Q182" s="8"/>
      <c r="R182" s="8"/>
      <c r="S182" s="8"/>
      <c r="T182" s="8"/>
      <c r="U182" s="8"/>
      <c r="V182" s="8"/>
      <c r="W182" s="8"/>
      <c r="X182" s="8"/>
      <c r="Y182" s="8"/>
      <c r="Z182" s="8"/>
      <c r="AA182" s="8"/>
      <c r="AB182" s="8"/>
      <c r="AC182" s="8"/>
      <c r="AD182" s="8"/>
      <c r="AE182" s="8"/>
      <c r="AF182" s="8"/>
      <c r="AG182" s="8"/>
      <c r="AH182" s="8"/>
      <c r="AI182" s="8"/>
      <c r="AJ182" s="8"/>
      <c r="AK182" s="8"/>
      <c r="AL182" s="8"/>
      <c r="AM182" s="8"/>
      <c r="AN182" s="8"/>
      <c r="AO182" s="1"/>
    </row>
    <row r="183" spans="1:43" x14ac:dyDescent="0.35">
      <c r="A183" s="6"/>
      <c r="B183" s="81"/>
      <c r="C183" s="83"/>
      <c r="D183" s="8"/>
      <c r="E183" s="8"/>
      <c r="F183" s="8"/>
      <c r="G183" s="8"/>
      <c r="H183" s="8"/>
      <c r="I183" s="8"/>
      <c r="J183" s="8"/>
      <c r="K183" s="8"/>
      <c r="L183" s="8"/>
      <c r="M183" s="8"/>
      <c r="N183" s="8"/>
      <c r="O183" s="8"/>
      <c r="P183" s="8"/>
      <c r="Q183" s="8"/>
      <c r="R183" s="8"/>
      <c r="S183" s="8"/>
      <c r="T183" s="8"/>
      <c r="U183" s="8"/>
      <c r="V183" s="8"/>
      <c r="W183" s="8"/>
      <c r="X183" s="8"/>
      <c r="Y183" s="8"/>
      <c r="Z183" s="8"/>
      <c r="AA183" s="8"/>
      <c r="AB183" s="8"/>
      <c r="AC183" s="8"/>
      <c r="AD183" s="8"/>
      <c r="AE183" s="8"/>
      <c r="AF183" s="8"/>
      <c r="AG183" s="8"/>
      <c r="AH183" s="8"/>
      <c r="AI183" s="8"/>
      <c r="AJ183" s="8"/>
      <c r="AK183" s="8"/>
      <c r="AL183" s="8"/>
      <c r="AM183" s="8"/>
      <c r="AN183" s="8"/>
      <c r="AO183" s="1"/>
    </row>
    <row r="184" spans="1:43" x14ac:dyDescent="0.35">
      <c r="A184" s="6"/>
      <c r="B184" s="81"/>
      <c r="C184" s="83"/>
      <c r="D184" s="8"/>
      <c r="E184" s="8"/>
      <c r="F184" s="8"/>
      <c r="G184" s="8"/>
      <c r="H184" s="8"/>
      <c r="I184" s="8"/>
      <c r="J184" s="8"/>
      <c r="K184" s="8"/>
      <c r="L184" s="8"/>
      <c r="M184" s="8"/>
      <c r="N184" s="8"/>
      <c r="O184" s="8"/>
      <c r="P184" s="8"/>
      <c r="Q184" s="8"/>
      <c r="R184" s="8"/>
      <c r="S184" s="8"/>
      <c r="T184" s="8"/>
      <c r="U184" s="8"/>
      <c r="V184" s="8"/>
      <c r="W184" s="8"/>
      <c r="X184" s="8"/>
      <c r="Y184" s="8"/>
      <c r="Z184" s="8"/>
      <c r="AA184" s="8"/>
      <c r="AB184" s="8"/>
      <c r="AC184" s="8"/>
      <c r="AD184" s="8"/>
      <c r="AE184" s="8"/>
      <c r="AF184" s="8"/>
      <c r="AG184" s="8"/>
      <c r="AH184" s="8"/>
      <c r="AI184" s="8"/>
      <c r="AJ184" s="8"/>
      <c r="AK184" s="8"/>
      <c r="AL184" s="8"/>
      <c r="AM184" s="8"/>
      <c r="AN184" s="8"/>
      <c r="AO184" s="1"/>
    </row>
    <row r="185" spans="1:43" x14ac:dyDescent="0.35">
      <c r="A185" s="6"/>
      <c r="B185" s="81"/>
      <c r="C185" s="83"/>
      <c r="D185" s="8"/>
      <c r="E185" s="8"/>
      <c r="F185" s="8"/>
      <c r="G185" s="8"/>
      <c r="H185" s="8"/>
      <c r="I185" s="8"/>
      <c r="J185" s="8"/>
      <c r="K185" s="8"/>
      <c r="L185" s="8"/>
      <c r="M185" s="8"/>
      <c r="N185" s="8"/>
      <c r="O185" s="8"/>
      <c r="P185" s="8"/>
      <c r="Q185" s="8"/>
      <c r="R185" s="8"/>
      <c r="S185" s="8"/>
      <c r="T185" s="8"/>
      <c r="U185" s="8"/>
      <c r="V185" s="8"/>
      <c r="W185" s="8"/>
      <c r="X185" s="8"/>
      <c r="Y185" s="8"/>
      <c r="Z185" s="8"/>
      <c r="AA185" s="8"/>
      <c r="AB185" s="8"/>
      <c r="AC185" s="8"/>
      <c r="AD185" s="8"/>
      <c r="AE185" s="8"/>
      <c r="AF185" s="8"/>
      <c r="AG185" s="8"/>
      <c r="AH185" s="8"/>
      <c r="AI185" s="8"/>
      <c r="AJ185" s="8"/>
      <c r="AK185" s="8"/>
      <c r="AL185" s="8"/>
      <c r="AM185" s="8"/>
      <c r="AN185" s="8"/>
      <c r="AO185" s="1"/>
    </row>
    <row r="186" spans="1:43" x14ac:dyDescent="0.35">
      <c r="A186" s="6"/>
      <c r="B186" s="81"/>
      <c r="C186" s="83"/>
      <c r="D186" s="8"/>
      <c r="E186" s="8"/>
      <c r="F186" s="8"/>
      <c r="G186" s="8"/>
      <c r="H186" s="8"/>
      <c r="I186" s="8"/>
      <c r="J186" s="8"/>
      <c r="K186" s="8"/>
      <c r="L186" s="8"/>
      <c r="M186" s="8"/>
      <c r="N186" s="8"/>
      <c r="O186" s="8"/>
      <c r="P186" s="8"/>
      <c r="Q186" s="8"/>
      <c r="R186" s="8"/>
      <c r="S186" s="8"/>
      <c r="T186" s="8"/>
      <c r="U186" s="8"/>
      <c r="V186" s="8"/>
      <c r="W186" s="8"/>
      <c r="X186" s="8"/>
      <c r="Y186" s="8"/>
      <c r="Z186" s="8"/>
      <c r="AA186" s="8"/>
      <c r="AB186" s="8"/>
      <c r="AC186" s="8"/>
      <c r="AD186" s="8"/>
      <c r="AE186" s="8"/>
      <c r="AF186" s="8"/>
      <c r="AG186" s="8"/>
      <c r="AH186" s="8"/>
      <c r="AI186" s="8"/>
      <c r="AJ186" s="8"/>
      <c r="AK186" s="8"/>
      <c r="AL186" s="8"/>
      <c r="AM186" s="8"/>
      <c r="AN186" s="8"/>
      <c r="AO186" s="1"/>
    </row>
    <row r="187" spans="1:43" x14ac:dyDescent="0.35">
      <c r="A187" s="6"/>
      <c r="B187" s="81"/>
      <c r="C187" s="83"/>
      <c r="D187" s="8"/>
      <c r="E187" s="8"/>
      <c r="F187" s="8"/>
      <c r="G187" s="8"/>
      <c r="H187" s="8"/>
      <c r="I187" s="8"/>
      <c r="J187" s="8"/>
      <c r="K187" s="8"/>
      <c r="L187" s="8"/>
      <c r="M187" s="8"/>
      <c r="N187" s="8"/>
      <c r="O187" s="8"/>
      <c r="P187" s="8"/>
      <c r="Q187" s="8"/>
      <c r="R187" s="8"/>
      <c r="S187" s="8"/>
      <c r="T187" s="8"/>
      <c r="U187" s="8"/>
      <c r="V187" s="8"/>
      <c r="W187" s="8"/>
      <c r="X187" s="8"/>
      <c r="Y187" s="8"/>
      <c r="Z187" s="8"/>
      <c r="AA187" s="8"/>
      <c r="AB187" s="8"/>
      <c r="AC187" s="8"/>
      <c r="AD187" s="8"/>
      <c r="AE187" s="8"/>
      <c r="AF187" s="8"/>
      <c r="AG187" s="8"/>
      <c r="AH187" s="8"/>
      <c r="AI187" s="8"/>
      <c r="AJ187" s="8"/>
      <c r="AK187" s="8"/>
      <c r="AL187" s="8"/>
      <c r="AM187" s="8"/>
      <c r="AN187" s="8"/>
      <c r="AO187" s="1"/>
    </row>
    <row r="188" spans="1:43" x14ac:dyDescent="0.35">
      <c r="A188" s="6"/>
      <c r="B188" s="81"/>
      <c r="C188" s="83"/>
      <c r="D188" s="8"/>
      <c r="E188" s="8"/>
      <c r="F188" s="8"/>
      <c r="G188" s="8"/>
      <c r="H188" s="8"/>
      <c r="I188" s="8"/>
      <c r="J188" s="8"/>
      <c r="K188" s="8"/>
      <c r="L188" s="8"/>
      <c r="M188" s="8"/>
      <c r="N188" s="8"/>
      <c r="O188" s="8"/>
      <c r="P188" s="8"/>
      <c r="Q188" s="8"/>
      <c r="R188" s="8"/>
      <c r="S188" s="8"/>
      <c r="T188" s="8"/>
      <c r="U188" s="8"/>
      <c r="V188" s="8"/>
      <c r="W188" s="8"/>
      <c r="X188" s="8"/>
      <c r="Y188" s="8"/>
      <c r="Z188" s="8"/>
      <c r="AA188" s="8"/>
      <c r="AB188" s="8"/>
      <c r="AC188" s="8"/>
      <c r="AD188" s="8"/>
      <c r="AE188" s="8"/>
      <c r="AF188" s="8"/>
      <c r="AG188" s="8"/>
      <c r="AH188" s="8"/>
      <c r="AI188" s="8"/>
      <c r="AJ188" s="8"/>
      <c r="AK188" s="8"/>
      <c r="AL188" s="8"/>
      <c r="AM188" s="8"/>
      <c r="AN188" s="8"/>
      <c r="AO188" s="1"/>
    </row>
    <row r="189" spans="1:43" x14ac:dyDescent="0.35">
      <c r="A189" s="6"/>
      <c r="B189" s="81"/>
      <c r="C189" s="83"/>
      <c r="D189" s="8"/>
      <c r="E189" s="8"/>
      <c r="F189" s="8"/>
      <c r="G189" s="8"/>
      <c r="H189" s="8"/>
      <c r="I189" s="8"/>
      <c r="J189" s="8"/>
      <c r="K189" s="8"/>
      <c r="L189" s="8"/>
      <c r="M189" s="8"/>
      <c r="N189" s="8"/>
      <c r="O189" s="8"/>
      <c r="P189" s="8"/>
      <c r="Q189" s="8"/>
      <c r="R189" s="8"/>
      <c r="S189" s="8"/>
      <c r="T189" s="8"/>
      <c r="U189" s="8"/>
      <c r="V189" s="8"/>
      <c r="W189" s="8"/>
      <c r="X189" s="8"/>
      <c r="Y189" s="8"/>
      <c r="Z189" s="8"/>
      <c r="AA189" s="8"/>
      <c r="AB189" s="8"/>
      <c r="AC189" s="8"/>
      <c r="AD189" s="8"/>
      <c r="AE189" s="8"/>
      <c r="AF189" s="8"/>
      <c r="AG189" s="8"/>
      <c r="AH189" s="8"/>
      <c r="AI189" s="8"/>
      <c r="AJ189" s="8"/>
      <c r="AK189" s="8"/>
      <c r="AL189" s="8"/>
      <c r="AM189" s="8"/>
      <c r="AN189" s="8"/>
      <c r="AO189" s="1"/>
    </row>
    <row r="190" spans="1:43" x14ac:dyDescent="0.35">
      <c r="A190" s="6"/>
      <c r="B190" s="81"/>
      <c r="C190" s="83"/>
      <c r="D190" s="8"/>
      <c r="E190" s="8"/>
      <c r="F190" s="8"/>
      <c r="G190" s="8"/>
      <c r="H190" s="8"/>
      <c r="I190" s="8"/>
      <c r="J190" s="8"/>
      <c r="K190" s="8"/>
      <c r="L190" s="8"/>
      <c r="M190" s="8"/>
      <c r="N190" s="8"/>
      <c r="O190" s="8"/>
      <c r="P190" s="8"/>
      <c r="Q190" s="8"/>
      <c r="R190" s="8"/>
      <c r="S190" s="8"/>
      <c r="T190" s="8"/>
      <c r="U190" s="8"/>
      <c r="V190" s="8"/>
      <c r="W190" s="8"/>
      <c r="X190" s="8"/>
      <c r="Y190" s="8"/>
      <c r="Z190" s="8"/>
      <c r="AA190" s="8"/>
      <c r="AB190" s="8"/>
      <c r="AC190" s="8"/>
      <c r="AD190" s="8"/>
      <c r="AE190" s="8"/>
      <c r="AF190" s="8"/>
      <c r="AG190" s="8"/>
      <c r="AH190" s="8"/>
      <c r="AI190" s="8"/>
      <c r="AJ190" s="8"/>
      <c r="AK190" s="8"/>
      <c r="AL190" s="8"/>
      <c r="AM190" s="8"/>
      <c r="AN190" s="8"/>
      <c r="AO190" s="1"/>
    </row>
    <row r="191" spans="1:43" x14ac:dyDescent="0.35">
      <c r="A191" s="6"/>
      <c r="B191" s="81"/>
      <c r="C191" s="83"/>
      <c r="D191" s="8"/>
      <c r="E191" s="8"/>
      <c r="F191" s="8"/>
      <c r="G191" s="8"/>
      <c r="H191" s="8"/>
      <c r="I191" s="8"/>
      <c r="J191" s="8"/>
      <c r="K191" s="8"/>
      <c r="L191" s="8"/>
      <c r="M191" s="8"/>
      <c r="N191" s="8"/>
      <c r="O191" s="8"/>
      <c r="P191" s="8"/>
      <c r="Q191" s="8"/>
      <c r="R191" s="8"/>
      <c r="S191" s="8"/>
      <c r="T191" s="8"/>
      <c r="U191" s="8"/>
      <c r="V191" s="8"/>
      <c r="W191" s="8"/>
      <c r="X191" s="8"/>
      <c r="Y191" s="8"/>
      <c r="Z191" s="8"/>
      <c r="AA191" s="8"/>
      <c r="AB191" s="8"/>
      <c r="AC191" s="8"/>
      <c r="AD191" s="8"/>
      <c r="AE191" s="8"/>
      <c r="AF191" s="8"/>
      <c r="AG191" s="8"/>
      <c r="AH191" s="8"/>
      <c r="AI191" s="8"/>
      <c r="AJ191" s="8"/>
      <c r="AK191" s="8"/>
      <c r="AL191" s="8"/>
      <c r="AM191" s="8"/>
      <c r="AN191" s="8"/>
      <c r="AO191" s="1"/>
    </row>
    <row r="192" spans="1:43" x14ac:dyDescent="0.35">
      <c r="A192" s="6"/>
      <c r="B192" s="81"/>
      <c r="C192" s="83"/>
      <c r="D192" s="8"/>
      <c r="E192" s="8"/>
      <c r="F192" s="8"/>
      <c r="G192" s="8"/>
      <c r="H192" s="8"/>
      <c r="I192" s="8"/>
      <c r="J192" s="8"/>
      <c r="K192" s="8"/>
      <c r="L192" s="8"/>
      <c r="M192" s="8"/>
      <c r="N192" s="8"/>
      <c r="O192" s="8"/>
      <c r="P192" s="8"/>
      <c r="Q192" s="8"/>
      <c r="R192" s="8"/>
      <c r="S192" s="8"/>
      <c r="T192" s="8"/>
      <c r="U192" s="8"/>
      <c r="V192" s="8"/>
      <c r="W192" s="8"/>
      <c r="X192" s="8"/>
      <c r="Y192" s="8"/>
      <c r="Z192" s="8"/>
      <c r="AA192" s="8"/>
      <c r="AB192" s="8"/>
      <c r="AC192" s="8"/>
      <c r="AD192" s="8"/>
      <c r="AE192" s="8"/>
      <c r="AF192" s="8"/>
      <c r="AG192" s="8"/>
      <c r="AH192" s="8"/>
      <c r="AI192" s="8"/>
      <c r="AJ192" s="8"/>
      <c r="AK192" s="8"/>
      <c r="AL192" s="8"/>
      <c r="AM192" s="8"/>
      <c r="AN192" s="8"/>
      <c r="AO192" s="1"/>
    </row>
    <row r="193" spans="1:41" x14ac:dyDescent="0.35">
      <c r="A193" s="6"/>
      <c r="B193" s="81"/>
      <c r="C193" s="83"/>
      <c r="D193" s="8"/>
      <c r="E193" s="8"/>
      <c r="F193" s="8"/>
      <c r="G193" s="8"/>
      <c r="H193" s="8"/>
      <c r="I193" s="8"/>
      <c r="J193" s="8"/>
      <c r="K193" s="8"/>
      <c r="L193" s="8"/>
      <c r="M193" s="8"/>
      <c r="N193" s="8"/>
      <c r="O193" s="8"/>
      <c r="P193" s="8"/>
      <c r="Q193" s="8"/>
      <c r="R193" s="8"/>
      <c r="S193" s="8"/>
      <c r="T193" s="8"/>
      <c r="U193" s="8"/>
      <c r="V193" s="8"/>
      <c r="W193" s="8"/>
      <c r="X193" s="8"/>
      <c r="Y193" s="8"/>
      <c r="Z193" s="8"/>
      <c r="AA193" s="8"/>
      <c r="AB193" s="8"/>
      <c r="AC193" s="8"/>
      <c r="AD193" s="8"/>
      <c r="AE193" s="8"/>
      <c r="AF193" s="8"/>
      <c r="AG193" s="8"/>
      <c r="AH193" s="8"/>
      <c r="AI193" s="8"/>
      <c r="AJ193" s="8"/>
      <c r="AK193" s="8"/>
      <c r="AL193" s="8"/>
      <c r="AM193" s="8"/>
      <c r="AN193" s="8"/>
      <c r="AO193" s="1"/>
    </row>
    <row r="194" spans="1:41" x14ac:dyDescent="0.35">
      <c r="A194" s="6"/>
      <c r="B194" s="81"/>
      <c r="C194" s="83"/>
      <c r="D194" s="8"/>
      <c r="E194" s="8"/>
      <c r="F194" s="8"/>
      <c r="G194" s="8"/>
      <c r="H194" s="8"/>
      <c r="I194" s="8"/>
      <c r="J194" s="8"/>
      <c r="K194" s="8"/>
      <c r="L194" s="8"/>
      <c r="M194" s="8"/>
      <c r="N194" s="8"/>
      <c r="O194" s="8"/>
      <c r="P194" s="8"/>
      <c r="Q194" s="8"/>
      <c r="R194" s="8"/>
      <c r="S194" s="8"/>
      <c r="T194" s="8"/>
      <c r="U194" s="8"/>
      <c r="V194" s="8"/>
      <c r="W194" s="8"/>
      <c r="X194" s="8"/>
      <c r="Y194" s="8"/>
      <c r="Z194" s="8"/>
      <c r="AA194" s="8"/>
      <c r="AB194" s="8"/>
      <c r="AC194" s="8"/>
      <c r="AD194" s="8"/>
      <c r="AE194" s="8"/>
      <c r="AF194" s="8"/>
      <c r="AG194" s="8"/>
      <c r="AH194" s="8"/>
      <c r="AI194" s="8"/>
      <c r="AJ194" s="8"/>
      <c r="AK194" s="8"/>
      <c r="AL194" s="8"/>
      <c r="AM194" s="8"/>
      <c r="AN194" s="8"/>
      <c r="AO194" s="1"/>
    </row>
    <row r="195" spans="1:41" x14ac:dyDescent="0.35">
      <c r="A195" s="6"/>
      <c r="B195" s="81"/>
      <c r="C195" s="83"/>
      <c r="D195" s="8"/>
      <c r="E195" s="8"/>
      <c r="F195" s="8"/>
      <c r="G195" s="8"/>
      <c r="H195" s="8"/>
      <c r="I195" s="8"/>
      <c r="J195" s="8"/>
      <c r="K195" s="8"/>
      <c r="L195" s="8"/>
      <c r="M195" s="8"/>
      <c r="N195" s="8"/>
      <c r="O195" s="8"/>
      <c r="P195" s="8"/>
      <c r="Q195" s="8"/>
      <c r="R195" s="8"/>
      <c r="S195" s="8"/>
      <c r="T195" s="8"/>
      <c r="U195" s="8"/>
      <c r="V195" s="8"/>
      <c r="W195" s="8"/>
      <c r="X195" s="8"/>
      <c r="Y195" s="8"/>
      <c r="Z195" s="8"/>
      <c r="AA195" s="8"/>
      <c r="AB195" s="8"/>
      <c r="AC195" s="8"/>
      <c r="AD195" s="8"/>
      <c r="AE195" s="8"/>
      <c r="AF195" s="8"/>
      <c r="AG195" s="8"/>
      <c r="AH195" s="8"/>
      <c r="AI195" s="8"/>
      <c r="AJ195" s="8"/>
      <c r="AK195" s="8"/>
      <c r="AL195" s="8"/>
      <c r="AM195" s="8"/>
      <c r="AN195" s="8"/>
      <c r="AO195" s="1"/>
    </row>
    <row r="196" spans="1:41" x14ac:dyDescent="0.35">
      <c r="A196" s="6"/>
      <c r="B196" s="81"/>
      <c r="C196" s="83"/>
      <c r="D196" s="8"/>
      <c r="E196" s="8"/>
      <c r="F196" s="8"/>
      <c r="G196" s="8"/>
      <c r="H196" s="8"/>
      <c r="I196" s="8"/>
      <c r="J196" s="8"/>
      <c r="K196" s="8"/>
      <c r="L196" s="8"/>
      <c r="M196" s="8"/>
      <c r="N196" s="8"/>
      <c r="O196" s="8"/>
      <c r="P196" s="8"/>
      <c r="Q196" s="8"/>
      <c r="R196" s="8"/>
      <c r="S196" s="8"/>
      <c r="T196" s="8"/>
      <c r="U196" s="8"/>
      <c r="V196" s="8"/>
      <c r="W196" s="8"/>
      <c r="X196" s="8"/>
      <c r="Y196" s="8"/>
      <c r="Z196" s="8"/>
      <c r="AA196" s="8"/>
      <c r="AB196" s="8"/>
      <c r="AC196" s="8"/>
      <c r="AD196" s="8"/>
      <c r="AE196" s="8"/>
      <c r="AF196" s="8"/>
      <c r="AG196" s="8"/>
      <c r="AH196" s="8"/>
      <c r="AI196" s="8"/>
      <c r="AJ196" s="8"/>
      <c r="AK196" s="8"/>
      <c r="AL196" s="8"/>
      <c r="AM196" s="8"/>
      <c r="AN196" s="8"/>
      <c r="AO196" s="1"/>
    </row>
    <row r="197" spans="1:41" x14ac:dyDescent="0.35">
      <c r="A197" s="6"/>
      <c r="B197" s="81"/>
      <c r="C197" s="83"/>
      <c r="D197" s="8"/>
      <c r="E197" s="8"/>
      <c r="F197" s="8"/>
      <c r="G197" s="8"/>
      <c r="H197" s="8"/>
      <c r="I197" s="8"/>
      <c r="J197" s="8"/>
      <c r="K197" s="8"/>
      <c r="L197" s="8"/>
      <c r="M197" s="8"/>
      <c r="N197" s="8"/>
      <c r="O197" s="8"/>
      <c r="P197" s="8"/>
      <c r="Q197" s="8"/>
      <c r="R197" s="8"/>
      <c r="S197" s="8"/>
      <c r="T197" s="8"/>
      <c r="U197" s="8"/>
      <c r="V197" s="8"/>
      <c r="W197" s="8"/>
      <c r="X197" s="8"/>
      <c r="Y197" s="8"/>
      <c r="Z197" s="8"/>
      <c r="AA197" s="8"/>
      <c r="AB197" s="8"/>
      <c r="AC197" s="8"/>
      <c r="AD197" s="8"/>
      <c r="AE197" s="8"/>
      <c r="AF197" s="8"/>
      <c r="AG197" s="8"/>
      <c r="AH197" s="8"/>
      <c r="AI197" s="8"/>
      <c r="AJ197" s="8"/>
      <c r="AK197" s="8"/>
      <c r="AL197" s="8"/>
      <c r="AM197" s="8"/>
      <c r="AN197" s="8"/>
      <c r="AO197" s="1"/>
    </row>
    <row r="198" spans="1:41" x14ac:dyDescent="0.35">
      <c r="A198" s="6"/>
      <c r="B198" s="81"/>
      <c r="C198" s="83"/>
      <c r="D198" s="8"/>
      <c r="E198" s="8"/>
      <c r="F198" s="8"/>
      <c r="G198" s="8"/>
      <c r="H198" s="8"/>
      <c r="I198" s="8"/>
      <c r="J198" s="8"/>
      <c r="K198" s="8"/>
      <c r="L198" s="8"/>
      <c r="M198" s="8"/>
      <c r="N198" s="8"/>
      <c r="O198" s="8"/>
      <c r="P198" s="8"/>
      <c r="Q198" s="8"/>
      <c r="R198" s="8"/>
      <c r="S198" s="8"/>
      <c r="T198" s="8"/>
      <c r="U198" s="8"/>
      <c r="V198" s="8"/>
      <c r="W198" s="8"/>
      <c r="X198" s="8"/>
      <c r="Y198" s="8"/>
      <c r="Z198" s="8"/>
      <c r="AA198" s="8"/>
      <c r="AB198" s="8"/>
      <c r="AC198" s="8"/>
      <c r="AD198" s="8"/>
      <c r="AE198" s="8"/>
      <c r="AF198" s="8"/>
      <c r="AG198" s="8"/>
      <c r="AH198" s="8"/>
      <c r="AI198" s="8"/>
      <c r="AJ198" s="8"/>
      <c r="AK198" s="8"/>
      <c r="AL198" s="8"/>
      <c r="AM198" s="8"/>
      <c r="AN198" s="8"/>
      <c r="AO198" s="1"/>
    </row>
    <row r="199" spans="1:41" x14ac:dyDescent="0.35">
      <c r="A199" s="6"/>
      <c r="B199" s="81"/>
      <c r="C199" s="83"/>
      <c r="D199" s="8"/>
      <c r="E199" s="8"/>
      <c r="F199" s="8"/>
      <c r="G199" s="8"/>
      <c r="H199" s="8"/>
      <c r="I199" s="8"/>
      <c r="J199" s="8"/>
      <c r="K199" s="8"/>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c r="AN199" s="8"/>
      <c r="AO199" s="1"/>
    </row>
    <row r="200" spans="1:41" x14ac:dyDescent="0.35">
      <c r="A200" s="6"/>
      <c r="B200" s="81"/>
      <c r="C200" s="83"/>
      <c r="D200" s="8"/>
      <c r="E200" s="8"/>
      <c r="F200" s="8"/>
      <c r="G200" s="8"/>
      <c r="H200" s="8"/>
      <c r="I200" s="8"/>
      <c r="J200" s="8"/>
      <c r="K200" s="8"/>
      <c r="L200" s="8"/>
      <c r="M200" s="8"/>
      <c r="N200" s="8"/>
      <c r="O200" s="8"/>
      <c r="P200" s="8"/>
      <c r="Q200" s="8"/>
      <c r="R200" s="8"/>
      <c r="S200" s="8"/>
      <c r="T200" s="8"/>
      <c r="U200" s="8"/>
      <c r="V200" s="8"/>
      <c r="W200" s="8"/>
      <c r="X200" s="8"/>
      <c r="Y200" s="8"/>
      <c r="Z200" s="8"/>
      <c r="AA200" s="8"/>
      <c r="AB200" s="8"/>
      <c r="AC200" s="8"/>
      <c r="AD200" s="8"/>
      <c r="AE200" s="8"/>
      <c r="AF200" s="8"/>
      <c r="AG200" s="8"/>
      <c r="AH200" s="8"/>
      <c r="AI200" s="8"/>
      <c r="AJ200" s="8"/>
      <c r="AK200" s="8"/>
      <c r="AL200" s="8"/>
      <c r="AM200" s="8"/>
      <c r="AN200" s="8"/>
      <c r="AO200" s="1"/>
    </row>
    <row r="201" spans="1:41" x14ac:dyDescent="0.35">
      <c r="A201" s="6"/>
      <c r="B201" s="81"/>
      <c r="C201" s="83"/>
      <c r="D201" s="8"/>
      <c r="E201" s="8"/>
      <c r="F201" s="8"/>
      <c r="G201" s="8"/>
      <c r="H201" s="8"/>
      <c r="I201" s="8"/>
      <c r="J201" s="8"/>
      <c r="K201" s="8"/>
      <c r="L201" s="8"/>
      <c r="M201" s="8"/>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1"/>
    </row>
    <row r="202" spans="1:41" x14ac:dyDescent="0.35">
      <c r="A202" s="6"/>
      <c r="B202" s="81"/>
      <c r="C202" s="83"/>
      <c r="D202" s="8"/>
      <c r="E202" s="8"/>
      <c r="F202" s="8"/>
      <c r="G202" s="8"/>
      <c r="H202" s="8"/>
      <c r="I202" s="8"/>
      <c r="J202" s="8"/>
      <c r="K202" s="8"/>
      <c r="L202" s="8"/>
      <c r="M202" s="8"/>
      <c r="N202" s="8"/>
      <c r="O202" s="8"/>
      <c r="P202" s="8"/>
      <c r="Q202" s="8"/>
      <c r="R202" s="8"/>
      <c r="S202" s="8"/>
      <c r="T202" s="8"/>
      <c r="U202" s="8"/>
      <c r="V202" s="8"/>
      <c r="W202" s="8"/>
      <c r="X202" s="8"/>
      <c r="Y202" s="8"/>
      <c r="Z202" s="8"/>
      <c r="AA202" s="8"/>
      <c r="AB202" s="8"/>
      <c r="AC202" s="8"/>
      <c r="AD202" s="8"/>
      <c r="AE202" s="8"/>
      <c r="AF202" s="8"/>
      <c r="AG202" s="8"/>
      <c r="AH202" s="8"/>
      <c r="AI202" s="8"/>
      <c r="AJ202" s="8"/>
      <c r="AK202" s="8"/>
      <c r="AL202" s="8"/>
      <c r="AM202" s="8"/>
      <c r="AN202" s="8"/>
      <c r="AO202" s="1"/>
    </row>
    <row r="203" spans="1:41" x14ac:dyDescent="0.35">
      <c r="A203" s="6"/>
      <c r="B203" s="81"/>
      <c r="C203" s="83"/>
      <c r="D203" s="8"/>
      <c r="E203" s="8"/>
      <c r="F203" s="8"/>
      <c r="G203" s="8"/>
      <c r="H203" s="8"/>
      <c r="I203" s="8"/>
      <c r="J203" s="8"/>
      <c r="K203" s="8"/>
      <c r="L203" s="8"/>
      <c r="M203" s="8"/>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8"/>
      <c r="AM203" s="8"/>
      <c r="AN203" s="8"/>
      <c r="AO203" s="1"/>
    </row>
    <row r="204" spans="1:41" x14ac:dyDescent="0.35">
      <c r="A204" s="6"/>
      <c r="B204" s="81"/>
      <c r="C204" s="83"/>
      <c r="D204" s="8"/>
      <c r="E204" s="8"/>
      <c r="F204" s="8"/>
      <c r="G204" s="8"/>
      <c r="H204" s="8"/>
      <c r="I204" s="8"/>
      <c r="J204" s="8"/>
      <c r="K204" s="8"/>
      <c r="L204" s="8"/>
      <c r="M204" s="8"/>
      <c r="N204" s="8"/>
      <c r="O204" s="8"/>
      <c r="P204" s="8"/>
      <c r="Q204" s="8"/>
      <c r="R204" s="8"/>
      <c r="S204" s="8"/>
      <c r="T204" s="8"/>
      <c r="U204" s="8"/>
      <c r="V204" s="8"/>
      <c r="W204" s="8"/>
      <c r="X204" s="8"/>
      <c r="Y204" s="8"/>
      <c r="Z204" s="8"/>
      <c r="AA204" s="8"/>
      <c r="AB204" s="8"/>
      <c r="AC204" s="8"/>
      <c r="AD204" s="8"/>
      <c r="AE204" s="8"/>
      <c r="AF204" s="8"/>
      <c r="AG204" s="8"/>
      <c r="AH204" s="8"/>
      <c r="AI204" s="8"/>
      <c r="AJ204" s="8"/>
      <c r="AK204" s="8"/>
      <c r="AL204" s="8"/>
      <c r="AM204" s="8"/>
      <c r="AN204" s="8"/>
      <c r="AO204" s="1"/>
    </row>
    <row r="205" spans="1:41" x14ac:dyDescent="0.35">
      <c r="A205" s="6"/>
      <c r="B205" s="81"/>
      <c r="C205" s="83"/>
      <c r="D205" s="8"/>
      <c r="E205" s="8"/>
      <c r="F205" s="8"/>
      <c r="G205" s="8"/>
      <c r="H205" s="8"/>
      <c r="I205" s="8"/>
      <c r="J205" s="8"/>
      <c r="K205" s="8"/>
      <c r="L205" s="8"/>
      <c r="M205" s="8"/>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8"/>
      <c r="AM205" s="8"/>
      <c r="AN205" s="8"/>
      <c r="AO205" s="1"/>
    </row>
    <row r="206" spans="1:41" x14ac:dyDescent="0.35">
      <c r="A206" s="6"/>
      <c r="B206" s="81"/>
      <c r="C206" s="83"/>
      <c r="D206" s="8"/>
      <c r="E206" s="8"/>
      <c r="F206" s="8"/>
      <c r="G206" s="8"/>
      <c r="H206" s="8"/>
      <c r="I206" s="8"/>
      <c r="J206" s="8"/>
      <c r="K206" s="8"/>
      <c r="L206" s="8"/>
      <c r="M206" s="8"/>
      <c r="N206" s="8"/>
      <c r="O206" s="8"/>
      <c r="P206" s="8"/>
      <c r="Q206" s="8"/>
      <c r="R206" s="8"/>
      <c r="S206" s="8"/>
      <c r="T206" s="8"/>
      <c r="U206" s="8"/>
      <c r="V206" s="8"/>
      <c r="W206" s="8"/>
      <c r="X206" s="8"/>
      <c r="Y206" s="8"/>
      <c r="Z206" s="8"/>
      <c r="AA206" s="8"/>
      <c r="AB206" s="8"/>
      <c r="AC206" s="8"/>
      <c r="AD206" s="8"/>
      <c r="AE206" s="8"/>
      <c r="AF206" s="8"/>
      <c r="AG206" s="8"/>
      <c r="AH206" s="8"/>
      <c r="AI206" s="8"/>
      <c r="AJ206" s="8"/>
      <c r="AK206" s="8"/>
      <c r="AL206" s="8"/>
      <c r="AM206" s="8"/>
      <c r="AN206" s="8"/>
      <c r="AO206" s="1"/>
    </row>
    <row r="207" spans="1:41" x14ac:dyDescent="0.35">
      <c r="A207" s="6"/>
      <c r="B207" s="81"/>
      <c r="C207" s="83"/>
      <c r="D207" s="8"/>
      <c r="E207" s="8"/>
      <c r="F207" s="8"/>
      <c r="G207" s="8"/>
      <c r="H207" s="8"/>
      <c r="I207" s="8"/>
      <c r="J207" s="8"/>
      <c r="K207" s="8"/>
      <c r="L207" s="8"/>
      <c r="M207" s="8"/>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8"/>
      <c r="AM207" s="8"/>
      <c r="AN207" s="8"/>
      <c r="AO207" s="1"/>
    </row>
    <row r="208" spans="1:41" x14ac:dyDescent="0.35">
      <c r="A208" s="6"/>
      <c r="B208" s="81"/>
      <c r="C208" s="83"/>
      <c r="D208" s="8"/>
      <c r="E208" s="8"/>
      <c r="F208" s="8"/>
      <c r="G208" s="8"/>
      <c r="H208" s="8"/>
      <c r="I208" s="8"/>
      <c r="J208" s="8"/>
      <c r="K208" s="8"/>
      <c r="L208" s="8"/>
      <c r="M208" s="8"/>
      <c r="N208" s="8"/>
      <c r="O208" s="8"/>
      <c r="P208" s="8"/>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1"/>
    </row>
    <row r="209" spans="1:41" x14ac:dyDescent="0.35">
      <c r="A209" s="6"/>
      <c r="B209" s="81"/>
      <c r="C209" s="83"/>
      <c r="D209" s="8"/>
      <c r="E209" s="8"/>
      <c r="F209" s="8"/>
      <c r="G209" s="8"/>
      <c r="H209" s="8"/>
      <c r="I209" s="8"/>
      <c r="J209" s="8"/>
      <c r="K209" s="8"/>
      <c r="L209" s="8"/>
      <c r="M209" s="8"/>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1"/>
    </row>
    <row r="210" spans="1:41" x14ac:dyDescent="0.35">
      <c r="A210" s="6"/>
      <c r="B210" s="81"/>
      <c r="C210" s="83"/>
      <c r="D210" s="8"/>
      <c r="E210" s="8"/>
      <c r="F210" s="8"/>
      <c r="G210" s="8"/>
      <c r="H210" s="8"/>
      <c r="I210" s="8"/>
      <c r="J210" s="8"/>
      <c r="K210" s="8"/>
      <c r="L210" s="8"/>
      <c r="M210" s="8"/>
      <c r="N210" s="8"/>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1"/>
    </row>
    <row r="211" spans="1:41" x14ac:dyDescent="0.35">
      <c r="A211" s="6"/>
      <c r="B211" s="81"/>
      <c r="C211" s="83"/>
      <c r="D211" s="8"/>
      <c r="E211" s="8"/>
      <c r="F211" s="8"/>
      <c r="G211" s="8"/>
      <c r="H211" s="8"/>
      <c r="I211" s="8"/>
      <c r="J211" s="8"/>
      <c r="K211" s="8"/>
      <c r="L211" s="8"/>
      <c r="M211" s="8"/>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1"/>
    </row>
    <row r="212" spans="1:41" x14ac:dyDescent="0.35">
      <c r="A212" s="6"/>
      <c r="B212" s="81"/>
      <c r="C212" s="83"/>
      <c r="D212" s="8"/>
      <c r="E212" s="8"/>
      <c r="F212" s="8"/>
      <c r="G212" s="8"/>
      <c r="H212" s="8"/>
      <c r="I212" s="8"/>
      <c r="J212" s="8"/>
      <c r="K212" s="8"/>
      <c r="L212" s="8"/>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1"/>
    </row>
    <row r="213" spans="1:41" x14ac:dyDescent="0.35">
      <c r="A213" s="6"/>
      <c r="B213" s="81"/>
      <c r="C213" s="83"/>
      <c r="D213" s="8"/>
      <c r="E213" s="8"/>
      <c r="F213" s="8"/>
      <c r="G213" s="8"/>
      <c r="H213" s="8"/>
      <c r="I213" s="8"/>
      <c r="J213" s="8"/>
      <c r="K213" s="8"/>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1"/>
    </row>
    <row r="214" spans="1:41" x14ac:dyDescent="0.35">
      <c r="A214" s="6"/>
      <c r="B214" s="81"/>
      <c r="C214" s="83"/>
      <c r="D214" s="8"/>
      <c r="E214" s="8"/>
      <c r="F214" s="8"/>
      <c r="G214" s="8"/>
      <c r="H214" s="8"/>
      <c r="I214" s="8"/>
      <c r="J214" s="8"/>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1"/>
    </row>
    <row r="215" spans="1:41" x14ac:dyDescent="0.35">
      <c r="A215" s="6"/>
      <c r="B215" s="81"/>
      <c r="C215" s="83"/>
      <c r="D215" s="8"/>
      <c r="E215" s="8"/>
      <c r="F215" s="8"/>
      <c r="G215" s="8"/>
      <c r="H215" s="8"/>
      <c r="I215" s="8"/>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1"/>
    </row>
    <row r="216" spans="1:41" x14ac:dyDescent="0.35">
      <c r="A216" s="6"/>
      <c r="B216" s="81"/>
      <c r="C216" s="83"/>
      <c r="D216" s="8"/>
      <c r="E216" s="8"/>
      <c r="F216" s="8"/>
      <c r="G216" s="8"/>
      <c r="H216" s="8"/>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1"/>
    </row>
    <row r="217" spans="1:41" x14ac:dyDescent="0.35">
      <c r="A217" s="6"/>
      <c r="B217" s="81"/>
      <c r="C217" s="83"/>
      <c r="D217" s="8"/>
      <c r="E217" s="8"/>
      <c r="F217" s="8"/>
      <c r="G217" s="8"/>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1"/>
    </row>
    <row r="218" spans="1:41" x14ac:dyDescent="0.35">
      <c r="A218" s="6"/>
      <c r="B218" s="81"/>
      <c r="C218" s="83"/>
      <c r="D218" s="8"/>
      <c r="E218" s="8"/>
      <c r="F218" s="8"/>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1"/>
    </row>
    <row r="219" spans="1:41" x14ac:dyDescent="0.35">
      <c r="A219" s="6"/>
      <c r="B219" s="81"/>
      <c r="C219" s="83"/>
      <c r="D219" s="8"/>
      <c r="E219" s="8"/>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1"/>
    </row>
    <row r="220" spans="1:41" x14ac:dyDescent="0.35">
      <c r="A220" s="6"/>
      <c r="B220" s="81"/>
      <c r="C220" s="83"/>
      <c r="D220" s="8"/>
      <c r="E220" s="8"/>
      <c r="F220" s="8"/>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1"/>
    </row>
    <row r="221" spans="1:41" x14ac:dyDescent="0.35">
      <c r="A221" s="6"/>
      <c r="B221" s="81"/>
      <c r="C221" s="83"/>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1"/>
    </row>
    <row r="222" spans="1:41" x14ac:dyDescent="0.35">
      <c r="A222" s="6"/>
      <c r="B222" s="81"/>
      <c r="C222" s="83"/>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1"/>
    </row>
    <row r="223" spans="1:41" x14ac:dyDescent="0.35">
      <c r="A223" s="6"/>
      <c r="B223" s="81"/>
      <c r="C223" s="83"/>
      <c r="D223" s="8"/>
      <c r="E223" s="8"/>
      <c r="F223" s="8"/>
      <c r="G223" s="8"/>
      <c r="H223" s="8"/>
      <c r="I223" s="8"/>
      <c r="J223" s="8"/>
      <c r="K223" s="8"/>
      <c r="L223" s="8"/>
      <c r="M223" s="8"/>
      <c r="N223" s="8"/>
      <c r="O223" s="8"/>
      <c r="P223" s="8"/>
      <c r="Q223" s="8"/>
      <c r="R223" s="8"/>
      <c r="S223" s="8"/>
      <c r="T223" s="8"/>
      <c r="U223" s="8"/>
      <c r="V223" s="8"/>
      <c r="W223" s="8"/>
      <c r="X223" s="8"/>
      <c r="Y223" s="8"/>
      <c r="Z223" s="8"/>
      <c r="AA223" s="8"/>
      <c r="AB223" s="8"/>
      <c r="AC223" s="8"/>
      <c r="AD223" s="8"/>
      <c r="AE223" s="8"/>
      <c r="AF223" s="8"/>
      <c r="AG223" s="8"/>
      <c r="AH223" s="8"/>
      <c r="AI223" s="8"/>
      <c r="AJ223" s="8"/>
      <c r="AK223" s="8"/>
      <c r="AL223" s="8"/>
      <c r="AM223" s="8"/>
      <c r="AN223" s="8"/>
      <c r="AO223" s="1"/>
    </row>
    <row r="224" spans="1:41" x14ac:dyDescent="0.35">
      <c r="A224" s="6"/>
      <c r="B224" s="81"/>
      <c r="C224" s="83"/>
      <c r="D224" s="8"/>
      <c r="E224" s="8"/>
      <c r="F224" s="8"/>
      <c r="G224" s="8"/>
      <c r="H224" s="8"/>
      <c r="I224" s="8"/>
      <c r="J224" s="8"/>
      <c r="K224" s="8"/>
      <c r="L224" s="8"/>
      <c r="M224" s="8"/>
      <c r="N224" s="8"/>
      <c r="O224" s="8"/>
      <c r="P224" s="8"/>
      <c r="Q224" s="8"/>
      <c r="R224" s="8"/>
      <c r="S224" s="8"/>
      <c r="T224" s="8"/>
      <c r="U224" s="8"/>
      <c r="V224" s="8"/>
      <c r="W224" s="8"/>
      <c r="X224" s="8"/>
      <c r="Y224" s="8"/>
      <c r="Z224" s="8"/>
      <c r="AA224" s="8"/>
      <c r="AB224" s="8"/>
      <c r="AC224" s="8"/>
      <c r="AD224" s="8"/>
      <c r="AE224" s="8"/>
      <c r="AF224" s="8"/>
      <c r="AG224" s="8"/>
      <c r="AH224" s="8"/>
      <c r="AI224" s="8"/>
      <c r="AJ224" s="8"/>
      <c r="AK224" s="8"/>
      <c r="AL224" s="8"/>
      <c r="AM224" s="8"/>
      <c r="AN224" s="8"/>
      <c r="AO224" s="1"/>
    </row>
    <row r="225" spans="1:41" x14ac:dyDescent="0.35">
      <c r="A225" s="6"/>
      <c r="B225" s="81"/>
      <c r="C225" s="83"/>
      <c r="D225" s="8"/>
      <c r="E225" s="8"/>
      <c r="F225" s="8"/>
      <c r="G225" s="8"/>
      <c r="H225" s="8"/>
      <c r="I225" s="8"/>
      <c r="J225" s="8"/>
      <c r="K225" s="8"/>
      <c r="L225" s="8"/>
      <c r="M225" s="8"/>
      <c r="N225" s="8"/>
      <c r="O225" s="8"/>
      <c r="P225" s="8"/>
      <c r="Q225" s="8"/>
      <c r="R225" s="8"/>
      <c r="S225" s="8"/>
      <c r="T225" s="8"/>
      <c r="U225" s="8"/>
      <c r="V225" s="8"/>
      <c r="W225" s="8"/>
      <c r="X225" s="8"/>
      <c r="Y225" s="8"/>
      <c r="Z225" s="8"/>
      <c r="AA225" s="8"/>
      <c r="AB225" s="8"/>
      <c r="AC225" s="8"/>
      <c r="AD225" s="8"/>
      <c r="AE225" s="8"/>
      <c r="AF225" s="8"/>
      <c r="AG225" s="8"/>
      <c r="AH225" s="8"/>
      <c r="AI225" s="8"/>
      <c r="AJ225" s="8"/>
      <c r="AK225" s="8"/>
      <c r="AL225" s="8"/>
      <c r="AM225" s="8"/>
      <c r="AN225" s="8"/>
      <c r="AO225" s="1"/>
    </row>
    <row r="226" spans="1:41" x14ac:dyDescent="0.35">
      <c r="A226" s="6"/>
      <c r="B226" s="81"/>
      <c r="C226" s="83"/>
      <c r="D226" s="8"/>
      <c r="E226" s="8"/>
      <c r="F226" s="8"/>
      <c r="G226" s="8"/>
      <c r="H226" s="8"/>
      <c r="I226" s="8"/>
      <c r="J226" s="8"/>
      <c r="K226" s="8"/>
      <c r="L226" s="8"/>
      <c r="M226" s="8"/>
      <c r="N226" s="8"/>
      <c r="O226" s="8"/>
      <c r="P226" s="8"/>
      <c r="Q226" s="8"/>
      <c r="R226" s="8"/>
      <c r="S226" s="8"/>
      <c r="T226" s="8"/>
      <c r="U226" s="8"/>
      <c r="V226" s="8"/>
      <c r="W226" s="8"/>
      <c r="X226" s="8"/>
      <c r="Y226" s="8"/>
      <c r="Z226" s="8"/>
      <c r="AA226" s="8"/>
      <c r="AB226" s="8"/>
      <c r="AC226" s="8"/>
      <c r="AD226" s="8"/>
      <c r="AE226" s="8"/>
      <c r="AF226" s="8"/>
      <c r="AG226" s="8"/>
      <c r="AH226" s="8"/>
      <c r="AI226" s="8"/>
      <c r="AJ226" s="8"/>
      <c r="AK226" s="8"/>
      <c r="AL226" s="8"/>
      <c r="AM226" s="8"/>
      <c r="AN226" s="8"/>
      <c r="AO226" s="1"/>
    </row>
    <row r="227" spans="1:41" x14ac:dyDescent="0.35">
      <c r="A227" s="6"/>
      <c r="B227" s="81"/>
      <c r="C227" s="83"/>
      <c r="D227" s="8"/>
      <c r="E227" s="8"/>
      <c r="F227" s="8"/>
      <c r="G227" s="8"/>
      <c r="H227" s="8"/>
      <c r="I227" s="8"/>
      <c r="J227" s="8"/>
      <c r="K227" s="8"/>
      <c r="L227" s="8"/>
      <c r="M227" s="8"/>
      <c r="N227" s="8"/>
      <c r="O227" s="8"/>
      <c r="P227" s="8"/>
      <c r="Q227" s="8"/>
      <c r="R227" s="8"/>
      <c r="S227" s="8"/>
      <c r="T227" s="8"/>
      <c r="U227" s="8"/>
      <c r="V227" s="8"/>
      <c r="W227" s="8"/>
      <c r="X227" s="8"/>
      <c r="Y227" s="8"/>
      <c r="Z227" s="8"/>
      <c r="AA227" s="8"/>
      <c r="AB227" s="8"/>
      <c r="AC227" s="8"/>
      <c r="AD227" s="8"/>
      <c r="AE227" s="8"/>
      <c r="AF227" s="8"/>
      <c r="AG227" s="8"/>
      <c r="AH227" s="8"/>
      <c r="AI227" s="8"/>
      <c r="AJ227" s="8"/>
      <c r="AK227" s="8"/>
      <c r="AL227" s="8"/>
      <c r="AM227" s="8"/>
      <c r="AN227" s="8"/>
      <c r="AO227" s="1"/>
    </row>
    <row r="228" spans="1:41" x14ac:dyDescent="0.35">
      <c r="A228" s="6"/>
      <c r="B228" s="81"/>
      <c r="C228" s="83"/>
      <c r="D228" s="8"/>
      <c r="E228" s="8"/>
      <c r="F228" s="8"/>
      <c r="G228" s="8"/>
      <c r="H228" s="8"/>
      <c r="I228" s="8"/>
      <c r="J228" s="8"/>
      <c r="K228" s="8"/>
      <c r="L228" s="8"/>
      <c r="M228" s="8"/>
      <c r="N228" s="8"/>
      <c r="O228" s="8"/>
      <c r="P228" s="8"/>
      <c r="Q228" s="8"/>
      <c r="R228" s="8"/>
      <c r="S228" s="8"/>
      <c r="T228" s="8"/>
      <c r="U228" s="8"/>
      <c r="V228" s="8"/>
      <c r="W228" s="8"/>
      <c r="X228" s="8"/>
      <c r="Y228" s="8"/>
      <c r="Z228" s="8"/>
      <c r="AA228" s="8"/>
      <c r="AB228" s="8"/>
      <c r="AC228" s="8"/>
      <c r="AD228" s="8"/>
      <c r="AE228" s="8"/>
      <c r="AF228" s="8"/>
      <c r="AG228" s="8"/>
      <c r="AH228" s="8"/>
      <c r="AI228" s="8"/>
      <c r="AJ228" s="8"/>
      <c r="AK228" s="8"/>
      <c r="AL228" s="8"/>
      <c r="AM228" s="8"/>
      <c r="AN228" s="8"/>
      <c r="AO228" s="1"/>
    </row>
    <row r="229" spans="1:41" x14ac:dyDescent="0.35">
      <c r="A229" s="6"/>
      <c r="B229" s="81"/>
      <c r="C229" s="83"/>
      <c r="D229" s="8"/>
      <c r="E229" s="8"/>
      <c r="F229" s="8"/>
      <c r="G229" s="8"/>
      <c r="H229" s="8"/>
      <c r="I229" s="8"/>
      <c r="J229" s="8"/>
      <c r="K229" s="8"/>
      <c r="L229" s="8"/>
      <c r="M229" s="8"/>
      <c r="N229" s="8"/>
      <c r="O229" s="8"/>
      <c r="P229" s="8"/>
      <c r="Q229" s="8"/>
      <c r="R229" s="8"/>
      <c r="S229" s="8"/>
      <c r="T229" s="8"/>
      <c r="U229" s="8"/>
      <c r="V229" s="8"/>
      <c r="W229" s="8"/>
      <c r="X229" s="8"/>
      <c r="Y229" s="8"/>
      <c r="Z229" s="8"/>
      <c r="AA229" s="8"/>
      <c r="AB229" s="8"/>
      <c r="AC229" s="8"/>
      <c r="AD229" s="8"/>
      <c r="AE229" s="8"/>
      <c r="AF229" s="8"/>
      <c r="AG229" s="8"/>
      <c r="AH229" s="8"/>
      <c r="AI229" s="8"/>
      <c r="AJ229" s="8"/>
      <c r="AK229" s="8"/>
      <c r="AL229" s="8"/>
      <c r="AM229" s="8"/>
      <c r="AN229" s="8"/>
      <c r="AO229" s="1"/>
    </row>
    <row r="230" spans="1:41" x14ac:dyDescent="0.35">
      <c r="A230" s="6"/>
      <c r="B230" s="81"/>
      <c r="C230" s="83"/>
      <c r="D230" s="8"/>
      <c r="E230" s="8"/>
      <c r="F230" s="8"/>
      <c r="G230" s="8"/>
      <c r="H230" s="8"/>
      <c r="I230" s="8"/>
      <c r="J230" s="8"/>
      <c r="K230" s="8"/>
      <c r="L230" s="8"/>
      <c r="M230" s="8"/>
      <c r="N230" s="8"/>
      <c r="O230" s="8"/>
      <c r="P230" s="8"/>
      <c r="Q230" s="8"/>
      <c r="R230" s="8"/>
      <c r="S230" s="8"/>
      <c r="T230" s="8"/>
      <c r="U230" s="8"/>
      <c r="V230" s="8"/>
      <c r="W230" s="8"/>
      <c r="X230" s="8"/>
      <c r="Y230" s="8"/>
      <c r="Z230" s="8"/>
      <c r="AA230" s="8"/>
      <c r="AB230" s="8"/>
      <c r="AC230" s="8"/>
      <c r="AD230" s="8"/>
      <c r="AE230" s="8"/>
      <c r="AF230" s="8"/>
      <c r="AG230" s="8"/>
      <c r="AH230" s="8"/>
      <c r="AI230" s="8"/>
      <c r="AJ230" s="8"/>
      <c r="AK230" s="8"/>
      <c r="AL230" s="8"/>
      <c r="AM230" s="8"/>
      <c r="AN230" s="8"/>
      <c r="AO230" s="1"/>
    </row>
    <row r="231" spans="1:41" x14ac:dyDescent="0.35">
      <c r="A231" s="6"/>
      <c r="B231" s="81"/>
      <c r="C231" s="83"/>
      <c r="D231" s="8"/>
      <c r="E231" s="8"/>
      <c r="F231" s="8"/>
      <c r="G231" s="8"/>
      <c r="H231" s="8"/>
      <c r="I231" s="8"/>
      <c r="J231" s="8"/>
      <c r="K231" s="8"/>
      <c r="L231" s="8"/>
      <c r="M231" s="8"/>
      <c r="N231" s="8"/>
      <c r="O231" s="8"/>
      <c r="P231" s="8"/>
      <c r="Q231" s="8"/>
      <c r="R231" s="8"/>
      <c r="S231" s="8"/>
      <c r="T231" s="8"/>
      <c r="U231" s="8"/>
      <c r="V231" s="8"/>
      <c r="W231" s="8"/>
      <c r="X231" s="8"/>
      <c r="Y231" s="8"/>
      <c r="Z231" s="8"/>
      <c r="AA231" s="8"/>
      <c r="AB231" s="8"/>
      <c r="AC231" s="8"/>
      <c r="AD231" s="8"/>
      <c r="AE231" s="8"/>
      <c r="AF231" s="8"/>
      <c r="AG231" s="8"/>
      <c r="AH231" s="8"/>
      <c r="AI231" s="8"/>
      <c r="AJ231" s="8"/>
      <c r="AK231" s="8"/>
      <c r="AL231" s="8"/>
      <c r="AM231" s="8"/>
      <c r="AN231" s="8"/>
      <c r="AO231" s="1"/>
    </row>
    <row r="232" spans="1:41" x14ac:dyDescent="0.35">
      <c r="A232" s="6"/>
      <c r="B232" s="81"/>
      <c r="C232" s="83"/>
      <c r="D232" s="8"/>
      <c r="E232" s="8"/>
      <c r="F232" s="8"/>
      <c r="G232" s="8"/>
      <c r="H232" s="8"/>
      <c r="I232" s="8"/>
      <c r="J232" s="8"/>
      <c r="K232" s="8"/>
      <c r="L232" s="8"/>
      <c r="M232" s="8"/>
      <c r="N232" s="8"/>
      <c r="O232" s="8"/>
      <c r="P232" s="8"/>
      <c r="Q232" s="8"/>
      <c r="R232" s="8"/>
      <c r="S232" s="8"/>
      <c r="T232" s="8"/>
      <c r="U232" s="8"/>
      <c r="V232" s="8"/>
      <c r="W232" s="8"/>
      <c r="X232" s="8"/>
      <c r="Y232" s="8"/>
      <c r="Z232" s="8"/>
      <c r="AA232" s="8"/>
      <c r="AB232" s="8"/>
      <c r="AC232" s="8"/>
      <c r="AD232" s="8"/>
      <c r="AE232" s="8"/>
      <c r="AF232" s="8"/>
      <c r="AG232" s="8"/>
      <c r="AH232" s="8"/>
      <c r="AI232" s="8"/>
      <c r="AJ232" s="8"/>
      <c r="AK232" s="8"/>
      <c r="AL232" s="8"/>
      <c r="AM232" s="8"/>
      <c r="AN232" s="8"/>
      <c r="AO232" s="1"/>
    </row>
    <row r="233" spans="1:41" x14ac:dyDescent="0.35">
      <c r="A233" s="6"/>
      <c r="B233" s="81"/>
      <c r="C233" s="83"/>
      <c r="D233" s="8"/>
      <c r="E233" s="8"/>
      <c r="F233" s="8"/>
      <c r="G233" s="8"/>
      <c r="H233" s="8"/>
      <c r="I233" s="8"/>
      <c r="J233" s="8"/>
      <c r="K233" s="8"/>
      <c r="L233" s="8"/>
      <c r="M233" s="8"/>
      <c r="N233" s="8"/>
      <c r="O233" s="8"/>
      <c r="P233" s="8"/>
      <c r="Q233" s="8"/>
      <c r="R233" s="8"/>
      <c r="S233" s="8"/>
      <c r="T233" s="8"/>
      <c r="U233" s="8"/>
      <c r="V233" s="8"/>
      <c r="W233" s="8"/>
      <c r="X233" s="8"/>
      <c r="Y233" s="8"/>
      <c r="Z233" s="8"/>
      <c r="AA233" s="8"/>
      <c r="AB233" s="8"/>
      <c r="AC233" s="8"/>
      <c r="AD233" s="8"/>
      <c r="AE233" s="8"/>
      <c r="AF233" s="8"/>
      <c r="AG233" s="8"/>
      <c r="AH233" s="8"/>
      <c r="AI233" s="8"/>
      <c r="AJ233" s="8"/>
      <c r="AK233" s="8"/>
      <c r="AL233" s="8"/>
      <c r="AM233" s="8"/>
      <c r="AN233" s="8"/>
      <c r="AO233" s="1"/>
    </row>
    <row r="234" spans="1:41" x14ac:dyDescent="0.35">
      <c r="A234" s="6"/>
      <c r="B234" s="81"/>
      <c r="C234" s="83"/>
      <c r="D234" s="8"/>
      <c r="E234" s="8"/>
      <c r="F234" s="8"/>
      <c r="G234" s="8"/>
      <c r="H234" s="8"/>
      <c r="I234" s="8"/>
      <c r="J234" s="8"/>
      <c r="K234" s="8"/>
      <c r="L234" s="8"/>
      <c r="M234" s="8"/>
      <c r="N234" s="8"/>
      <c r="O234" s="8"/>
      <c r="P234" s="8"/>
      <c r="Q234" s="8"/>
      <c r="R234" s="8"/>
      <c r="S234" s="8"/>
      <c r="T234" s="8"/>
      <c r="U234" s="8"/>
      <c r="V234" s="8"/>
      <c r="W234" s="8"/>
      <c r="X234" s="8"/>
      <c r="Y234" s="8"/>
      <c r="Z234" s="8"/>
      <c r="AA234" s="8"/>
      <c r="AB234" s="8"/>
      <c r="AC234" s="8"/>
      <c r="AD234" s="8"/>
      <c r="AE234" s="8"/>
      <c r="AF234" s="8"/>
      <c r="AG234" s="8"/>
      <c r="AH234" s="8"/>
      <c r="AI234" s="8"/>
      <c r="AJ234" s="8"/>
      <c r="AK234" s="8"/>
      <c r="AL234" s="8"/>
      <c r="AM234" s="8"/>
      <c r="AN234" s="8"/>
      <c r="AO234" s="1"/>
    </row>
    <row r="235" spans="1:41" x14ac:dyDescent="0.35">
      <c r="A235" s="6"/>
      <c r="B235" s="81"/>
      <c r="C235" s="83"/>
      <c r="D235" s="8"/>
      <c r="E235" s="8"/>
      <c r="F235" s="8"/>
      <c r="G235" s="8"/>
      <c r="H235" s="8"/>
      <c r="I235" s="8"/>
      <c r="J235" s="8"/>
      <c r="K235" s="8"/>
      <c r="L235" s="8"/>
      <c r="M235" s="8"/>
      <c r="N235" s="8"/>
      <c r="O235" s="8"/>
      <c r="P235" s="8"/>
      <c r="Q235" s="8"/>
      <c r="R235" s="8"/>
      <c r="S235" s="8"/>
      <c r="T235" s="8"/>
      <c r="U235" s="8"/>
      <c r="V235" s="8"/>
      <c r="W235" s="8"/>
      <c r="X235" s="8"/>
      <c r="Y235" s="8"/>
      <c r="Z235" s="8"/>
      <c r="AA235" s="8"/>
      <c r="AB235" s="8"/>
      <c r="AC235" s="8"/>
      <c r="AD235" s="8"/>
      <c r="AE235" s="8"/>
      <c r="AF235" s="8"/>
      <c r="AG235" s="8"/>
      <c r="AH235" s="8"/>
      <c r="AI235" s="8"/>
      <c r="AJ235" s="8"/>
      <c r="AK235" s="8"/>
      <c r="AL235" s="8"/>
      <c r="AM235" s="8"/>
      <c r="AN235" s="8"/>
      <c r="AO235" s="1"/>
    </row>
    <row r="236" spans="1:41" x14ac:dyDescent="0.35">
      <c r="A236" s="6"/>
      <c r="B236" s="81"/>
      <c r="C236" s="83"/>
      <c r="D236" s="8"/>
      <c r="E236" s="8"/>
      <c r="F236" s="8"/>
      <c r="G236" s="8"/>
      <c r="H236" s="8"/>
      <c r="I236" s="8"/>
      <c r="J236" s="8"/>
      <c r="K236" s="8"/>
      <c r="L236" s="8"/>
      <c r="M236" s="8"/>
      <c r="N236" s="8"/>
      <c r="O236" s="8"/>
      <c r="P236" s="8"/>
      <c r="Q236" s="8"/>
      <c r="R236" s="8"/>
      <c r="S236" s="8"/>
      <c r="T236" s="8"/>
      <c r="U236" s="8"/>
      <c r="V236" s="8"/>
      <c r="W236" s="8"/>
      <c r="X236" s="8"/>
      <c r="Y236" s="8"/>
      <c r="Z236" s="8"/>
      <c r="AA236" s="8"/>
      <c r="AB236" s="8"/>
      <c r="AC236" s="8"/>
      <c r="AD236" s="8"/>
      <c r="AE236" s="8"/>
      <c r="AF236" s="8"/>
      <c r="AG236" s="8"/>
      <c r="AH236" s="8"/>
      <c r="AI236" s="8"/>
      <c r="AJ236" s="8"/>
      <c r="AK236" s="8"/>
      <c r="AL236" s="8"/>
      <c r="AM236" s="8"/>
      <c r="AN236" s="8"/>
      <c r="AO236" s="1"/>
    </row>
    <row r="237" spans="1:41" x14ac:dyDescent="0.35">
      <c r="A237" s="6"/>
      <c r="B237" s="81"/>
      <c r="C237" s="83"/>
      <c r="D237" s="8"/>
      <c r="E237" s="8"/>
      <c r="F237" s="8"/>
      <c r="G237" s="8"/>
      <c r="H237" s="8"/>
      <c r="I237" s="8"/>
      <c r="J237" s="8"/>
      <c r="K237" s="8"/>
      <c r="L237" s="8"/>
      <c r="M237" s="8"/>
      <c r="N237" s="8"/>
      <c r="O237" s="8"/>
      <c r="P237" s="8"/>
      <c r="Q237" s="8"/>
      <c r="R237" s="8"/>
      <c r="S237" s="8"/>
      <c r="T237" s="8"/>
      <c r="U237" s="8"/>
      <c r="V237" s="8"/>
      <c r="W237" s="8"/>
      <c r="X237" s="8"/>
      <c r="Y237" s="8"/>
      <c r="Z237" s="8"/>
      <c r="AA237" s="8"/>
      <c r="AB237" s="8"/>
      <c r="AC237" s="8"/>
      <c r="AD237" s="8"/>
      <c r="AE237" s="8"/>
      <c r="AF237" s="8"/>
      <c r="AG237" s="8"/>
      <c r="AH237" s="8"/>
      <c r="AI237" s="8"/>
      <c r="AJ237" s="8"/>
      <c r="AK237" s="8"/>
      <c r="AL237" s="8"/>
      <c r="AM237" s="8"/>
      <c r="AN237" s="8"/>
      <c r="AO237" s="1"/>
    </row>
    <row r="238" spans="1:41" x14ac:dyDescent="0.35">
      <c r="A238" s="6"/>
      <c r="B238" s="81"/>
      <c r="C238" s="83"/>
      <c r="D238" s="8"/>
      <c r="E238" s="8"/>
      <c r="F238" s="8"/>
      <c r="G238" s="8"/>
      <c r="H238" s="8"/>
      <c r="I238" s="8"/>
      <c r="J238" s="8"/>
      <c r="K238" s="8"/>
      <c r="L238" s="8"/>
      <c r="M238" s="8"/>
      <c r="N238" s="8"/>
      <c r="O238" s="8"/>
      <c r="P238" s="8"/>
      <c r="Q238" s="8"/>
      <c r="R238" s="8"/>
      <c r="S238" s="8"/>
      <c r="T238" s="8"/>
      <c r="U238" s="8"/>
      <c r="V238" s="8"/>
      <c r="W238" s="8"/>
      <c r="X238" s="8"/>
      <c r="Y238" s="8"/>
      <c r="Z238" s="8"/>
      <c r="AA238" s="8"/>
      <c r="AB238" s="8"/>
      <c r="AC238" s="8"/>
      <c r="AD238" s="8"/>
      <c r="AE238" s="8"/>
      <c r="AF238" s="8"/>
      <c r="AG238" s="8"/>
      <c r="AH238" s="8"/>
      <c r="AI238" s="8"/>
      <c r="AJ238" s="8"/>
      <c r="AK238" s="8"/>
      <c r="AL238" s="8"/>
      <c r="AM238" s="8"/>
      <c r="AN238" s="8"/>
      <c r="AO238" s="1"/>
    </row>
    <row r="239" spans="1:41" x14ac:dyDescent="0.35">
      <c r="A239" s="6"/>
      <c r="B239" s="81"/>
      <c r="C239" s="83"/>
      <c r="D239" s="8"/>
      <c r="E239" s="8"/>
      <c r="F239" s="8"/>
      <c r="G239" s="8"/>
      <c r="H239" s="8"/>
      <c r="I239" s="8"/>
      <c r="J239" s="8"/>
      <c r="K239" s="8"/>
      <c r="L239" s="8"/>
      <c r="M239" s="8"/>
      <c r="N239" s="8"/>
      <c r="O239" s="8"/>
      <c r="P239" s="8"/>
      <c r="Q239" s="8"/>
      <c r="R239" s="8"/>
      <c r="S239" s="8"/>
      <c r="T239" s="8"/>
      <c r="U239" s="8"/>
      <c r="V239" s="8"/>
      <c r="W239" s="8"/>
      <c r="X239" s="8"/>
      <c r="Y239" s="8"/>
      <c r="Z239" s="8"/>
      <c r="AA239" s="8"/>
      <c r="AB239" s="8"/>
      <c r="AC239" s="8"/>
      <c r="AD239" s="8"/>
      <c r="AE239" s="8"/>
      <c r="AF239" s="8"/>
      <c r="AG239" s="8"/>
      <c r="AH239" s="8"/>
      <c r="AI239" s="8"/>
      <c r="AJ239" s="8"/>
      <c r="AK239" s="8"/>
      <c r="AL239" s="8"/>
      <c r="AM239" s="8"/>
      <c r="AN239" s="8"/>
      <c r="AO239" s="1"/>
    </row>
    <row r="240" spans="1:41" x14ac:dyDescent="0.35">
      <c r="A240" s="6"/>
      <c r="B240" s="81"/>
      <c r="C240" s="83"/>
      <c r="D240" s="8"/>
      <c r="E240" s="8"/>
      <c r="F240" s="8"/>
      <c r="G240" s="8"/>
      <c r="H240" s="8"/>
      <c r="I240" s="8"/>
      <c r="J240" s="8"/>
      <c r="K240" s="8"/>
      <c r="L240" s="8"/>
      <c r="M240" s="8"/>
      <c r="N240" s="8"/>
      <c r="O240" s="8"/>
      <c r="P240" s="8"/>
      <c r="Q240" s="8"/>
      <c r="R240" s="8"/>
      <c r="S240" s="8"/>
      <c r="T240" s="8"/>
      <c r="U240" s="8"/>
      <c r="V240" s="8"/>
      <c r="W240" s="8"/>
      <c r="X240" s="8"/>
      <c r="Y240" s="8"/>
      <c r="Z240" s="8"/>
      <c r="AA240" s="8"/>
      <c r="AB240" s="8"/>
      <c r="AC240" s="8"/>
      <c r="AD240" s="8"/>
      <c r="AE240" s="8"/>
      <c r="AF240" s="8"/>
      <c r="AG240" s="8"/>
      <c r="AH240" s="8"/>
      <c r="AI240" s="8"/>
      <c r="AJ240" s="8"/>
      <c r="AK240" s="8"/>
      <c r="AL240" s="8"/>
      <c r="AM240" s="8"/>
      <c r="AN240" s="8"/>
      <c r="AO240" s="1"/>
    </row>
    <row r="241" spans="1:41" x14ac:dyDescent="0.35">
      <c r="A241" s="6"/>
      <c r="B241" s="81"/>
      <c r="C241" s="83"/>
      <c r="D241" s="8"/>
      <c r="E241" s="8"/>
      <c r="F241" s="8"/>
      <c r="G241" s="8"/>
      <c r="H241" s="8"/>
      <c r="I241" s="8"/>
      <c r="J241" s="8"/>
      <c r="K241" s="8"/>
      <c r="L241" s="8"/>
      <c r="M241" s="8"/>
      <c r="N241" s="8"/>
      <c r="O241" s="8"/>
      <c r="P241" s="8"/>
      <c r="Q241" s="8"/>
      <c r="R241" s="8"/>
      <c r="S241" s="8"/>
      <c r="T241" s="8"/>
      <c r="U241" s="8"/>
      <c r="V241" s="8"/>
      <c r="W241" s="8"/>
      <c r="X241" s="8"/>
      <c r="Y241" s="8"/>
      <c r="Z241" s="8"/>
      <c r="AA241" s="8"/>
      <c r="AB241" s="8"/>
      <c r="AC241" s="8"/>
      <c r="AD241" s="8"/>
      <c r="AE241" s="8"/>
      <c r="AF241" s="8"/>
      <c r="AG241" s="8"/>
      <c r="AH241" s="8"/>
      <c r="AI241" s="8"/>
      <c r="AJ241" s="8"/>
      <c r="AK241" s="8"/>
      <c r="AL241" s="8"/>
      <c r="AM241" s="8"/>
      <c r="AN241" s="8"/>
      <c r="AO241" s="1"/>
    </row>
    <row r="242" spans="1:41" x14ac:dyDescent="0.35">
      <c r="A242" s="6"/>
      <c r="B242" s="81"/>
      <c r="C242" s="83"/>
      <c r="D242" s="8"/>
      <c r="E242" s="8"/>
      <c r="F242" s="8"/>
      <c r="G242" s="8"/>
      <c r="H242" s="8"/>
      <c r="I242" s="8"/>
      <c r="J242" s="8"/>
      <c r="K242" s="8"/>
      <c r="L242" s="8"/>
      <c r="M242" s="8"/>
      <c r="N242" s="8"/>
      <c r="O242" s="8"/>
      <c r="P242" s="8"/>
      <c r="Q242" s="8"/>
      <c r="R242" s="8"/>
      <c r="S242" s="8"/>
      <c r="T242" s="8"/>
      <c r="U242" s="8"/>
      <c r="V242" s="8"/>
      <c r="W242" s="8"/>
      <c r="X242" s="8"/>
      <c r="Y242" s="8"/>
      <c r="Z242" s="8"/>
      <c r="AA242" s="8"/>
      <c r="AB242" s="8"/>
      <c r="AC242" s="8"/>
      <c r="AD242" s="8"/>
      <c r="AE242" s="8"/>
      <c r="AF242" s="8"/>
      <c r="AG242" s="8"/>
      <c r="AH242" s="8"/>
      <c r="AI242" s="8"/>
      <c r="AJ242" s="8"/>
      <c r="AK242" s="8"/>
      <c r="AL242" s="8"/>
      <c r="AM242" s="8"/>
      <c r="AN242" s="8"/>
      <c r="AO242" s="1"/>
    </row>
    <row r="243" spans="1:41" x14ac:dyDescent="0.35">
      <c r="A243" s="6"/>
      <c r="B243" s="81"/>
      <c r="C243" s="83"/>
      <c r="D243" s="8"/>
      <c r="E243" s="8"/>
      <c r="F243" s="8"/>
      <c r="G243" s="8"/>
      <c r="H243" s="8"/>
      <c r="I243" s="8"/>
      <c r="J243" s="8"/>
      <c r="K243" s="8"/>
      <c r="L243" s="8"/>
      <c r="M243" s="8"/>
      <c r="N243" s="8"/>
      <c r="O243" s="8"/>
      <c r="P243" s="8"/>
      <c r="Q243" s="8"/>
      <c r="R243" s="8"/>
      <c r="S243" s="8"/>
      <c r="T243" s="8"/>
      <c r="U243" s="8"/>
      <c r="V243" s="8"/>
      <c r="W243" s="8"/>
      <c r="X243" s="8"/>
      <c r="Y243" s="8"/>
      <c r="Z243" s="8"/>
      <c r="AA243" s="8"/>
      <c r="AB243" s="8"/>
      <c r="AC243" s="8"/>
      <c r="AD243" s="8"/>
      <c r="AE243" s="8"/>
      <c r="AF243" s="8"/>
      <c r="AG243" s="8"/>
      <c r="AH243" s="8"/>
      <c r="AI243" s="8"/>
      <c r="AJ243" s="8"/>
      <c r="AK243" s="8"/>
      <c r="AL243" s="8"/>
      <c r="AM243" s="8"/>
      <c r="AN243" s="8"/>
      <c r="AO243" s="1"/>
    </row>
    <row r="244" spans="1:41" x14ac:dyDescent="0.35">
      <c r="A244" s="6"/>
      <c r="B244" s="81"/>
      <c r="C244" s="83"/>
      <c r="D244" s="8"/>
      <c r="E244" s="8"/>
      <c r="F244" s="8"/>
      <c r="G244" s="8"/>
      <c r="H244" s="8"/>
      <c r="I244" s="8"/>
      <c r="J244" s="8"/>
      <c r="K244" s="8"/>
      <c r="L244" s="8"/>
      <c r="M244" s="8"/>
      <c r="N244" s="8"/>
      <c r="O244" s="8"/>
      <c r="P244" s="8"/>
      <c r="Q244" s="8"/>
      <c r="R244" s="8"/>
      <c r="S244" s="8"/>
      <c r="T244" s="8"/>
      <c r="U244" s="8"/>
      <c r="V244" s="8"/>
      <c r="W244" s="8"/>
      <c r="X244" s="8"/>
      <c r="Y244" s="8"/>
      <c r="Z244" s="8"/>
      <c r="AA244" s="8"/>
      <c r="AB244" s="8"/>
      <c r="AC244" s="8"/>
      <c r="AD244" s="8"/>
      <c r="AE244" s="8"/>
      <c r="AF244" s="8"/>
      <c r="AG244" s="8"/>
      <c r="AH244" s="8"/>
      <c r="AI244" s="8"/>
      <c r="AJ244" s="8"/>
      <c r="AK244" s="8"/>
      <c r="AL244" s="8"/>
      <c r="AM244" s="8"/>
      <c r="AN244" s="8"/>
      <c r="AO244" s="1"/>
    </row>
    <row r="245" spans="1:41" x14ac:dyDescent="0.35">
      <c r="A245" s="6"/>
      <c r="B245" s="81"/>
      <c r="C245" s="83"/>
      <c r="D245" s="8"/>
      <c r="E245" s="8"/>
      <c r="F245" s="8"/>
      <c r="G245" s="8"/>
      <c r="H245" s="8"/>
      <c r="I245" s="8"/>
      <c r="J245" s="8"/>
      <c r="K245" s="8"/>
      <c r="L245" s="8"/>
      <c r="M245" s="8"/>
      <c r="N245" s="8"/>
      <c r="O245" s="8"/>
      <c r="P245" s="8"/>
      <c r="Q245" s="8"/>
      <c r="R245" s="8"/>
      <c r="S245" s="8"/>
      <c r="T245" s="8"/>
      <c r="U245" s="8"/>
      <c r="V245" s="8"/>
      <c r="W245" s="8"/>
      <c r="X245" s="8"/>
      <c r="Y245" s="8"/>
      <c r="Z245" s="8"/>
      <c r="AA245" s="8"/>
      <c r="AB245" s="8"/>
      <c r="AC245" s="8"/>
      <c r="AD245" s="8"/>
      <c r="AE245" s="8"/>
      <c r="AF245" s="8"/>
      <c r="AG245" s="8"/>
      <c r="AH245" s="8"/>
      <c r="AI245" s="8"/>
      <c r="AJ245" s="8"/>
      <c r="AK245" s="8"/>
      <c r="AL245" s="8"/>
      <c r="AM245" s="8"/>
      <c r="AN245" s="8"/>
      <c r="AO245" s="1"/>
    </row>
    <row r="246" spans="1:41" x14ac:dyDescent="0.35">
      <c r="A246" s="6"/>
      <c r="B246" s="81"/>
      <c r="C246" s="83"/>
      <c r="D246" s="8"/>
      <c r="E246" s="8"/>
      <c r="F246" s="8"/>
      <c r="G246" s="8"/>
      <c r="H246" s="8"/>
      <c r="I246" s="8"/>
      <c r="J246" s="8"/>
      <c r="K246" s="8"/>
      <c r="L246" s="8"/>
      <c r="M246" s="8"/>
      <c r="N246" s="8"/>
      <c r="O246" s="8"/>
      <c r="P246" s="8"/>
      <c r="Q246" s="8"/>
      <c r="R246" s="8"/>
      <c r="S246" s="8"/>
      <c r="T246" s="8"/>
      <c r="U246" s="8"/>
      <c r="V246" s="8"/>
      <c r="W246" s="8"/>
      <c r="X246" s="8"/>
      <c r="Y246" s="8"/>
      <c r="Z246" s="8"/>
      <c r="AA246" s="8"/>
      <c r="AB246" s="8"/>
      <c r="AC246" s="8"/>
      <c r="AD246" s="8"/>
      <c r="AE246" s="8"/>
      <c r="AF246" s="8"/>
      <c r="AG246" s="8"/>
      <c r="AH246" s="8"/>
      <c r="AI246" s="8"/>
      <c r="AJ246" s="8"/>
      <c r="AK246" s="8"/>
      <c r="AL246" s="8"/>
      <c r="AM246" s="8"/>
      <c r="AN246" s="8"/>
      <c r="AO246" s="1"/>
    </row>
    <row r="247" spans="1:41" x14ac:dyDescent="0.35">
      <c r="A247" s="6"/>
      <c r="B247" s="81"/>
      <c r="C247" s="83"/>
      <c r="D247" s="8"/>
      <c r="E247" s="8"/>
      <c r="F247" s="8"/>
      <c r="G247" s="8"/>
      <c r="H247" s="8"/>
      <c r="I247" s="8"/>
      <c r="J247" s="8"/>
      <c r="K247" s="8"/>
      <c r="L247" s="8"/>
      <c r="M247" s="8"/>
      <c r="N247" s="8"/>
      <c r="O247" s="8"/>
      <c r="P247" s="8"/>
      <c r="Q247" s="8"/>
      <c r="R247" s="8"/>
      <c r="S247" s="8"/>
      <c r="T247" s="8"/>
      <c r="U247" s="8"/>
      <c r="V247" s="8"/>
      <c r="W247" s="8"/>
      <c r="X247" s="8"/>
      <c r="Y247" s="8"/>
      <c r="Z247" s="8"/>
      <c r="AA247" s="8"/>
      <c r="AB247" s="8"/>
      <c r="AC247" s="8"/>
      <c r="AD247" s="8"/>
      <c r="AE247" s="8"/>
      <c r="AF247" s="8"/>
      <c r="AG247" s="8"/>
      <c r="AH247" s="8"/>
      <c r="AI247" s="8"/>
      <c r="AJ247" s="8"/>
      <c r="AK247" s="8"/>
      <c r="AL247" s="8"/>
      <c r="AM247" s="8"/>
      <c r="AN247" s="8"/>
      <c r="AO247" s="1"/>
    </row>
    <row r="248" spans="1:41" x14ac:dyDescent="0.35">
      <c r="A248" s="6"/>
      <c r="B248" s="81"/>
      <c r="C248" s="83"/>
      <c r="D248" s="8"/>
      <c r="E248" s="8"/>
      <c r="F248" s="8"/>
      <c r="G248" s="8"/>
      <c r="H248" s="8"/>
      <c r="I248" s="8"/>
      <c r="J248" s="8"/>
      <c r="K248" s="8"/>
      <c r="L248" s="8"/>
      <c r="M248" s="8"/>
      <c r="N248" s="8"/>
      <c r="O248" s="8"/>
      <c r="P248" s="8"/>
      <c r="Q248" s="8"/>
      <c r="R248" s="8"/>
      <c r="S248" s="8"/>
      <c r="T248" s="8"/>
      <c r="U248" s="8"/>
      <c r="V248" s="8"/>
      <c r="W248" s="8"/>
      <c r="X248" s="8"/>
      <c r="Y248" s="8"/>
      <c r="Z248" s="8"/>
      <c r="AA248" s="8"/>
      <c r="AB248" s="8"/>
      <c r="AC248" s="8"/>
      <c r="AD248" s="8"/>
      <c r="AE248" s="8"/>
      <c r="AF248" s="8"/>
      <c r="AG248" s="8"/>
      <c r="AH248" s="8"/>
      <c r="AI248" s="8"/>
      <c r="AJ248" s="8"/>
      <c r="AK248" s="8"/>
      <c r="AL248" s="8"/>
      <c r="AM248" s="8"/>
      <c r="AN248" s="8"/>
      <c r="AO248" s="1"/>
    </row>
    <row r="249" spans="1:41" x14ac:dyDescent="0.35">
      <c r="A249" s="6"/>
      <c r="B249" s="81"/>
      <c r="C249" s="83"/>
      <c r="D249" s="8"/>
      <c r="E249" s="8"/>
      <c r="F249" s="8"/>
      <c r="G249" s="8"/>
      <c r="H249" s="8"/>
      <c r="I249" s="8"/>
      <c r="J249" s="8"/>
      <c r="K249" s="8"/>
      <c r="L249" s="8"/>
      <c r="M249" s="8"/>
      <c r="N249" s="8"/>
      <c r="O249" s="8"/>
      <c r="P249" s="8"/>
      <c r="Q249" s="8"/>
      <c r="R249" s="8"/>
      <c r="S249" s="8"/>
      <c r="T249" s="8"/>
      <c r="U249" s="8"/>
      <c r="V249" s="8"/>
      <c r="W249" s="8"/>
      <c r="X249" s="8"/>
      <c r="Y249" s="8"/>
      <c r="Z249" s="8"/>
      <c r="AA249" s="8"/>
      <c r="AB249" s="8"/>
      <c r="AC249" s="8"/>
      <c r="AD249" s="8"/>
      <c r="AE249" s="8"/>
      <c r="AF249" s="8"/>
      <c r="AG249" s="8"/>
      <c r="AH249" s="8"/>
      <c r="AI249" s="8"/>
      <c r="AJ249" s="8"/>
      <c r="AK249" s="8"/>
      <c r="AL249" s="8"/>
      <c r="AM249" s="8"/>
      <c r="AN249" s="8"/>
      <c r="AO249" s="1"/>
    </row>
    <row r="250" spans="1:41" x14ac:dyDescent="0.35">
      <c r="A250" s="6"/>
      <c r="B250" s="81"/>
      <c r="C250" s="83"/>
      <c r="D250" s="8"/>
      <c r="E250" s="8"/>
      <c r="F250" s="8"/>
      <c r="G250" s="8"/>
      <c r="H250" s="8"/>
      <c r="I250" s="8"/>
      <c r="J250" s="8"/>
      <c r="K250" s="8"/>
      <c r="L250" s="8"/>
      <c r="M250" s="8"/>
      <c r="N250" s="8"/>
      <c r="O250" s="8"/>
      <c r="P250" s="8"/>
      <c r="Q250" s="8"/>
      <c r="R250" s="8"/>
      <c r="S250" s="8"/>
      <c r="T250" s="8"/>
      <c r="U250" s="8"/>
      <c r="V250" s="8"/>
      <c r="W250" s="8"/>
      <c r="X250" s="8"/>
      <c r="Y250" s="8"/>
      <c r="Z250" s="8"/>
      <c r="AA250" s="8"/>
      <c r="AB250" s="8"/>
      <c r="AC250" s="8"/>
      <c r="AD250" s="8"/>
      <c r="AE250" s="8"/>
      <c r="AF250" s="8"/>
      <c r="AG250" s="8"/>
      <c r="AH250" s="8"/>
      <c r="AI250" s="8"/>
      <c r="AJ250" s="8"/>
      <c r="AK250" s="8"/>
      <c r="AL250" s="8"/>
      <c r="AM250" s="8"/>
      <c r="AN250" s="8"/>
      <c r="AO250" s="1"/>
    </row>
    <row r="251" spans="1:41" x14ac:dyDescent="0.35">
      <c r="A251" s="6"/>
      <c r="B251" s="81"/>
      <c r="C251" s="83"/>
      <c r="D251" s="8"/>
      <c r="E251" s="8"/>
      <c r="F251" s="8"/>
      <c r="G251" s="8"/>
      <c r="H251" s="8"/>
      <c r="I251" s="8"/>
      <c r="J251" s="8"/>
      <c r="K251" s="8"/>
      <c r="L251" s="8"/>
      <c r="M251" s="8"/>
      <c r="N251" s="8"/>
      <c r="O251" s="8"/>
      <c r="P251" s="8"/>
      <c r="Q251" s="8"/>
      <c r="R251" s="8"/>
      <c r="S251" s="8"/>
      <c r="T251" s="8"/>
      <c r="U251" s="8"/>
      <c r="V251" s="8"/>
      <c r="W251" s="8"/>
      <c r="X251" s="8"/>
      <c r="Y251" s="8"/>
      <c r="Z251" s="8"/>
      <c r="AA251" s="8"/>
      <c r="AB251" s="8"/>
      <c r="AC251" s="8"/>
      <c r="AD251" s="8"/>
      <c r="AE251" s="8"/>
      <c r="AF251" s="8"/>
      <c r="AG251" s="8"/>
      <c r="AH251" s="8"/>
      <c r="AI251" s="8"/>
      <c r="AJ251" s="8"/>
      <c r="AK251" s="8"/>
      <c r="AL251" s="8"/>
      <c r="AM251" s="8"/>
      <c r="AN251" s="8"/>
      <c r="AO251" s="1"/>
    </row>
    <row r="252" spans="1:41" x14ac:dyDescent="0.35">
      <c r="A252" s="6"/>
      <c r="B252" s="81"/>
      <c r="C252" s="83"/>
      <c r="D252" s="8"/>
      <c r="E252" s="8"/>
      <c r="F252" s="8"/>
      <c r="G252" s="8"/>
      <c r="H252" s="8"/>
      <c r="I252" s="8"/>
      <c r="J252" s="8"/>
      <c r="K252" s="8"/>
      <c r="L252" s="8"/>
      <c r="M252" s="8"/>
      <c r="N252" s="8"/>
      <c r="O252" s="8"/>
      <c r="P252" s="8"/>
      <c r="Q252" s="8"/>
      <c r="R252" s="8"/>
      <c r="S252" s="8"/>
      <c r="T252" s="8"/>
      <c r="U252" s="8"/>
      <c r="V252" s="8"/>
      <c r="W252" s="8"/>
      <c r="X252" s="8"/>
      <c r="Y252" s="8"/>
      <c r="Z252" s="8"/>
      <c r="AA252" s="8"/>
      <c r="AB252" s="8"/>
      <c r="AC252" s="8"/>
      <c r="AD252" s="8"/>
      <c r="AE252" s="8"/>
      <c r="AF252" s="8"/>
      <c r="AG252" s="8"/>
      <c r="AH252" s="8"/>
      <c r="AI252" s="8"/>
      <c r="AJ252" s="8"/>
      <c r="AK252" s="8"/>
      <c r="AL252" s="8"/>
      <c r="AM252" s="8"/>
      <c r="AN252" s="8"/>
      <c r="AO252" s="1"/>
    </row>
    <row r="253" spans="1:41" x14ac:dyDescent="0.35">
      <c r="A253" s="6"/>
      <c r="B253" s="81"/>
      <c r="C253" s="83"/>
      <c r="D253" s="8"/>
      <c r="E253" s="8"/>
      <c r="F253" s="8"/>
      <c r="G253" s="8"/>
      <c r="H253" s="8"/>
      <c r="I253" s="8"/>
      <c r="J253" s="8"/>
      <c r="K253" s="8"/>
      <c r="L253" s="8"/>
      <c r="M253" s="8"/>
      <c r="N253" s="8"/>
      <c r="O253" s="8"/>
      <c r="P253" s="8"/>
      <c r="Q253" s="8"/>
      <c r="R253" s="8"/>
      <c r="S253" s="8"/>
      <c r="T253" s="8"/>
      <c r="U253" s="8"/>
      <c r="V253" s="8"/>
      <c r="W253" s="8"/>
      <c r="X253" s="8"/>
      <c r="Y253" s="8"/>
      <c r="Z253" s="8"/>
      <c r="AA253" s="8"/>
      <c r="AB253" s="8"/>
      <c r="AC253" s="8"/>
      <c r="AD253" s="8"/>
      <c r="AE253" s="8"/>
      <c r="AF253" s="8"/>
      <c r="AG253" s="8"/>
      <c r="AH253" s="8"/>
      <c r="AI253" s="8"/>
      <c r="AJ253" s="8"/>
      <c r="AK253" s="8"/>
      <c r="AL253" s="8"/>
      <c r="AM253" s="8"/>
      <c r="AN253" s="8"/>
      <c r="AO253" s="1"/>
    </row>
    <row r="254" spans="1:41" x14ac:dyDescent="0.35">
      <c r="A254" s="6"/>
      <c r="B254" s="81"/>
      <c r="C254" s="83"/>
      <c r="D254" s="8"/>
      <c r="E254" s="8"/>
      <c r="F254" s="8"/>
      <c r="G254" s="8"/>
      <c r="H254" s="8"/>
      <c r="I254" s="8"/>
      <c r="J254" s="8"/>
      <c r="K254" s="8"/>
      <c r="L254" s="8"/>
      <c r="M254" s="8"/>
      <c r="N254" s="8"/>
      <c r="O254" s="8"/>
      <c r="P254" s="8"/>
      <c r="Q254" s="8"/>
      <c r="R254" s="8"/>
      <c r="S254" s="8"/>
      <c r="T254" s="8"/>
      <c r="U254" s="8"/>
      <c r="V254" s="8"/>
      <c r="W254" s="8"/>
      <c r="X254" s="8"/>
      <c r="Y254" s="8"/>
      <c r="Z254" s="8"/>
      <c r="AA254" s="8"/>
      <c r="AB254" s="8"/>
      <c r="AC254" s="8"/>
      <c r="AD254" s="8"/>
      <c r="AE254" s="8"/>
      <c r="AF254" s="8"/>
      <c r="AG254" s="8"/>
      <c r="AH254" s="8"/>
      <c r="AI254" s="8"/>
      <c r="AJ254" s="8"/>
      <c r="AK254" s="8"/>
      <c r="AL254" s="8"/>
      <c r="AM254" s="8"/>
      <c r="AN254" s="8"/>
      <c r="AO254" s="1"/>
    </row>
    <row r="255" spans="1:41" x14ac:dyDescent="0.35">
      <c r="A255" s="6"/>
      <c r="B255" s="81"/>
      <c r="C255" s="83"/>
      <c r="D255" s="8"/>
      <c r="E255" s="8"/>
      <c r="F255" s="8"/>
      <c r="G255" s="8"/>
      <c r="H255" s="8"/>
      <c r="I255" s="8"/>
      <c r="J255" s="8"/>
      <c r="K255" s="8"/>
      <c r="L255" s="8"/>
      <c r="M255" s="8"/>
      <c r="N255" s="8"/>
      <c r="O255" s="8"/>
      <c r="P255" s="8"/>
      <c r="Q255" s="8"/>
      <c r="R255" s="8"/>
      <c r="S255" s="8"/>
      <c r="T255" s="8"/>
      <c r="U255" s="8"/>
      <c r="V255" s="8"/>
      <c r="W255" s="8"/>
      <c r="X255" s="8"/>
      <c r="Y255" s="8"/>
      <c r="Z255" s="8"/>
      <c r="AA255" s="8"/>
      <c r="AB255" s="8"/>
      <c r="AC255" s="8"/>
      <c r="AD255" s="8"/>
      <c r="AE255" s="8"/>
      <c r="AF255" s="8"/>
      <c r="AG255" s="8"/>
      <c r="AH255" s="8"/>
      <c r="AI255" s="8"/>
      <c r="AJ255" s="8"/>
      <c r="AK255" s="8"/>
      <c r="AL255" s="8"/>
      <c r="AM255" s="8"/>
      <c r="AN255" s="8"/>
      <c r="AO255" s="1"/>
    </row>
    <row r="256" spans="1:41" x14ac:dyDescent="0.35">
      <c r="A256" s="6"/>
      <c r="B256" s="81"/>
      <c r="C256" s="83"/>
      <c r="D256" s="8"/>
      <c r="E256" s="8"/>
      <c r="F256" s="8"/>
      <c r="G256" s="8"/>
      <c r="H256" s="8"/>
      <c r="I256" s="8"/>
      <c r="J256" s="8"/>
      <c r="K256" s="8"/>
      <c r="L256" s="8"/>
      <c r="M256" s="8"/>
      <c r="N256" s="8"/>
      <c r="O256" s="8"/>
      <c r="P256" s="8"/>
      <c r="Q256" s="8"/>
      <c r="R256" s="8"/>
      <c r="S256" s="8"/>
      <c r="T256" s="8"/>
      <c r="U256" s="8"/>
      <c r="V256" s="8"/>
      <c r="W256" s="8"/>
      <c r="X256" s="8"/>
      <c r="Y256" s="8"/>
      <c r="Z256" s="8"/>
      <c r="AA256" s="8"/>
      <c r="AB256" s="8"/>
      <c r="AC256" s="8"/>
      <c r="AD256" s="8"/>
      <c r="AE256" s="8"/>
      <c r="AF256" s="8"/>
      <c r="AG256" s="8"/>
      <c r="AH256" s="8"/>
      <c r="AI256" s="8"/>
      <c r="AJ256" s="8"/>
      <c r="AK256" s="8"/>
      <c r="AL256" s="8"/>
      <c r="AM256" s="8"/>
      <c r="AN256" s="8"/>
      <c r="AO256" s="1"/>
    </row>
    <row r="257" spans="1:41" x14ac:dyDescent="0.35">
      <c r="A257" s="6"/>
      <c r="B257" s="81"/>
      <c r="C257" s="83"/>
      <c r="D257" s="8"/>
      <c r="E257" s="8"/>
      <c r="F257" s="8"/>
      <c r="G257" s="8"/>
      <c r="H257" s="8"/>
      <c r="I257" s="8"/>
      <c r="J257" s="8"/>
      <c r="K257" s="8"/>
      <c r="L257" s="8"/>
      <c r="M257" s="8"/>
      <c r="N257" s="8"/>
      <c r="O257" s="8"/>
      <c r="P257" s="8"/>
      <c r="Q257" s="8"/>
      <c r="R257" s="8"/>
      <c r="S257" s="8"/>
      <c r="T257" s="8"/>
      <c r="U257" s="8"/>
      <c r="V257" s="8"/>
      <c r="W257" s="8"/>
      <c r="X257" s="8"/>
      <c r="Y257" s="8"/>
      <c r="Z257" s="8"/>
      <c r="AA257" s="8"/>
      <c r="AB257" s="8"/>
      <c r="AC257" s="8"/>
      <c r="AD257" s="8"/>
      <c r="AE257" s="8"/>
      <c r="AF257" s="8"/>
      <c r="AG257" s="8"/>
      <c r="AH257" s="8"/>
      <c r="AI257" s="8"/>
      <c r="AJ257" s="8"/>
      <c r="AK257" s="8"/>
      <c r="AL257" s="8"/>
      <c r="AM257" s="8"/>
      <c r="AN257" s="8"/>
      <c r="AO257" s="1"/>
    </row>
    <row r="258" spans="1:41" x14ac:dyDescent="0.35">
      <c r="A258" s="6"/>
      <c r="B258" s="81"/>
      <c r="C258" s="83"/>
      <c r="D258" s="8"/>
      <c r="E258" s="8"/>
      <c r="F258" s="8"/>
      <c r="G258" s="8"/>
      <c r="H258" s="8"/>
      <c r="I258" s="8"/>
      <c r="J258" s="8"/>
      <c r="K258" s="8"/>
      <c r="L258" s="8"/>
      <c r="M258" s="8"/>
      <c r="N258" s="8"/>
      <c r="O258" s="8"/>
      <c r="P258" s="8"/>
      <c r="Q258" s="8"/>
      <c r="R258" s="8"/>
      <c r="S258" s="8"/>
      <c r="T258" s="8"/>
      <c r="U258" s="8"/>
      <c r="V258" s="8"/>
      <c r="W258" s="8"/>
      <c r="X258" s="8"/>
      <c r="Y258" s="8"/>
      <c r="Z258" s="8"/>
      <c r="AA258" s="8"/>
      <c r="AB258" s="8"/>
      <c r="AC258" s="8"/>
      <c r="AD258" s="8"/>
      <c r="AE258" s="8"/>
      <c r="AF258" s="8"/>
      <c r="AG258" s="8"/>
      <c r="AH258" s="8"/>
      <c r="AI258" s="8"/>
      <c r="AJ258" s="8"/>
      <c r="AK258" s="8"/>
      <c r="AL258" s="8"/>
      <c r="AM258" s="8"/>
      <c r="AN258" s="8"/>
      <c r="AO258" s="1"/>
    </row>
    <row r="259" spans="1:41" x14ac:dyDescent="0.35">
      <c r="A259" s="6"/>
      <c r="B259" s="81"/>
      <c r="C259" s="83"/>
      <c r="D259" s="8"/>
      <c r="E259" s="8"/>
      <c r="F259" s="8"/>
      <c r="G259" s="8"/>
      <c r="H259" s="8"/>
      <c r="I259" s="8"/>
      <c r="J259" s="8"/>
      <c r="K259" s="8"/>
      <c r="L259" s="8"/>
      <c r="M259" s="8"/>
      <c r="N259" s="8"/>
      <c r="O259" s="8"/>
      <c r="P259" s="8"/>
      <c r="Q259" s="8"/>
      <c r="R259" s="8"/>
      <c r="S259" s="8"/>
      <c r="T259" s="8"/>
      <c r="U259" s="8"/>
      <c r="V259" s="8"/>
      <c r="W259" s="8"/>
      <c r="X259" s="8"/>
      <c r="Y259" s="8"/>
      <c r="Z259" s="8"/>
      <c r="AA259" s="8"/>
      <c r="AB259" s="8"/>
      <c r="AC259" s="8"/>
      <c r="AD259" s="8"/>
      <c r="AE259" s="8"/>
      <c r="AF259" s="8"/>
      <c r="AG259" s="8"/>
      <c r="AH259" s="8"/>
      <c r="AI259" s="8"/>
      <c r="AJ259" s="8"/>
      <c r="AK259" s="8"/>
      <c r="AL259" s="8"/>
      <c r="AM259" s="8"/>
      <c r="AN259" s="8"/>
      <c r="AO259" s="1"/>
    </row>
    <row r="260" spans="1:41" x14ac:dyDescent="0.35">
      <c r="A260" s="6"/>
      <c r="B260" s="81"/>
      <c r="C260" s="83"/>
      <c r="D260" s="8"/>
      <c r="E260" s="8"/>
      <c r="F260" s="8"/>
      <c r="G260" s="8"/>
      <c r="H260" s="8"/>
      <c r="I260" s="8"/>
      <c r="J260" s="8"/>
      <c r="K260" s="8"/>
      <c r="L260" s="8"/>
      <c r="M260" s="8"/>
      <c r="N260" s="8"/>
      <c r="O260" s="8"/>
      <c r="P260" s="8"/>
      <c r="Q260" s="8"/>
      <c r="R260" s="8"/>
      <c r="S260" s="8"/>
      <c r="T260" s="8"/>
      <c r="U260" s="8"/>
      <c r="V260" s="8"/>
      <c r="W260" s="8"/>
      <c r="X260" s="8"/>
      <c r="Y260" s="8"/>
      <c r="Z260" s="8"/>
      <c r="AA260" s="8"/>
      <c r="AB260" s="8"/>
      <c r="AC260" s="8"/>
      <c r="AD260" s="8"/>
      <c r="AE260" s="8"/>
      <c r="AF260" s="8"/>
      <c r="AG260" s="8"/>
      <c r="AH260" s="8"/>
      <c r="AI260" s="8"/>
      <c r="AJ260" s="8"/>
      <c r="AK260" s="8"/>
      <c r="AL260" s="8"/>
      <c r="AM260" s="8"/>
      <c r="AN260" s="8"/>
      <c r="AO260" s="1"/>
    </row>
    <row r="261" spans="1:41" x14ac:dyDescent="0.35">
      <c r="A261" s="6"/>
      <c r="B261" s="81"/>
      <c r="C261" s="83"/>
      <c r="D261" s="8"/>
      <c r="E261" s="8"/>
      <c r="F261" s="8"/>
      <c r="G261" s="8"/>
      <c r="H261" s="8"/>
      <c r="I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c r="AM261" s="8"/>
      <c r="AN261" s="8"/>
      <c r="AO261" s="1"/>
    </row>
    <row r="262" spans="1:41" x14ac:dyDescent="0.35">
      <c r="A262" s="6"/>
      <c r="B262" s="81"/>
      <c r="C262" s="83"/>
      <c r="D262" s="8"/>
      <c r="E262" s="8"/>
      <c r="F262" s="8"/>
      <c r="G262" s="8"/>
      <c r="H262" s="8"/>
      <c r="I262" s="8"/>
      <c r="J262" s="8"/>
      <c r="K262" s="8"/>
      <c r="L262" s="8"/>
      <c r="M262" s="8"/>
      <c r="N262" s="8"/>
      <c r="O262" s="8"/>
      <c r="P262" s="8"/>
      <c r="Q262" s="8"/>
      <c r="R262" s="8"/>
      <c r="S262" s="8"/>
      <c r="T262" s="8"/>
      <c r="U262" s="8"/>
      <c r="V262" s="8"/>
      <c r="W262" s="8"/>
      <c r="X262" s="8"/>
      <c r="Y262" s="8"/>
      <c r="Z262" s="8"/>
      <c r="AA262" s="8"/>
      <c r="AB262" s="8"/>
      <c r="AC262" s="8"/>
      <c r="AD262" s="8"/>
      <c r="AE262" s="8"/>
      <c r="AF262" s="8"/>
      <c r="AG262" s="8"/>
      <c r="AH262" s="8"/>
      <c r="AI262" s="8"/>
      <c r="AJ262" s="8"/>
      <c r="AK262" s="8"/>
      <c r="AL262" s="8"/>
      <c r="AM262" s="8"/>
      <c r="AN262" s="8"/>
      <c r="AO262" s="1"/>
    </row>
    <row r="263" spans="1:41" x14ac:dyDescent="0.35">
      <c r="A263" s="6"/>
      <c r="B263" s="81"/>
      <c r="C263" s="83"/>
      <c r="D263" s="8"/>
      <c r="E263" s="8"/>
      <c r="F263" s="8"/>
      <c r="G263" s="8"/>
      <c r="H263" s="8"/>
      <c r="I263" s="8"/>
      <c r="J263" s="8"/>
      <c r="K263" s="8"/>
      <c r="L263" s="8"/>
      <c r="M263" s="8"/>
      <c r="N263" s="8"/>
      <c r="O263" s="8"/>
      <c r="P263" s="8"/>
      <c r="Q263" s="8"/>
      <c r="R263" s="8"/>
      <c r="S263" s="8"/>
      <c r="T263" s="8"/>
      <c r="U263" s="8"/>
      <c r="V263" s="8"/>
      <c r="W263" s="8"/>
      <c r="X263" s="8"/>
      <c r="Y263" s="8"/>
      <c r="Z263" s="8"/>
      <c r="AA263" s="8"/>
      <c r="AB263" s="8"/>
      <c r="AC263" s="8"/>
      <c r="AD263" s="8"/>
      <c r="AE263" s="8"/>
      <c r="AF263" s="8"/>
      <c r="AG263" s="8"/>
      <c r="AH263" s="8"/>
      <c r="AI263" s="8"/>
      <c r="AJ263" s="8"/>
      <c r="AK263" s="8"/>
      <c r="AL263" s="8"/>
      <c r="AM263" s="8"/>
      <c r="AN263" s="8"/>
      <c r="AO263" s="1"/>
    </row>
    <row r="264" spans="1:41" x14ac:dyDescent="0.35">
      <c r="A264" s="6"/>
      <c r="B264" s="81"/>
      <c r="C264" s="83"/>
      <c r="D264" s="8"/>
      <c r="E264" s="8"/>
      <c r="F264" s="8"/>
      <c r="G264" s="8"/>
      <c r="H264" s="8"/>
      <c r="I264" s="8"/>
      <c r="J264" s="8"/>
      <c r="K264" s="8"/>
      <c r="L264" s="8"/>
      <c r="M264" s="8"/>
      <c r="N264" s="8"/>
      <c r="O264" s="8"/>
      <c r="P264" s="8"/>
      <c r="Q264" s="8"/>
      <c r="R264" s="8"/>
      <c r="S264" s="8"/>
      <c r="T264" s="8"/>
      <c r="U264" s="8"/>
      <c r="V264" s="8"/>
      <c r="W264" s="8"/>
      <c r="X264" s="8"/>
      <c r="Y264" s="8"/>
      <c r="Z264" s="8"/>
      <c r="AA264" s="8"/>
      <c r="AB264" s="8"/>
      <c r="AC264" s="8"/>
      <c r="AD264" s="8"/>
      <c r="AE264" s="8"/>
      <c r="AF264" s="8"/>
      <c r="AG264" s="8"/>
      <c r="AH264" s="8"/>
      <c r="AI264" s="8"/>
      <c r="AJ264" s="8"/>
      <c r="AK264" s="8"/>
      <c r="AL264" s="8"/>
      <c r="AM264" s="8"/>
      <c r="AN264" s="8"/>
      <c r="AO264" s="1"/>
    </row>
    <row r="265" spans="1:41" x14ac:dyDescent="0.35">
      <c r="A265" s="6"/>
      <c r="B265" s="81"/>
      <c r="C265" s="83"/>
      <c r="D265" s="8"/>
      <c r="E265" s="8"/>
      <c r="F265" s="8"/>
      <c r="G265" s="8"/>
      <c r="H265" s="8"/>
      <c r="I265" s="8"/>
      <c r="J265" s="8"/>
      <c r="K265" s="8"/>
      <c r="L265" s="8"/>
      <c r="M265" s="8"/>
      <c r="N265" s="8"/>
      <c r="O265" s="8"/>
      <c r="P265" s="8"/>
      <c r="Q265" s="8"/>
      <c r="R265" s="8"/>
      <c r="S265" s="8"/>
      <c r="T265" s="8"/>
      <c r="U265" s="8"/>
      <c r="V265" s="8"/>
      <c r="W265" s="8"/>
      <c r="X265" s="8"/>
      <c r="Y265" s="8"/>
      <c r="Z265" s="8"/>
      <c r="AA265" s="8"/>
      <c r="AB265" s="8"/>
      <c r="AC265" s="8"/>
      <c r="AD265" s="8"/>
      <c r="AE265" s="8"/>
      <c r="AF265" s="8"/>
      <c r="AG265" s="8"/>
      <c r="AH265" s="8"/>
      <c r="AI265" s="8"/>
      <c r="AJ265" s="8"/>
      <c r="AK265" s="8"/>
      <c r="AL265" s="8"/>
      <c r="AM265" s="8"/>
      <c r="AN265" s="8"/>
      <c r="AO265" s="1"/>
    </row>
    <row r="266" spans="1:41" x14ac:dyDescent="0.35">
      <c r="A266" s="6"/>
      <c r="B266" s="81"/>
      <c r="C266" s="83"/>
      <c r="D266" s="8"/>
      <c r="E266" s="8"/>
      <c r="F266" s="8"/>
      <c r="G266" s="8"/>
      <c r="H266" s="8"/>
      <c r="I266" s="8"/>
      <c r="J266" s="8"/>
      <c r="K266" s="8"/>
      <c r="L266" s="8"/>
      <c r="M266" s="8"/>
      <c r="N266" s="8"/>
      <c r="O266" s="8"/>
      <c r="P266" s="8"/>
      <c r="Q266" s="8"/>
      <c r="R266" s="8"/>
      <c r="S266" s="8"/>
      <c r="T266" s="8"/>
      <c r="U266" s="8"/>
      <c r="V266" s="8"/>
      <c r="W266" s="8"/>
      <c r="X266" s="8"/>
      <c r="Y266" s="8"/>
      <c r="Z266" s="8"/>
      <c r="AA266" s="8"/>
      <c r="AB266" s="8"/>
      <c r="AC266" s="8"/>
      <c r="AD266" s="8"/>
      <c r="AE266" s="8"/>
      <c r="AF266" s="8"/>
      <c r="AG266" s="8"/>
      <c r="AH266" s="8"/>
      <c r="AI266" s="8"/>
      <c r="AJ266" s="8"/>
      <c r="AK266" s="8"/>
      <c r="AL266" s="8"/>
      <c r="AM266" s="8"/>
      <c r="AN266" s="8"/>
      <c r="AO266" s="1"/>
    </row>
    <row r="267" spans="1:41" x14ac:dyDescent="0.35">
      <c r="A267" s="6"/>
      <c r="B267" s="81"/>
      <c r="C267" s="83"/>
      <c r="D267" s="8"/>
      <c r="E267" s="8"/>
      <c r="F267" s="8"/>
      <c r="G267" s="8"/>
      <c r="H267" s="8"/>
      <c r="I267" s="8"/>
      <c r="J267" s="8"/>
      <c r="K267" s="8"/>
      <c r="L267" s="8"/>
      <c r="M267" s="8"/>
      <c r="N267" s="8"/>
      <c r="O267" s="8"/>
      <c r="P267" s="8"/>
      <c r="Q267" s="8"/>
      <c r="R267" s="8"/>
      <c r="S267" s="8"/>
      <c r="T267" s="8"/>
      <c r="U267" s="8"/>
      <c r="V267" s="8"/>
      <c r="W267" s="8"/>
      <c r="X267" s="8"/>
      <c r="Y267" s="8"/>
      <c r="Z267" s="8"/>
      <c r="AA267" s="8"/>
      <c r="AB267" s="8"/>
      <c r="AC267" s="8"/>
      <c r="AD267" s="8"/>
      <c r="AE267" s="8"/>
      <c r="AF267" s="8"/>
      <c r="AG267" s="8"/>
      <c r="AH267" s="8"/>
      <c r="AI267" s="8"/>
      <c r="AJ267" s="8"/>
      <c r="AK267" s="8"/>
      <c r="AL267" s="8"/>
      <c r="AM267" s="8"/>
      <c r="AN267" s="8"/>
      <c r="AO267" s="1"/>
    </row>
    <row r="268" spans="1:41" x14ac:dyDescent="0.35">
      <c r="A268" s="6"/>
      <c r="B268" s="81"/>
      <c r="C268" s="83"/>
      <c r="D268" s="8"/>
      <c r="E268" s="8"/>
      <c r="F268" s="8"/>
      <c r="G268" s="8"/>
      <c r="H268" s="8"/>
      <c r="I268" s="8"/>
      <c r="J268" s="8"/>
      <c r="K268" s="8"/>
      <c r="L268" s="8"/>
      <c r="M268" s="8"/>
      <c r="N268" s="8"/>
      <c r="O268" s="8"/>
      <c r="P268" s="8"/>
      <c r="Q268" s="8"/>
      <c r="R268" s="8"/>
      <c r="S268" s="8"/>
      <c r="T268" s="8"/>
      <c r="U268" s="8"/>
      <c r="V268" s="8"/>
      <c r="W268" s="8"/>
      <c r="X268" s="8"/>
      <c r="Y268" s="8"/>
      <c r="Z268" s="8"/>
      <c r="AA268" s="8"/>
      <c r="AB268" s="8"/>
      <c r="AC268" s="8"/>
      <c r="AD268" s="8"/>
      <c r="AE268" s="8"/>
      <c r="AF268" s="8"/>
      <c r="AG268" s="8"/>
      <c r="AH268" s="8"/>
      <c r="AI268" s="8"/>
      <c r="AJ268" s="8"/>
      <c r="AK268" s="8"/>
      <c r="AL268" s="8"/>
      <c r="AM268" s="8"/>
      <c r="AN268" s="8"/>
      <c r="AO268" s="1"/>
    </row>
    <row r="269" spans="1:41" x14ac:dyDescent="0.35">
      <c r="A269" s="6"/>
      <c r="B269" s="81"/>
      <c r="C269" s="83"/>
      <c r="D269" s="8"/>
      <c r="E269" s="8"/>
      <c r="F269" s="8"/>
      <c r="G269" s="8"/>
      <c r="H269" s="8"/>
      <c r="I269" s="8"/>
      <c r="J269" s="8"/>
      <c r="K269" s="8"/>
      <c r="L269" s="8"/>
      <c r="M269" s="8"/>
      <c r="N269" s="8"/>
      <c r="O269" s="8"/>
      <c r="P269" s="8"/>
      <c r="Q269" s="8"/>
      <c r="R269" s="8"/>
      <c r="S269" s="8"/>
      <c r="T269" s="8"/>
      <c r="U269" s="8"/>
      <c r="V269" s="8"/>
      <c r="W269" s="8"/>
      <c r="X269" s="8"/>
      <c r="Y269" s="8"/>
      <c r="Z269" s="8"/>
      <c r="AA269" s="8"/>
      <c r="AB269" s="8"/>
      <c r="AC269" s="8"/>
      <c r="AD269" s="8"/>
      <c r="AE269" s="8"/>
      <c r="AF269" s="8"/>
      <c r="AG269" s="8"/>
      <c r="AH269" s="8"/>
      <c r="AI269" s="8"/>
      <c r="AJ269" s="8"/>
      <c r="AK269" s="8"/>
      <c r="AL269" s="8"/>
      <c r="AM269" s="8"/>
      <c r="AN269" s="8"/>
      <c r="AO269" s="1"/>
    </row>
    <row r="270" spans="1:41" x14ac:dyDescent="0.35">
      <c r="A270" s="6"/>
      <c r="B270" s="81"/>
      <c r="C270" s="83"/>
      <c r="D270" s="8"/>
      <c r="E270" s="8"/>
      <c r="F270" s="8"/>
      <c r="G270" s="8"/>
      <c r="H270" s="8"/>
      <c r="I270" s="8"/>
      <c r="J270" s="8"/>
      <c r="K270" s="8"/>
      <c r="L270" s="8"/>
      <c r="M270" s="8"/>
      <c r="N270" s="8"/>
      <c r="O270" s="8"/>
      <c r="P270" s="8"/>
      <c r="Q270" s="8"/>
      <c r="R270" s="8"/>
      <c r="S270" s="8"/>
      <c r="T270" s="8"/>
      <c r="U270" s="8"/>
      <c r="V270" s="8"/>
      <c r="W270" s="8"/>
      <c r="X270" s="8"/>
      <c r="Y270" s="8"/>
      <c r="Z270" s="8"/>
      <c r="AA270" s="8"/>
      <c r="AB270" s="8"/>
      <c r="AC270" s="8"/>
      <c r="AD270" s="8"/>
      <c r="AE270" s="8"/>
      <c r="AF270" s="8"/>
      <c r="AG270" s="8"/>
      <c r="AH270" s="8"/>
      <c r="AI270" s="8"/>
      <c r="AJ270" s="8"/>
      <c r="AK270" s="8"/>
      <c r="AL270" s="8"/>
      <c r="AM270" s="8"/>
      <c r="AN270" s="8"/>
      <c r="AO270" s="1"/>
    </row>
    <row r="271" spans="1:41" x14ac:dyDescent="0.35">
      <c r="A271" s="6"/>
      <c r="B271" s="81"/>
      <c r="C271" s="83"/>
      <c r="D271" s="8"/>
      <c r="E271" s="8"/>
      <c r="F271" s="8"/>
      <c r="G271" s="8"/>
      <c r="H271" s="8"/>
      <c r="I271" s="8"/>
      <c r="J271" s="8"/>
      <c r="K271" s="8"/>
      <c r="L271" s="8"/>
      <c r="M271" s="8"/>
      <c r="N271" s="8"/>
      <c r="O271" s="8"/>
      <c r="P271" s="8"/>
      <c r="Q271" s="8"/>
      <c r="R271" s="8"/>
      <c r="S271" s="8"/>
      <c r="T271" s="8"/>
      <c r="U271" s="8"/>
      <c r="V271" s="8"/>
      <c r="W271" s="8"/>
      <c r="X271" s="8"/>
      <c r="Y271" s="8"/>
      <c r="Z271" s="8"/>
      <c r="AA271" s="8"/>
      <c r="AB271" s="8"/>
      <c r="AC271" s="8"/>
      <c r="AD271" s="8"/>
      <c r="AE271" s="8"/>
      <c r="AF271" s="8"/>
      <c r="AG271" s="8"/>
      <c r="AH271" s="8"/>
      <c r="AI271" s="8"/>
      <c r="AJ271" s="8"/>
      <c r="AK271" s="8"/>
      <c r="AL271" s="8"/>
      <c r="AM271" s="8"/>
      <c r="AN271" s="8"/>
      <c r="AO271" s="1"/>
    </row>
    <row r="272" spans="1:41" x14ac:dyDescent="0.35">
      <c r="A272" s="6"/>
      <c r="B272" s="81"/>
      <c r="C272" s="83"/>
      <c r="D272" s="8"/>
      <c r="E272" s="8"/>
      <c r="F272" s="8"/>
      <c r="G272" s="8"/>
      <c r="H272" s="8"/>
      <c r="I272" s="8"/>
      <c r="J272" s="8"/>
      <c r="K272" s="8"/>
      <c r="L272" s="8"/>
      <c r="M272" s="8"/>
      <c r="N272" s="8"/>
      <c r="O272" s="8"/>
      <c r="P272" s="8"/>
      <c r="Q272" s="8"/>
      <c r="R272" s="8"/>
      <c r="S272" s="8"/>
      <c r="T272" s="8"/>
      <c r="U272" s="8"/>
      <c r="V272" s="8"/>
      <c r="W272" s="8"/>
      <c r="X272" s="8"/>
      <c r="Y272" s="8"/>
      <c r="Z272" s="8"/>
      <c r="AA272" s="8"/>
      <c r="AB272" s="8"/>
      <c r="AC272" s="8"/>
      <c r="AD272" s="8"/>
      <c r="AE272" s="8"/>
      <c r="AF272" s="8"/>
      <c r="AG272" s="8"/>
      <c r="AH272" s="8"/>
      <c r="AI272" s="8"/>
      <c r="AJ272" s="8"/>
      <c r="AK272" s="8"/>
      <c r="AL272" s="8"/>
      <c r="AM272" s="8"/>
      <c r="AN272" s="8"/>
      <c r="AO272" s="1"/>
    </row>
    <row r="273" spans="1:41" x14ac:dyDescent="0.35">
      <c r="A273" s="6"/>
      <c r="B273" s="81"/>
      <c r="C273" s="83"/>
      <c r="D273" s="8"/>
      <c r="E273" s="8"/>
      <c r="F273" s="8"/>
      <c r="G273" s="8"/>
      <c r="H273" s="8"/>
      <c r="I273" s="8"/>
      <c r="J273" s="8"/>
      <c r="K273" s="8"/>
      <c r="L273" s="8"/>
      <c r="M273" s="8"/>
      <c r="N273" s="8"/>
      <c r="O273" s="8"/>
      <c r="P273" s="8"/>
      <c r="Q273" s="8"/>
      <c r="R273" s="8"/>
      <c r="S273" s="8"/>
      <c r="T273" s="8"/>
      <c r="U273" s="8"/>
      <c r="V273" s="8"/>
      <c r="W273" s="8"/>
      <c r="X273" s="8"/>
      <c r="Y273" s="8"/>
      <c r="Z273" s="8"/>
      <c r="AA273" s="8"/>
      <c r="AB273" s="8"/>
      <c r="AC273" s="8"/>
      <c r="AD273" s="8"/>
      <c r="AE273" s="8"/>
      <c r="AF273" s="8"/>
      <c r="AG273" s="8"/>
      <c r="AH273" s="8"/>
      <c r="AI273" s="8"/>
      <c r="AJ273" s="8"/>
      <c r="AK273" s="8"/>
      <c r="AL273" s="8"/>
      <c r="AM273" s="8"/>
      <c r="AN273" s="8"/>
      <c r="AO273" s="1"/>
    </row>
    <row r="274" spans="1:41" x14ac:dyDescent="0.35">
      <c r="A274" s="6"/>
      <c r="B274" s="81"/>
      <c r="C274" s="83"/>
      <c r="D274" s="8"/>
      <c r="E274" s="8"/>
      <c r="F274" s="8"/>
      <c r="G274" s="8"/>
      <c r="H274" s="8"/>
      <c r="I274" s="8"/>
      <c r="J274" s="8"/>
      <c r="K274" s="8"/>
      <c r="L274" s="8"/>
      <c r="M274" s="8"/>
      <c r="N274" s="8"/>
      <c r="O274" s="8"/>
      <c r="P274" s="8"/>
      <c r="Q274" s="8"/>
      <c r="R274" s="8"/>
      <c r="S274" s="8"/>
      <c r="T274" s="8"/>
      <c r="U274" s="8"/>
      <c r="V274" s="8"/>
      <c r="W274" s="8"/>
      <c r="X274" s="8"/>
      <c r="Y274" s="8"/>
      <c r="Z274" s="8"/>
      <c r="AA274" s="8"/>
      <c r="AB274" s="8"/>
      <c r="AC274" s="8"/>
      <c r="AD274" s="8"/>
      <c r="AE274" s="8"/>
      <c r="AF274" s="8"/>
      <c r="AG274" s="8"/>
      <c r="AH274" s="8"/>
      <c r="AI274" s="8"/>
      <c r="AJ274" s="8"/>
      <c r="AK274" s="8"/>
      <c r="AL274" s="8"/>
      <c r="AM274" s="8"/>
      <c r="AN274" s="8"/>
      <c r="AO274" s="1"/>
    </row>
    <row r="275" spans="1:41" x14ac:dyDescent="0.35">
      <c r="A275" s="6"/>
      <c r="B275" s="81"/>
      <c r="C275" s="83"/>
      <c r="D275" s="8"/>
      <c r="E275" s="8"/>
      <c r="F275" s="8"/>
      <c r="G275" s="8"/>
      <c r="H275" s="8"/>
      <c r="I275" s="8"/>
      <c r="J275" s="8"/>
      <c r="K275" s="8"/>
      <c r="L275" s="8"/>
      <c r="M275" s="8"/>
      <c r="N275" s="8"/>
      <c r="O275" s="8"/>
      <c r="P275" s="8"/>
      <c r="Q275" s="8"/>
      <c r="R275" s="8"/>
      <c r="S275" s="8"/>
      <c r="T275" s="8"/>
      <c r="U275" s="8"/>
      <c r="V275" s="8"/>
      <c r="W275" s="8"/>
      <c r="X275" s="8"/>
      <c r="Y275" s="8"/>
      <c r="Z275" s="8"/>
      <c r="AA275" s="8"/>
      <c r="AB275" s="8"/>
      <c r="AC275" s="8"/>
      <c r="AD275" s="8"/>
      <c r="AE275" s="8"/>
      <c r="AF275" s="8"/>
      <c r="AG275" s="8"/>
      <c r="AH275" s="8"/>
      <c r="AI275" s="8"/>
      <c r="AJ275" s="8"/>
      <c r="AK275" s="8"/>
      <c r="AL275" s="8"/>
      <c r="AM275" s="8"/>
      <c r="AN275" s="8"/>
      <c r="AO275" s="1"/>
    </row>
    <row r="276" spans="1:41" x14ac:dyDescent="0.35">
      <c r="A276" s="6"/>
      <c r="B276" s="81"/>
      <c r="C276" s="83"/>
      <c r="D276" s="8"/>
      <c r="E276" s="8"/>
      <c r="F276" s="8"/>
      <c r="G276" s="8"/>
      <c r="H276" s="8"/>
      <c r="I276" s="8"/>
      <c r="J276" s="8"/>
      <c r="K276" s="8"/>
      <c r="L276" s="8"/>
      <c r="M276" s="8"/>
      <c r="N276" s="8"/>
      <c r="O276" s="8"/>
      <c r="P276" s="8"/>
      <c r="Q276" s="8"/>
      <c r="R276" s="8"/>
      <c r="S276" s="8"/>
      <c r="T276" s="8"/>
      <c r="U276" s="8"/>
      <c r="V276" s="8"/>
      <c r="W276" s="8"/>
      <c r="X276" s="8"/>
      <c r="Y276" s="8"/>
      <c r="Z276" s="8"/>
      <c r="AA276" s="8"/>
      <c r="AB276" s="8"/>
      <c r="AC276" s="8"/>
      <c r="AD276" s="8"/>
      <c r="AE276" s="8"/>
      <c r="AF276" s="8"/>
      <c r="AG276" s="8"/>
      <c r="AH276" s="8"/>
      <c r="AI276" s="8"/>
      <c r="AJ276" s="8"/>
      <c r="AK276" s="8"/>
      <c r="AL276" s="8"/>
      <c r="AM276" s="8"/>
      <c r="AN276" s="8"/>
      <c r="AO276" s="1"/>
    </row>
    <row r="277" spans="1:41" x14ac:dyDescent="0.35">
      <c r="A277" s="6"/>
      <c r="B277" s="81"/>
      <c r="C277" s="83"/>
      <c r="D277" s="8"/>
      <c r="E277" s="8"/>
      <c r="F277" s="8"/>
      <c r="G277" s="8"/>
      <c r="H277" s="8"/>
      <c r="I277" s="8"/>
      <c r="J277" s="8"/>
      <c r="K277" s="8"/>
      <c r="L277" s="8"/>
      <c r="M277" s="8"/>
      <c r="N277" s="8"/>
      <c r="O277" s="8"/>
      <c r="P277" s="8"/>
      <c r="Q277" s="8"/>
      <c r="R277" s="8"/>
      <c r="S277" s="8"/>
      <c r="T277" s="8"/>
      <c r="U277" s="8"/>
      <c r="V277" s="8"/>
      <c r="W277" s="8"/>
      <c r="X277" s="8"/>
      <c r="Y277" s="8"/>
      <c r="Z277" s="8"/>
      <c r="AA277" s="8"/>
      <c r="AB277" s="8"/>
      <c r="AC277" s="8"/>
      <c r="AD277" s="8"/>
      <c r="AE277" s="8"/>
      <c r="AF277" s="8"/>
      <c r="AG277" s="8"/>
      <c r="AH277" s="8"/>
      <c r="AI277" s="8"/>
      <c r="AJ277" s="8"/>
      <c r="AK277" s="8"/>
      <c r="AL277" s="8"/>
      <c r="AM277" s="8"/>
      <c r="AN277" s="8"/>
      <c r="AO277" s="1"/>
    </row>
    <row r="278" spans="1:41" x14ac:dyDescent="0.35">
      <c r="A278" s="6"/>
      <c r="B278" s="81"/>
      <c r="C278" s="83"/>
      <c r="D278" s="8"/>
      <c r="E278" s="8"/>
      <c r="F278" s="8"/>
      <c r="G278" s="8"/>
      <c r="H278" s="8"/>
      <c r="I278" s="8"/>
      <c r="J278" s="8"/>
      <c r="K278" s="8"/>
      <c r="L278" s="8"/>
      <c r="M278" s="8"/>
      <c r="N278" s="8"/>
      <c r="O278" s="8"/>
      <c r="P278" s="8"/>
      <c r="Q278" s="8"/>
      <c r="R278" s="8"/>
      <c r="S278" s="8"/>
      <c r="T278" s="8"/>
      <c r="U278" s="8"/>
      <c r="V278" s="8"/>
      <c r="W278" s="8"/>
      <c r="X278" s="8"/>
      <c r="Y278" s="8"/>
      <c r="Z278" s="8"/>
      <c r="AA278" s="8"/>
      <c r="AB278" s="8"/>
      <c r="AC278" s="8"/>
      <c r="AD278" s="8"/>
      <c r="AE278" s="8"/>
      <c r="AF278" s="8"/>
      <c r="AG278" s="8"/>
      <c r="AH278" s="8"/>
      <c r="AI278" s="8"/>
      <c r="AJ278" s="8"/>
      <c r="AK278" s="8"/>
      <c r="AL278" s="8"/>
      <c r="AM278" s="8"/>
      <c r="AN278" s="8"/>
      <c r="AO278" s="1"/>
    </row>
    <row r="279" spans="1:41" x14ac:dyDescent="0.35">
      <c r="A279" s="6"/>
      <c r="B279" s="81"/>
      <c r="C279" s="83"/>
      <c r="D279" s="8"/>
      <c r="E279" s="8"/>
      <c r="F279" s="8"/>
      <c r="G279" s="8"/>
      <c r="H279" s="8"/>
      <c r="I279" s="8"/>
      <c r="J279" s="8"/>
      <c r="K279" s="8"/>
      <c r="L279" s="8"/>
      <c r="M279" s="8"/>
      <c r="N279" s="8"/>
      <c r="O279" s="8"/>
      <c r="P279" s="8"/>
      <c r="Q279" s="8"/>
      <c r="R279" s="8"/>
      <c r="S279" s="8"/>
      <c r="T279" s="8"/>
      <c r="U279" s="8"/>
      <c r="V279" s="8"/>
      <c r="W279" s="8"/>
      <c r="X279" s="8"/>
      <c r="Y279" s="8"/>
      <c r="Z279" s="8"/>
      <c r="AA279" s="8"/>
      <c r="AB279" s="8"/>
      <c r="AC279" s="8"/>
      <c r="AD279" s="8"/>
      <c r="AE279" s="8"/>
      <c r="AF279" s="8"/>
      <c r="AG279" s="8"/>
      <c r="AH279" s="8"/>
      <c r="AI279" s="8"/>
      <c r="AJ279" s="8"/>
      <c r="AK279" s="8"/>
      <c r="AL279" s="8"/>
      <c r="AM279" s="8"/>
      <c r="AN279" s="8"/>
      <c r="AO279" s="1"/>
    </row>
    <row r="280" spans="1:41" x14ac:dyDescent="0.35">
      <c r="A280" s="6"/>
      <c r="B280" s="81"/>
      <c r="C280" s="83"/>
      <c r="D280" s="8"/>
      <c r="E280" s="8"/>
      <c r="F280" s="8"/>
      <c r="G280" s="8"/>
      <c r="H280" s="8"/>
      <c r="I280" s="8"/>
      <c r="J280" s="8"/>
      <c r="K280" s="8"/>
      <c r="L280" s="8"/>
      <c r="M280" s="8"/>
      <c r="N280" s="8"/>
      <c r="O280" s="8"/>
      <c r="P280" s="8"/>
      <c r="Q280" s="8"/>
      <c r="R280" s="8"/>
      <c r="S280" s="8"/>
      <c r="T280" s="8"/>
      <c r="U280" s="8"/>
      <c r="V280" s="8"/>
      <c r="W280" s="8"/>
      <c r="X280" s="8"/>
      <c r="Y280" s="8"/>
      <c r="Z280" s="8"/>
      <c r="AA280" s="8"/>
      <c r="AB280" s="8"/>
      <c r="AC280" s="8"/>
      <c r="AD280" s="8"/>
      <c r="AE280" s="8"/>
      <c r="AF280" s="8"/>
      <c r="AG280" s="8"/>
      <c r="AH280" s="8"/>
      <c r="AI280" s="8"/>
      <c r="AJ280" s="8"/>
      <c r="AK280" s="8"/>
      <c r="AL280" s="8"/>
      <c r="AM280" s="8"/>
      <c r="AN280" s="8"/>
      <c r="AO280" s="1"/>
    </row>
    <row r="281" spans="1:41" x14ac:dyDescent="0.35">
      <c r="A281" s="6"/>
      <c r="B281" s="81"/>
      <c r="C281" s="83"/>
      <c r="D281" s="8"/>
      <c r="E281" s="8"/>
      <c r="F281" s="8"/>
      <c r="G281" s="8"/>
      <c r="H281" s="8"/>
      <c r="I281" s="8"/>
      <c r="J281" s="8"/>
      <c r="K281" s="8"/>
      <c r="L281" s="8"/>
      <c r="M281" s="8"/>
      <c r="N281" s="8"/>
      <c r="O281" s="8"/>
      <c r="P281" s="8"/>
      <c r="Q281" s="8"/>
      <c r="R281" s="8"/>
      <c r="S281" s="8"/>
      <c r="T281" s="8"/>
      <c r="U281" s="8"/>
      <c r="V281" s="8"/>
      <c r="W281" s="8"/>
      <c r="X281" s="8"/>
      <c r="Y281" s="8"/>
      <c r="Z281" s="8"/>
      <c r="AA281" s="8"/>
      <c r="AB281" s="8"/>
      <c r="AC281" s="8"/>
      <c r="AD281" s="8"/>
      <c r="AE281" s="8"/>
      <c r="AF281" s="8"/>
      <c r="AG281" s="8"/>
      <c r="AH281" s="8"/>
      <c r="AI281" s="8"/>
      <c r="AJ281" s="8"/>
      <c r="AK281" s="8"/>
      <c r="AL281" s="8"/>
      <c r="AM281" s="8"/>
      <c r="AN281" s="8"/>
      <c r="AO281" s="1"/>
    </row>
    <row r="282" spans="1:41" x14ac:dyDescent="0.35">
      <c r="A282" s="6"/>
      <c r="B282" s="81"/>
      <c r="C282" s="83"/>
      <c r="D282" s="8"/>
      <c r="E282" s="8"/>
      <c r="F282" s="8"/>
      <c r="G282" s="8"/>
      <c r="H282" s="8"/>
      <c r="I282" s="8"/>
      <c r="J282" s="8"/>
      <c r="K282" s="8"/>
      <c r="L282" s="8"/>
      <c r="M282" s="8"/>
      <c r="N282" s="8"/>
      <c r="O282" s="8"/>
      <c r="P282" s="8"/>
      <c r="Q282" s="8"/>
      <c r="R282" s="8"/>
      <c r="S282" s="8"/>
      <c r="T282" s="8"/>
      <c r="U282" s="8"/>
      <c r="V282" s="8"/>
      <c r="W282" s="8"/>
      <c r="X282" s="8"/>
      <c r="Y282" s="8"/>
      <c r="Z282" s="8"/>
      <c r="AA282" s="8"/>
      <c r="AB282" s="8"/>
      <c r="AC282" s="8"/>
      <c r="AD282" s="8"/>
      <c r="AE282" s="8"/>
      <c r="AF282" s="8"/>
      <c r="AG282" s="8"/>
      <c r="AH282" s="8"/>
      <c r="AI282" s="8"/>
      <c r="AJ282" s="8"/>
      <c r="AK282" s="8"/>
      <c r="AL282" s="8"/>
      <c r="AM282" s="8"/>
      <c r="AN282" s="8"/>
      <c r="AO282" s="1"/>
    </row>
    <row r="283" spans="1:41" x14ac:dyDescent="0.35">
      <c r="A283" s="6"/>
      <c r="B283" s="81"/>
      <c r="C283" s="83"/>
      <c r="D283" s="8"/>
      <c r="E283" s="8"/>
      <c r="F283" s="8"/>
      <c r="G283" s="8"/>
      <c r="H283" s="8"/>
      <c r="I283" s="8"/>
      <c r="J283" s="8"/>
      <c r="K283" s="8"/>
      <c r="L283" s="8"/>
      <c r="M283" s="8"/>
      <c r="N283" s="8"/>
      <c r="O283" s="8"/>
      <c r="P283" s="8"/>
      <c r="Q283" s="8"/>
      <c r="R283" s="8"/>
      <c r="S283" s="8"/>
      <c r="T283" s="8"/>
      <c r="U283" s="8"/>
      <c r="V283" s="8"/>
      <c r="W283" s="8"/>
      <c r="X283" s="8"/>
      <c r="Y283" s="8"/>
      <c r="Z283" s="8"/>
      <c r="AA283" s="8"/>
      <c r="AB283" s="8"/>
      <c r="AC283" s="8"/>
      <c r="AD283" s="8"/>
      <c r="AE283" s="8"/>
      <c r="AF283" s="8"/>
      <c r="AG283" s="8"/>
      <c r="AH283" s="8"/>
      <c r="AI283" s="8"/>
      <c r="AJ283" s="8"/>
      <c r="AK283" s="8"/>
      <c r="AL283" s="8"/>
      <c r="AM283" s="8"/>
      <c r="AN283" s="8"/>
      <c r="AO283" s="1"/>
    </row>
    <row r="284" spans="1:41" x14ac:dyDescent="0.35">
      <c r="A284" s="6"/>
      <c r="B284" s="81"/>
      <c r="C284" s="83"/>
      <c r="D284" s="8"/>
      <c r="E284" s="8"/>
      <c r="F284" s="8"/>
      <c r="G284" s="8"/>
      <c r="H284" s="8"/>
      <c r="I284" s="8"/>
      <c r="J284" s="8"/>
      <c r="K284" s="8"/>
      <c r="L284" s="8"/>
      <c r="M284" s="8"/>
      <c r="N284" s="8"/>
      <c r="O284" s="8"/>
      <c r="P284" s="8"/>
      <c r="Q284" s="8"/>
      <c r="R284" s="8"/>
      <c r="S284" s="8"/>
      <c r="T284" s="8"/>
      <c r="U284" s="8"/>
      <c r="V284" s="8"/>
      <c r="W284" s="8"/>
      <c r="X284" s="8"/>
      <c r="Y284" s="8"/>
      <c r="Z284" s="8"/>
      <c r="AA284" s="8"/>
      <c r="AB284" s="8"/>
      <c r="AC284" s="8"/>
      <c r="AD284" s="8"/>
      <c r="AE284" s="8"/>
      <c r="AF284" s="8"/>
      <c r="AG284" s="8"/>
      <c r="AH284" s="8"/>
      <c r="AI284" s="8"/>
      <c r="AJ284" s="8"/>
      <c r="AK284" s="8"/>
      <c r="AL284" s="8"/>
      <c r="AM284" s="8"/>
      <c r="AN284" s="8"/>
      <c r="AO284" s="1"/>
    </row>
    <row r="285" spans="1:41" x14ac:dyDescent="0.35">
      <c r="A285" s="6"/>
      <c r="B285" s="81"/>
      <c r="C285" s="83"/>
      <c r="D285" s="8"/>
      <c r="E285" s="8"/>
      <c r="F285" s="8"/>
      <c r="G285" s="8"/>
      <c r="H285" s="8"/>
      <c r="I285" s="8"/>
      <c r="J285" s="8"/>
      <c r="K285" s="8"/>
      <c r="L285" s="8"/>
      <c r="M285" s="8"/>
      <c r="N285" s="8"/>
      <c r="O285" s="8"/>
      <c r="P285" s="8"/>
      <c r="Q285" s="8"/>
      <c r="R285" s="8"/>
      <c r="S285" s="8"/>
      <c r="T285" s="8"/>
      <c r="U285" s="8"/>
      <c r="V285" s="8"/>
      <c r="W285" s="8"/>
      <c r="X285" s="8"/>
      <c r="Y285" s="8"/>
      <c r="Z285" s="8"/>
      <c r="AA285" s="8"/>
      <c r="AB285" s="8"/>
      <c r="AC285" s="8"/>
      <c r="AD285" s="8"/>
      <c r="AE285" s="8"/>
      <c r="AF285" s="8"/>
      <c r="AG285" s="8"/>
      <c r="AH285" s="8"/>
      <c r="AI285" s="8"/>
      <c r="AJ285" s="8"/>
      <c r="AK285" s="8"/>
      <c r="AL285" s="8"/>
      <c r="AM285" s="8"/>
      <c r="AN285" s="8"/>
      <c r="AO285" s="1"/>
    </row>
    <row r="286" spans="1:41" x14ac:dyDescent="0.35">
      <c r="A286" s="6"/>
      <c r="B286" s="81"/>
      <c r="C286" s="83"/>
      <c r="D286" s="8"/>
      <c r="E286" s="8"/>
      <c r="F286" s="8"/>
      <c r="G286" s="8"/>
      <c r="H286" s="8"/>
      <c r="I286" s="8"/>
      <c r="J286" s="8"/>
      <c r="K286" s="8"/>
      <c r="L286" s="8"/>
      <c r="M286" s="8"/>
      <c r="N286" s="8"/>
      <c r="O286" s="8"/>
      <c r="P286" s="8"/>
      <c r="Q286" s="8"/>
      <c r="R286" s="8"/>
      <c r="S286" s="8"/>
      <c r="T286" s="8"/>
      <c r="U286" s="8"/>
      <c r="V286" s="8"/>
      <c r="W286" s="8"/>
      <c r="X286" s="8"/>
      <c r="Y286" s="8"/>
      <c r="Z286" s="8"/>
      <c r="AA286" s="8"/>
      <c r="AB286" s="8"/>
      <c r="AC286" s="8"/>
      <c r="AD286" s="8"/>
      <c r="AE286" s="8"/>
      <c r="AF286" s="8"/>
      <c r="AG286" s="8"/>
      <c r="AH286" s="8"/>
      <c r="AI286" s="8"/>
      <c r="AJ286" s="8"/>
      <c r="AK286" s="8"/>
      <c r="AL286" s="8"/>
      <c r="AM286" s="8"/>
      <c r="AN286" s="8"/>
      <c r="AO286" s="1"/>
    </row>
    <row r="287" spans="1:41" x14ac:dyDescent="0.35">
      <c r="A287" s="6"/>
      <c r="B287" s="81"/>
      <c r="C287" s="83"/>
      <c r="D287" s="8"/>
      <c r="E287" s="8"/>
      <c r="F287" s="8"/>
      <c r="G287" s="8"/>
      <c r="H287" s="8"/>
      <c r="I287" s="8"/>
      <c r="J287" s="8"/>
      <c r="K287" s="8"/>
      <c r="L287" s="8"/>
      <c r="M287" s="8"/>
      <c r="N287" s="8"/>
      <c r="O287" s="8"/>
      <c r="P287" s="8"/>
      <c r="Q287" s="8"/>
      <c r="R287" s="8"/>
      <c r="S287" s="8"/>
      <c r="T287" s="8"/>
      <c r="U287" s="8"/>
      <c r="V287" s="8"/>
      <c r="W287" s="8"/>
      <c r="X287" s="8"/>
      <c r="Y287" s="8"/>
      <c r="Z287" s="8"/>
      <c r="AA287" s="8"/>
      <c r="AB287" s="8"/>
      <c r="AC287" s="8"/>
      <c r="AD287" s="8"/>
      <c r="AE287" s="8"/>
      <c r="AF287" s="8"/>
      <c r="AG287" s="8"/>
      <c r="AH287" s="8"/>
      <c r="AI287" s="8"/>
      <c r="AJ287" s="8"/>
      <c r="AK287" s="8"/>
      <c r="AL287" s="8"/>
      <c r="AM287" s="8"/>
      <c r="AN287" s="8"/>
      <c r="AO287" s="1"/>
    </row>
    <row r="288" spans="1:41" x14ac:dyDescent="0.35">
      <c r="A288" s="6"/>
      <c r="B288" s="81"/>
      <c r="C288" s="83"/>
      <c r="D288" s="8"/>
      <c r="E288" s="8"/>
      <c r="F288" s="8"/>
      <c r="G288" s="8"/>
      <c r="H288" s="8"/>
      <c r="I288" s="8"/>
      <c r="J288" s="8"/>
      <c r="K288" s="8"/>
      <c r="L288" s="8"/>
      <c r="M288" s="8"/>
      <c r="N288" s="8"/>
      <c r="O288" s="8"/>
      <c r="P288" s="8"/>
      <c r="Q288" s="8"/>
      <c r="R288" s="8"/>
      <c r="S288" s="8"/>
      <c r="T288" s="8"/>
      <c r="U288" s="8"/>
      <c r="V288" s="8"/>
      <c r="W288" s="8"/>
      <c r="X288" s="8"/>
      <c r="Y288" s="8"/>
      <c r="Z288" s="8"/>
      <c r="AA288" s="8"/>
      <c r="AB288" s="8"/>
      <c r="AC288" s="8"/>
      <c r="AD288" s="8"/>
      <c r="AE288" s="8"/>
      <c r="AF288" s="8"/>
      <c r="AG288" s="8"/>
      <c r="AH288" s="8"/>
      <c r="AI288" s="8"/>
      <c r="AJ288" s="8"/>
      <c r="AK288" s="8"/>
      <c r="AL288" s="8"/>
      <c r="AM288" s="8"/>
      <c r="AN288" s="8"/>
      <c r="AO288" s="1"/>
    </row>
    <row r="289" spans="1:41" x14ac:dyDescent="0.35">
      <c r="A289" s="6"/>
      <c r="B289" s="81"/>
      <c r="C289" s="83"/>
      <c r="D289" s="8"/>
      <c r="E289" s="8"/>
      <c r="F289" s="8"/>
      <c r="G289" s="8"/>
      <c r="H289" s="8"/>
      <c r="I289" s="8"/>
      <c r="J289" s="8"/>
      <c r="K289" s="8"/>
      <c r="L289" s="8"/>
      <c r="M289" s="8"/>
      <c r="N289" s="8"/>
      <c r="O289" s="8"/>
      <c r="P289" s="8"/>
      <c r="Q289" s="8"/>
      <c r="R289" s="8"/>
      <c r="S289" s="8"/>
      <c r="T289" s="8"/>
      <c r="U289" s="8"/>
      <c r="V289" s="8"/>
      <c r="W289" s="8"/>
      <c r="X289" s="8"/>
      <c r="Y289" s="8"/>
      <c r="Z289" s="8"/>
      <c r="AA289" s="8"/>
      <c r="AB289" s="8"/>
      <c r="AC289" s="8"/>
      <c r="AD289" s="8"/>
      <c r="AE289" s="8"/>
      <c r="AF289" s="8"/>
      <c r="AG289" s="8"/>
      <c r="AH289" s="8"/>
      <c r="AI289" s="8"/>
      <c r="AJ289" s="8"/>
      <c r="AK289" s="8"/>
      <c r="AL289" s="8"/>
      <c r="AM289" s="8"/>
      <c r="AN289" s="8"/>
      <c r="AO289" s="1"/>
    </row>
    <row r="290" spans="1:41" x14ac:dyDescent="0.35">
      <c r="A290" s="6"/>
      <c r="B290" s="81"/>
      <c r="C290" s="83"/>
      <c r="D290" s="8"/>
      <c r="E290" s="8"/>
      <c r="F290" s="8"/>
      <c r="G290" s="8"/>
      <c r="H290" s="8"/>
      <c r="I290" s="8"/>
      <c r="J290" s="8"/>
      <c r="K290" s="8"/>
      <c r="L290" s="8"/>
      <c r="M290" s="8"/>
      <c r="N290" s="8"/>
      <c r="O290" s="8"/>
      <c r="P290" s="8"/>
      <c r="Q290" s="8"/>
      <c r="R290" s="8"/>
      <c r="S290" s="8"/>
      <c r="T290" s="8"/>
      <c r="U290" s="8"/>
      <c r="V290" s="8"/>
      <c r="W290" s="8"/>
      <c r="X290" s="8"/>
      <c r="Y290" s="8"/>
      <c r="Z290" s="8"/>
      <c r="AA290" s="8"/>
      <c r="AB290" s="8"/>
      <c r="AC290" s="8"/>
      <c r="AD290" s="8"/>
      <c r="AE290" s="8"/>
      <c r="AF290" s="8"/>
      <c r="AG290" s="8"/>
      <c r="AH290" s="8"/>
      <c r="AI290" s="8"/>
      <c r="AJ290" s="8"/>
      <c r="AK290" s="8"/>
      <c r="AL290" s="8"/>
      <c r="AM290" s="8"/>
      <c r="AN290" s="8"/>
      <c r="AO290" s="1"/>
    </row>
    <row r="291" spans="1:41" x14ac:dyDescent="0.35">
      <c r="A291" s="6"/>
      <c r="B291" s="81"/>
      <c r="C291" s="83"/>
      <c r="D291" s="8"/>
      <c r="E291" s="8"/>
      <c r="F291" s="8"/>
      <c r="G291" s="8"/>
      <c r="H291" s="8"/>
      <c r="I291" s="8"/>
      <c r="J291" s="8"/>
      <c r="K291" s="8"/>
      <c r="L291" s="8"/>
      <c r="M291" s="8"/>
      <c r="N291" s="8"/>
      <c r="O291" s="8"/>
      <c r="P291" s="8"/>
      <c r="Q291" s="8"/>
      <c r="R291" s="8"/>
      <c r="S291" s="8"/>
      <c r="T291" s="8"/>
      <c r="U291" s="8"/>
      <c r="V291" s="8"/>
      <c r="W291" s="8"/>
      <c r="X291" s="8"/>
      <c r="Y291" s="8"/>
      <c r="Z291" s="8"/>
      <c r="AA291" s="8"/>
      <c r="AB291" s="8"/>
      <c r="AC291" s="8"/>
      <c r="AD291" s="8"/>
      <c r="AE291" s="8"/>
      <c r="AF291" s="8"/>
      <c r="AG291" s="8"/>
      <c r="AH291" s="8"/>
      <c r="AI291" s="8"/>
      <c r="AJ291" s="8"/>
      <c r="AK291" s="8"/>
      <c r="AL291" s="8"/>
      <c r="AM291" s="8"/>
      <c r="AN291" s="8"/>
      <c r="AO291" s="1"/>
    </row>
    <row r="292" spans="1:41" x14ac:dyDescent="0.35">
      <c r="A292" s="6"/>
      <c r="B292" s="81"/>
      <c r="C292" s="83"/>
      <c r="D292" s="8"/>
      <c r="E292" s="8"/>
      <c r="F292" s="8"/>
      <c r="G292" s="8"/>
      <c r="H292" s="8"/>
      <c r="I292" s="8"/>
      <c r="J292" s="8"/>
      <c r="K292" s="8"/>
      <c r="L292" s="8"/>
      <c r="M292" s="8"/>
      <c r="N292" s="8"/>
      <c r="O292" s="8"/>
      <c r="P292" s="8"/>
      <c r="Q292" s="8"/>
      <c r="R292" s="8"/>
      <c r="S292" s="8"/>
      <c r="T292" s="8"/>
      <c r="U292" s="8"/>
      <c r="V292" s="8"/>
      <c r="W292" s="8"/>
      <c r="X292" s="8"/>
      <c r="Y292" s="8"/>
      <c r="Z292" s="8"/>
      <c r="AA292" s="8"/>
      <c r="AB292" s="8"/>
      <c r="AC292" s="8"/>
      <c r="AD292" s="8"/>
      <c r="AE292" s="8"/>
      <c r="AF292" s="8"/>
      <c r="AG292" s="8"/>
      <c r="AH292" s="8"/>
      <c r="AI292" s="8"/>
      <c r="AJ292" s="8"/>
      <c r="AK292" s="8"/>
      <c r="AL292" s="8"/>
      <c r="AM292" s="8"/>
      <c r="AN292" s="8"/>
      <c r="AO292" s="1"/>
    </row>
    <row r="293" spans="1:41" x14ac:dyDescent="0.35">
      <c r="A293" s="6"/>
      <c r="B293" s="81"/>
      <c r="C293" s="83"/>
      <c r="D293" s="8"/>
      <c r="E293" s="8"/>
      <c r="F293" s="8"/>
      <c r="G293" s="8"/>
      <c r="H293" s="8"/>
      <c r="I293" s="8"/>
      <c r="J293" s="8"/>
      <c r="K293" s="8"/>
      <c r="L293" s="8"/>
      <c r="M293" s="8"/>
      <c r="N293" s="8"/>
      <c r="O293" s="8"/>
      <c r="P293" s="8"/>
      <c r="Q293" s="8"/>
      <c r="R293" s="8"/>
      <c r="S293" s="8"/>
      <c r="T293" s="8"/>
      <c r="U293" s="8"/>
      <c r="V293" s="8"/>
      <c r="W293" s="8"/>
      <c r="X293" s="8"/>
      <c r="Y293" s="8"/>
      <c r="Z293" s="8"/>
      <c r="AA293" s="8"/>
      <c r="AB293" s="8"/>
      <c r="AC293" s="8"/>
      <c r="AD293" s="8"/>
      <c r="AE293" s="8"/>
      <c r="AF293" s="8"/>
      <c r="AG293" s="8"/>
      <c r="AH293" s="8"/>
      <c r="AI293" s="8"/>
      <c r="AJ293" s="8"/>
      <c r="AK293" s="8"/>
      <c r="AL293" s="8"/>
      <c r="AM293" s="8"/>
      <c r="AN293" s="8"/>
      <c r="AO293" s="1"/>
    </row>
    <row r="294" spans="1:41" x14ac:dyDescent="0.35">
      <c r="A294" s="6"/>
      <c r="B294" s="81"/>
      <c r="C294" s="83"/>
      <c r="D294" s="8"/>
      <c r="E294" s="8"/>
      <c r="F294" s="8"/>
      <c r="G294" s="8"/>
      <c r="H294" s="8"/>
      <c r="I294" s="8"/>
      <c r="J294" s="8"/>
      <c r="K294" s="8"/>
      <c r="L294" s="8"/>
      <c r="M294" s="8"/>
      <c r="N294" s="8"/>
      <c r="O294" s="8"/>
      <c r="P294" s="8"/>
      <c r="Q294" s="8"/>
      <c r="R294" s="8"/>
      <c r="S294" s="8"/>
      <c r="T294" s="8"/>
      <c r="U294" s="8"/>
      <c r="V294" s="8"/>
      <c r="W294" s="8"/>
      <c r="X294" s="8"/>
      <c r="Y294" s="8"/>
      <c r="Z294" s="8"/>
      <c r="AA294" s="8"/>
      <c r="AB294" s="8"/>
      <c r="AC294" s="8"/>
      <c r="AD294" s="8"/>
      <c r="AE294" s="8"/>
      <c r="AF294" s="8"/>
      <c r="AG294" s="8"/>
      <c r="AH294" s="8"/>
      <c r="AI294" s="8"/>
      <c r="AJ294" s="8"/>
      <c r="AK294" s="8"/>
      <c r="AL294" s="8"/>
      <c r="AM294" s="8"/>
      <c r="AN294" s="8"/>
      <c r="AO294" s="1"/>
    </row>
    <row r="295" spans="1:41" x14ac:dyDescent="0.35">
      <c r="A295" s="6"/>
      <c r="B295" s="81"/>
      <c r="C295" s="83"/>
      <c r="D295" s="8"/>
      <c r="E295" s="8"/>
      <c r="F295" s="8"/>
      <c r="G295" s="8"/>
      <c r="H295" s="8"/>
      <c r="I295" s="8"/>
      <c r="J295" s="8"/>
      <c r="K295" s="8"/>
      <c r="L295" s="8"/>
      <c r="M295" s="8"/>
      <c r="N295" s="8"/>
      <c r="O295" s="8"/>
      <c r="P295" s="8"/>
      <c r="Q295" s="8"/>
      <c r="R295" s="8"/>
      <c r="S295" s="8"/>
      <c r="T295" s="8"/>
      <c r="U295" s="8"/>
      <c r="V295" s="8"/>
      <c r="W295" s="8"/>
      <c r="X295" s="8"/>
      <c r="Y295" s="8"/>
      <c r="Z295" s="8"/>
      <c r="AA295" s="8"/>
      <c r="AB295" s="8"/>
      <c r="AC295" s="8"/>
      <c r="AD295" s="8"/>
      <c r="AE295" s="8"/>
      <c r="AF295" s="8"/>
      <c r="AG295" s="8"/>
      <c r="AH295" s="8"/>
      <c r="AI295" s="8"/>
      <c r="AJ295" s="8"/>
      <c r="AK295" s="8"/>
      <c r="AL295" s="8"/>
      <c r="AM295" s="8"/>
      <c r="AN295" s="8"/>
      <c r="AO295" s="1"/>
    </row>
    <row r="296" spans="1:41" x14ac:dyDescent="0.35">
      <c r="A296" s="6"/>
      <c r="B296" s="81"/>
      <c r="C296" s="83"/>
      <c r="D296" s="8"/>
      <c r="E296" s="8"/>
      <c r="F296" s="8"/>
      <c r="G296" s="8"/>
      <c r="H296" s="8"/>
      <c r="I296" s="8"/>
      <c r="J296" s="8"/>
      <c r="K296" s="8"/>
      <c r="L296" s="8"/>
      <c r="M296" s="8"/>
      <c r="N296" s="8"/>
      <c r="O296" s="8"/>
      <c r="P296" s="8"/>
      <c r="Q296" s="8"/>
      <c r="R296" s="8"/>
      <c r="S296" s="8"/>
      <c r="T296" s="8"/>
      <c r="U296" s="8"/>
      <c r="V296" s="8"/>
      <c r="W296" s="8"/>
      <c r="X296" s="8"/>
      <c r="Y296" s="8"/>
      <c r="Z296" s="8"/>
      <c r="AA296" s="8"/>
      <c r="AB296" s="8"/>
      <c r="AC296" s="8"/>
      <c r="AD296" s="8"/>
      <c r="AE296" s="8"/>
      <c r="AF296" s="8"/>
      <c r="AG296" s="8"/>
      <c r="AH296" s="8"/>
      <c r="AI296" s="8"/>
      <c r="AJ296" s="8"/>
      <c r="AK296" s="8"/>
      <c r="AL296" s="8"/>
      <c r="AM296" s="8"/>
      <c r="AN296" s="8"/>
      <c r="AO296" s="1"/>
    </row>
    <row r="297" spans="1:41" x14ac:dyDescent="0.35">
      <c r="A297" s="6"/>
      <c r="B297" s="81"/>
      <c r="C297" s="83"/>
      <c r="D297" s="8"/>
      <c r="E297" s="8"/>
      <c r="F297" s="8"/>
      <c r="G297" s="8"/>
      <c r="H297" s="8"/>
      <c r="I297" s="8"/>
      <c r="J297" s="8"/>
      <c r="K297" s="8"/>
      <c r="L297" s="8"/>
      <c r="M297" s="8"/>
      <c r="N297" s="8"/>
      <c r="O297" s="8"/>
      <c r="P297" s="8"/>
      <c r="Q297" s="8"/>
      <c r="R297" s="8"/>
      <c r="S297" s="8"/>
      <c r="T297" s="8"/>
      <c r="U297" s="8"/>
      <c r="V297" s="8"/>
      <c r="W297" s="8"/>
      <c r="X297" s="8"/>
      <c r="Y297" s="8"/>
      <c r="Z297" s="8"/>
      <c r="AA297" s="8"/>
      <c r="AB297" s="8"/>
      <c r="AC297" s="8"/>
      <c r="AD297" s="8"/>
      <c r="AE297" s="8"/>
      <c r="AF297" s="8"/>
      <c r="AG297" s="8"/>
      <c r="AH297" s="8"/>
      <c r="AI297" s="8"/>
      <c r="AJ297" s="8"/>
      <c r="AK297" s="8"/>
      <c r="AL297" s="8"/>
      <c r="AM297" s="8"/>
      <c r="AN297" s="8"/>
      <c r="AO297" s="1"/>
    </row>
    <row r="298" spans="1:41" x14ac:dyDescent="0.35">
      <c r="A298" s="6"/>
      <c r="B298" s="81"/>
      <c r="C298" s="83"/>
      <c r="D298" s="8"/>
      <c r="E298" s="8"/>
      <c r="F298" s="8"/>
      <c r="G298" s="8"/>
      <c r="H298" s="8"/>
      <c r="I298" s="8"/>
      <c r="J298" s="8"/>
      <c r="K298" s="8"/>
      <c r="L298" s="8"/>
      <c r="M298" s="8"/>
      <c r="N298" s="8"/>
      <c r="O298" s="8"/>
      <c r="P298" s="8"/>
      <c r="Q298" s="8"/>
      <c r="R298" s="8"/>
      <c r="S298" s="8"/>
      <c r="T298" s="8"/>
      <c r="U298" s="8"/>
      <c r="V298" s="8"/>
      <c r="W298" s="8"/>
      <c r="X298" s="8"/>
      <c r="Y298" s="8"/>
      <c r="Z298" s="8"/>
      <c r="AA298" s="8"/>
      <c r="AB298" s="8"/>
      <c r="AC298" s="8"/>
      <c r="AD298" s="8"/>
      <c r="AE298" s="8"/>
      <c r="AF298" s="8"/>
      <c r="AG298" s="8"/>
      <c r="AH298" s="8"/>
      <c r="AI298" s="8"/>
      <c r="AJ298" s="8"/>
      <c r="AK298" s="8"/>
      <c r="AL298" s="8"/>
      <c r="AM298" s="8"/>
      <c r="AN298" s="8"/>
      <c r="AO298" s="1"/>
    </row>
    <row r="299" spans="1:41" x14ac:dyDescent="0.35">
      <c r="A299" s="6"/>
      <c r="B299" s="81"/>
      <c r="C299" s="83"/>
      <c r="D299" s="8"/>
      <c r="E299" s="8"/>
      <c r="F299" s="8"/>
      <c r="G299" s="8"/>
      <c r="H299" s="8"/>
      <c r="I299" s="8"/>
      <c r="J299" s="8"/>
      <c r="K299" s="8"/>
      <c r="L299" s="8"/>
      <c r="M299" s="8"/>
      <c r="N299" s="8"/>
      <c r="O299" s="8"/>
      <c r="P299" s="8"/>
      <c r="Q299" s="8"/>
      <c r="R299" s="8"/>
      <c r="S299" s="8"/>
      <c r="T299" s="8"/>
      <c r="U299" s="8"/>
      <c r="V299" s="8"/>
      <c r="W299" s="8"/>
      <c r="X299" s="8"/>
      <c r="Y299" s="8"/>
      <c r="Z299" s="8"/>
      <c r="AA299" s="8"/>
      <c r="AB299" s="8"/>
      <c r="AC299" s="8"/>
      <c r="AD299" s="8"/>
      <c r="AE299" s="8"/>
      <c r="AF299" s="8"/>
      <c r="AG299" s="8"/>
      <c r="AH299" s="8"/>
      <c r="AI299" s="8"/>
      <c r="AJ299" s="8"/>
      <c r="AK299" s="8"/>
      <c r="AL299" s="8"/>
      <c r="AM299" s="8"/>
      <c r="AN299" s="8"/>
      <c r="AO299" s="1"/>
    </row>
    <row r="300" spans="1:41" x14ac:dyDescent="0.35">
      <c r="A300" s="6"/>
      <c r="B300" s="81"/>
      <c r="C300" s="83"/>
      <c r="D300" s="8"/>
      <c r="E300" s="8"/>
      <c r="F300" s="8"/>
      <c r="G300" s="8"/>
      <c r="H300" s="8"/>
      <c r="I300" s="8"/>
      <c r="J300" s="8"/>
      <c r="K300" s="8"/>
      <c r="L300" s="8"/>
      <c r="M300" s="8"/>
      <c r="N300" s="8"/>
      <c r="O300" s="8"/>
      <c r="P300" s="8"/>
      <c r="Q300" s="8"/>
      <c r="R300" s="8"/>
      <c r="S300" s="8"/>
      <c r="T300" s="8"/>
      <c r="U300" s="8"/>
      <c r="V300" s="8"/>
      <c r="W300" s="8"/>
      <c r="X300" s="8"/>
      <c r="Y300" s="8"/>
      <c r="Z300" s="8"/>
      <c r="AA300" s="8"/>
      <c r="AB300" s="8"/>
      <c r="AC300" s="8"/>
      <c r="AD300" s="8"/>
      <c r="AE300" s="8"/>
      <c r="AF300" s="8"/>
      <c r="AG300" s="8"/>
      <c r="AH300" s="8"/>
      <c r="AI300" s="8"/>
      <c r="AJ300" s="8"/>
      <c r="AK300" s="8"/>
      <c r="AL300" s="8"/>
      <c r="AM300" s="8"/>
      <c r="AN300" s="8"/>
      <c r="AO300" s="1"/>
    </row>
    <row r="301" spans="1:41" x14ac:dyDescent="0.35">
      <c r="A301" s="6"/>
      <c r="B301" s="81"/>
      <c r="C301" s="83"/>
      <c r="D301" s="8"/>
      <c r="E301" s="8"/>
      <c r="F301" s="8"/>
      <c r="G301" s="8"/>
      <c r="H301" s="8"/>
      <c r="I301" s="8"/>
      <c r="J301" s="8"/>
      <c r="K301" s="8"/>
      <c r="L301" s="8"/>
      <c r="M301" s="8"/>
      <c r="N301" s="8"/>
      <c r="O301" s="8"/>
      <c r="P301" s="8"/>
      <c r="Q301" s="8"/>
      <c r="R301" s="8"/>
      <c r="S301" s="8"/>
      <c r="T301" s="8"/>
      <c r="U301" s="8"/>
      <c r="V301" s="8"/>
      <c r="W301" s="8"/>
      <c r="X301" s="8"/>
      <c r="Y301" s="8"/>
      <c r="Z301" s="8"/>
      <c r="AA301" s="8"/>
      <c r="AB301" s="8"/>
      <c r="AC301" s="8"/>
      <c r="AD301" s="8"/>
      <c r="AE301" s="8"/>
      <c r="AF301" s="8"/>
      <c r="AG301" s="8"/>
      <c r="AH301" s="8"/>
      <c r="AI301" s="8"/>
      <c r="AJ301" s="8"/>
      <c r="AK301" s="8"/>
      <c r="AL301" s="8"/>
      <c r="AM301" s="8"/>
      <c r="AN301" s="8"/>
      <c r="AO301" s="1"/>
    </row>
    <row r="302" spans="1:41" x14ac:dyDescent="0.35">
      <c r="A302" s="6"/>
      <c r="B302" s="81"/>
      <c r="C302" s="83"/>
      <c r="D302" s="8"/>
      <c r="E302" s="8"/>
      <c r="F302" s="8"/>
      <c r="G302" s="8"/>
      <c r="H302" s="8"/>
      <c r="I302" s="8"/>
      <c r="J302" s="8"/>
      <c r="K302" s="8"/>
      <c r="L302" s="8"/>
      <c r="M302" s="8"/>
      <c r="N302" s="8"/>
      <c r="O302" s="8"/>
      <c r="P302" s="8"/>
      <c r="Q302" s="8"/>
      <c r="R302" s="8"/>
      <c r="S302" s="8"/>
      <c r="T302" s="8"/>
      <c r="U302" s="8"/>
      <c r="V302" s="8"/>
      <c r="W302" s="8"/>
      <c r="X302" s="8"/>
      <c r="Y302" s="8"/>
      <c r="Z302" s="8"/>
      <c r="AA302" s="8"/>
      <c r="AB302" s="8"/>
      <c r="AC302" s="8"/>
      <c r="AD302" s="8"/>
      <c r="AE302" s="8"/>
      <c r="AF302" s="8"/>
      <c r="AG302" s="8"/>
      <c r="AH302" s="8"/>
      <c r="AI302" s="8"/>
      <c r="AJ302" s="8"/>
      <c r="AK302" s="8"/>
      <c r="AL302" s="8"/>
      <c r="AM302" s="8"/>
      <c r="AN302" s="8"/>
      <c r="AO302" s="1"/>
    </row>
    <row r="303" spans="1:41" x14ac:dyDescent="0.35">
      <c r="A303" s="6"/>
      <c r="B303" s="81"/>
      <c r="C303" s="83"/>
      <c r="D303" s="8"/>
      <c r="E303" s="8"/>
      <c r="F303" s="8"/>
      <c r="G303" s="8"/>
      <c r="H303" s="8"/>
      <c r="I303" s="8"/>
      <c r="J303" s="8"/>
      <c r="K303" s="8"/>
      <c r="L303" s="8"/>
      <c r="M303" s="8"/>
      <c r="N303" s="8"/>
      <c r="O303" s="8"/>
      <c r="P303" s="8"/>
      <c r="Q303" s="8"/>
      <c r="R303" s="8"/>
      <c r="S303" s="8"/>
      <c r="T303" s="8"/>
      <c r="U303" s="8"/>
      <c r="V303" s="8"/>
      <c r="W303" s="8"/>
      <c r="X303" s="8"/>
      <c r="Y303" s="8"/>
      <c r="Z303" s="8"/>
      <c r="AA303" s="8"/>
      <c r="AB303" s="8"/>
      <c r="AC303" s="8"/>
      <c r="AD303" s="8"/>
      <c r="AE303" s="8"/>
      <c r="AF303" s="8"/>
      <c r="AG303" s="8"/>
      <c r="AH303" s="8"/>
      <c r="AI303" s="8"/>
      <c r="AJ303" s="8"/>
      <c r="AK303" s="8"/>
      <c r="AL303" s="8"/>
      <c r="AM303" s="8"/>
      <c r="AN303" s="8"/>
      <c r="AO303" s="1"/>
    </row>
    <row r="304" spans="1:41" x14ac:dyDescent="0.35">
      <c r="A304" s="6"/>
      <c r="B304" s="81"/>
      <c r="C304" s="83"/>
      <c r="D304" s="8"/>
      <c r="E304" s="8"/>
      <c r="F304" s="8"/>
      <c r="G304" s="8"/>
      <c r="H304" s="8"/>
      <c r="I304" s="8"/>
      <c r="J304" s="8"/>
      <c r="K304" s="8"/>
      <c r="L304" s="8"/>
      <c r="M304" s="8"/>
      <c r="N304" s="8"/>
      <c r="O304" s="8"/>
      <c r="P304" s="8"/>
      <c r="Q304" s="8"/>
      <c r="R304" s="8"/>
      <c r="S304" s="8"/>
      <c r="T304" s="8"/>
      <c r="U304" s="8"/>
      <c r="V304" s="8"/>
      <c r="W304" s="8"/>
      <c r="X304" s="8"/>
      <c r="Y304" s="8"/>
      <c r="Z304" s="8"/>
      <c r="AA304" s="8"/>
      <c r="AB304" s="8"/>
      <c r="AC304" s="8"/>
      <c r="AD304" s="8"/>
      <c r="AE304" s="8"/>
      <c r="AF304" s="8"/>
      <c r="AG304" s="8"/>
      <c r="AH304" s="8"/>
      <c r="AI304" s="8"/>
      <c r="AJ304" s="8"/>
      <c r="AK304" s="8"/>
      <c r="AL304" s="8"/>
      <c r="AM304" s="8"/>
      <c r="AN304" s="8"/>
      <c r="AO304" s="1"/>
    </row>
    <row r="305" spans="1:41" x14ac:dyDescent="0.35">
      <c r="A305" s="6"/>
      <c r="B305" s="81"/>
      <c r="C305" s="83"/>
      <c r="D305" s="8"/>
      <c r="E305" s="8"/>
      <c r="F305" s="8"/>
      <c r="G305" s="8"/>
      <c r="H305" s="8"/>
      <c r="I305" s="8"/>
      <c r="J305" s="8"/>
      <c r="K305" s="8"/>
      <c r="L305" s="8"/>
      <c r="M305" s="8"/>
      <c r="N305" s="8"/>
      <c r="O305" s="8"/>
      <c r="P305" s="8"/>
      <c r="Q305" s="8"/>
      <c r="R305" s="8"/>
      <c r="S305" s="8"/>
      <c r="T305" s="8"/>
      <c r="U305" s="8"/>
      <c r="V305" s="8"/>
      <c r="W305" s="8"/>
      <c r="X305" s="8"/>
      <c r="Y305" s="8"/>
      <c r="Z305" s="8"/>
      <c r="AA305" s="8"/>
      <c r="AB305" s="8"/>
      <c r="AC305" s="8"/>
      <c r="AD305" s="8"/>
      <c r="AE305" s="8"/>
      <c r="AF305" s="8"/>
      <c r="AG305" s="8"/>
      <c r="AH305" s="8"/>
      <c r="AI305" s="8"/>
      <c r="AJ305" s="8"/>
      <c r="AK305" s="8"/>
      <c r="AL305" s="8"/>
      <c r="AM305" s="8"/>
      <c r="AN305" s="8"/>
      <c r="AO305" s="1"/>
    </row>
    <row r="306" spans="1:41" x14ac:dyDescent="0.35">
      <c r="A306" s="6"/>
      <c r="B306" s="81"/>
      <c r="C306" s="83"/>
      <c r="D306" s="8"/>
      <c r="E306" s="8"/>
      <c r="F306" s="8"/>
      <c r="G306" s="8"/>
      <c r="H306" s="8"/>
      <c r="I306" s="8"/>
      <c r="J306" s="8"/>
      <c r="K306" s="8"/>
      <c r="L306" s="8"/>
      <c r="M306" s="8"/>
      <c r="N306" s="8"/>
      <c r="O306" s="8"/>
      <c r="P306" s="8"/>
      <c r="Q306" s="8"/>
      <c r="R306" s="8"/>
      <c r="S306" s="8"/>
      <c r="T306" s="8"/>
      <c r="U306" s="8"/>
      <c r="V306" s="8"/>
      <c r="W306" s="8"/>
      <c r="X306" s="8"/>
      <c r="Y306" s="8"/>
      <c r="Z306" s="8"/>
      <c r="AA306" s="8"/>
      <c r="AB306" s="8"/>
      <c r="AC306" s="8"/>
      <c r="AD306" s="8"/>
      <c r="AE306" s="8"/>
      <c r="AF306" s="8"/>
      <c r="AG306" s="8"/>
      <c r="AH306" s="8"/>
      <c r="AI306" s="8"/>
      <c r="AJ306" s="8"/>
      <c r="AK306" s="8"/>
      <c r="AL306" s="8"/>
      <c r="AM306" s="8"/>
      <c r="AN306" s="8"/>
      <c r="AO306" s="1"/>
    </row>
    <row r="307" spans="1:41" x14ac:dyDescent="0.35">
      <c r="A307" s="6"/>
      <c r="B307" s="81"/>
      <c r="C307" s="83"/>
      <c r="D307" s="8"/>
      <c r="E307" s="8"/>
      <c r="F307" s="8"/>
      <c r="G307" s="8"/>
      <c r="H307" s="8"/>
      <c r="I307" s="8"/>
      <c r="J307" s="8"/>
      <c r="K307" s="8"/>
      <c r="L307" s="8"/>
      <c r="M307" s="8"/>
      <c r="N307" s="8"/>
      <c r="O307" s="8"/>
      <c r="P307" s="8"/>
      <c r="Q307" s="8"/>
      <c r="R307" s="8"/>
      <c r="S307" s="8"/>
      <c r="T307" s="8"/>
      <c r="U307" s="8"/>
      <c r="V307" s="8"/>
      <c r="W307" s="8"/>
      <c r="X307" s="8"/>
      <c r="Y307" s="8"/>
      <c r="Z307" s="8"/>
      <c r="AA307" s="8"/>
      <c r="AB307" s="8"/>
      <c r="AC307" s="8"/>
      <c r="AD307" s="8"/>
      <c r="AE307" s="8"/>
      <c r="AF307" s="8"/>
      <c r="AG307" s="8"/>
      <c r="AH307" s="8"/>
      <c r="AI307" s="8"/>
      <c r="AJ307" s="8"/>
      <c r="AK307" s="8"/>
      <c r="AL307" s="8"/>
      <c r="AM307" s="8"/>
      <c r="AN307" s="8"/>
      <c r="AO307" s="1"/>
    </row>
    <row r="308" spans="1:41" x14ac:dyDescent="0.35">
      <c r="A308" s="6"/>
      <c r="B308" s="81"/>
      <c r="C308" s="83"/>
      <c r="D308" s="8"/>
      <c r="E308" s="8"/>
      <c r="F308" s="8"/>
      <c r="G308" s="8"/>
      <c r="H308" s="8"/>
      <c r="I308" s="8"/>
      <c r="J308" s="8"/>
      <c r="K308" s="8"/>
      <c r="L308" s="8"/>
      <c r="M308" s="8"/>
      <c r="N308" s="8"/>
      <c r="O308" s="8"/>
      <c r="P308" s="8"/>
      <c r="Q308" s="8"/>
      <c r="R308" s="8"/>
      <c r="S308" s="8"/>
      <c r="T308" s="8"/>
      <c r="U308" s="8"/>
      <c r="V308" s="8"/>
      <c r="W308" s="8"/>
      <c r="X308" s="8"/>
      <c r="Y308" s="8"/>
      <c r="Z308" s="8"/>
      <c r="AA308" s="8"/>
      <c r="AB308" s="8"/>
      <c r="AC308" s="8"/>
      <c r="AD308" s="8"/>
      <c r="AE308" s="8"/>
      <c r="AF308" s="8"/>
      <c r="AG308" s="8"/>
      <c r="AH308" s="8"/>
      <c r="AI308" s="8"/>
      <c r="AJ308" s="8"/>
      <c r="AK308" s="8"/>
      <c r="AL308" s="8"/>
      <c r="AM308" s="8"/>
      <c r="AN308" s="8"/>
      <c r="AO308" s="1"/>
    </row>
    <row r="309" spans="1:41" x14ac:dyDescent="0.35">
      <c r="A309" s="6"/>
      <c r="B309" s="81"/>
      <c r="C309" s="83"/>
      <c r="D309" s="8"/>
      <c r="E309" s="8"/>
      <c r="F309" s="8"/>
      <c r="G309" s="8"/>
      <c r="H309" s="8"/>
      <c r="I309" s="8"/>
      <c r="J309" s="8"/>
      <c r="K309" s="8"/>
      <c r="L309" s="8"/>
      <c r="M309" s="8"/>
      <c r="N309" s="8"/>
      <c r="O309" s="8"/>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1"/>
    </row>
    <row r="310" spans="1:41" x14ac:dyDescent="0.35">
      <c r="A310" s="6"/>
      <c r="B310" s="81"/>
      <c r="C310" s="83"/>
      <c r="D310" s="8"/>
      <c r="E310" s="8"/>
      <c r="F310" s="8"/>
      <c r="G310" s="8"/>
      <c r="H310" s="8"/>
      <c r="I310" s="8"/>
      <c r="J310" s="8"/>
      <c r="K310" s="8"/>
      <c r="L310" s="8"/>
      <c r="M310" s="8"/>
      <c r="N310" s="8"/>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c r="AN310" s="8"/>
      <c r="AO310" s="1"/>
    </row>
    <row r="311" spans="1:41" x14ac:dyDescent="0.35">
      <c r="A311" s="6"/>
      <c r="B311" s="81"/>
      <c r="C311" s="83"/>
      <c r="D311" s="8"/>
      <c r="E311" s="8"/>
      <c r="F311" s="8"/>
      <c r="G311" s="8"/>
      <c r="H311" s="8"/>
      <c r="I311" s="8"/>
      <c r="J311" s="8"/>
      <c r="K311" s="8"/>
      <c r="L311" s="8"/>
      <c r="M311" s="8"/>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1"/>
    </row>
    <row r="312" spans="1:41" x14ac:dyDescent="0.35">
      <c r="A312" s="6"/>
      <c r="B312" s="81"/>
      <c r="C312" s="83"/>
      <c r="D312" s="8"/>
      <c r="E312" s="8"/>
      <c r="F312" s="8"/>
      <c r="G312" s="8"/>
      <c r="H312" s="8"/>
      <c r="I312" s="8"/>
      <c r="J312" s="8"/>
      <c r="K312" s="8"/>
      <c r="L312" s="8"/>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c r="AN312" s="8"/>
      <c r="AO312" s="1"/>
    </row>
    <row r="313" spans="1:41" x14ac:dyDescent="0.35">
      <c r="A313" s="6"/>
      <c r="B313" s="81"/>
      <c r="C313" s="83"/>
      <c r="D313" s="8"/>
      <c r="E313" s="8"/>
      <c r="F313" s="8"/>
      <c r="G313" s="8"/>
      <c r="H313" s="8"/>
      <c r="I313" s="8"/>
      <c r="J313" s="8"/>
      <c r="K313" s="8"/>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1"/>
    </row>
    <row r="314" spans="1:41" x14ac:dyDescent="0.35">
      <c r="A314" s="6"/>
      <c r="B314" s="81"/>
      <c r="C314" s="83"/>
      <c r="D314" s="8"/>
      <c r="E314" s="8"/>
      <c r="F314" s="8"/>
      <c r="G314" s="8"/>
      <c r="H314" s="8"/>
      <c r="I314" s="8"/>
      <c r="J314" s="8"/>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c r="AN314" s="8"/>
      <c r="AO314" s="1"/>
    </row>
    <row r="315" spans="1:41" x14ac:dyDescent="0.35">
      <c r="A315" s="6"/>
      <c r="B315" s="81"/>
      <c r="C315" s="83"/>
      <c r="D315" s="8"/>
      <c r="E315" s="8"/>
      <c r="F315" s="8"/>
      <c r="G315" s="8"/>
      <c r="H315" s="8"/>
      <c r="I315" s="8"/>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1"/>
    </row>
    <row r="316" spans="1:41" x14ac:dyDescent="0.35">
      <c r="A316" s="6"/>
      <c r="B316" s="81"/>
      <c r="C316" s="83"/>
      <c r="D316" s="8"/>
      <c r="E316" s="8"/>
      <c r="F316" s="8"/>
      <c r="G316" s="8"/>
      <c r="H316" s="8"/>
      <c r="I316" s="8"/>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c r="AN316" s="8"/>
      <c r="AO316" s="1"/>
    </row>
    <row r="317" spans="1:41" x14ac:dyDescent="0.35">
      <c r="A317" s="6"/>
      <c r="B317" s="81"/>
      <c r="C317" s="83"/>
      <c r="D317" s="8"/>
      <c r="E317" s="8"/>
      <c r="F317" s="8"/>
      <c r="G317" s="8"/>
      <c r="H317" s="8"/>
      <c r="I317" s="8"/>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1"/>
    </row>
    <row r="318" spans="1:41" x14ac:dyDescent="0.35">
      <c r="A318" s="6"/>
      <c r="B318" s="81"/>
      <c r="C318" s="83"/>
      <c r="D318" s="8"/>
      <c r="E318" s="8"/>
      <c r="F318" s="8"/>
      <c r="G318" s="8"/>
      <c r="H318" s="8"/>
      <c r="I318" s="8"/>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c r="AN318" s="8"/>
      <c r="AO318" s="1"/>
    </row>
    <row r="319" spans="1:41" x14ac:dyDescent="0.35">
      <c r="A319" s="6"/>
      <c r="B319" s="81"/>
      <c r="C319" s="83"/>
      <c r="D319" s="8"/>
      <c r="E319" s="8"/>
      <c r="F319" s="8"/>
      <c r="G319" s="8"/>
      <c r="H319" s="8"/>
      <c r="I319" s="8"/>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1"/>
    </row>
    <row r="320" spans="1:41" x14ac:dyDescent="0.35">
      <c r="A320" s="6"/>
      <c r="B320" s="81"/>
      <c r="C320" s="83"/>
      <c r="D320" s="8"/>
      <c r="E320" s="8"/>
      <c r="F320" s="8"/>
      <c r="G320" s="8"/>
      <c r="H320" s="8"/>
      <c r="I320" s="8"/>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c r="AN320" s="8"/>
      <c r="AO320" s="1"/>
    </row>
    <row r="321" spans="1:41" x14ac:dyDescent="0.35">
      <c r="A321" s="6"/>
      <c r="B321" s="81"/>
      <c r="C321" s="83"/>
      <c r="D321" s="8"/>
      <c r="E321" s="8"/>
      <c r="F321" s="8"/>
      <c r="G321" s="8"/>
      <c r="H321" s="8"/>
      <c r="I321" s="8"/>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1"/>
    </row>
    <row r="322" spans="1:41" x14ac:dyDescent="0.35">
      <c r="A322" s="6"/>
      <c r="B322" s="81"/>
      <c r="C322" s="83"/>
      <c r="D322" s="8"/>
      <c r="E322" s="8"/>
      <c r="F322" s="8"/>
      <c r="G322" s="8"/>
      <c r="H322" s="8"/>
      <c r="I322" s="8"/>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c r="AN322" s="8"/>
      <c r="AO322" s="1"/>
    </row>
    <row r="323" spans="1:41" x14ac:dyDescent="0.35">
      <c r="A323" s="6"/>
      <c r="B323" s="81"/>
      <c r="C323" s="83"/>
      <c r="D323" s="8"/>
      <c r="E323" s="8"/>
      <c r="F323" s="8"/>
      <c r="G323" s="8"/>
      <c r="H323" s="8"/>
      <c r="I323" s="8"/>
      <c r="J323" s="8"/>
      <c r="K323" s="8"/>
      <c r="L323" s="8"/>
      <c r="M323" s="8"/>
      <c r="N323" s="8"/>
      <c r="O323" s="8"/>
      <c r="P323" s="8"/>
      <c r="Q323" s="8"/>
      <c r="R323" s="8"/>
      <c r="S323" s="8"/>
      <c r="T323" s="8"/>
      <c r="U323" s="8"/>
      <c r="V323" s="8"/>
      <c r="W323" s="8"/>
      <c r="X323" s="8"/>
      <c r="Y323" s="8"/>
      <c r="Z323" s="8"/>
      <c r="AA323" s="8"/>
      <c r="AB323" s="8"/>
      <c r="AC323" s="8"/>
      <c r="AD323" s="8"/>
      <c r="AE323" s="8"/>
      <c r="AF323" s="8"/>
      <c r="AG323" s="8"/>
      <c r="AH323" s="8"/>
      <c r="AI323" s="8"/>
      <c r="AJ323" s="8"/>
      <c r="AK323" s="8"/>
      <c r="AL323" s="8"/>
      <c r="AM323" s="8"/>
      <c r="AN323" s="8"/>
      <c r="AO323" s="1"/>
    </row>
    <row r="324" spans="1:41" x14ac:dyDescent="0.35">
      <c r="A324" s="6"/>
      <c r="B324" s="81"/>
      <c r="C324" s="83"/>
      <c r="D324" s="8"/>
      <c r="E324" s="8"/>
      <c r="F324" s="8"/>
      <c r="G324" s="8"/>
      <c r="H324" s="8"/>
      <c r="I324" s="8"/>
      <c r="J324" s="8"/>
      <c r="K324" s="8"/>
      <c r="L324" s="8"/>
      <c r="M324" s="8"/>
      <c r="N324" s="8"/>
      <c r="O324" s="8"/>
      <c r="P324" s="8"/>
      <c r="Q324" s="8"/>
      <c r="R324" s="8"/>
      <c r="S324" s="8"/>
      <c r="T324" s="8"/>
      <c r="U324" s="8"/>
      <c r="V324" s="8"/>
      <c r="W324" s="8"/>
      <c r="X324" s="8"/>
      <c r="Y324" s="8"/>
      <c r="Z324" s="8"/>
      <c r="AA324" s="8"/>
      <c r="AB324" s="8"/>
      <c r="AC324" s="8"/>
      <c r="AD324" s="8"/>
      <c r="AE324" s="8"/>
      <c r="AF324" s="8"/>
      <c r="AG324" s="8"/>
      <c r="AH324" s="8"/>
      <c r="AI324" s="8"/>
      <c r="AJ324" s="8"/>
      <c r="AK324" s="8"/>
      <c r="AL324" s="8"/>
      <c r="AM324" s="8"/>
      <c r="AN324" s="8"/>
      <c r="AO324" s="1"/>
    </row>
    <row r="325" spans="1:41" x14ac:dyDescent="0.35">
      <c r="A325" s="6"/>
      <c r="B325" s="81"/>
      <c r="C325" s="83"/>
      <c r="D325" s="8"/>
      <c r="E325" s="8"/>
      <c r="F325" s="8"/>
      <c r="G325" s="8"/>
      <c r="H325" s="8"/>
      <c r="I325" s="8"/>
      <c r="J325" s="8"/>
      <c r="K325" s="8"/>
      <c r="L325" s="8"/>
      <c r="M325" s="8"/>
      <c r="N325" s="8"/>
      <c r="O325" s="8"/>
      <c r="P325" s="8"/>
      <c r="Q325" s="8"/>
      <c r="R325" s="8"/>
      <c r="S325" s="8"/>
      <c r="T325" s="8"/>
      <c r="U325" s="8"/>
      <c r="V325" s="8"/>
      <c r="W325" s="8"/>
      <c r="X325" s="8"/>
      <c r="Y325" s="8"/>
      <c r="Z325" s="8"/>
      <c r="AA325" s="8"/>
      <c r="AB325" s="8"/>
      <c r="AC325" s="8"/>
      <c r="AD325" s="8"/>
      <c r="AE325" s="8"/>
      <c r="AF325" s="8"/>
      <c r="AG325" s="8"/>
      <c r="AH325" s="8"/>
      <c r="AI325" s="8"/>
      <c r="AJ325" s="8"/>
      <c r="AK325" s="8"/>
      <c r="AL325" s="8"/>
      <c r="AM325" s="8"/>
      <c r="AN325" s="8"/>
      <c r="AO325" s="1"/>
    </row>
    <row r="326" spans="1:41" x14ac:dyDescent="0.35">
      <c r="A326" s="6"/>
      <c r="B326" s="81"/>
      <c r="C326" s="83"/>
      <c r="D326" s="8"/>
      <c r="E326" s="8"/>
      <c r="F326" s="8"/>
      <c r="G326" s="8"/>
      <c r="H326" s="8"/>
      <c r="I326" s="8"/>
      <c r="J326" s="8"/>
      <c r="K326" s="8"/>
      <c r="L326" s="8"/>
      <c r="M326" s="8"/>
      <c r="N326" s="8"/>
      <c r="O326" s="8"/>
      <c r="P326" s="8"/>
      <c r="Q326" s="8"/>
      <c r="R326" s="8"/>
      <c r="S326" s="8"/>
      <c r="T326" s="8"/>
      <c r="U326" s="8"/>
      <c r="V326" s="8"/>
      <c r="W326" s="8"/>
      <c r="X326" s="8"/>
      <c r="Y326" s="8"/>
      <c r="Z326" s="8"/>
      <c r="AA326" s="8"/>
      <c r="AB326" s="8"/>
      <c r="AC326" s="8"/>
      <c r="AD326" s="8"/>
      <c r="AE326" s="8"/>
      <c r="AF326" s="8"/>
      <c r="AG326" s="8"/>
      <c r="AH326" s="8"/>
      <c r="AI326" s="8"/>
      <c r="AJ326" s="8"/>
      <c r="AK326" s="8"/>
      <c r="AL326" s="8"/>
      <c r="AM326" s="8"/>
      <c r="AN326" s="8"/>
      <c r="AO326" s="1"/>
    </row>
    <row r="327" spans="1:41" x14ac:dyDescent="0.35">
      <c r="A327" s="6"/>
      <c r="B327" s="81"/>
      <c r="C327" s="83"/>
      <c r="D327" s="8"/>
      <c r="E327" s="8"/>
      <c r="F327" s="8"/>
      <c r="G327" s="8"/>
      <c r="H327" s="8"/>
      <c r="I327" s="8"/>
      <c r="J327" s="8"/>
      <c r="K327" s="8"/>
      <c r="L327" s="8"/>
      <c r="M327" s="8"/>
      <c r="N327" s="8"/>
      <c r="O327" s="8"/>
      <c r="P327" s="8"/>
      <c r="Q327" s="8"/>
      <c r="R327" s="8"/>
      <c r="S327" s="8"/>
      <c r="T327" s="8"/>
      <c r="U327" s="8"/>
      <c r="V327" s="8"/>
      <c r="W327" s="8"/>
      <c r="X327" s="8"/>
      <c r="Y327" s="8"/>
      <c r="Z327" s="8"/>
      <c r="AA327" s="8"/>
      <c r="AB327" s="8"/>
      <c r="AC327" s="8"/>
      <c r="AD327" s="8"/>
      <c r="AE327" s="8"/>
      <c r="AF327" s="8"/>
      <c r="AG327" s="8"/>
      <c r="AH327" s="8"/>
      <c r="AI327" s="8"/>
      <c r="AJ327" s="8"/>
      <c r="AK327" s="8"/>
      <c r="AL327" s="8"/>
      <c r="AM327" s="8"/>
      <c r="AN327" s="8"/>
      <c r="AO327" s="1"/>
    </row>
    <row r="328" spans="1:41" x14ac:dyDescent="0.35">
      <c r="A328" s="6"/>
      <c r="B328" s="81"/>
      <c r="C328" s="83"/>
      <c r="D328" s="8"/>
      <c r="E328" s="8"/>
      <c r="F328" s="8"/>
      <c r="G328" s="8"/>
      <c r="H328" s="8"/>
      <c r="I328" s="8"/>
      <c r="J328" s="8"/>
      <c r="K328" s="8"/>
      <c r="L328" s="8"/>
      <c r="M328" s="8"/>
      <c r="N328" s="8"/>
      <c r="O328" s="8"/>
      <c r="P328" s="8"/>
      <c r="Q328" s="8"/>
      <c r="R328" s="8"/>
      <c r="S328" s="8"/>
      <c r="T328" s="8"/>
      <c r="U328" s="8"/>
      <c r="V328" s="8"/>
      <c r="W328" s="8"/>
      <c r="X328" s="8"/>
      <c r="Y328" s="8"/>
      <c r="Z328" s="8"/>
      <c r="AA328" s="8"/>
      <c r="AB328" s="8"/>
      <c r="AC328" s="8"/>
      <c r="AD328" s="8"/>
      <c r="AE328" s="8"/>
      <c r="AF328" s="8"/>
      <c r="AG328" s="8"/>
      <c r="AH328" s="8"/>
      <c r="AI328" s="8"/>
      <c r="AJ328" s="8"/>
      <c r="AK328" s="8"/>
      <c r="AL328" s="8"/>
      <c r="AM328" s="8"/>
      <c r="AN328" s="8"/>
      <c r="AO328" s="1"/>
    </row>
    <row r="329" spans="1:41" x14ac:dyDescent="0.35">
      <c r="A329" s="6"/>
      <c r="B329" s="81"/>
      <c r="C329" s="83"/>
      <c r="D329" s="8"/>
      <c r="E329" s="8"/>
      <c r="F329" s="8"/>
      <c r="G329" s="8"/>
      <c r="H329" s="8"/>
      <c r="I329" s="8"/>
      <c r="J329" s="8"/>
      <c r="K329" s="8"/>
      <c r="L329" s="8"/>
      <c r="M329" s="8"/>
      <c r="N329" s="8"/>
      <c r="O329" s="8"/>
      <c r="P329" s="8"/>
      <c r="Q329" s="8"/>
      <c r="R329" s="8"/>
      <c r="S329" s="8"/>
      <c r="T329" s="8"/>
      <c r="U329" s="8"/>
      <c r="V329" s="8"/>
      <c r="W329" s="8"/>
      <c r="X329" s="8"/>
      <c r="Y329" s="8"/>
      <c r="Z329" s="8"/>
      <c r="AA329" s="8"/>
      <c r="AB329" s="8"/>
      <c r="AC329" s="8"/>
      <c r="AD329" s="8"/>
      <c r="AE329" s="8"/>
      <c r="AF329" s="8"/>
      <c r="AG329" s="8"/>
      <c r="AH329" s="8"/>
      <c r="AI329" s="8"/>
      <c r="AJ329" s="8"/>
      <c r="AK329" s="8"/>
      <c r="AL329" s="8"/>
      <c r="AM329" s="8"/>
      <c r="AN329" s="8"/>
      <c r="AO329" s="1"/>
    </row>
    <row r="330" spans="1:41" x14ac:dyDescent="0.35">
      <c r="A330" s="6"/>
      <c r="B330" s="81"/>
      <c r="C330" s="83"/>
      <c r="D330" s="8"/>
      <c r="E330" s="8"/>
      <c r="F330" s="8"/>
      <c r="G330" s="8"/>
      <c r="H330" s="8"/>
      <c r="I330" s="8"/>
      <c r="J330" s="8"/>
      <c r="K330" s="8"/>
      <c r="L330" s="8"/>
      <c r="M330" s="8"/>
      <c r="N330" s="8"/>
      <c r="O330" s="8"/>
      <c r="P330" s="8"/>
      <c r="Q330" s="8"/>
      <c r="R330" s="8"/>
      <c r="S330" s="8"/>
      <c r="T330" s="8"/>
      <c r="U330" s="8"/>
      <c r="V330" s="8"/>
      <c r="W330" s="8"/>
      <c r="X330" s="8"/>
      <c r="Y330" s="8"/>
      <c r="Z330" s="8"/>
      <c r="AA330" s="8"/>
      <c r="AB330" s="8"/>
      <c r="AC330" s="8"/>
      <c r="AD330" s="8"/>
      <c r="AE330" s="8"/>
      <c r="AF330" s="8"/>
      <c r="AG330" s="8"/>
      <c r="AH330" s="8"/>
      <c r="AI330" s="8"/>
      <c r="AJ330" s="8"/>
      <c r="AK330" s="8"/>
      <c r="AL330" s="8"/>
      <c r="AM330" s="8"/>
      <c r="AN330" s="8"/>
      <c r="AO330" s="1"/>
    </row>
    <row r="331" spans="1:41" x14ac:dyDescent="0.35">
      <c r="A331" s="6"/>
      <c r="B331" s="81"/>
      <c r="C331" s="83"/>
      <c r="D331" s="8"/>
      <c r="E331" s="8"/>
      <c r="F331" s="8"/>
      <c r="G331" s="8"/>
      <c r="H331" s="8"/>
      <c r="I331" s="8"/>
      <c r="J331" s="8"/>
      <c r="K331" s="8"/>
      <c r="L331" s="8"/>
      <c r="M331" s="8"/>
      <c r="N331" s="8"/>
      <c r="O331" s="8"/>
      <c r="P331" s="8"/>
      <c r="Q331" s="8"/>
      <c r="R331" s="8"/>
      <c r="S331" s="8"/>
      <c r="T331" s="8"/>
      <c r="U331" s="8"/>
      <c r="V331" s="8"/>
      <c r="W331" s="8"/>
      <c r="X331" s="8"/>
      <c r="Y331" s="8"/>
      <c r="Z331" s="8"/>
      <c r="AA331" s="8"/>
      <c r="AB331" s="8"/>
      <c r="AC331" s="8"/>
      <c r="AD331" s="8"/>
      <c r="AE331" s="8"/>
      <c r="AF331" s="8"/>
      <c r="AG331" s="8"/>
      <c r="AH331" s="8"/>
      <c r="AI331" s="8"/>
      <c r="AJ331" s="8"/>
      <c r="AK331" s="8"/>
      <c r="AL331" s="8"/>
      <c r="AM331" s="8"/>
      <c r="AN331" s="8"/>
      <c r="AO331" s="1"/>
    </row>
    <row r="332" spans="1:41" x14ac:dyDescent="0.35">
      <c r="A332" s="6"/>
      <c r="B332" s="81"/>
      <c r="C332" s="83"/>
      <c r="D332" s="8"/>
      <c r="E332" s="8"/>
      <c r="F332" s="8"/>
      <c r="G332" s="8"/>
      <c r="H332" s="8"/>
      <c r="I332" s="8"/>
      <c r="J332" s="8"/>
      <c r="K332" s="8"/>
      <c r="L332" s="8"/>
      <c r="M332" s="8"/>
      <c r="N332" s="8"/>
      <c r="O332" s="8"/>
      <c r="P332" s="8"/>
      <c r="Q332" s="8"/>
      <c r="R332" s="8"/>
      <c r="S332" s="8"/>
      <c r="T332" s="8"/>
      <c r="U332" s="8"/>
      <c r="V332" s="8"/>
      <c r="W332" s="8"/>
      <c r="X332" s="8"/>
      <c r="Y332" s="8"/>
      <c r="Z332" s="8"/>
      <c r="AA332" s="8"/>
      <c r="AB332" s="8"/>
      <c r="AC332" s="8"/>
      <c r="AD332" s="8"/>
      <c r="AE332" s="8"/>
      <c r="AF332" s="8"/>
      <c r="AG332" s="8"/>
      <c r="AH332" s="8"/>
      <c r="AI332" s="8"/>
      <c r="AJ332" s="8"/>
      <c r="AK332" s="8"/>
      <c r="AL332" s="8"/>
      <c r="AM332" s="8"/>
      <c r="AN332" s="8"/>
      <c r="AO332" s="1"/>
    </row>
    <row r="333" spans="1:41" x14ac:dyDescent="0.35">
      <c r="A333" s="6"/>
      <c r="B333" s="81"/>
      <c r="C333" s="83"/>
      <c r="D333" s="8"/>
      <c r="E333" s="8"/>
      <c r="F333" s="8"/>
      <c r="G333" s="8"/>
      <c r="H333" s="8"/>
      <c r="I333" s="8"/>
      <c r="J333" s="8"/>
      <c r="K333" s="8"/>
      <c r="L333" s="8"/>
      <c r="M333" s="8"/>
      <c r="N333" s="8"/>
      <c r="O333" s="8"/>
      <c r="P333" s="8"/>
      <c r="Q333" s="8"/>
      <c r="R333" s="8"/>
      <c r="S333" s="8"/>
      <c r="T333" s="8"/>
      <c r="U333" s="8"/>
      <c r="V333" s="8"/>
      <c r="W333" s="8"/>
      <c r="X333" s="8"/>
      <c r="Y333" s="8"/>
      <c r="Z333" s="8"/>
      <c r="AA333" s="8"/>
      <c r="AB333" s="8"/>
      <c r="AC333" s="8"/>
      <c r="AD333" s="8"/>
      <c r="AE333" s="8"/>
      <c r="AF333" s="8"/>
      <c r="AG333" s="8"/>
      <c r="AH333" s="8"/>
      <c r="AI333" s="8"/>
      <c r="AJ333" s="8"/>
      <c r="AK333" s="8"/>
      <c r="AL333" s="8"/>
      <c r="AM333" s="8"/>
      <c r="AN333" s="8"/>
      <c r="AO333" s="1"/>
    </row>
    <row r="334" spans="1:41" x14ac:dyDescent="0.35">
      <c r="A334" s="6"/>
      <c r="B334" s="81"/>
      <c r="C334" s="83"/>
      <c r="D334" s="8"/>
      <c r="E334" s="8"/>
      <c r="F334" s="8"/>
      <c r="G334" s="8"/>
      <c r="H334" s="8"/>
      <c r="I334" s="8"/>
      <c r="J334" s="8"/>
      <c r="K334" s="8"/>
      <c r="L334" s="8"/>
      <c r="M334" s="8"/>
      <c r="N334" s="8"/>
      <c r="O334" s="8"/>
      <c r="P334" s="8"/>
      <c r="Q334" s="8"/>
      <c r="R334" s="8"/>
      <c r="S334" s="8"/>
      <c r="T334" s="8"/>
      <c r="U334" s="8"/>
      <c r="V334" s="8"/>
      <c r="W334" s="8"/>
      <c r="X334" s="8"/>
      <c r="Y334" s="8"/>
      <c r="Z334" s="8"/>
      <c r="AA334" s="8"/>
      <c r="AB334" s="8"/>
      <c r="AC334" s="8"/>
      <c r="AD334" s="8"/>
      <c r="AE334" s="8"/>
      <c r="AF334" s="8"/>
      <c r="AG334" s="8"/>
      <c r="AH334" s="8"/>
      <c r="AI334" s="8"/>
      <c r="AJ334" s="8"/>
      <c r="AK334" s="8"/>
      <c r="AL334" s="8"/>
      <c r="AM334" s="8"/>
      <c r="AN334" s="8"/>
      <c r="AO334" s="1"/>
    </row>
    <row r="335" spans="1:41" x14ac:dyDescent="0.35">
      <c r="A335" s="6"/>
      <c r="B335" s="81"/>
      <c r="C335" s="83"/>
      <c r="D335" s="8"/>
      <c r="E335" s="8"/>
      <c r="F335" s="8"/>
      <c r="G335" s="8"/>
      <c r="H335" s="8"/>
      <c r="I335" s="8"/>
      <c r="J335" s="8"/>
      <c r="K335" s="8"/>
      <c r="L335" s="8"/>
      <c r="M335" s="8"/>
      <c r="N335" s="8"/>
      <c r="O335" s="8"/>
      <c r="P335" s="8"/>
      <c r="Q335" s="8"/>
      <c r="R335" s="8"/>
      <c r="S335" s="8"/>
      <c r="T335" s="8"/>
      <c r="U335" s="8"/>
      <c r="V335" s="8"/>
      <c r="W335" s="8"/>
      <c r="X335" s="8"/>
      <c r="Y335" s="8"/>
      <c r="Z335" s="8"/>
      <c r="AA335" s="8"/>
      <c r="AB335" s="8"/>
      <c r="AC335" s="8"/>
      <c r="AD335" s="8"/>
      <c r="AE335" s="8"/>
      <c r="AF335" s="8"/>
      <c r="AG335" s="8"/>
      <c r="AH335" s="8"/>
      <c r="AI335" s="8"/>
      <c r="AJ335" s="8"/>
      <c r="AK335" s="8"/>
      <c r="AL335" s="8"/>
      <c r="AM335" s="8"/>
      <c r="AN335" s="8"/>
      <c r="AO335" s="1"/>
    </row>
    <row r="336" spans="1:41" x14ac:dyDescent="0.35">
      <c r="A336" s="6"/>
      <c r="B336" s="81"/>
      <c r="C336" s="83"/>
      <c r="D336" s="8"/>
      <c r="E336" s="8"/>
      <c r="F336" s="8"/>
      <c r="G336" s="8"/>
      <c r="H336" s="8"/>
      <c r="I336" s="8"/>
      <c r="J336" s="8"/>
      <c r="K336" s="8"/>
      <c r="L336" s="8"/>
      <c r="M336" s="8"/>
      <c r="N336" s="8"/>
      <c r="O336" s="8"/>
      <c r="P336" s="8"/>
      <c r="Q336" s="8"/>
      <c r="R336" s="8"/>
      <c r="S336" s="8"/>
      <c r="T336" s="8"/>
      <c r="U336" s="8"/>
      <c r="V336" s="8"/>
      <c r="W336" s="8"/>
      <c r="X336" s="8"/>
      <c r="Y336" s="8"/>
      <c r="Z336" s="8"/>
      <c r="AA336" s="8"/>
      <c r="AB336" s="8"/>
      <c r="AC336" s="8"/>
      <c r="AD336" s="8"/>
      <c r="AE336" s="8"/>
      <c r="AF336" s="8"/>
      <c r="AG336" s="8"/>
      <c r="AH336" s="8"/>
      <c r="AI336" s="8"/>
      <c r="AJ336" s="8"/>
      <c r="AK336" s="8"/>
      <c r="AL336" s="8"/>
      <c r="AM336" s="8"/>
      <c r="AN336" s="8"/>
      <c r="AO336" s="1"/>
    </row>
    <row r="337" spans="1:41" x14ac:dyDescent="0.35">
      <c r="A337" s="6"/>
      <c r="B337" s="81"/>
      <c r="C337" s="83"/>
      <c r="D337" s="8"/>
      <c r="E337" s="8"/>
      <c r="F337" s="8"/>
      <c r="G337" s="8"/>
      <c r="H337" s="8"/>
      <c r="I337" s="8"/>
      <c r="J337" s="8"/>
      <c r="K337" s="8"/>
      <c r="L337" s="8"/>
      <c r="M337" s="8"/>
      <c r="N337" s="8"/>
      <c r="O337" s="8"/>
      <c r="P337" s="8"/>
      <c r="Q337" s="8"/>
      <c r="R337" s="8"/>
      <c r="S337" s="8"/>
      <c r="T337" s="8"/>
      <c r="U337" s="8"/>
      <c r="V337" s="8"/>
      <c r="W337" s="8"/>
      <c r="X337" s="8"/>
      <c r="Y337" s="8"/>
      <c r="Z337" s="8"/>
      <c r="AA337" s="8"/>
      <c r="AB337" s="8"/>
      <c r="AC337" s="8"/>
      <c r="AD337" s="8"/>
      <c r="AE337" s="8"/>
      <c r="AF337" s="8"/>
      <c r="AG337" s="8"/>
      <c r="AH337" s="8"/>
      <c r="AI337" s="8"/>
      <c r="AJ337" s="8"/>
      <c r="AK337" s="8"/>
      <c r="AL337" s="8"/>
      <c r="AM337" s="8"/>
      <c r="AN337" s="8"/>
      <c r="AO337" s="1"/>
    </row>
    <row r="338" spans="1:41" x14ac:dyDescent="0.35">
      <c r="A338" s="6"/>
      <c r="B338" s="81"/>
      <c r="C338" s="83"/>
      <c r="D338" s="8"/>
      <c r="E338" s="8"/>
      <c r="F338" s="8"/>
      <c r="G338" s="8"/>
      <c r="H338" s="8"/>
      <c r="I338" s="8"/>
      <c r="J338" s="8"/>
      <c r="K338" s="8"/>
      <c r="L338" s="8"/>
      <c r="M338" s="8"/>
      <c r="N338" s="8"/>
      <c r="O338" s="8"/>
      <c r="P338" s="8"/>
      <c r="Q338" s="8"/>
      <c r="R338" s="8"/>
      <c r="S338" s="8"/>
      <c r="T338" s="8"/>
      <c r="U338" s="8"/>
      <c r="V338" s="8"/>
      <c r="W338" s="8"/>
      <c r="X338" s="8"/>
      <c r="Y338" s="8"/>
      <c r="Z338" s="8"/>
      <c r="AA338" s="8"/>
      <c r="AB338" s="8"/>
      <c r="AC338" s="8"/>
      <c r="AD338" s="8"/>
      <c r="AE338" s="8"/>
      <c r="AF338" s="8"/>
      <c r="AG338" s="8"/>
      <c r="AH338" s="8"/>
      <c r="AI338" s="8"/>
      <c r="AJ338" s="8"/>
      <c r="AK338" s="8"/>
      <c r="AL338" s="8"/>
      <c r="AM338" s="8"/>
      <c r="AN338" s="8"/>
      <c r="AO338" s="1"/>
    </row>
    <row r="339" spans="1:41" x14ac:dyDescent="0.35">
      <c r="A339" s="6"/>
      <c r="B339" s="81"/>
      <c r="C339" s="83"/>
      <c r="D339" s="8"/>
      <c r="E339" s="8"/>
      <c r="F339" s="8"/>
      <c r="G339" s="8"/>
      <c r="H339" s="8"/>
      <c r="I339" s="8"/>
      <c r="J339" s="8"/>
      <c r="K339" s="8"/>
      <c r="L339" s="8"/>
      <c r="M339" s="8"/>
      <c r="N339" s="8"/>
      <c r="O339" s="8"/>
      <c r="P339" s="8"/>
      <c r="Q339" s="8"/>
      <c r="R339" s="8"/>
      <c r="S339" s="8"/>
      <c r="T339" s="8"/>
      <c r="U339" s="8"/>
      <c r="V339" s="8"/>
      <c r="W339" s="8"/>
      <c r="X339" s="8"/>
      <c r="Y339" s="8"/>
      <c r="Z339" s="8"/>
      <c r="AA339" s="8"/>
      <c r="AB339" s="8"/>
      <c r="AC339" s="8"/>
      <c r="AD339" s="8"/>
      <c r="AE339" s="8"/>
      <c r="AF339" s="8"/>
      <c r="AG339" s="8"/>
      <c r="AH339" s="8"/>
      <c r="AI339" s="8"/>
      <c r="AJ339" s="8"/>
      <c r="AK339" s="8"/>
      <c r="AL339" s="8"/>
      <c r="AM339" s="8"/>
      <c r="AN339" s="8"/>
      <c r="AO339" s="1"/>
    </row>
    <row r="340" spans="1:41" x14ac:dyDescent="0.35">
      <c r="A340" s="6"/>
      <c r="B340" s="81"/>
      <c r="C340" s="83"/>
      <c r="D340" s="8"/>
      <c r="E340" s="8"/>
      <c r="F340" s="8"/>
      <c r="G340" s="8"/>
      <c r="H340" s="8"/>
      <c r="I340" s="8"/>
      <c r="J340" s="8"/>
      <c r="K340" s="8"/>
      <c r="L340" s="8"/>
      <c r="M340" s="8"/>
      <c r="N340" s="8"/>
      <c r="O340" s="8"/>
      <c r="P340" s="8"/>
      <c r="Q340" s="8"/>
      <c r="R340" s="8"/>
      <c r="S340" s="8"/>
      <c r="T340" s="8"/>
      <c r="U340" s="8"/>
      <c r="V340" s="8"/>
      <c r="W340" s="8"/>
      <c r="X340" s="8"/>
      <c r="Y340" s="8"/>
      <c r="Z340" s="8"/>
      <c r="AA340" s="8"/>
      <c r="AB340" s="8"/>
      <c r="AC340" s="8"/>
      <c r="AD340" s="8"/>
      <c r="AE340" s="8"/>
      <c r="AF340" s="8"/>
      <c r="AG340" s="8"/>
      <c r="AH340" s="8"/>
      <c r="AI340" s="8"/>
      <c r="AJ340" s="8"/>
      <c r="AK340" s="8"/>
      <c r="AL340" s="8"/>
      <c r="AM340" s="8"/>
      <c r="AN340" s="8"/>
      <c r="AO340" s="1"/>
    </row>
    <row r="341" spans="1:41" x14ac:dyDescent="0.35">
      <c r="A341" s="6"/>
      <c r="B341" s="81"/>
      <c r="C341" s="83"/>
      <c r="D341" s="8"/>
      <c r="E341" s="8"/>
      <c r="F341" s="8"/>
      <c r="G341" s="8"/>
      <c r="H341" s="8"/>
      <c r="I341" s="8"/>
      <c r="J341" s="8"/>
      <c r="K341" s="8"/>
      <c r="L341" s="8"/>
      <c r="M341" s="8"/>
      <c r="N341" s="8"/>
      <c r="O341" s="8"/>
      <c r="P341" s="8"/>
      <c r="Q341" s="8"/>
      <c r="R341" s="8"/>
      <c r="S341" s="8"/>
      <c r="T341" s="8"/>
      <c r="U341" s="8"/>
      <c r="V341" s="8"/>
      <c r="W341" s="8"/>
      <c r="X341" s="8"/>
      <c r="Y341" s="8"/>
      <c r="Z341" s="8"/>
      <c r="AA341" s="8"/>
      <c r="AB341" s="8"/>
      <c r="AC341" s="8"/>
      <c r="AD341" s="8"/>
      <c r="AE341" s="8"/>
      <c r="AF341" s="8"/>
      <c r="AG341" s="8"/>
      <c r="AH341" s="8"/>
      <c r="AI341" s="8"/>
      <c r="AJ341" s="8"/>
      <c r="AK341" s="8"/>
      <c r="AL341" s="8"/>
      <c r="AM341" s="8"/>
      <c r="AN341" s="8"/>
      <c r="AO341" s="1"/>
    </row>
    <row r="342" spans="1:41" x14ac:dyDescent="0.35">
      <c r="A342" s="6"/>
      <c r="B342" s="81"/>
      <c r="C342" s="83"/>
      <c r="D342" s="8"/>
      <c r="E342" s="8"/>
      <c r="F342" s="8"/>
      <c r="G342" s="8"/>
      <c r="H342" s="8"/>
      <c r="I342" s="8"/>
      <c r="J342" s="8"/>
      <c r="K342" s="8"/>
      <c r="L342" s="8"/>
      <c r="M342" s="8"/>
      <c r="N342" s="8"/>
      <c r="O342" s="8"/>
      <c r="P342" s="8"/>
      <c r="Q342" s="8"/>
      <c r="R342" s="8"/>
      <c r="S342" s="8"/>
      <c r="T342" s="8"/>
      <c r="U342" s="8"/>
      <c r="V342" s="8"/>
      <c r="W342" s="8"/>
      <c r="X342" s="8"/>
      <c r="Y342" s="8"/>
      <c r="Z342" s="8"/>
      <c r="AA342" s="8"/>
      <c r="AB342" s="8"/>
      <c r="AC342" s="8"/>
      <c r="AD342" s="8"/>
      <c r="AE342" s="8"/>
      <c r="AF342" s="8"/>
      <c r="AG342" s="8"/>
      <c r="AH342" s="8"/>
      <c r="AI342" s="8"/>
      <c r="AJ342" s="8"/>
      <c r="AK342" s="8"/>
      <c r="AL342" s="8"/>
      <c r="AM342" s="8"/>
      <c r="AN342" s="8"/>
      <c r="AO342" s="1"/>
    </row>
    <row r="343" spans="1:41" x14ac:dyDescent="0.35">
      <c r="A343" s="6"/>
      <c r="B343" s="81"/>
      <c r="C343" s="83"/>
      <c r="D343" s="8"/>
      <c r="E343" s="8"/>
      <c r="F343" s="8"/>
      <c r="G343" s="8"/>
      <c r="H343" s="8"/>
      <c r="I343" s="8"/>
      <c r="J343" s="8"/>
      <c r="K343" s="8"/>
      <c r="L343" s="8"/>
      <c r="M343" s="8"/>
      <c r="N343" s="8"/>
      <c r="O343" s="8"/>
      <c r="P343" s="8"/>
      <c r="Q343" s="8"/>
      <c r="R343" s="8"/>
      <c r="S343" s="8"/>
      <c r="T343" s="8"/>
      <c r="U343" s="8"/>
      <c r="V343" s="8"/>
      <c r="W343" s="8"/>
      <c r="X343" s="8"/>
      <c r="Y343" s="8"/>
      <c r="Z343" s="8"/>
      <c r="AA343" s="8"/>
      <c r="AB343" s="8"/>
      <c r="AC343" s="8"/>
      <c r="AD343" s="8"/>
      <c r="AE343" s="8"/>
      <c r="AF343" s="8"/>
      <c r="AG343" s="8"/>
      <c r="AH343" s="8"/>
      <c r="AI343" s="8"/>
      <c r="AJ343" s="8"/>
      <c r="AK343" s="8"/>
      <c r="AL343" s="8"/>
      <c r="AM343" s="8"/>
      <c r="AN343" s="8"/>
      <c r="AO343" s="1"/>
    </row>
    <row r="344" spans="1:41" x14ac:dyDescent="0.35">
      <c r="A344" s="6"/>
      <c r="B344" s="81"/>
      <c r="C344" s="83"/>
      <c r="D344" s="8"/>
      <c r="E344" s="8"/>
      <c r="F344" s="8"/>
      <c r="G344" s="8"/>
      <c r="H344" s="8"/>
      <c r="I344" s="8"/>
      <c r="J344" s="8"/>
      <c r="K344" s="8"/>
      <c r="L344" s="8"/>
      <c r="M344" s="8"/>
      <c r="N344" s="8"/>
      <c r="O344" s="8"/>
      <c r="P344" s="8"/>
      <c r="Q344" s="8"/>
      <c r="R344" s="8"/>
      <c r="S344" s="8"/>
      <c r="T344" s="8"/>
      <c r="U344" s="8"/>
      <c r="V344" s="8"/>
      <c r="W344" s="8"/>
      <c r="X344" s="8"/>
      <c r="Y344" s="8"/>
      <c r="Z344" s="8"/>
      <c r="AA344" s="8"/>
      <c r="AB344" s="8"/>
      <c r="AC344" s="8"/>
      <c r="AD344" s="8"/>
      <c r="AE344" s="8"/>
      <c r="AF344" s="8"/>
      <c r="AG344" s="8"/>
      <c r="AH344" s="8"/>
      <c r="AI344" s="8"/>
      <c r="AJ344" s="8"/>
      <c r="AK344" s="8"/>
      <c r="AL344" s="8"/>
      <c r="AM344" s="8"/>
      <c r="AN344" s="8"/>
      <c r="AO344" s="1"/>
    </row>
    <row r="345" spans="1:41" x14ac:dyDescent="0.35">
      <c r="A345" s="6"/>
      <c r="B345" s="81"/>
      <c r="C345" s="83"/>
      <c r="D345" s="8"/>
      <c r="E345" s="8"/>
      <c r="F345" s="8"/>
      <c r="G345" s="8"/>
      <c r="H345" s="8"/>
      <c r="I345" s="8"/>
      <c r="J345" s="8"/>
      <c r="K345" s="8"/>
      <c r="L345" s="8"/>
      <c r="M345" s="8"/>
      <c r="N345" s="8"/>
      <c r="O345" s="8"/>
      <c r="P345" s="8"/>
      <c r="Q345" s="8"/>
      <c r="R345" s="8"/>
      <c r="S345" s="8"/>
      <c r="T345" s="8"/>
      <c r="U345" s="8"/>
      <c r="V345" s="8"/>
      <c r="W345" s="8"/>
      <c r="X345" s="8"/>
      <c r="Y345" s="8"/>
      <c r="Z345" s="8"/>
      <c r="AA345" s="8"/>
      <c r="AB345" s="8"/>
      <c r="AC345" s="8"/>
      <c r="AD345" s="8"/>
      <c r="AE345" s="8"/>
      <c r="AF345" s="8"/>
      <c r="AG345" s="8"/>
      <c r="AH345" s="8"/>
      <c r="AI345" s="8"/>
      <c r="AJ345" s="8"/>
      <c r="AK345" s="8"/>
      <c r="AL345" s="8"/>
      <c r="AM345" s="8"/>
      <c r="AN345" s="8"/>
      <c r="AO345" s="1"/>
    </row>
    <row r="346" spans="1:41" x14ac:dyDescent="0.35">
      <c r="A346" s="6"/>
      <c r="B346" s="81"/>
      <c r="C346" s="83"/>
      <c r="D346" s="8"/>
      <c r="E346" s="8"/>
      <c r="F346" s="8"/>
      <c r="G346" s="8"/>
      <c r="H346" s="8"/>
      <c r="I346" s="8"/>
      <c r="J346" s="8"/>
      <c r="K346" s="8"/>
      <c r="L346" s="8"/>
      <c r="M346" s="8"/>
      <c r="N346" s="8"/>
      <c r="O346" s="8"/>
      <c r="P346" s="8"/>
      <c r="Q346" s="8"/>
      <c r="R346" s="8"/>
      <c r="S346" s="8"/>
      <c r="T346" s="8"/>
      <c r="U346" s="8"/>
      <c r="V346" s="8"/>
      <c r="W346" s="8"/>
      <c r="X346" s="8"/>
      <c r="Y346" s="8"/>
      <c r="Z346" s="8"/>
      <c r="AA346" s="8"/>
      <c r="AB346" s="8"/>
      <c r="AC346" s="8"/>
      <c r="AD346" s="8"/>
      <c r="AE346" s="8"/>
      <c r="AF346" s="8"/>
      <c r="AG346" s="8"/>
      <c r="AH346" s="8"/>
      <c r="AI346" s="8"/>
      <c r="AJ346" s="8"/>
      <c r="AK346" s="8"/>
      <c r="AL346" s="8"/>
      <c r="AM346" s="8"/>
      <c r="AN346" s="8"/>
      <c r="AO346" s="1"/>
    </row>
    <row r="347" spans="1:41" x14ac:dyDescent="0.35">
      <c r="A347" s="6"/>
      <c r="B347" s="81"/>
      <c r="C347" s="83"/>
      <c r="D347" s="8"/>
      <c r="E347" s="8"/>
      <c r="F347" s="8"/>
      <c r="G347" s="8"/>
      <c r="H347" s="8"/>
      <c r="I347" s="8"/>
      <c r="J347" s="8"/>
      <c r="K347" s="8"/>
      <c r="L347" s="8"/>
      <c r="M347" s="8"/>
      <c r="N347" s="8"/>
      <c r="O347" s="8"/>
      <c r="P347" s="8"/>
      <c r="Q347" s="8"/>
      <c r="R347" s="8"/>
      <c r="S347" s="8"/>
      <c r="T347" s="8"/>
      <c r="U347" s="8"/>
      <c r="V347" s="8"/>
      <c r="W347" s="8"/>
      <c r="X347" s="8"/>
      <c r="Y347" s="8"/>
      <c r="Z347" s="8"/>
      <c r="AA347" s="8"/>
      <c r="AB347" s="8"/>
      <c r="AC347" s="8"/>
      <c r="AD347" s="8"/>
      <c r="AE347" s="8"/>
      <c r="AF347" s="8"/>
      <c r="AG347" s="8"/>
      <c r="AH347" s="8"/>
      <c r="AI347" s="8"/>
      <c r="AJ347" s="8"/>
      <c r="AK347" s="8"/>
      <c r="AL347" s="8"/>
      <c r="AM347" s="8"/>
      <c r="AN347" s="8"/>
      <c r="AO347" s="1"/>
    </row>
    <row r="348" spans="1:41" x14ac:dyDescent="0.35">
      <c r="A348" s="6"/>
      <c r="B348" s="81"/>
      <c r="C348" s="83"/>
      <c r="D348" s="8"/>
      <c r="E348" s="8"/>
      <c r="F348" s="8"/>
      <c r="G348" s="8"/>
      <c r="H348" s="8"/>
      <c r="I348" s="8"/>
      <c r="J348" s="8"/>
      <c r="K348" s="8"/>
      <c r="L348" s="8"/>
      <c r="M348" s="8"/>
      <c r="N348" s="8"/>
      <c r="O348" s="8"/>
      <c r="P348" s="8"/>
      <c r="Q348" s="8"/>
      <c r="R348" s="8"/>
      <c r="S348" s="8"/>
      <c r="T348" s="8"/>
      <c r="U348" s="8"/>
      <c r="V348" s="8"/>
      <c r="W348" s="8"/>
      <c r="X348" s="8"/>
      <c r="Y348" s="8"/>
      <c r="Z348" s="8"/>
      <c r="AA348" s="8"/>
      <c r="AB348" s="8"/>
      <c r="AC348" s="8"/>
      <c r="AD348" s="8"/>
      <c r="AE348" s="8"/>
      <c r="AF348" s="8"/>
      <c r="AG348" s="8"/>
      <c r="AH348" s="8"/>
      <c r="AI348" s="8"/>
      <c r="AJ348" s="8"/>
      <c r="AK348" s="8"/>
      <c r="AL348" s="8"/>
      <c r="AM348" s="8"/>
      <c r="AN348" s="8"/>
      <c r="AO348" s="1"/>
    </row>
    <row r="349" spans="1:41" x14ac:dyDescent="0.35">
      <c r="A349" s="6"/>
      <c r="B349" s="81"/>
      <c r="C349" s="83"/>
      <c r="D349" s="8"/>
      <c r="E349" s="8"/>
      <c r="F349" s="8"/>
      <c r="G349" s="8"/>
      <c r="H349" s="8"/>
      <c r="I349" s="8"/>
      <c r="J349" s="8"/>
      <c r="K349" s="8"/>
      <c r="L349" s="8"/>
      <c r="M349" s="8"/>
      <c r="N349" s="8"/>
      <c r="O349" s="8"/>
      <c r="P349" s="8"/>
      <c r="Q349" s="8"/>
      <c r="R349" s="8"/>
      <c r="S349" s="8"/>
      <c r="T349" s="8"/>
      <c r="U349" s="8"/>
      <c r="V349" s="8"/>
      <c r="W349" s="8"/>
      <c r="X349" s="8"/>
      <c r="Y349" s="8"/>
      <c r="Z349" s="8"/>
      <c r="AA349" s="8"/>
      <c r="AB349" s="8"/>
      <c r="AC349" s="8"/>
      <c r="AD349" s="8"/>
      <c r="AE349" s="8"/>
      <c r="AF349" s="8"/>
      <c r="AG349" s="8"/>
      <c r="AH349" s="8"/>
      <c r="AI349" s="8"/>
      <c r="AJ349" s="8"/>
      <c r="AK349" s="8"/>
      <c r="AL349" s="8"/>
      <c r="AM349" s="8"/>
      <c r="AN349" s="8"/>
      <c r="AO349" s="1"/>
    </row>
    <row r="350" spans="1:41" x14ac:dyDescent="0.35">
      <c r="A350" s="6"/>
      <c r="B350" s="81"/>
      <c r="C350" s="83"/>
      <c r="D350" s="8"/>
      <c r="E350" s="8"/>
      <c r="F350" s="8"/>
      <c r="G350" s="8"/>
      <c r="H350" s="8"/>
      <c r="I350" s="8"/>
      <c r="J350" s="8"/>
      <c r="K350" s="8"/>
      <c r="L350" s="8"/>
      <c r="M350" s="8"/>
      <c r="N350" s="8"/>
      <c r="O350" s="8"/>
      <c r="P350" s="8"/>
      <c r="Q350" s="8"/>
      <c r="R350" s="8"/>
      <c r="S350" s="8"/>
      <c r="T350" s="8"/>
      <c r="U350" s="8"/>
      <c r="V350" s="8"/>
      <c r="W350" s="8"/>
      <c r="X350" s="8"/>
      <c r="Y350" s="8"/>
      <c r="Z350" s="8"/>
      <c r="AA350" s="8"/>
      <c r="AB350" s="8"/>
      <c r="AC350" s="8"/>
      <c r="AD350" s="8"/>
      <c r="AE350" s="8"/>
      <c r="AF350" s="8"/>
      <c r="AG350" s="8"/>
      <c r="AH350" s="8"/>
      <c r="AI350" s="8"/>
      <c r="AJ350" s="8"/>
      <c r="AK350" s="8"/>
      <c r="AL350" s="8"/>
      <c r="AM350" s="8"/>
      <c r="AN350" s="8"/>
      <c r="AO350" s="1"/>
    </row>
    <row r="351" spans="1:41" x14ac:dyDescent="0.35">
      <c r="A351" s="6"/>
      <c r="B351" s="81"/>
      <c r="C351" s="83"/>
      <c r="D351" s="8"/>
      <c r="E351" s="8"/>
      <c r="F351" s="8"/>
      <c r="G351" s="8"/>
      <c r="H351" s="8"/>
      <c r="I351" s="8"/>
      <c r="J351" s="8"/>
      <c r="K351" s="8"/>
      <c r="L351" s="8"/>
      <c r="M351" s="8"/>
      <c r="N351" s="8"/>
      <c r="O351" s="8"/>
      <c r="P351" s="8"/>
      <c r="Q351" s="8"/>
      <c r="R351" s="8"/>
      <c r="S351" s="8"/>
      <c r="T351" s="8"/>
      <c r="U351" s="8"/>
      <c r="V351" s="8"/>
      <c r="W351" s="8"/>
      <c r="X351" s="8"/>
      <c r="Y351" s="8"/>
      <c r="Z351" s="8"/>
      <c r="AA351" s="8"/>
      <c r="AB351" s="8"/>
      <c r="AC351" s="8"/>
      <c r="AD351" s="8"/>
      <c r="AE351" s="8"/>
      <c r="AF351" s="8"/>
      <c r="AG351" s="8"/>
      <c r="AH351" s="8"/>
      <c r="AI351" s="8"/>
      <c r="AJ351" s="8"/>
      <c r="AK351" s="8"/>
      <c r="AL351" s="8"/>
      <c r="AM351" s="8"/>
      <c r="AN351" s="8"/>
      <c r="AO351" s="1"/>
    </row>
    <row r="352" spans="1:41" x14ac:dyDescent="0.35">
      <c r="A352" s="6"/>
      <c r="B352" s="81"/>
      <c r="C352" s="83"/>
      <c r="D352" s="8"/>
      <c r="E352" s="8"/>
      <c r="F352" s="8"/>
      <c r="G352" s="8"/>
      <c r="H352" s="8"/>
      <c r="I352" s="8"/>
      <c r="J352" s="8"/>
      <c r="K352" s="8"/>
      <c r="L352" s="8"/>
      <c r="M352" s="8"/>
      <c r="N352" s="8"/>
      <c r="O352" s="8"/>
      <c r="P352" s="8"/>
      <c r="Q352" s="8"/>
      <c r="R352" s="8"/>
      <c r="S352" s="8"/>
      <c r="T352" s="8"/>
      <c r="U352" s="8"/>
      <c r="V352" s="8"/>
      <c r="W352" s="8"/>
      <c r="X352" s="8"/>
      <c r="Y352" s="8"/>
      <c r="Z352" s="8"/>
      <c r="AA352" s="8"/>
      <c r="AB352" s="8"/>
      <c r="AC352" s="8"/>
      <c r="AD352" s="8"/>
      <c r="AE352" s="8"/>
      <c r="AF352" s="8"/>
      <c r="AG352" s="8"/>
      <c r="AH352" s="8"/>
      <c r="AI352" s="8"/>
      <c r="AJ352" s="8"/>
      <c r="AK352" s="8"/>
      <c r="AL352" s="8"/>
      <c r="AM352" s="8"/>
      <c r="AN352" s="8"/>
      <c r="AO352" s="1"/>
    </row>
    <row r="353" spans="1:41" x14ac:dyDescent="0.35">
      <c r="A353" s="6"/>
      <c r="B353" s="81"/>
      <c r="C353" s="83"/>
      <c r="D353" s="8"/>
      <c r="E353" s="8"/>
      <c r="F353" s="8"/>
      <c r="G353" s="8"/>
      <c r="H353" s="8"/>
      <c r="I353" s="8"/>
      <c r="J353" s="8"/>
      <c r="K353" s="8"/>
      <c r="L353" s="8"/>
      <c r="M353" s="8"/>
      <c r="N353" s="8"/>
      <c r="O353" s="8"/>
      <c r="P353" s="8"/>
      <c r="Q353" s="8"/>
      <c r="R353" s="8"/>
      <c r="S353" s="8"/>
      <c r="T353" s="8"/>
      <c r="U353" s="8"/>
      <c r="V353" s="8"/>
      <c r="W353" s="8"/>
      <c r="X353" s="8"/>
      <c r="Y353" s="8"/>
      <c r="Z353" s="8"/>
      <c r="AA353" s="8"/>
      <c r="AB353" s="8"/>
      <c r="AC353" s="8"/>
      <c r="AD353" s="8"/>
      <c r="AE353" s="8"/>
      <c r="AF353" s="8"/>
      <c r="AG353" s="8"/>
      <c r="AH353" s="8"/>
      <c r="AI353" s="8"/>
      <c r="AJ353" s="8"/>
      <c r="AK353" s="8"/>
      <c r="AL353" s="8"/>
      <c r="AM353" s="8"/>
      <c r="AN353" s="8"/>
      <c r="AO353" s="1"/>
    </row>
    <row r="354" spans="1:41" x14ac:dyDescent="0.35">
      <c r="A354" s="6"/>
      <c r="B354" s="81"/>
      <c r="C354" s="83"/>
      <c r="D354" s="8"/>
      <c r="E354" s="8"/>
      <c r="F354" s="8"/>
      <c r="G354" s="8"/>
      <c r="H354" s="8"/>
      <c r="I354" s="8"/>
      <c r="J354" s="8"/>
      <c r="K354" s="8"/>
      <c r="L354" s="8"/>
      <c r="M354" s="8"/>
      <c r="N354" s="8"/>
      <c r="O354" s="8"/>
      <c r="P354" s="8"/>
      <c r="Q354" s="8"/>
      <c r="R354" s="8"/>
      <c r="S354" s="8"/>
      <c r="T354" s="8"/>
      <c r="U354" s="8"/>
      <c r="V354" s="8"/>
      <c r="W354" s="8"/>
      <c r="X354" s="8"/>
      <c r="Y354" s="8"/>
      <c r="Z354" s="8"/>
      <c r="AA354" s="8"/>
      <c r="AB354" s="8"/>
      <c r="AC354" s="8"/>
      <c r="AD354" s="8"/>
      <c r="AE354" s="8"/>
      <c r="AF354" s="8"/>
      <c r="AG354" s="8"/>
      <c r="AH354" s="8"/>
      <c r="AI354" s="8"/>
      <c r="AJ354" s="8"/>
      <c r="AK354" s="8"/>
      <c r="AL354" s="8"/>
      <c r="AM354" s="8"/>
      <c r="AN354" s="8"/>
      <c r="AO354" s="1"/>
    </row>
    <row r="355" spans="1:41" x14ac:dyDescent="0.35">
      <c r="A355" s="6"/>
      <c r="B355" s="81"/>
      <c r="C355" s="83"/>
      <c r="D355" s="8"/>
      <c r="E355" s="8"/>
      <c r="F355" s="8"/>
      <c r="G355" s="8"/>
      <c r="H355" s="8"/>
      <c r="I355" s="8"/>
      <c r="J355" s="8"/>
      <c r="K355" s="8"/>
      <c r="L355" s="8"/>
      <c r="M355" s="8"/>
      <c r="N355" s="8"/>
      <c r="O355" s="8"/>
      <c r="P355" s="8"/>
      <c r="Q355" s="8"/>
      <c r="R355" s="8"/>
      <c r="S355" s="8"/>
      <c r="T355" s="8"/>
      <c r="U355" s="8"/>
      <c r="V355" s="8"/>
      <c r="W355" s="8"/>
      <c r="X355" s="8"/>
      <c r="Y355" s="8"/>
      <c r="Z355" s="8"/>
      <c r="AA355" s="8"/>
      <c r="AB355" s="8"/>
      <c r="AC355" s="8"/>
      <c r="AD355" s="8"/>
      <c r="AE355" s="8"/>
      <c r="AF355" s="8"/>
      <c r="AG355" s="8"/>
      <c r="AH355" s="8"/>
      <c r="AI355" s="8"/>
      <c r="AJ355" s="8"/>
      <c r="AK355" s="8"/>
      <c r="AL355" s="8"/>
      <c r="AM355" s="8"/>
      <c r="AN355" s="8"/>
      <c r="AO355" s="1"/>
    </row>
    <row r="356" spans="1:41" x14ac:dyDescent="0.35">
      <c r="A356" s="6"/>
      <c r="B356" s="81"/>
      <c r="C356" s="83"/>
      <c r="D356" s="8"/>
      <c r="E356" s="8"/>
      <c r="F356" s="8"/>
      <c r="G356" s="8"/>
      <c r="H356" s="8"/>
      <c r="I356" s="8"/>
      <c r="J356" s="8"/>
      <c r="K356" s="8"/>
      <c r="L356" s="8"/>
      <c r="M356" s="8"/>
      <c r="N356" s="8"/>
      <c r="O356" s="8"/>
      <c r="P356" s="8"/>
      <c r="Q356" s="8"/>
      <c r="R356" s="8"/>
      <c r="S356" s="8"/>
      <c r="T356" s="8"/>
      <c r="U356" s="8"/>
      <c r="V356" s="8"/>
      <c r="W356" s="8"/>
      <c r="X356" s="8"/>
      <c r="Y356" s="8"/>
      <c r="Z356" s="8"/>
      <c r="AA356" s="8"/>
      <c r="AB356" s="8"/>
      <c r="AC356" s="8"/>
      <c r="AD356" s="8"/>
      <c r="AE356" s="8"/>
      <c r="AF356" s="8"/>
      <c r="AG356" s="8"/>
      <c r="AH356" s="8"/>
      <c r="AI356" s="8"/>
      <c r="AJ356" s="8"/>
      <c r="AK356" s="8"/>
      <c r="AL356" s="8"/>
      <c r="AM356" s="8"/>
      <c r="AN356" s="8"/>
      <c r="AO356" s="1"/>
    </row>
    <row r="357" spans="1:41" x14ac:dyDescent="0.35">
      <c r="A357" s="6"/>
      <c r="B357" s="81"/>
      <c r="C357" s="83"/>
      <c r="D357" s="8"/>
      <c r="E357" s="8"/>
      <c r="F357" s="8"/>
      <c r="G357" s="8"/>
      <c r="H357" s="8"/>
      <c r="I357" s="8"/>
      <c r="J357" s="8"/>
      <c r="K357" s="8"/>
      <c r="L357" s="8"/>
      <c r="M357" s="8"/>
      <c r="N357" s="8"/>
      <c r="O357" s="8"/>
      <c r="P357" s="8"/>
      <c r="Q357" s="8"/>
      <c r="R357" s="8"/>
      <c r="S357" s="8"/>
      <c r="T357" s="8"/>
      <c r="U357" s="8"/>
      <c r="V357" s="8"/>
      <c r="W357" s="8"/>
      <c r="X357" s="8"/>
      <c r="Y357" s="8"/>
      <c r="Z357" s="8"/>
      <c r="AA357" s="8"/>
      <c r="AB357" s="8"/>
      <c r="AC357" s="8"/>
      <c r="AD357" s="8"/>
      <c r="AE357" s="8"/>
      <c r="AF357" s="8"/>
      <c r="AG357" s="8"/>
      <c r="AH357" s="8"/>
      <c r="AI357" s="8"/>
      <c r="AJ357" s="8"/>
      <c r="AK357" s="8"/>
      <c r="AL357" s="8"/>
      <c r="AM357" s="8"/>
      <c r="AN357" s="8"/>
      <c r="AO357" s="1"/>
    </row>
    <row r="358" spans="1:41" x14ac:dyDescent="0.35">
      <c r="A358" s="6"/>
      <c r="B358" s="81"/>
      <c r="C358" s="83"/>
      <c r="D358" s="8"/>
      <c r="E358" s="8"/>
      <c r="F358" s="8"/>
      <c r="G358" s="8"/>
      <c r="H358" s="8"/>
      <c r="I358" s="8"/>
      <c r="J358" s="8"/>
      <c r="K358" s="8"/>
      <c r="L358" s="8"/>
      <c r="M358" s="8"/>
      <c r="N358" s="8"/>
      <c r="O358" s="8"/>
      <c r="P358" s="8"/>
      <c r="Q358" s="8"/>
      <c r="R358" s="8"/>
      <c r="S358" s="8"/>
      <c r="T358" s="8"/>
      <c r="U358" s="8"/>
      <c r="V358" s="8"/>
      <c r="W358" s="8"/>
      <c r="X358" s="8"/>
      <c r="Y358" s="8"/>
      <c r="Z358" s="8"/>
      <c r="AA358" s="8"/>
      <c r="AB358" s="8"/>
      <c r="AC358" s="8"/>
      <c r="AD358" s="8"/>
      <c r="AE358" s="8"/>
      <c r="AF358" s="8"/>
      <c r="AG358" s="8"/>
      <c r="AH358" s="8"/>
      <c r="AI358" s="8"/>
      <c r="AJ358" s="8"/>
      <c r="AK358" s="8"/>
      <c r="AL358" s="8"/>
      <c r="AM358" s="8"/>
      <c r="AN358" s="8"/>
      <c r="AO358" s="1"/>
    </row>
    <row r="359" spans="1:41" x14ac:dyDescent="0.35">
      <c r="A359" s="6"/>
      <c r="B359" s="81"/>
      <c r="C359" s="83"/>
      <c r="D359" s="8"/>
      <c r="E359" s="8"/>
      <c r="F359" s="8"/>
      <c r="G359" s="8"/>
      <c r="H359" s="8"/>
      <c r="I359" s="8"/>
      <c r="J359" s="8"/>
      <c r="K359" s="8"/>
      <c r="L359" s="8"/>
      <c r="M359" s="8"/>
      <c r="N359" s="8"/>
      <c r="O359" s="8"/>
      <c r="P359" s="8"/>
      <c r="Q359" s="8"/>
      <c r="R359" s="8"/>
      <c r="S359" s="8"/>
      <c r="T359" s="8"/>
      <c r="U359" s="8"/>
      <c r="V359" s="8"/>
      <c r="W359" s="8"/>
      <c r="X359" s="8"/>
      <c r="Y359" s="8"/>
      <c r="Z359" s="8"/>
      <c r="AA359" s="8"/>
      <c r="AB359" s="8"/>
      <c r="AC359" s="8"/>
      <c r="AD359" s="8"/>
      <c r="AE359" s="8"/>
      <c r="AF359" s="8"/>
      <c r="AG359" s="8"/>
      <c r="AH359" s="8"/>
      <c r="AI359" s="8"/>
      <c r="AJ359" s="8"/>
      <c r="AK359" s="8"/>
      <c r="AL359" s="8"/>
      <c r="AM359" s="8"/>
      <c r="AN359" s="8"/>
      <c r="AO359" s="1"/>
    </row>
    <row r="360" spans="1:41" x14ac:dyDescent="0.35">
      <c r="A360" s="6"/>
      <c r="B360" s="81"/>
      <c r="C360" s="83"/>
      <c r="D360" s="8"/>
      <c r="E360" s="8"/>
      <c r="F360" s="8"/>
      <c r="G360" s="8"/>
      <c r="H360" s="8"/>
      <c r="I360" s="8"/>
      <c r="J360" s="8"/>
      <c r="K360" s="8"/>
      <c r="L360" s="8"/>
      <c r="M360" s="8"/>
      <c r="N360" s="8"/>
      <c r="O360" s="8"/>
      <c r="P360" s="8"/>
      <c r="Q360" s="8"/>
      <c r="R360" s="8"/>
      <c r="S360" s="8"/>
      <c r="T360" s="8"/>
      <c r="U360" s="8"/>
      <c r="V360" s="8"/>
      <c r="W360" s="8"/>
      <c r="X360" s="8"/>
      <c r="Y360" s="8"/>
      <c r="Z360" s="8"/>
      <c r="AA360" s="8"/>
      <c r="AB360" s="8"/>
      <c r="AC360" s="8"/>
      <c r="AD360" s="8"/>
      <c r="AE360" s="8"/>
      <c r="AF360" s="8"/>
      <c r="AG360" s="8"/>
      <c r="AH360" s="8"/>
      <c r="AI360" s="8"/>
      <c r="AJ360" s="8"/>
      <c r="AK360" s="8"/>
      <c r="AL360" s="8"/>
      <c r="AM360" s="8"/>
      <c r="AN360" s="8"/>
      <c r="AO360" s="1"/>
    </row>
    <row r="361" spans="1:41" x14ac:dyDescent="0.35">
      <c r="A361" s="6"/>
      <c r="B361" s="81"/>
      <c r="C361" s="83"/>
      <c r="D361" s="8"/>
      <c r="E361" s="8"/>
      <c r="F361" s="8"/>
      <c r="G361" s="8"/>
      <c r="H361" s="8"/>
      <c r="I361" s="8"/>
      <c r="J361" s="8"/>
      <c r="K361" s="8"/>
      <c r="L361" s="8"/>
      <c r="M361" s="8"/>
      <c r="N361" s="8"/>
      <c r="O361" s="8"/>
      <c r="P361" s="8"/>
      <c r="Q361" s="8"/>
      <c r="R361" s="8"/>
      <c r="S361" s="8"/>
      <c r="T361" s="8"/>
      <c r="U361" s="8"/>
      <c r="V361" s="8"/>
      <c r="W361" s="8"/>
      <c r="X361" s="8"/>
      <c r="Y361" s="8"/>
      <c r="Z361" s="8"/>
      <c r="AA361" s="8"/>
      <c r="AB361" s="8"/>
      <c r="AC361" s="8"/>
      <c r="AD361" s="8"/>
      <c r="AE361" s="8"/>
      <c r="AF361" s="8"/>
      <c r="AG361" s="8"/>
      <c r="AH361" s="8"/>
      <c r="AI361" s="8"/>
      <c r="AJ361" s="8"/>
      <c r="AK361" s="8"/>
      <c r="AL361" s="8"/>
      <c r="AM361" s="8"/>
      <c r="AN361" s="8"/>
      <c r="AO361" s="1"/>
    </row>
    <row r="362" spans="1:41" x14ac:dyDescent="0.35">
      <c r="A362" s="6"/>
      <c r="B362" s="81"/>
      <c r="C362" s="83"/>
      <c r="D362" s="8"/>
      <c r="E362" s="8"/>
      <c r="F362" s="8"/>
      <c r="G362" s="8"/>
      <c r="H362" s="8"/>
      <c r="I362" s="8"/>
      <c r="J362" s="8"/>
      <c r="K362" s="8"/>
      <c r="L362" s="8"/>
      <c r="M362" s="8"/>
      <c r="N362" s="8"/>
      <c r="O362" s="8"/>
      <c r="P362" s="8"/>
      <c r="Q362" s="8"/>
      <c r="R362" s="8"/>
      <c r="S362" s="8"/>
      <c r="T362" s="8"/>
      <c r="U362" s="8"/>
      <c r="V362" s="8"/>
      <c r="W362" s="8"/>
      <c r="X362" s="8"/>
      <c r="Y362" s="8"/>
      <c r="Z362" s="8"/>
      <c r="AA362" s="8"/>
      <c r="AB362" s="8"/>
      <c r="AC362" s="8"/>
      <c r="AD362" s="8"/>
      <c r="AE362" s="8"/>
      <c r="AF362" s="8"/>
      <c r="AG362" s="8"/>
      <c r="AH362" s="8"/>
      <c r="AI362" s="8"/>
      <c r="AJ362" s="8"/>
      <c r="AK362" s="8"/>
      <c r="AL362" s="8"/>
      <c r="AM362" s="8"/>
      <c r="AN362" s="8"/>
      <c r="AO362" s="1"/>
    </row>
    <row r="363" spans="1:41" x14ac:dyDescent="0.35">
      <c r="A363" s="6"/>
      <c r="B363" s="81"/>
      <c r="C363" s="83"/>
      <c r="D363" s="8"/>
      <c r="E363" s="8"/>
      <c r="F363" s="8"/>
      <c r="G363" s="8"/>
      <c r="H363" s="8"/>
      <c r="I363" s="8"/>
      <c r="J363" s="8"/>
      <c r="K363" s="8"/>
      <c r="L363" s="8"/>
      <c r="M363" s="8"/>
      <c r="N363" s="8"/>
      <c r="O363" s="8"/>
      <c r="P363" s="8"/>
      <c r="Q363" s="8"/>
      <c r="R363" s="8"/>
      <c r="S363" s="8"/>
      <c r="T363" s="8"/>
      <c r="U363" s="8"/>
      <c r="V363" s="8"/>
      <c r="W363" s="8"/>
      <c r="X363" s="8"/>
      <c r="Y363" s="8"/>
      <c r="Z363" s="8"/>
      <c r="AA363" s="8"/>
      <c r="AB363" s="8"/>
      <c r="AC363" s="8"/>
      <c r="AD363" s="8"/>
      <c r="AE363" s="8"/>
      <c r="AF363" s="8"/>
      <c r="AG363" s="8"/>
      <c r="AH363" s="8"/>
      <c r="AI363" s="8"/>
      <c r="AJ363" s="8"/>
      <c r="AK363" s="8"/>
      <c r="AL363" s="8"/>
      <c r="AM363" s="8"/>
      <c r="AN363" s="8"/>
      <c r="AO363" s="1"/>
    </row>
    <row r="364" spans="1:41" x14ac:dyDescent="0.35">
      <c r="A364" s="6"/>
      <c r="B364" s="81"/>
      <c r="C364" s="83"/>
      <c r="D364" s="8"/>
      <c r="E364" s="8"/>
      <c r="F364" s="8"/>
      <c r="G364" s="8"/>
      <c r="H364" s="8"/>
      <c r="I364" s="8"/>
      <c r="J364" s="8"/>
      <c r="K364" s="8"/>
      <c r="L364" s="8"/>
      <c r="M364" s="8"/>
      <c r="N364" s="8"/>
      <c r="O364" s="8"/>
      <c r="P364" s="8"/>
      <c r="Q364" s="8"/>
      <c r="R364" s="8"/>
      <c r="S364" s="8"/>
      <c r="T364" s="8"/>
      <c r="U364" s="8"/>
      <c r="V364" s="8"/>
      <c r="W364" s="8"/>
      <c r="X364" s="8"/>
      <c r="Y364" s="8"/>
      <c r="Z364" s="8"/>
      <c r="AA364" s="8"/>
      <c r="AB364" s="8"/>
      <c r="AC364" s="8"/>
      <c r="AD364" s="8"/>
      <c r="AE364" s="8"/>
      <c r="AF364" s="8"/>
      <c r="AG364" s="8"/>
      <c r="AH364" s="8"/>
      <c r="AI364" s="8"/>
      <c r="AJ364" s="8"/>
      <c r="AK364" s="8"/>
      <c r="AL364" s="8"/>
      <c r="AM364" s="8"/>
      <c r="AN364" s="8"/>
      <c r="AO364" s="1"/>
    </row>
    <row r="365" spans="1:41" x14ac:dyDescent="0.35">
      <c r="A365" s="6"/>
      <c r="B365" s="81"/>
      <c r="C365" s="83"/>
      <c r="D365" s="8"/>
      <c r="E365" s="8"/>
      <c r="F365" s="8"/>
      <c r="G365" s="8"/>
      <c r="H365" s="8"/>
      <c r="I365" s="8"/>
      <c r="J365" s="8"/>
      <c r="K365" s="8"/>
      <c r="L365" s="8"/>
      <c r="M365" s="8"/>
      <c r="N365" s="8"/>
      <c r="O365" s="8"/>
      <c r="P365" s="8"/>
      <c r="Q365" s="8"/>
      <c r="R365" s="8"/>
      <c r="S365" s="8"/>
      <c r="T365" s="8"/>
      <c r="U365" s="8"/>
      <c r="V365" s="8"/>
      <c r="W365" s="8"/>
      <c r="X365" s="8"/>
      <c r="Y365" s="8"/>
      <c r="Z365" s="8"/>
      <c r="AA365" s="8"/>
      <c r="AB365" s="8"/>
      <c r="AC365" s="8"/>
      <c r="AD365" s="8"/>
      <c r="AE365" s="8"/>
      <c r="AF365" s="8"/>
      <c r="AG365" s="8"/>
      <c r="AH365" s="8"/>
      <c r="AI365" s="8"/>
      <c r="AJ365" s="8"/>
      <c r="AK365" s="8"/>
      <c r="AL365" s="8"/>
      <c r="AM365" s="8"/>
      <c r="AN365" s="8"/>
      <c r="AO365" s="1"/>
    </row>
    <row r="366" spans="1:41" x14ac:dyDescent="0.35">
      <c r="A366" s="6"/>
      <c r="B366" s="81"/>
      <c r="C366" s="83"/>
      <c r="D366" s="8"/>
      <c r="E366" s="8"/>
      <c r="F366" s="8"/>
      <c r="G366" s="8"/>
      <c r="H366" s="8"/>
      <c r="I366" s="8"/>
      <c r="J366" s="8"/>
      <c r="K366" s="8"/>
      <c r="L366" s="8"/>
      <c r="M366" s="8"/>
      <c r="N366" s="8"/>
      <c r="O366" s="8"/>
      <c r="P366" s="8"/>
      <c r="Q366" s="8"/>
      <c r="R366" s="8"/>
      <c r="S366" s="8"/>
      <c r="T366" s="8"/>
      <c r="U366" s="8"/>
      <c r="V366" s="8"/>
      <c r="W366" s="8"/>
      <c r="X366" s="8"/>
      <c r="Y366" s="8"/>
      <c r="Z366" s="8"/>
      <c r="AA366" s="8"/>
      <c r="AB366" s="8"/>
      <c r="AC366" s="8"/>
      <c r="AD366" s="8"/>
      <c r="AE366" s="8"/>
      <c r="AF366" s="8"/>
      <c r="AG366" s="8"/>
      <c r="AH366" s="8"/>
      <c r="AI366" s="8"/>
      <c r="AJ366" s="8"/>
      <c r="AK366" s="8"/>
      <c r="AL366" s="8"/>
      <c r="AM366" s="8"/>
      <c r="AN366" s="8"/>
      <c r="AO366" s="1"/>
    </row>
    <row r="367" spans="1:41" x14ac:dyDescent="0.35">
      <c r="A367" s="6"/>
      <c r="B367" s="81"/>
      <c r="C367" s="83"/>
      <c r="D367" s="8"/>
      <c r="E367" s="8"/>
      <c r="F367" s="8"/>
      <c r="G367" s="8"/>
      <c r="H367" s="8"/>
      <c r="I367" s="8"/>
      <c r="J367" s="8"/>
      <c r="K367" s="8"/>
      <c r="L367" s="8"/>
      <c r="M367" s="8"/>
      <c r="N367" s="8"/>
      <c r="O367" s="8"/>
      <c r="P367" s="8"/>
      <c r="Q367" s="8"/>
      <c r="R367" s="8"/>
      <c r="S367" s="8"/>
      <c r="T367" s="8"/>
      <c r="U367" s="8"/>
      <c r="V367" s="8"/>
      <c r="W367" s="8"/>
      <c r="X367" s="8"/>
      <c r="Y367" s="8"/>
      <c r="Z367" s="8"/>
      <c r="AA367" s="8"/>
      <c r="AB367" s="8"/>
      <c r="AC367" s="8"/>
      <c r="AD367" s="8"/>
      <c r="AE367" s="8"/>
      <c r="AF367" s="8"/>
      <c r="AG367" s="8"/>
      <c r="AH367" s="8"/>
      <c r="AI367" s="8"/>
      <c r="AJ367" s="8"/>
      <c r="AK367" s="8"/>
      <c r="AL367" s="8"/>
      <c r="AM367" s="8"/>
      <c r="AN367" s="8"/>
      <c r="AO367" s="1"/>
    </row>
    <row r="368" spans="1:41" x14ac:dyDescent="0.35">
      <c r="A368" s="6"/>
      <c r="B368" s="81"/>
      <c r="C368" s="83"/>
      <c r="D368" s="8"/>
      <c r="E368" s="8"/>
      <c r="F368" s="8"/>
      <c r="G368" s="8"/>
      <c r="H368" s="8"/>
      <c r="I368" s="8"/>
      <c r="J368" s="8"/>
      <c r="K368" s="8"/>
      <c r="L368" s="8"/>
      <c r="M368" s="8"/>
      <c r="N368" s="8"/>
      <c r="O368" s="8"/>
      <c r="P368" s="8"/>
      <c r="Q368" s="8"/>
      <c r="R368" s="8"/>
      <c r="S368" s="8"/>
      <c r="T368" s="8"/>
      <c r="U368" s="8"/>
      <c r="V368" s="8"/>
      <c r="W368" s="8"/>
      <c r="X368" s="8"/>
      <c r="Y368" s="8"/>
      <c r="Z368" s="8"/>
      <c r="AA368" s="8"/>
      <c r="AB368" s="8"/>
      <c r="AC368" s="8"/>
      <c r="AD368" s="8"/>
      <c r="AE368" s="8"/>
      <c r="AF368" s="8"/>
      <c r="AG368" s="8"/>
      <c r="AH368" s="8"/>
      <c r="AI368" s="8"/>
      <c r="AJ368" s="8"/>
      <c r="AK368" s="8"/>
      <c r="AL368" s="8"/>
      <c r="AM368" s="8"/>
      <c r="AN368" s="8"/>
      <c r="AO368" s="1"/>
    </row>
    <row r="369" spans="1:41" x14ac:dyDescent="0.35">
      <c r="A369" s="6"/>
      <c r="B369" s="81"/>
      <c r="C369" s="83"/>
      <c r="D369" s="8"/>
      <c r="E369" s="8"/>
      <c r="F369" s="8"/>
      <c r="G369" s="8"/>
      <c r="H369" s="8"/>
      <c r="I369" s="8"/>
      <c r="J369" s="8"/>
      <c r="K369" s="8"/>
      <c r="L369" s="8"/>
      <c r="M369" s="8"/>
      <c r="N369" s="8"/>
      <c r="O369" s="8"/>
      <c r="P369" s="8"/>
      <c r="Q369" s="8"/>
      <c r="R369" s="8"/>
      <c r="S369" s="8"/>
      <c r="T369" s="8"/>
      <c r="U369" s="8"/>
      <c r="V369" s="8"/>
      <c r="W369" s="8"/>
      <c r="X369" s="8"/>
      <c r="Y369" s="8"/>
      <c r="Z369" s="8"/>
      <c r="AA369" s="8"/>
      <c r="AB369" s="8"/>
      <c r="AC369" s="8"/>
      <c r="AD369" s="8"/>
      <c r="AE369" s="8"/>
      <c r="AF369" s="8"/>
      <c r="AG369" s="8"/>
      <c r="AH369" s="8"/>
      <c r="AI369" s="8"/>
      <c r="AJ369" s="8"/>
      <c r="AK369" s="8"/>
      <c r="AL369" s="8"/>
      <c r="AM369" s="8"/>
      <c r="AN369" s="8"/>
      <c r="AO369" s="1"/>
    </row>
    <row r="370" spans="1:41" x14ac:dyDescent="0.35">
      <c r="A370" s="6"/>
      <c r="B370" s="81"/>
      <c r="C370" s="83"/>
      <c r="D370" s="8"/>
      <c r="E370" s="8"/>
      <c r="F370" s="8"/>
      <c r="G370" s="8"/>
      <c r="H370" s="8"/>
      <c r="I370" s="8"/>
      <c r="J370" s="8"/>
      <c r="K370" s="8"/>
      <c r="L370" s="8"/>
      <c r="M370" s="8"/>
      <c r="N370" s="8"/>
      <c r="O370" s="8"/>
      <c r="P370" s="8"/>
      <c r="Q370" s="8"/>
      <c r="R370" s="8"/>
      <c r="S370" s="8"/>
      <c r="T370" s="8"/>
      <c r="U370" s="8"/>
      <c r="V370" s="8"/>
      <c r="W370" s="8"/>
      <c r="X370" s="8"/>
      <c r="Y370" s="8"/>
      <c r="Z370" s="8"/>
      <c r="AA370" s="8"/>
      <c r="AB370" s="8"/>
      <c r="AC370" s="8"/>
      <c r="AD370" s="8"/>
      <c r="AE370" s="8"/>
      <c r="AF370" s="8"/>
      <c r="AG370" s="8"/>
      <c r="AH370" s="8"/>
      <c r="AI370" s="8"/>
      <c r="AJ370" s="8"/>
      <c r="AK370" s="8"/>
      <c r="AL370" s="8"/>
      <c r="AM370" s="8"/>
      <c r="AN370" s="8"/>
      <c r="AO370" s="1"/>
    </row>
    <row r="371" spans="1:41" x14ac:dyDescent="0.35">
      <c r="A371" s="6"/>
      <c r="B371" s="81"/>
      <c r="C371" s="83"/>
      <c r="D371" s="8"/>
      <c r="E371" s="8"/>
      <c r="F371" s="8"/>
      <c r="G371" s="8"/>
      <c r="H371" s="8"/>
      <c r="I371" s="8"/>
      <c r="J371" s="8"/>
      <c r="K371" s="8"/>
      <c r="L371" s="8"/>
      <c r="M371" s="8"/>
      <c r="N371" s="8"/>
      <c r="O371" s="8"/>
      <c r="P371" s="8"/>
      <c r="Q371" s="8"/>
      <c r="R371" s="8"/>
      <c r="S371" s="8"/>
      <c r="T371" s="8"/>
      <c r="U371" s="8"/>
      <c r="V371" s="8"/>
      <c r="W371" s="8"/>
      <c r="X371" s="8"/>
      <c r="Y371" s="8"/>
      <c r="Z371" s="8"/>
      <c r="AA371" s="8"/>
      <c r="AB371" s="8"/>
      <c r="AC371" s="8"/>
      <c r="AD371" s="8"/>
      <c r="AE371" s="8"/>
      <c r="AF371" s="8"/>
      <c r="AG371" s="8"/>
      <c r="AH371" s="8"/>
      <c r="AI371" s="8"/>
      <c r="AJ371" s="8"/>
      <c r="AK371" s="8"/>
      <c r="AL371" s="8"/>
      <c r="AM371" s="8"/>
      <c r="AN371" s="8"/>
      <c r="AO371" s="1"/>
    </row>
    <row r="372" spans="1:41" x14ac:dyDescent="0.35">
      <c r="A372" s="6"/>
      <c r="B372" s="81"/>
      <c r="C372" s="83"/>
      <c r="D372" s="8"/>
      <c r="E372" s="8"/>
      <c r="F372" s="8"/>
      <c r="G372" s="8"/>
      <c r="H372" s="8"/>
      <c r="I372" s="8"/>
      <c r="J372" s="8"/>
      <c r="K372" s="8"/>
      <c r="L372" s="8"/>
      <c r="M372" s="8"/>
      <c r="N372" s="8"/>
      <c r="O372" s="8"/>
      <c r="P372" s="8"/>
      <c r="Q372" s="8"/>
      <c r="R372" s="8"/>
      <c r="S372" s="8"/>
      <c r="T372" s="8"/>
      <c r="U372" s="8"/>
      <c r="V372" s="8"/>
      <c r="W372" s="8"/>
      <c r="X372" s="8"/>
      <c r="Y372" s="8"/>
      <c r="Z372" s="8"/>
      <c r="AA372" s="8"/>
      <c r="AB372" s="8"/>
      <c r="AC372" s="8"/>
      <c r="AD372" s="8"/>
      <c r="AE372" s="8"/>
      <c r="AF372" s="8"/>
      <c r="AG372" s="8"/>
      <c r="AH372" s="8"/>
      <c r="AI372" s="8"/>
      <c r="AJ372" s="8"/>
      <c r="AK372" s="8"/>
      <c r="AL372" s="8"/>
      <c r="AM372" s="8"/>
      <c r="AN372" s="8"/>
      <c r="AO372" s="1"/>
    </row>
    <row r="373" spans="1:41" x14ac:dyDescent="0.35">
      <c r="A373" s="6"/>
      <c r="B373" s="81"/>
      <c r="C373" s="83"/>
      <c r="D373" s="8"/>
      <c r="E373" s="8"/>
      <c r="F373" s="8"/>
      <c r="G373" s="8"/>
      <c r="H373" s="8"/>
      <c r="I373" s="8"/>
      <c r="J373" s="8"/>
      <c r="K373" s="8"/>
      <c r="L373" s="8"/>
      <c r="M373" s="8"/>
      <c r="N373" s="8"/>
      <c r="O373" s="8"/>
      <c r="P373" s="8"/>
      <c r="Q373" s="8"/>
      <c r="R373" s="8"/>
      <c r="S373" s="8"/>
      <c r="T373" s="8"/>
      <c r="U373" s="8"/>
      <c r="V373" s="8"/>
      <c r="W373" s="8"/>
      <c r="X373" s="8"/>
      <c r="Y373" s="8"/>
      <c r="Z373" s="8"/>
      <c r="AA373" s="8"/>
      <c r="AB373" s="8"/>
      <c r="AC373" s="8"/>
      <c r="AD373" s="8"/>
      <c r="AE373" s="8"/>
      <c r="AF373" s="8"/>
      <c r="AG373" s="8"/>
      <c r="AH373" s="8"/>
      <c r="AI373" s="8"/>
      <c r="AJ373" s="8"/>
      <c r="AK373" s="8"/>
      <c r="AL373" s="8"/>
      <c r="AM373" s="8"/>
      <c r="AN373" s="8"/>
      <c r="AO373" s="1"/>
    </row>
    <row r="374" spans="1:41" x14ac:dyDescent="0.35">
      <c r="A374" s="6"/>
      <c r="B374" s="81"/>
      <c r="C374" s="83"/>
      <c r="D374" s="8"/>
      <c r="E374" s="8"/>
      <c r="F374" s="8"/>
      <c r="G374" s="8"/>
      <c r="H374" s="8"/>
      <c r="I374" s="8"/>
      <c r="J374" s="8"/>
      <c r="K374" s="8"/>
      <c r="L374" s="8"/>
      <c r="M374" s="8"/>
      <c r="N374" s="8"/>
      <c r="O374" s="8"/>
      <c r="P374" s="8"/>
      <c r="Q374" s="8"/>
      <c r="R374" s="8"/>
      <c r="S374" s="8"/>
      <c r="T374" s="8"/>
      <c r="U374" s="8"/>
      <c r="V374" s="8"/>
      <c r="W374" s="8"/>
      <c r="X374" s="8"/>
      <c r="Y374" s="8"/>
      <c r="Z374" s="8"/>
      <c r="AA374" s="8"/>
      <c r="AB374" s="8"/>
      <c r="AC374" s="8"/>
      <c r="AD374" s="8"/>
      <c r="AE374" s="8"/>
      <c r="AF374" s="8"/>
      <c r="AG374" s="8"/>
      <c r="AH374" s="8"/>
      <c r="AI374" s="8"/>
      <c r="AJ374" s="8"/>
      <c r="AK374" s="8"/>
      <c r="AL374" s="8"/>
      <c r="AM374" s="8"/>
      <c r="AN374" s="8"/>
      <c r="AO374" s="1"/>
    </row>
    <row r="375" spans="1:41" x14ac:dyDescent="0.35">
      <c r="A375" s="6"/>
      <c r="B375" s="81"/>
      <c r="C375" s="83"/>
      <c r="D375" s="8"/>
      <c r="E375" s="8"/>
      <c r="F375" s="8"/>
      <c r="G375" s="8"/>
      <c r="H375" s="8"/>
      <c r="I375" s="8"/>
      <c r="J375" s="8"/>
      <c r="K375" s="8"/>
      <c r="L375" s="8"/>
      <c r="M375" s="8"/>
      <c r="N375" s="8"/>
      <c r="O375" s="8"/>
      <c r="P375" s="8"/>
      <c r="Q375" s="8"/>
      <c r="R375" s="8"/>
      <c r="S375" s="8"/>
      <c r="T375" s="8"/>
      <c r="U375" s="8"/>
      <c r="V375" s="8"/>
      <c r="W375" s="8"/>
      <c r="X375" s="8"/>
      <c r="Y375" s="8"/>
      <c r="Z375" s="8"/>
      <c r="AA375" s="8"/>
      <c r="AB375" s="8"/>
      <c r="AC375" s="8"/>
      <c r="AD375" s="8"/>
      <c r="AE375" s="8"/>
      <c r="AF375" s="8"/>
      <c r="AG375" s="8"/>
      <c r="AH375" s="8"/>
      <c r="AI375" s="8"/>
      <c r="AJ375" s="8"/>
      <c r="AK375" s="8"/>
      <c r="AL375" s="8"/>
      <c r="AM375" s="8"/>
      <c r="AN375" s="8"/>
      <c r="AO375" s="1"/>
    </row>
    <row r="376" spans="1:41" x14ac:dyDescent="0.35">
      <c r="A376" s="6"/>
      <c r="B376" s="81"/>
      <c r="C376" s="83"/>
      <c r="D376" s="8"/>
      <c r="E376" s="8"/>
      <c r="F376" s="8"/>
      <c r="G376" s="8"/>
      <c r="H376" s="8"/>
      <c r="I376" s="8"/>
      <c r="J376" s="8"/>
      <c r="K376" s="8"/>
      <c r="L376" s="8"/>
      <c r="M376" s="8"/>
      <c r="N376" s="8"/>
      <c r="O376" s="8"/>
      <c r="P376" s="8"/>
      <c r="Q376" s="8"/>
      <c r="R376" s="8"/>
      <c r="S376" s="8"/>
      <c r="T376" s="8"/>
      <c r="U376" s="8"/>
      <c r="V376" s="8"/>
      <c r="W376" s="8"/>
      <c r="X376" s="8"/>
      <c r="Y376" s="8"/>
      <c r="Z376" s="8"/>
      <c r="AA376" s="8"/>
      <c r="AB376" s="8"/>
      <c r="AC376" s="8"/>
      <c r="AD376" s="8"/>
      <c r="AE376" s="8"/>
      <c r="AF376" s="8"/>
      <c r="AG376" s="8"/>
      <c r="AH376" s="8"/>
      <c r="AI376" s="8"/>
      <c r="AJ376" s="8"/>
      <c r="AK376" s="8"/>
      <c r="AL376" s="8"/>
      <c r="AM376" s="8"/>
      <c r="AN376" s="8"/>
      <c r="AO376" s="1"/>
    </row>
    <row r="377" spans="1:41" x14ac:dyDescent="0.35">
      <c r="A377" s="6"/>
      <c r="B377" s="81"/>
      <c r="C377" s="83"/>
      <c r="D377" s="8"/>
      <c r="E377" s="8"/>
      <c r="F377" s="8"/>
      <c r="G377" s="8"/>
      <c r="H377" s="8"/>
      <c r="I377" s="8"/>
      <c r="J377" s="8"/>
      <c r="K377" s="8"/>
      <c r="L377" s="8"/>
      <c r="M377" s="8"/>
      <c r="N377" s="8"/>
      <c r="O377" s="8"/>
      <c r="P377" s="8"/>
      <c r="Q377" s="8"/>
      <c r="R377" s="8"/>
      <c r="S377" s="8"/>
      <c r="T377" s="8"/>
      <c r="U377" s="8"/>
      <c r="V377" s="8"/>
      <c r="W377" s="8"/>
      <c r="X377" s="8"/>
      <c r="Y377" s="8"/>
      <c r="Z377" s="8"/>
      <c r="AA377" s="8"/>
      <c r="AB377" s="8"/>
      <c r="AC377" s="8"/>
      <c r="AD377" s="8"/>
      <c r="AE377" s="8"/>
      <c r="AF377" s="8"/>
      <c r="AG377" s="8"/>
      <c r="AH377" s="8"/>
      <c r="AI377" s="8"/>
      <c r="AJ377" s="8"/>
      <c r="AK377" s="8"/>
      <c r="AL377" s="8"/>
      <c r="AM377" s="8"/>
      <c r="AN377" s="8"/>
      <c r="AO377" s="1"/>
    </row>
    <row r="378" spans="1:41" x14ac:dyDescent="0.35">
      <c r="A378" s="6"/>
      <c r="B378" s="81"/>
      <c r="C378" s="83"/>
      <c r="D378" s="8"/>
      <c r="E378" s="8"/>
      <c r="F378" s="8"/>
      <c r="G378" s="8"/>
      <c r="H378" s="8"/>
      <c r="I378" s="8"/>
      <c r="J378" s="8"/>
      <c r="K378" s="8"/>
      <c r="L378" s="8"/>
      <c r="M378" s="8"/>
      <c r="N378" s="8"/>
      <c r="O378" s="8"/>
      <c r="P378" s="8"/>
      <c r="Q378" s="8"/>
      <c r="R378" s="8"/>
      <c r="S378" s="8"/>
      <c r="T378" s="8"/>
      <c r="U378" s="8"/>
      <c r="V378" s="8"/>
      <c r="W378" s="8"/>
      <c r="X378" s="8"/>
      <c r="Y378" s="8"/>
      <c r="Z378" s="8"/>
      <c r="AA378" s="8"/>
      <c r="AB378" s="8"/>
      <c r="AC378" s="8"/>
      <c r="AD378" s="8"/>
      <c r="AE378" s="8"/>
      <c r="AF378" s="8"/>
      <c r="AG378" s="8"/>
      <c r="AH378" s="8"/>
      <c r="AI378" s="8"/>
      <c r="AJ378" s="8"/>
      <c r="AK378" s="8"/>
      <c r="AL378" s="8"/>
      <c r="AM378" s="8"/>
      <c r="AN378" s="8"/>
      <c r="AO378" s="1"/>
    </row>
    <row r="379" spans="1:41" x14ac:dyDescent="0.35">
      <c r="A379" s="6"/>
      <c r="B379" s="81"/>
      <c r="C379" s="83"/>
      <c r="D379" s="8"/>
      <c r="E379" s="8"/>
      <c r="F379" s="8"/>
      <c r="G379" s="8"/>
      <c r="H379" s="8"/>
      <c r="I379" s="8"/>
      <c r="J379" s="8"/>
      <c r="K379" s="8"/>
      <c r="L379" s="8"/>
      <c r="M379" s="8"/>
      <c r="N379" s="8"/>
      <c r="O379" s="8"/>
      <c r="P379" s="8"/>
      <c r="Q379" s="8"/>
      <c r="R379" s="8"/>
      <c r="S379" s="8"/>
      <c r="T379" s="8"/>
      <c r="U379" s="8"/>
      <c r="V379" s="8"/>
      <c r="W379" s="8"/>
      <c r="X379" s="8"/>
      <c r="Y379" s="8"/>
      <c r="Z379" s="8"/>
      <c r="AA379" s="8"/>
      <c r="AB379" s="8"/>
      <c r="AC379" s="8"/>
      <c r="AD379" s="8"/>
      <c r="AE379" s="8"/>
      <c r="AF379" s="8"/>
      <c r="AG379" s="8"/>
      <c r="AH379" s="8"/>
      <c r="AI379" s="8"/>
      <c r="AJ379" s="8"/>
      <c r="AK379" s="8"/>
      <c r="AL379" s="8"/>
      <c r="AM379" s="8"/>
      <c r="AN379" s="8"/>
      <c r="AO379" s="1"/>
    </row>
    <row r="380" spans="1:41" x14ac:dyDescent="0.35">
      <c r="A380" s="6"/>
      <c r="B380" s="81"/>
      <c r="C380" s="83"/>
      <c r="D380" s="8"/>
      <c r="E380" s="8"/>
      <c r="F380" s="8"/>
      <c r="G380" s="8"/>
      <c r="H380" s="8"/>
      <c r="I380" s="8"/>
      <c r="J380" s="8"/>
      <c r="K380" s="8"/>
      <c r="L380" s="8"/>
      <c r="M380" s="8"/>
      <c r="N380" s="8"/>
      <c r="O380" s="8"/>
      <c r="P380" s="8"/>
      <c r="Q380" s="8"/>
      <c r="R380" s="8"/>
      <c r="S380" s="8"/>
      <c r="T380" s="8"/>
      <c r="U380" s="8"/>
      <c r="V380" s="8"/>
      <c r="W380" s="8"/>
      <c r="X380" s="8"/>
      <c r="Y380" s="8"/>
      <c r="Z380" s="8"/>
      <c r="AA380" s="8"/>
      <c r="AB380" s="8"/>
      <c r="AC380" s="8"/>
      <c r="AD380" s="8"/>
      <c r="AE380" s="8"/>
      <c r="AF380" s="8"/>
      <c r="AG380" s="8"/>
      <c r="AH380" s="8"/>
      <c r="AI380" s="8"/>
      <c r="AJ380" s="8"/>
      <c r="AK380" s="8"/>
      <c r="AL380" s="8"/>
      <c r="AM380" s="8"/>
      <c r="AN380" s="8"/>
      <c r="AO380" s="1"/>
    </row>
    <row r="381" spans="1:41" x14ac:dyDescent="0.35">
      <c r="A381" s="6"/>
      <c r="B381" s="81"/>
      <c r="C381" s="83"/>
      <c r="D381" s="8"/>
      <c r="E381" s="8"/>
      <c r="F381" s="8"/>
      <c r="G381" s="8"/>
      <c r="H381" s="8"/>
      <c r="I381" s="8"/>
      <c r="J381" s="8"/>
      <c r="K381" s="8"/>
      <c r="L381" s="8"/>
      <c r="M381" s="8"/>
      <c r="N381" s="8"/>
      <c r="O381" s="8"/>
      <c r="P381" s="8"/>
      <c r="Q381" s="8"/>
      <c r="R381" s="8"/>
      <c r="S381" s="8"/>
      <c r="T381" s="8"/>
      <c r="U381" s="8"/>
      <c r="V381" s="8"/>
      <c r="W381" s="8"/>
      <c r="X381" s="8"/>
      <c r="Y381" s="8"/>
      <c r="Z381" s="8"/>
      <c r="AA381" s="8"/>
      <c r="AB381" s="8"/>
      <c r="AC381" s="8"/>
      <c r="AD381" s="8"/>
      <c r="AE381" s="8"/>
      <c r="AF381" s="8"/>
      <c r="AG381" s="8"/>
      <c r="AH381" s="8"/>
      <c r="AI381" s="8"/>
      <c r="AJ381" s="8"/>
      <c r="AK381" s="8"/>
      <c r="AL381" s="8"/>
      <c r="AM381" s="8"/>
      <c r="AN381" s="8"/>
      <c r="AO381" s="1"/>
    </row>
    <row r="382" spans="1:41" x14ac:dyDescent="0.35">
      <c r="A382" s="6"/>
      <c r="B382" s="81"/>
      <c r="C382" s="83"/>
      <c r="D382" s="8"/>
      <c r="E382" s="8"/>
      <c r="F382" s="8"/>
      <c r="G382" s="8"/>
      <c r="H382" s="8"/>
      <c r="I382" s="8"/>
      <c r="J382" s="8"/>
      <c r="K382" s="8"/>
      <c r="L382" s="8"/>
      <c r="M382" s="8"/>
      <c r="N382" s="8"/>
      <c r="O382" s="8"/>
      <c r="P382" s="8"/>
      <c r="Q382" s="8"/>
      <c r="R382" s="8"/>
      <c r="S382" s="8"/>
      <c r="T382" s="8"/>
      <c r="U382" s="8"/>
      <c r="V382" s="8"/>
      <c r="W382" s="8"/>
      <c r="X382" s="8"/>
      <c r="Y382" s="8"/>
      <c r="Z382" s="8"/>
      <c r="AA382" s="8"/>
      <c r="AB382" s="8"/>
      <c r="AC382" s="8"/>
      <c r="AD382" s="8"/>
      <c r="AE382" s="8"/>
      <c r="AF382" s="8"/>
      <c r="AG382" s="8"/>
      <c r="AH382" s="8"/>
      <c r="AI382" s="8"/>
      <c r="AJ382" s="8"/>
      <c r="AK382" s="8"/>
      <c r="AL382" s="8"/>
      <c r="AM382" s="8"/>
      <c r="AN382" s="8"/>
      <c r="AO382" s="1"/>
    </row>
    <row r="383" spans="1:41" x14ac:dyDescent="0.35">
      <c r="A383" s="6"/>
      <c r="B383" s="81"/>
      <c r="C383" s="83"/>
      <c r="D383" s="8"/>
      <c r="E383" s="8"/>
      <c r="F383" s="8"/>
      <c r="G383" s="8"/>
      <c r="H383" s="8"/>
      <c r="I383" s="8"/>
      <c r="J383" s="8"/>
      <c r="K383" s="8"/>
      <c r="L383" s="8"/>
      <c r="M383" s="8"/>
      <c r="N383" s="8"/>
      <c r="O383" s="8"/>
      <c r="P383" s="8"/>
      <c r="Q383" s="8"/>
      <c r="R383" s="8"/>
      <c r="S383" s="8"/>
      <c r="T383" s="8"/>
      <c r="U383" s="8"/>
      <c r="V383" s="8"/>
      <c r="W383" s="8"/>
      <c r="X383" s="8"/>
      <c r="Y383" s="8"/>
      <c r="Z383" s="8"/>
      <c r="AA383" s="8"/>
      <c r="AB383" s="8"/>
      <c r="AC383" s="8"/>
      <c r="AD383" s="8"/>
      <c r="AE383" s="8"/>
      <c r="AF383" s="8"/>
      <c r="AG383" s="8"/>
      <c r="AH383" s="8"/>
      <c r="AI383" s="8"/>
      <c r="AJ383" s="8"/>
      <c r="AK383" s="8"/>
      <c r="AL383" s="8"/>
      <c r="AM383" s="8"/>
      <c r="AN383" s="8"/>
      <c r="AO383" s="1"/>
    </row>
    <row r="384" spans="1:41" x14ac:dyDescent="0.35">
      <c r="A384" s="6"/>
      <c r="B384" s="81"/>
      <c r="C384" s="83"/>
      <c r="D384" s="8"/>
      <c r="E384" s="8"/>
      <c r="F384" s="8"/>
      <c r="G384" s="8"/>
      <c r="H384" s="8"/>
      <c r="I384" s="8"/>
      <c r="J384" s="8"/>
      <c r="K384" s="8"/>
      <c r="L384" s="8"/>
      <c r="M384" s="8"/>
      <c r="N384" s="8"/>
      <c r="O384" s="8"/>
      <c r="P384" s="8"/>
      <c r="Q384" s="8"/>
      <c r="R384" s="8"/>
      <c r="S384" s="8"/>
      <c r="T384" s="8"/>
      <c r="U384" s="8"/>
      <c r="V384" s="8"/>
      <c r="W384" s="8"/>
      <c r="X384" s="8"/>
      <c r="Y384" s="8"/>
      <c r="Z384" s="8"/>
      <c r="AA384" s="8"/>
      <c r="AB384" s="8"/>
      <c r="AC384" s="8"/>
      <c r="AD384" s="8"/>
      <c r="AE384" s="8"/>
      <c r="AF384" s="8"/>
      <c r="AG384" s="8"/>
      <c r="AH384" s="8"/>
      <c r="AI384" s="8"/>
      <c r="AJ384" s="8"/>
      <c r="AK384" s="8"/>
      <c r="AL384" s="8"/>
      <c r="AM384" s="8"/>
      <c r="AN384" s="8"/>
      <c r="AO384" s="1"/>
    </row>
    <row r="385" spans="1:41" x14ac:dyDescent="0.35">
      <c r="A385" s="6"/>
      <c r="B385" s="81"/>
      <c r="C385" s="83"/>
      <c r="D385" s="8"/>
      <c r="E385" s="8"/>
      <c r="F385" s="8"/>
      <c r="G385" s="8"/>
      <c r="H385" s="8"/>
      <c r="I385" s="8"/>
      <c r="J385" s="8"/>
      <c r="K385" s="8"/>
      <c r="L385" s="8"/>
      <c r="M385" s="8"/>
      <c r="N385" s="8"/>
      <c r="O385" s="8"/>
      <c r="P385" s="8"/>
      <c r="Q385" s="8"/>
      <c r="R385" s="8"/>
      <c r="S385" s="8"/>
      <c r="T385" s="8"/>
      <c r="U385" s="8"/>
      <c r="V385" s="8"/>
      <c r="W385" s="8"/>
      <c r="X385" s="8"/>
      <c r="Y385" s="8"/>
      <c r="Z385" s="8"/>
      <c r="AA385" s="8"/>
      <c r="AB385" s="8"/>
      <c r="AC385" s="8"/>
      <c r="AD385" s="8"/>
      <c r="AE385" s="8"/>
      <c r="AF385" s="8"/>
      <c r="AG385" s="8"/>
      <c r="AH385" s="8"/>
      <c r="AI385" s="8"/>
      <c r="AJ385" s="8"/>
      <c r="AK385" s="8"/>
      <c r="AL385" s="8"/>
      <c r="AM385" s="8"/>
      <c r="AN385" s="8"/>
      <c r="AO385" s="1"/>
    </row>
    <row r="386" spans="1:41" x14ac:dyDescent="0.35">
      <c r="A386" s="6"/>
      <c r="B386" s="81"/>
      <c r="C386" s="83"/>
      <c r="D386" s="8"/>
      <c r="E386" s="8"/>
      <c r="F386" s="8"/>
      <c r="G386" s="8"/>
      <c r="H386" s="8"/>
      <c r="I386" s="8"/>
      <c r="J386" s="8"/>
      <c r="K386" s="8"/>
      <c r="L386" s="8"/>
      <c r="M386" s="8"/>
      <c r="N386" s="8"/>
      <c r="O386" s="8"/>
      <c r="P386" s="8"/>
      <c r="Q386" s="8"/>
      <c r="R386" s="8"/>
      <c r="S386" s="8"/>
      <c r="T386" s="8"/>
      <c r="U386" s="8"/>
      <c r="V386" s="8"/>
      <c r="W386" s="8"/>
      <c r="X386" s="8"/>
      <c r="Y386" s="8"/>
      <c r="Z386" s="8"/>
      <c r="AA386" s="8"/>
      <c r="AB386" s="8"/>
      <c r="AC386" s="8"/>
      <c r="AD386" s="8"/>
      <c r="AE386" s="8"/>
      <c r="AF386" s="8"/>
      <c r="AG386" s="8"/>
      <c r="AH386" s="8"/>
      <c r="AI386" s="8"/>
      <c r="AJ386" s="8"/>
      <c r="AK386" s="8"/>
      <c r="AL386" s="8"/>
      <c r="AM386" s="8"/>
      <c r="AN386" s="8"/>
      <c r="AO386" s="1"/>
    </row>
    <row r="387" spans="1:41" x14ac:dyDescent="0.35">
      <c r="A387" s="6"/>
      <c r="B387" s="81"/>
      <c r="C387" s="83"/>
      <c r="D387" s="8"/>
      <c r="E387" s="8"/>
      <c r="F387" s="8"/>
      <c r="G387" s="8"/>
      <c r="H387" s="8"/>
      <c r="I387" s="8"/>
      <c r="J387" s="8"/>
      <c r="K387" s="8"/>
      <c r="L387" s="8"/>
      <c r="M387" s="8"/>
      <c r="N387" s="8"/>
      <c r="O387" s="8"/>
      <c r="P387" s="8"/>
      <c r="Q387" s="8"/>
      <c r="R387" s="8"/>
      <c r="S387" s="8"/>
      <c r="T387" s="8"/>
      <c r="U387" s="8"/>
      <c r="V387" s="8"/>
      <c r="W387" s="8"/>
      <c r="X387" s="8"/>
      <c r="Y387" s="8"/>
      <c r="Z387" s="8"/>
      <c r="AA387" s="8"/>
      <c r="AB387" s="8"/>
      <c r="AC387" s="8"/>
      <c r="AD387" s="8"/>
      <c r="AE387" s="8"/>
      <c r="AF387" s="8"/>
      <c r="AG387" s="8"/>
      <c r="AH387" s="8"/>
      <c r="AI387" s="8"/>
      <c r="AJ387" s="8"/>
      <c r="AK387" s="8"/>
      <c r="AL387" s="8"/>
      <c r="AM387" s="8"/>
      <c r="AN387" s="8"/>
      <c r="AO387" s="1"/>
    </row>
    <row r="388" spans="1:41" x14ac:dyDescent="0.35">
      <c r="A388" s="6"/>
      <c r="B388" s="81"/>
      <c r="C388" s="83"/>
      <c r="D388" s="8"/>
      <c r="E388" s="8"/>
      <c r="F388" s="8"/>
      <c r="G388" s="8"/>
      <c r="H388" s="8"/>
      <c r="I388" s="8"/>
      <c r="J388" s="8"/>
      <c r="K388" s="8"/>
      <c r="L388" s="8"/>
      <c r="M388" s="8"/>
      <c r="N388" s="8"/>
      <c r="O388" s="8"/>
      <c r="P388" s="8"/>
      <c r="Q388" s="8"/>
      <c r="R388" s="8"/>
      <c r="S388" s="8"/>
      <c r="T388" s="8"/>
      <c r="U388" s="8"/>
      <c r="V388" s="8"/>
      <c r="W388" s="8"/>
      <c r="X388" s="8"/>
      <c r="Y388" s="8"/>
      <c r="Z388" s="8"/>
      <c r="AA388" s="8"/>
      <c r="AB388" s="8"/>
      <c r="AC388" s="8"/>
      <c r="AD388" s="8"/>
      <c r="AE388" s="8"/>
      <c r="AF388" s="8"/>
      <c r="AG388" s="8"/>
      <c r="AH388" s="8"/>
      <c r="AI388" s="8"/>
      <c r="AJ388" s="8"/>
      <c r="AK388" s="8"/>
      <c r="AL388" s="8"/>
      <c r="AM388" s="8"/>
      <c r="AN388" s="8"/>
      <c r="AO388" s="1"/>
    </row>
    <row r="389" spans="1:41" x14ac:dyDescent="0.35">
      <c r="A389" s="6"/>
      <c r="B389" s="81"/>
      <c r="C389" s="83"/>
      <c r="D389" s="8"/>
      <c r="E389" s="8"/>
      <c r="F389" s="8"/>
      <c r="G389" s="8"/>
      <c r="H389" s="8"/>
      <c r="I389" s="8"/>
      <c r="J389" s="8"/>
      <c r="K389" s="8"/>
      <c r="L389" s="8"/>
      <c r="M389" s="8"/>
      <c r="N389" s="8"/>
      <c r="O389" s="8"/>
      <c r="P389" s="8"/>
      <c r="Q389" s="8"/>
      <c r="R389" s="8"/>
      <c r="S389" s="8"/>
      <c r="T389" s="8"/>
      <c r="U389" s="8"/>
      <c r="V389" s="8"/>
      <c r="W389" s="8"/>
      <c r="X389" s="8"/>
      <c r="Y389" s="8"/>
      <c r="Z389" s="8"/>
      <c r="AA389" s="8"/>
      <c r="AB389" s="8"/>
      <c r="AC389" s="8"/>
      <c r="AD389" s="8"/>
      <c r="AE389" s="8"/>
      <c r="AF389" s="8"/>
      <c r="AG389" s="8"/>
      <c r="AH389" s="8"/>
      <c r="AI389" s="8"/>
      <c r="AJ389" s="8"/>
      <c r="AK389" s="8"/>
      <c r="AL389" s="8"/>
      <c r="AM389" s="8"/>
      <c r="AN389" s="8"/>
      <c r="AO389" s="1"/>
    </row>
    <row r="390" spans="1:41" x14ac:dyDescent="0.35">
      <c r="A390" s="6"/>
      <c r="B390" s="81"/>
      <c r="C390" s="83"/>
      <c r="D390" s="8"/>
      <c r="E390" s="8"/>
      <c r="F390" s="8"/>
      <c r="G390" s="8"/>
      <c r="H390" s="8"/>
      <c r="I390" s="8"/>
      <c r="J390" s="8"/>
      <c r="K390" s="8"/>
      <c r="L390" s="8"/>
      <c r="M390" s="8"/>
      <c r="N390" s="8"/>
      <c r="O390" s="8"/>
      <c r="P390" s="8"/>
      <c r="Q390" s="8"/>
      <c r="R390" s="8"/>
      <c r="S390" s="8"/>
      <c r="T390" s="8"/>
      <c r="U390" s="8"/>
      <c r="V390" s="8"/>
      <c r="W390" s="8"/>
      <c r="X390" s="8"/>
      <c r="Y390" s="8"/>
      <c r="Z390" s="8"/>
      <c r="AA390" s="8"/>
      <c r="AB390" s="8"/>
      <c r="AC390" s="8"/>
      <c r="AD390" s="8"/>
      <c r="AE390" s="8"/>
      <c r="AF390" s="8"/>
      <c r="AG390" s="8"/>
      <c r="AH390" s="8"/>
      <c r="AI390" s="8"/>
      <c r="AJ390" s="8"/>
      <c r="AK390" s="8"/>
      <c r="AL390" s="8"/>
      <c r="AM390" s="8"/>
      <c r="AN390" s="8"/>
      <c r="AO390" s="1"/>
    </row>
    <row r="391" spans="1:41" x14ac:dyDescent="0.35">
      <c r="A391" s="6"/>
      <c r="B391" s="81"/>
      <c r="C391" s="83"/>
      <c r="D391" s="8"/>
      <c r="E391" s="8"/>
      <c r="F391" s="8"/>
      <c r="G391" s="8"/>
      <c r="H391" s="8"/>
      <c r="I391" s="8"/>
      <c r="J391" s="8"/>
      <c r="K391" s="8"/>
      <c r="L391" s="8"/>
      <c r="M391" s="8"/>
      <c r="N391" s="8"/>
      <c r="O391" s="8"/>
      <c r="P391" s="8"/>
      <c r="Q391" s="8"/>
      <c r="R391" s="8"/>
      <c r="S391" s="8"/>
      <c r="T391" s="8"/>
      <c r="U391" s="8"/>
      <c r="V391" s="8"/>
      <c r="W391" s="8"/>
      <c r="X391" s="8"/>
      <c r="Y391" s="8"/>
      <c r="Z391" s="8"/>
      <c r="AA391" s="8"/>
      <c r="AB391" s="8"/>
      <c r="AC391" s="8"/>
      <c r="AD391" s="8"/>
      <c r="AE391" s="8"/>
      <c r="AF391" s="8"/>
      <c r="AG391" s="8"/>
      <c r="AH391" s="8"/>
      <c r="AI391" s="8"/>
      <c r="AJ391" s="8"/>
      <c r="AK391" s="8"/>
      <c r="AL391" s="8"/>
      <c r="AM391" s="8"/>
      <c r="AN391" s="8"/>
      <c r="AO391" s="1"/>
    </row>
    <row r="392" spans="1:41" x14ac:dyDescent="0.35">
      <c r="A392" s="6"/>
      <c r="B392" s="81"/>
      <c r="C392" s="83"/>
      <c r="D392" s="8"/>
      <c r="E392" s="8"/>
      <c r="F392" s="8"/>
      <c r="G392" s="8"/>
      <c r="H392" s="8"/>
      <c r="I392" s="8"/>
      <c r="J392" s="8"/>
      <c r="K392" s="8"/>
      <c r="L392" s="8"/>
      <c r="M392" s="8"/>
      <c r="N392" s="8"/>
      <c r="O392" s="8"/>
      <c r="P392" s="8"/>
      <c r="Q392" s="8"/>
      <c r="R392" s="8"/>
      <c r="S392" s="8"/>
      <c r="T392" s="8"/>
      <c r="U392" s="8"/>
      <c r="V392" s="8"/>
      <c r="W392" s="8"/>
      <c r="X392" s="8"/>
      <c r="Y392" s="8"/>
      <c r="Z392" s="8"/>
      <c r="AA392" s="8"/>
      <c r="AB392" s="8"/>
      <c r="AC392" s="8"/>
      <c r="AD392" s="8"/>
      <c r="AE392" s="8"/>
      <c r="AF392" s="8"/>
      <c r="AG392" s="8"/>
      <c r="AH392" s="8"/>
      <c r="AI392" s="8"/>
      <c r="AJ392" s="8"/>
      <c r="AK392" s="8"/>
      <c r="AL392" s="8"/>
      <c r="AM392" s="8"/>
      <c r="AN392" s="8"/>
      <c r="AO392" s="1"/>
    </row>
    <row r="393" spans="1:41" x14ac:dyDescent="0.35">
      <c r="A393" s="6"/>
      <c r="B393" s="81"/>
      <c r="C393" s="83"/>
      <c r="D393" s="8"/>
      <c r="E393" s="8"/>
      <c r="F393" s="8"/>
      <c r="G393" s="8"/>
      <c r="H393" s="8"/>
      <c r="I393" s="8"/>
      <c r="J393" s="8"/>
      <c r="K393" s="8"/>
      <c r="L393" s="8"/>
      <c r="M393" s="8"/>
      <c r="N393" s="8"/>
      <c r="O393" s="8"/>
      <c r="P393" s="8"/>
      <c r="Q393" s="8"/>
      <c r="R393" s="8"/>
      <c r="S393" s="8"/>
      <c r="T393" s="8"/>
      <c r="U393" s="8"/>
      <c r="V393" s="8"/>
      <c r="W393" s="8"/>
      <c r="X393" s="8"/>
      <c r="Y393" s="8"/>
      <c r="Z393" s="8"/>
      <c r="AA393" s="8"/>
      <c r="AB393" s="8"/>
      <c r="AC393" s="8"/>
      <c r="AD393" s="8"/>
      <c r="AE393" s="8"/>
      <c r="AF393" s="8"/>
      <c r="AG393" s="8"/>
      <c r="AH393" s="8"/>
      <c r="AI393" s="8"/>
      <c r="AJ393" s="8"/>
      <c r="AK393" s="8"/>
      <c r="AL393" s="8"/>
      <c r="AM393" s="8"/>
      <c r="AN393" s="8"/>
      <c r="AO393" s="1"/>
    </row>
    <row r="394" spans="1:41" x14ac:dyDescent="0.35">
      <c r="A394" s="6"/>
      <c r="B394" s="81"/>
      <c r="C394" s="83"/>
      <c r="D394" s="8"/>
      <c r="E394" s="8"/>
      <c r="F394" s="8"/>
      <c r="G394" s="8"/>
      <c r="H394" s="8"/>
      <c r="I394" s="8"/>
      <c r="J394" s="8"/>
      <c r="K394" s="8"/>
      <c r="L394" s="8"/>
      <c r="M394" s="8"/>
      <c r="N394" s="8"/>
      <c r="O394" s="8"/>
      <c r="P394" s="8"/>
      <c r="Q394" s="8"/>
      <c r="R394" s="8"/>
      <c r="S394" s="8"/>
      <c r="T394" s="8"/>
      <c r="U394" s="8"/>
      <c r="V394" s="8"/>
      <c r="W394" s="8"/>
      <c r="X394" s="8"/>
      <c r="Y394" s="8"/>
      <c r="Z394" s="8"/>
      <c r="AA394" s="8"/>
      <c r="AB394" s="8"/>
      <c r="AC394" s="8"/>
      <c r="AD394" s="8"/>
      <c r="AE394" s="8"/>
      <c r="AF394" s="8"/>
      <c r="AG394" s="8"/>
      <c r="AH394" s="8"/>
      <c r="AI394" s="8"/>
      <c r="AJ394" s="8"/>
      <c r="AK394" s="8"/>
      <c r="AL394" s="8"/>
      <c r="AM394" s="8"/>
      <c r="AN394" s="8"/>
      <c r="AO394" s="1"/>
    </row>
    <row r="395" spans="1:41" x14ac:dyDescent="0.35">
      <c r="A395" s="6"/>
      <c r="B395" s="81"/>
      <c r="C395" s="83"/>
      <c r="D395" s="8"/>
      <c r="E395" s="8"/>
      <c r="F395" s="8"/>
      <c r="G395" s="8"/>
      <c r="H395" s="8"/>
      <c r="I395" s="8"/>
      <c r="J395" s="8"/>
      <c r="K395" s="8"/>
      <c r="L395" s="8"/>
      <c r="M395" s="8"/>
      <c r="N395" s="8"/>
      <c r="O395" s="8"/>
      <c r="P395" s="8"/>
      <c r="Q395" s="8"/>
      <c r="R395" s="8"/>
      <c r="S395" s="8"/>
      <c r="T395" s="8"/>
      <c r="U395" s="8"/>
      <c r="V395" s="8"/>
      <c r="W395" s="8"/>
      <c r="X395" s="8"/>
      <c r="Y395" s="8"/>
      <c r="Z395" s="8"/>
      <c r="AA395" s="8"/>
      <c r="AB395" s="8"/>
      <c r="AC395" s="8"/>
      <c r="AD395" s="8"/>
      <c r="AE395" s="8"/>
      <c r="AF395" s="8"/>
      <c r="AG395" s="8"/>
      <c r="AH395" s="8"/>
      <c r="AI395" s="8"/>
      <c r="AJ395" s="8"/>
      <c r="AK395" s="8"/>
      <c r="AL395" s="8"/>
      <c r="AM395" s="8"/>
      <c r="AN395" s="8"/>
      <c r="AO395" s="1"/>
    </row>
    <row r="396" spans="1:41" x14ac:dyDescent="0.35">
      <c r="A396" s="6"/>
      <c r="B396" s="81"/>
      <c r="C396" s="83"/>
      <c r="D396" s="8"/>
      <c r="E396" s="8"/>
      <c r="F396" s="8"/>
      <c r="G396" s="8"/>
      <c r="H396" s="8"/>
      <c r="I396" s="8"/>
      <c r="J396" s="8"/>
      <c r="K396" s="8"/>
      <c r="L396" s="8"/>
      <c r="M396" s="8"/>
      <c r="N396" s="8"/>
      <c r="O396" s="8"/>
      <c r="P396" s="8"/>
      <c r="Q396" s="8"/>
      <c r="R396" s="8"/>
      <c r="S396" s="8"/>
      <c r="T396" s="8"/>
      <c r="U396" s="8"/>
      <c r="V396" s="8"/>
      <c r="W396" s="8"/>
      <c r="X396" s="8"/>
      <c r="Y396" s="8"/>
      <c r="Z396" s="8"/>
      <c r="AA396" s="8"/>
      <c r="AB396" s="8"/>
      <c r="AC396" s="8"/>
      <c r="AD396" s="8"/>
      <c r="AE396" s="8"/>
      <c r="AF396" s="8"/>
      <c r="AG396" s="8"/>
      <c r="AH396" s="8"/>
      <c r="AI396" s="8"/>
      <c r="AJ396" s="8"/>
      <c r="AK396" s="8"/>
      <c r="AL396" s="8"/>
      <c r="AM396" s="8"/>
      <c r="AN396" s="8"/>
      <c r="AO396" s="1"/>
    </row>
    <row r="397" spans="1:41" x14ac:dyDescent="0.35">
      <c r="A397" s="6"/>
      <c r="B397" s="81"/>
      <c r="C397" s="83"/>
      <c r="D397" s="8"/>
      <c r="E397" s="8"/>
      <c r="F397" s="8"/>
      <c r="G397" s="8"/>
      <c r="H397" s="8"/>
      <c r="I397" s="8"/>
      <c r="J397" s="8"/>
      <c r="K397" s="8"/>
      <c r="L397" s="8"/>
      <c r="M397" s="8"/>
      <c r="N397" s="8"/>
      <c r="O397" s="8"/>
      <c r="P397" s="8"/>
      <c r="Q397" s="8"/>
      <c r="R397" s="8"/>
      <c r="S397" s="8"/>
      <c r="T397" s="8"/>
      <c r="U397" s="8"/>
      <c r="V397" s="8"/>
      <c r="W397" s="8"/>
      <c r="X397" s="8"/>
      <c r="Y397" s="8"/>
      <c r="Z397" s="8"/>
      <c r="AA397" s="8"/>
      <c r="AB397" s="8"/>
      <c r="AC397" s="8"/>
      <c r="AD397" s="8"/>
      <c r="AE397" s="8"/>
      <c r="AF397" s="8"/>
      <c r="AG397" s="8"/>
      <c r="AH397" s="8"/>
      <c r="AI397" s="8"/>
      <c r="AJ397" s="8"/>
      <c r="AK397" s="8"/>
      <c r="AL397" s="8"/>
      <c r="AM397" s="8"/>
      <c r="AN397" s="8"/>
      <c r="AO397" s="1"/>
    </row>
    <row r="398" spans="1:41" x14ac:dyDescent="0.35">
      <c r="A398" s="6"/>
      <c r="B398" s="81"/>
      <c r="C398" s="83"/>
      <c r="D398" s="8"/>
      <c r="E398" s="8"/>
      <c r="F398" s="8"/>
      <c r="G398" s="8"/>
      <c r="H398" s="8"/>
      <c r="I398" s="8"/>
      <c r="J398" s="8"/>
      <c r="K398" s="8"/>
      <c r="L398" s="8"/>
      <c r="M398" s="8"/>
      <c r="N398" s="8"/>
      <c r="O398" s="8"/>
      <c r="P398" s="8"/>
      <c r="Q398" s="8"/>
      <c r="R398" s="8"/>
      <c r="S398" s="8"/>
      <c r="T398" s="8"/>
      <c r="U398" s="8"/>
      <c r="V398" s="8"/>
      <c r="W398" s="8"/>
      <c r="X398" s="8"/>
      <c r="Y398" s="8"/>
      <c r="Z398" s="8"/>
      <c r="AA398" s="8"/>
      <c r="AB398" s="8"/>
      <c r="AC398" s="8"/>
      <c r="AD398" s="8"/>
      <c r="AE398" s="8"/>
      <c r="AF398" s="8"/>
      <c r="AG398" s="8"/>
      <c r="AH398" s="8"/>
      <c r="AI398" s="8"/>
      <c r="AJ398" s="8"/>
      <c r="AK398" s="8"/>
      <c r="AL398" s="8"/>
      <c r="AM398" s="8"/>
      <c r="AN398" s="8"/>
      <c r="AO398" s="1"/>
    </row>
    <row r="399" spans="1:41" x14ac:dyDescent="0.35">
      <c r="A399" s="6"/>
      <c r="B399" s="81"/>
      <c r="C399" s="83"/>
      <c r="D399" s="8"/>
      <c r="E399" s="8"/>
      <c r="F399" s="8"/>
      <c r="G399" s="8"/>
      <c r="H399" s="8"/>
      <c r="I399" s="8"/>
      <c r="J399" s="8"/>
      <c r="K399" s="8"/>
      <c r="L399" s="8"/>
      <c r="M399" s="8"/>
      <c r="N399" s="8"/>
      <c r="O399" s="8"/>
      <c r="P399" s="8"/>
      <c r="Q399" s="8"/>
      <c r="R399" s="8"/>
      <c r="S399" s="8"/>
      <c r="T399" s="8"/>
      <c r="U399" s="8"/>
      <c r="V399" s="8"/>
      <c r="W399" s="8"/>
      <c r="X399" s="8"/>
      <c r="Y399" s="8"/>
      <c r="Z399" s="8"/>
      <c r="AA399" s="8"/>
      <c r="AB399" s="8"/>
      <c r="AC399" s="8"/>
      <c r="AD399" s="8"/>
      <c r="AE399" s="8"/>
      <c r="AF399" s="8"/>
      <c r="AG399" s="8"/>
      <c r="AH399" s="8"/>
      <c r="AI399" s="8"/>
      <c r="AJ399" s="8"/>
      <c r="AK399" s="8"/>
      <c r="AL399" s="8"/>
      <c r="AM399" s="8"/>
      <c r="AN399" s="8"/>
      <c r="AO399" s="1"/>
    </row>
    <row r="400" spans="1:41" x14ac:dyDescent="0.35">
      <c r="A400" s="6"/>
      <c r="B400" s="81"/>
      <c r="C400" s="83"/>
      <c r="D400" s="8"/>
      <c r="E400" s="8"/>
      <c r="F400" s="8"/>
      <c r="G400" s="8"/>
      <c r="H400" s="8"/>
      <c r="I400" s="8"/>
      <c r="J400" s="8"/>
      <c r="K400" s="8"/>
      <c r="L400" s="8"/>
      <c r="M400" s="8"/>
      <c r="N400" s="8"/>
      <c r="O400" s="8"/>
      <c r="P400" s="8"/>
      <c r="Q400" s="8"/>
      <c r="R400" s="8"/>
      <c r="S400" s="8"/>
      <c r="T400" s="8"/>
      <c r="U400" s="8"/>
      <c r="V400" s="8"/>
      <c r="W400" s="8"/>
      <c r="X400" s="8"/>
      <c r="Y400" s="8"/>
      <c r="Z400" s="8"/>
      <c r="AA400" s="8"/>
      <c r="AB400" s="8"/>
      <c r="AC400" s="8"/>
      <c r="AD400" s="8"/>
      <c r="AE400" s="8"/>
      <c r="AF400" s="8"/>
      <c r="AG400" s="8"/>
      <c r="AH400" s="8"/>
      <c r="AI400" s="8"/>
      <c r="AJ400" s="8"/>
      <c r="AK400" s="8"/>
      <c r="AL400" s="8"/>
      <c r="AM400" s="8"/>
      <c r="AN400" s="8"/>
      <c r="AO400" s="1"/>
    </row>
    <row r="401" spans="1:41" x14ac:dyDescent="0.35">
      <c r="A401" s="6"/>
      <c r="B401" s="81"/>
      <c r="C401" s="83"/>
      <c r="D401" s="8"/>
      <c r="E401" s="8"/>
      <c r="F401" s="8"/>
      <c r="G401" s="8"/>
      <c r="H401" s="8"/>
      <c r="I401" s="8"/>
      <c r="J401" s="8"/>
      <c r="K401" s="8"/>
      <c r="L401" s="8"/>
      <c r="M401" s="8"/>
      <c r="N401" s="8"/>
      <c r="O401" s="8"/>
      <c r="P401" s="8"/>
      <c r="Q401" s="8"/>
      <c r="R401" s="8"/>
      <c r="S401" s="8"/>
      <c r="T401" s="8"/>
      <c r="U401" s="8"/>
      <c r="V401" s="8"/>
      <c r="W401" s="8"/>
      <c r="X401" s="8"/>
      <c r="Y401" s="8"/>
      <c r="Z401" s="8"/>
      <c r="AA401" s="8"/>
      <c r="AB401" s="8"/>
      <c r="AC401" s="8"/>
      <c r="AD401" s="8"/>
      <c r="AE401" s="8"/>
      <c r="AF401" s="8"/>
      <c r="AG401" s="8"/>
      <c r="AH401" s="8"/>
      <c r="AI401" s="8"/>
      <c r="AJ401" s="8"/>
      <c r="AK401" s="8"/>
      <c r="AL401" s="8"/>
      <c r="AM401" s="8"/>
      <c r="AN401" s="8"/>
      <c r="AO401" s="1"/>
    </row>
    <row r="402" spans="1:41" x14ac:dyDescent="0.35">
      <c r="A402" s="6"/>
      <c r="B402" s="81"/>
      <c r="C402" s="83"/>
      <c r="D402" s="8"/>
      <c r="E402" s="8"/>
      <c r="F402" s="8"/>
      <c r="G402" s="8"/>
      <c r="H402" s="8"/>
      <c r="I402" s="8"/>
      <c r="J402" s="8"/>
      <c r="K402" s="8"/>
      <c r="L402" s="8"/>
      <c r="M402" s="8"/>
      <c r="N402" s="8"/>
      <c r="O402" s="8"/>
      <c r="P402" s="8"/>
      <c r="Q402" s="8"/>
      <c r="R402" s="8"/>
      <c r="S402" s="8"/>
      <c r="T402" s="8"/>
      <c r="U402" s="8"/>
      <c r="V402" s="8"/>
      <c r="W402" s="8"/>
      <c r="X402" s="8"/>
      <c r="Y402" s="8"/>
      <c r="Z402" s="8"/>
      <c r="AA402" s="8"/>
      <c r="AB402" s="8"/>
      <c r="AC402" s="8"/>
      <c r="AD402" s="8"/>
      <c r="AE402" s="8"/>
      <c r="AF402" s="8"/>
      <c r="AG402" s="8"/>
      <c r="AH402" s="8"/>
      <c r="AI402" s="8"/>
      <c r="AJ402" s="8"/>
      <c r="AK402" s="8"/>
      <c r="AL402" s="8"/>
      <c r="AM402" s="8"/>
      <c r="AN402" s="8"/>
      <c r="AO402" s="1"/>
    </row>
    <row r="403" spans="1:41" x14ac:dyDescent="0.35">
      <c r="A403" s="6"/>
      <c r="B403" s="81"/>
      <c r="C403" s="83"/>
      <c r="D403" s="8"/>
      <c r="E403" s="8"/>
      <c r="F403" s="8"/>
      <c r="G403" s="8"/>
      <c r="H403" s="8"/>
      <c r="I403" s="8"/>
      <c r="J403" s="8"/>
      <c r="K403" s="8"/>
      <c r="L403" s="8"/>
      <c r="M403" s="8"/>
      <c r="N403" s="8"/>
      <c r="O403" s="8"/>
      <c r="P403" s="8"/>
      <c r="Q403" s="8"/>
      <c r="R403" s="8"/>
      <c r="S403" s="8"/>
      <c r="T403" s="8"/>
      <c r="U403" s="8"/>
      <c r="V403" s="8"/>
      <c r="W403" s="8"/>
      <c r="X403" s="8"/>
      <c r="Y403" s="8"/>
      <c r="Z403" s="8"/>
      <c r="AA403" s="8"/>
      <c r="AB403" s="8"/>
      <c r="AC403" s="8"/>
      <c r="AD403" s="8"/>
      <c r="AE403" s="8"/>
      <c r="AF403" s="8"/>
      <c r="AG403" s="8"/>
      <c r="AH403" s="8"/>
      <c r="AI403" s="8"/>
      <c r="AJ403" s="8"/>
      <c r="AK403" s="8"/>
      <c r="AL403" s="8"/>
      <c r="AM403" s="8"/>
      <c r="AN403" s="8"/>
      <c r="AO403" s="1"/>
    </row>
    <row r="404" spans="1:41" x14ac:dyDescent="0.35">
      <c r="A404" s="6"/>
      <c r="B404" s="81"/>
      <c r="C404" s="83"/>
      <c r="D404" s="8"/>
      <c r="E404" s="8"/>
      <c r="F404" s="8"/>
      <c r="G404" s="8"/>
      <c r="H404" s="8"/>
      <c r="I404" s="8"/>
      <c r="J404" s="8"/>
      <c r="K404" s="8"/>
      <c r="L404" s="8"/>
      <c r="M404" s="8"/>
      <c r="N404" s="8"/>
      <c r="O404" s="8"/>
      <c r="P404" s="8"/>
      <c r="Q404" s="8"/>
      <c r="R404" s="8"/>
      <c r="S404" s="8"/>
      <c r="T404" s="8"/>
      <c r="U404" s="8"/>
      <c r="V404" s="8"/>
      <c r="W404" s="8"/>
      <c r="X404" s="8"/>
      <c r="Y404" s="8"/>
      <c r="Z404" s="8"/>
      <c r="AA404" s="8"/>
      <c r="AB404" s="8"/>
      <c r="AC404" s="8"/>
      <c r="AD404" s="8"/>
      <c r="AE404" s="8"/>
      <c r="AF404" s="8"/>
      <c r="AG404" s="8"/>
      <c r="AH404" s="8"/>
      <c r="AI404" s="8"/>
      <c r="AJ404" s="8"/>
      <c r="AK404" s="8"/>
      <c r="AL404" s="8"/>
      <c r="AM404" s="8"/>
      <c r="AN404" s="8"/>
      <c r="AO404" s="1"/>
    </row>
    <row r="405" spans="1:41" x14ac:dyDescent="0.35">
      <c r="A405" s="6"/>
      <c r="B405" s="81"/>
      <c r="C405" s="83"/>
      <c r="D405" s="8"/>
      <c r="E405" s="8"/>
      <c r="F405" s="8"/>
      <c r="G405" s="8"/>
      <c r="H405" s="8"/>
      <c r="I405" s="8"/>
      <c r="J405" s="8"/>
      <c r="K405" s="8"/>
      <c r="L405" s="8"/>
      <c r="M405" s="8"/>
      <c r="N405" s="8"/>
      <c r="O405" s="8"/>
      <c r="P405" s="8"/>
      <c r="Q405" s="8"/>
      <c r="R405" s="8"/>
      <c r="S405" s="8"/>
      <c r="T405" s="8"/>
      <c r="U405" s="8"/>
      <c r="V405" s="8"/>
      <c r="W405" s="8"/>
      <c r="X405" s="8"/>
      <c r="Y405" s="8"/>
      <c r="Z405" s="8"/>
      <c r="AA405" s="8"/>
      <c r="AB405" s="8"/>
      <c r="AC405" s="8"/>
      <c r="AD405" s="8"/>
      <c r="AE405" s="8"/>
      <c r="AF405" s="8"/>
      <c r="AG405" s="8"/>
      <c r="AH405" s="8"/>
      <c r="AI405" s="8"/>
      <c r="AJ405" s="8"/>
      <c r="AK405" s="8"/>
      <c r="AL405" s="8"/>
      <c r="AM405" s="8"/>
      <c r="AN405" s="8"/>
      <c r="AO405" s="1"/>
    </row>
    <row r="406" spans="1:41" x14ac:dyDescent="0.35">
      <c r="A406" s="6"/>
      <c r="B406" s="81"/>
      <c r="C406" s="83"/>
      <c r="D406" s="8"/>
      <c r="E406" s="8"/>
      <c r="F406" s="8"/>
      <c r="G406" s="8"/>
      <c r="H406" s="8"/>
      <c r="I406" s="8"/>
      <c r="J406" s="8"/>
      <c r="K406" s="8"/>
      <c r="L406" s="8"/>
      <c r="M406" s="8"/>
      <c r="N406" s="8"/>
      <c r="O406" s="8"/>
      <c r="P406" s="8"/>
      <c r="Q406" s="8"/>
      <c r="R406" s="8"/>
      <c r="S406" s="8"/>
      <c r="T406" s="8"/>
      <c r="U406" s="8"/>
      <c r="V406" s="8"/>
      <c r="W406" s="8"/>
      <c r="X406" s="8"/>
      <c r="Y406" s="8"/>
      <c r="Z406" s="8"/>
      <c r="AA406" s="8"/>
      <c r="AB406" s="8"/>
      <c r="AC406" s="8"/>
      <c r="AD406" s="8"/>
      <c r="AE406" s="8"/>
      <c r="AF406" s="8"/>
      <c r="AG406" s="8"/>
      <c r="AH406" s="8"/>
      <c r="AI406" s="8"/>
      <c r="AJ406" s="8"/>
      <c r="AK406" s="8"/>
      <c r="AL406" s="8"/>
      <c r="AM406" s="8"/>
      <c r="AN406" s="8"/>
      <c r="AO406" s="1"/>
    </row>
    <row r="407" spans="1:41" x14ac:dyDescent="0.35">
      <c r="A407" s="6"/>
      <c r="B407" s="81"/>
      <c r="C407" s="83"/>
      <c r="D407" s="8"/>
      <c r="E407" s="8"/>
      <c r="F407" s="8"/>
      <c r="G407" s="8"/>
      <c r="H407" s="8"/>
      <c r="I407" s="8"/>
      <c r="J407" s="8"/>
      <c r="K407" s="8"/>
      <c r="L407" s="8"/>
      <c r="M407" s="8"/>
      <c r="N407" s="8"/>
      <c r="O407" s="8"/>
      <c r="P407" s="8"/>
      <c r="Q407" s="8"/>
      <c r="R407" s="8"/>
      <c r="S407" s="8"/>
      <c r="T407" s="8"/>
      <c r="U407" s="8"/>
      <c r="V407" s="8"/>
      <c r="W407" s="8"/>
      <c r="X407" s="8"/>
      <c r="Y407" s="8"/>
      <c r="Z407" s="8"/>
      <c r="AA407" s="8"/>
      <c r="AB407" s="8"/>
      <c r="AC407" s="8"/>
      <c r="AD407" s="8"/>
      <c r="AE407" s="8"/>
      <c r="AF407" s="8"/>
      <c r="AG407" s="8"/>
      <c r="AH407" s="8"/>
      <c r="AI407" s="8"/>
      <c r="AJ407" s="8"/>
      <c r="AK407" s="8"/>
      <c r="AL407" s="8"/>
      <c r="AM407" s="8"/>
      <c r="AN407" s="8"/>
      <c r="AO407" s="1"/>
    </row>
    <row r="408" spans="1:41" x14ac:dyDescent="0.35">
      <c r="A408" s="6"/>
      <c r="B408" s="81"/>
      <c r="C408" s="83"/>
      <c r="D408" s="8"/>
      <c r="E408" s="8"/>
      <c r="F408" s="8"/>
      <c r="G408" s="8"/>
      <c r="H408" s="8"/>
      <c r="I408" s="8"/>
      <c r="J408" s="8"/>
      <c r="K408" s="8"/>
      <c r="L408" s="8"/>
      <c r="M408" s="8"/>
      <c r="N408" s="8"/>
      <c r="O408" s="8"/>
      <c r="P408" s="8"/>
      <c r="Q408" s="8"/>
      <c r="R408" s="8"/>
      <c r="S408" s="8"/>
      <c r="T408" s="8"/>
      <c r="U408" s="8"/>
      <c r="V408" s="8"/>
      <c r="W408" s="8"/>
      <c r="X408" s="8"/>
      <c r="Y408" s="8"/>
      <c r="Z408" s="8"/>
      <c r="AA408" s="8"/>
      <c r="AB408" s="8"/>
      <c r="AC408" s="8"/>
      <c r="AD408" s="8"/>
      <c r="AE408" s="8"/>
      <c r="AF408" s="8"/>
      <c r="AG408" s="8"/>
      <c r="AH408" s="8"/>
      <c r="AI408" s="8"/>
      <c r="AJ408" s="8"/>
      <c r="AK408" s="8"/>
      <c r="AL408" s="8"/>
      <c r="AM408" s="8"/>
      <c r="AN408" s="8"/>
      <c r="AO408" s="1"/>
    </row>
    <row r="409" spans="1:41" x14ac:dyDescent="0.35">
      <c r="A409" s="6"/>
      <c r="B409" s="81"/>
      <c r="C409" s="83"/>
      <c r="D409" s="8"/>
      <c r="E409" s="8"/>
      <c r="F409" s="8"/>
      <c r="G409" s="8"/>
      <c r="H409" s="8"/>
      <c r="I409" s="8"/>
      <c r="J409" s="8"/>
      <c r="K409" s="8"/>
      <c r="L409" s="8"/>
      <c r="M409" s="8"/>
      <c r="N409" s="8"/>
      <c r="O409" s="8"/>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1"/>
    </row>
    <row r="410" spans="1:41" x14ac:dyDescent="0.35">
      <c r="A410" s="6"/>
      <c r="B410" s="81"/>
      <c r="C410" s="83"/>
      <c r="D410" s="8"/>
      <c r="E410" s="8"/>
      <c r="F410" s="8"/>
      <c r="G410" s="8"/>
      <c r="H410" s="8"/>
      <c r="I410" s="8"/>
      <c r="J410" s="8"/>
      <c r="K410" s="8"/>
      <c r="L410" s="8"/>
      <c r="M410" s="8"/>
      <c r="N410" s="8"/>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c r="AN410" s="8"/>
      <c r="AO410" s="1"/>
    </row>
    <row r="411" spans="1:41" x14ac:dyDescent="0.35">
      <c r="A411" s="6"/>
      <c r="B411" s="81"/>
      <c r="C411" s="83"/>
      <c r="D411" s="8"/>
      <c r="E411" s="8"/>
      <c r="F411" s="8"/>
      <c r="G411" s="8"/>
      <c r="H411" s="8"/>
      <c r="I411" s="8"/>
      <c r="J411" s="8"/>
      <c r="K411" s="8"/>
      <c r="L411" s="8"/>
      <c r="M411" s="8"/>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1"/>
    </row>
    <row r="412" spans="1:41" x14ac:dyDescent="0.35">
      <c r="A412" s="6"/>
      <c r="B412" s="81"/>
      <c r="C412" s="83"/>
      <c r="D412" s="8"/>
      <c r="E412" s="8"/>
      <c r="F412" s="8"/>
      <c r="G412" s="8"/>
      <c r="H412" s="8"/>
      <c r="I412" s="8"/>
      <c r="J412" s="8"/>
      <c r="K412" s="8"/>
      <c r="L412" s="8"/>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c r="AN412" s="8"/>
      <c r="AO412" s="1"/>
    </row>
    <row r="413" spans="1:41" x14ac:dyDescent="0.35">
      <c r="A413" s="6"/>
      <c r="B413" s="81"/>
      <c r="C413" s="83"/>
      <c r="D413" s="8"/>
      <c r="E413" s="8"/>
      <c r="F413" s="8"/>
      <c r="G413" s="8"/>
      <c r="H413" s="8"/>
      <c r="I413" s="8"/>
      <c r="J413" s="8"/>
      <c r="K413" s="8"/>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1"/>
    </row>
    <row r="414" spans="1:41" x14ac:dyDescent="0.35">
      <c r="A414" s="6"/>
      <c r="B414" s="81"/>
      <c r="C414" s="83"/>
      <c r="D414" s="8"/>
      <c r="E414" s="8"/>
      <c r="F414" s="8"/>
      <c r="G414" s="8"/>
      <c r="H414" s="8"/>
      <c r="I414" s="8"/>
      <c r="J414" s="8"/>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c r="AN414" s="8"/>
      <c r="AO414" s="1"/>
    </row>
    <row r="415" spans="1:41" x14ac:dyDescent="0.35">
      <c r="A415" s="6"/>
      <c r="B415" s="81"/>
      <c r="C415" s="83"/>
      <c r="D415" s="8"/>
      <c r="E415" s="8"/>
      <c r="F415" s="8"/>
      <c r="G415" s="8"/>
      <c r="H415" s="8"/>
      <c r="I415" s="8"/>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1"/>
    </row>
    <row r="416" spans="1:41" x14ac:dyDescent="0.35">
      <c r="A416" s="6"/>
      <c r="B416" s="81"/>
      <c r="C416" s="83"/>
      <c r="D416" s="8"/>
      <c r="E416" s="8"/>
      <c r="F416" s="8"/>
      <c r="G416" s="8"/>
      <c r="H416" s="8"/>
      <c r="I416" s="8"/>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c r="AN416" s="8"/>
      <c r="AO416" s="1"/>
    </row>
    <row r="417" spans="1:41" x14ac:dyDescent="0.35">
      <c r="A417" s="6"/>
      <c r="B417" s="81"/>
      <c r="C417" s="83"/>
      <c r="D417" s="8"/>
      <c r="E417" s="8"/>
      <c r="F417" s="8"/>
      <c r="G417" s="8"/>
      <c r="H417" s="8"/>
      <c r="I417" s="8"/>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1"/>
    </row>
    <row r="418" spans="1:41" x14ac:dyDescent="0.35">
      <c r="A418" s="6"/>
      <c r="B418" s="81"/>
      <c r="C418" s="83"/>
      <c r="D418" s="8"/>
      <c r="E418" s="8"/>
      <c r="F418" s="8"/>
      <c r="G418" s="8"/>
      <c r="H418" s="8"/>
      <c r="I418" s="8"/>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c r="AN418" s="8"/>
      <c r="AO418" s="1"/>
    </row>
    <row r="419" spans="1:41" x14ac:dyDescent="0.35">
      <c r="A419" s="6"/>
      <c r="B419" s="81"/>
      <c r="C419" s="83"/>
      <c r="D419" s="8"/>
      <c r="E419" s="8"/>
      <c r="F419" s="8"/>
      <c r="G419" s="8"/>
      <c r="H419" s="8"/>
      <c r="I419" s="8"/>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1"/>
    </row>
    <row r="420" spans="1:41" x14ac:dyDescent="0.35">
      <c r="A420" s="6"/>
      <c r="B420" s="81"/>
      <c r="C420" s="83"/>
      <c r="D420" s="8"/>
      <c r="E420" s="8"/>
      <c r="F420" s="8"/>
      <c r="G420" s="8"/>
      <c r="H420" s="8"/>
      <c r="I420" s="8"/>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c r="AN420" s="8"/>
      <c r="AO420" s="1"/>
    </row>
    <row r="421" spans="1:41" x14ac:dyDescent="0.35">
      <c r="A421" s="6"/>
      <c r="B421" s="81"/>
      <c r="C421" s="83"/>
      <c r="D421" s="8"/>
      <c r="E421" s="8"/>
      <c r="F421" s="8"/>
      <c r="G421" s="8"/>
      <c r="H421" s="8"/>
      <c r="I421" s="8"/>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1"/>
    </row>
    <row r="422" spans="1:41" x14ac:dyDescent="0.35">
      <c r="A422" s="6"/>
      <c r="B422" s="81"/>
      <c r="C422" s="83"/>
      <c r="D422" s="8"/>
      <c r="E422" s="8"/>
      <c r="F422" s="8"/>
      <c r="G422" s="8"/>
      <c r="H422" s="8"/>
      <c r="I422" s="8"/>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c r="AN422" s="8"/>
      <c r="AO422" s="1"/>
    </row>
    <row r="423" spans="1:41" x14ac:dyDescent="0.35">
      <c r="A423" s="6"/>
      <c r="B423" s="81"/>
      <c r="C423" s="83"/>
      <c r="D423" s="8"/>
      <c r="E423" s="8"/>
      <c r="F423" s="8"/>
      <c r="G423" s="8"/>
      <c r="H423" s="8"/>
      <c r="I423" s="8"/>
      <c r="J423" s="8"/>
      <c r="K423" s="8"/>
      <c r="L423" s="8"/>
      <c r="M423" s="8"/>
      <c r="N423" s="8"/>
      <c r="O423" s="8"/>
      <c r="P423" s="8"/>
      <c r="Q423" s="8"/>
      <c r="R423" s="8"/>
      <c r="S423" s="8"/>
      <c r="T423" s="8"/>
      <c r="U423" s="8"/>
      <c r="V423" s="8"/>
      <c r="W423" s="8"/>
      <c r="X423" s="8"/>
      <c r="Y423" s="8"/>
      <c r="Z423" s="8"/>
      <c r="AA423" s="8"/>
      <c r="AB423" s="8"/>
      <c r="AC423" s="8"/>
      <c r="AD423" s="8"/>
      <c r="AE423" s="8"/>
      <c r="AF423" s="8"/>
      <c r="AG423" s="8"/>
      <c r="AH423" s="8"/>
      <c r="AI423" s="8"/>
      <c r="AJ423" s="8"/>
      <c r="AK423" s="8"/>
      <c r="AL423" s="8"/>
      <c r="AM423" s="8"/>
      <c r="AN423" s="8"/>
      <c r="AO423" s="1"/>
    </row>
    <row r="424" spans="1:41" x14ac:dyDescent="0.35">
      <c r="A424" s="6"/>
      <c r="B424" s="81"/>
      <c r="C424" s="83"/>
      <c r="D424" s="8"/>
      <c r="E424" s="8"/>
      <c r="F424" s="8"/>
      <c r="G424" s="8"/>
      <c r="H424" s="8"/>
      <c r="I424" s="8"/>
      <c r="J424" s="8"/>
      <c r="K424" s="8"/>
      <c r="L424" s="8"/>
      <c r="M424" s="8"/>
      <c r="N424" s="8"/>
      <c r="O424" s="8"/>
      <c r="P424" s="8"/>
      <c r="Q424" s="8"/>
      <c r="R424" s="8"/>
      <c r="S424" s="8"/>
      <c r="T424" s="8"/>
      <c r="U424" s="8"/>
      <c r="V424" s="8"/>
      <c r="W424" s="8"/>
      <c r="X424" s="8"/>
      <c r="Y424" s="8"/>
      <c r="Z424" s="8"/>
      <c r="AA424" s="8"/>
      <c r="AB424" s="8"/>
      <c r="AC424" s="8"/>
      <c r="AD424" s="8"/>
      <c r="AE424" s="8"/>
      <c r="AF424" s="8"/>
      <c r="AG424" s="8"/>
      <c r="AH424" s="8"/>
      <c r="AI424" s="8"/>
      <c r="AJ424" s="8"/>
      <c r="AK424" s="8"/>
      <c r="AL424" s="8"/>
      <c r="AM424" s="8"/>
      <c r="AN424" s="8"/>
      <c r="AO424" s="1"/>
    </row>
    <row r="425" spans="1:41" x14ac:dyDescent="0.35">
      <c r="A425" s="6"/>
      <c r="B425" s="81"/>
      <c r="C425" s="83"/>
      <c r="D425" s="8"/>
      <c r="E425" s="8"/>
      <c r="F425" s="8"/>
      <c r="G425" s="8"/>
      <c r="H425" s="8"/>
      <c r="I425" s="8"/>
      <c r="J425" s="8"/>
      <c r="K425" s="8"/>
      <c r="L425" s="8"/>
      <c r="M425" s="8"/>
      <c r="N425" s="8"/>
      <c r="O425" s="8"/>
      <c r="P425" s="8"/>
      <c r="Q425" s="8"/>
      <c r="R425" s="8"/>
      <c r="S425" s="8"/>
      <c r="T425" s="8"/>
      <c r="U425" s="8"/>
      <c r="V425" s="8"/>
      <c r="W425" s="8"/>
      <c r="X425" s="8"/>
      <c r="Y425" s="8"/>
      <c r="Z425" s="8"/>
      <c r="AA425" s="8"/>
      <c r="AB425" s="8"/>
      <c r="AC425" s="8"/>
      <c r="AD425" s="8"/>
      <c r="AE425" s="8"/>
      <c r="AF425" s="8"/>
      <c r="AG425" s="8"/>
      <c r="AH425" s="8"/>
      <c r="AI425" s="8"/>
      <c r="AJ425" s="8"/>
      <c r="AK425" s="8"/>
      <c r="AL425" s="8"/>
      <c r="AM425" s="8"/>
      <c r="AN425" s="8"/>
      <c r="AO425" s="1"/>
    </row>
    <row r="426" spans="1:41" x14ac:dyDescent="0.35">
      <c r="A426" s="6"/>
      <c r="B426" s="81"/>
      <c r="C426" s="83"/>
      <c r="D426" s="8"/>
      <c r="E426" s="8"/>
      <c r="F426" s="8"/>
      <c r="G426" s="8"/>
      <c r="H426" s="8"/>
      <c r="I426" s="8"/>
      <c r="J426" s="8"/>
      <c r="K426" s="8"/>
      <c r="L426" s="8"/>
      <c r="M426" s="8"/>
      <c r="N426" s="8"/>
      <c r="O426" s="8"/>
      <c r="P426" s="8"/>
      <c r="Q426" s="8"/>
      <c r="R426" s="8"/>
      <c r="S426" s="8"/>
      <c r="T426" s="8"/>
      <c r="U426" s="8"/>
      <c r="V426" s="8"/>
      <c r="W426" s="8"/>
      <c r="X426" s="8"/>
      <c r="Y426" s="8"/>
      <c r="Z426" s="8"/>
      <c r="AA426" s="8"/>
      <c r="AB426" s="8"/>
      <c r="AC426" s="8"/>
      <c r="AD426" s="8"/>
      <c r="AE426" s="8"/>
      <c r="AF426" s="8"/>
      <c r="AG426" s="8"/>
      <c r="AH426" s="8"/>
      <c r="AI426" s="8"/>
      <c r="AJ426" s="8"/>
      <c r="AK426" s="8"/>
      <c r="AL426" s="8"/>
      <c r="AM426" s="8"/>
      <c r="AN426" s="8"/>
      <c r="AO426" s="1"/>
    </row>
    <row r="427" spans="1:41" x14ac:dyDescent="0.35">
      <c r="A427" s="6"/>
      <c r="B427" s="81"/>
      <c r="C427" s="83"/>
      <c r="D427" s="8"/>
      <c r="E427" s="8"/>
      <c r="F427" s="8"/>
      <c r="G427" s="8"/>
      <c r="H427" s="8"/>
      <c r="I427" s="8"/>
      <c r="J427" s="8"/>
      <c r="K427" s="8"/>
      <c r="L427" s="8"/>
      <c r="M427" s="8"/>
      <c r="N427" s="8"/>
      <c r="O427" s="8"/>
      <c r="P427" s="8"/>
      <c r="Q427" s="8"/>
      <c r="R427" s="8"/>
      <c r="S427" s="8"/>
      <c r="T427" s="8"/>
      <c r="U427" s="8"/>
      <c r="V427" s="8"/>
      <c r="W427" s="8"/>
      <c r="X427" s="8"/>
      <c r="Y427" s="8"/>
      <c r="Z427" s="8"/>
      <c r="AA427" s="8"/>
      <c r="AB427" s="8"/>
      <c r="AC427" s="8"/>
      <c r="AD427" s="8"/>
      <c r="AE427" s="8"/>
      <c r="AF427" s="8"/>
      <c r="AG427" s="8"/>
      <c r="AH427" s="8"/>
      <c r="AI427" s="8"/>
      <c r="AJ427" s="8"/>
      <c r="AK427" s="8"/>
      <c r="AL427" s="8"/>
      <c r="AM427" s="8"/>
      <c r="AN427" s="8"/>
      <c r="AO427" s="1"/>
    </row>
    <row r="428" spans="1:41" x14ac:dyDescent="0.35">
      <c r="A428" s="6"/>
      <c r="B428" s="81"/>
      <c r="C428" s="83"/>
      <c r="D428" s="8"/>
      <c r="E428" s="8"/>
      <c r="F428" s="8"/>
      <c r="G428" s="8"/>
      <c r="H428" s="8"/>
      <c r="I428" s="8"/>
      <c r="J428" s="8"/>
      <c r="K428" s="8"/>
      <c r="L428" s="8"/>
      <c r="M428" s="8"/>
      <c r="N428" s="8"/>
      <c r="O428" s="8"/>
      <c r="P428" s="8"/>
      <c r="Q428" s="8"/>
      <c r="R428" s="8"/>
      <c r="S428" s="8"/>
      <c r="T428" s="8"/>
      <c r="U428" s="8"/>
      <c r="V428" s="8"/>
      <c r="W428" s="8"/>
      <c r="X428" s="8"/>
      <c r="Y428" s="8"/>
      <c r="Z428" s="8"/>
      <c r="AA428" s="8"/>
      <c r="AB428" s="8"/>
      <c r="AC428" s="8"/>
      <c r="AD428" s="8"/>
      <c r="AE428" s="8"/>
      <c r="AF428" s="8"/>
      <c r="AG428" s="8"/>
      <c r="AH428" s="8"/>
      <c r="AI428" s="8"/>
      <c r="AJ428" s="8"/>
      <c r="AK428" s="8"/>
      <c r="AL428" s="8"/>
      <c r="AM428" s="8"/>
      <c r="AN428" s="8"/>
      <c r="AO428" s="1"/>
    </row>
    <row r="429" spans="1:41" x14ac:dyDescent="0.35">
      <c r="A429" s="6"/>
      <c r="B429" s="81"/>
      <c r="C429" s="83"/>
      <c r="D429" s="8"/>
      <c r="E429" s="8"/>
      <c r="F429" s="8"/>
      <c r="G429" s="8"/>
      <c r="H429" s="8"/>
      <c r="I429" s="8"/>
      <c r="J429" s="8"/>
      <c r="K429" s="8"/>
      <c r="L429" s="8"/>
      <c r="M429" s="8"/>
      <c r="N429" s="8"/>
      <c r="O429" s="8"/>
      <c r="P429" s="8"/>
      <c r="Q429" s="8"/>
      <c r="R429" s="8"/>
      <c r="S429" s="8"/>
      <c r="T429" s="8"/>
      <c r="U429" s="8"/>
      <c r="V429" s="8"/>
      <c r="W429" s="8"/>
      <c r="X429" s="8"/>
      <c r="Y429" s="8"/>
      <c r="Z429" s="8"/>
      <c r="AA429" s="8"/>
      <c r="AB429" s="8"/>
      <c r="AC429" s="8"/>
      <c r="AD429" s="8"/>
      <c r="AE429" s="8"/>
      <c r="AF429" s="8"/>
      <c r="AG429" s="8"/>
      <c r="AH429" s="8"/>
      <c r="AI429" s="8"/>
      <c r="AJ429" s="8"/>
      <c r="AK429" s="8"/>
      <c r="AL429" s="8"/>
      <c r="AM429" s="8"/>
      <c r="AN429" s="8"/>
      <c r="AO429" s="1"/>
    </row>
    <row r="430" spans="1:41" x14ac:dyDescent="0.35">
      <c r="A430" s="6"/>
      <c r="B430" s="81"/>
      <c r="C430" s="83"/>
      <c r="D430" s="8"/>
      <c r="E430" s="8"/>
      <c r="F430" s="8"/>
      <c r="G430" s="8"/>
      <c r="H430" s="8"/>
      <c r="I430" s="8"/>
      <c r="J430" s="8"/>
      <c r="K430" s="8"/>
      <c r="L430" s="8"/>
      <c r="M430" s="8"/>
      <c r="N430" s="8"/>
      <c r="O430" s="8"/>
      <c r="P430" s="8"/>
      <c r="Q430" s="8"/>
      <c r="R430" s="8"/>
      <c r="S430" s="8"/>
      <c r="T430" s="8"/>
      <c r="U430" s="8"/>
      <c r="V430" s="8"/>
      <c r="W430" s="8"/>
      <c r="X430" s="8"/>
      <c r="Y430" s="8"/>
      <c r="Z430" s="8"/>
      <c r="AA430" s="8"/>
      <c r="AB430" s="8"/>
      <c r="AC430" s="8"/>
      <c r="AD430" s="8"/>
      <c r="AE430" s="8"/>
      <c r="AF430" s="8"/>
      <c r="AG430" s="8"/>
      <c r="AH430" s="8"/>
      <c r="AI430" s="8"/>
      <c r="AJ430" s="8"/>
      <c r="AK430" s="8"/>
      <c r="AL430" s="8"/>
      <c r="AM430" s="8"/>
      <c r="AN430" s="8"/>
      <c r="AO430" s="1"/>
    </row>
    <row r="431" spans="1:41" x14ac:dyDescent="0.35">
      <c r="A431" s="6"/>
      <c r="B431" s="81"/>
      <c r="C431" s="83"/>
      <c r="D431" s="8"/>
      <c r="E431" s="8"/>
      <c r="F431" s="8"/>
      <c r="G431" s="8"/>
      <c r="H431" s="8"/>
      <c r="I431" s="8"/>
      <c r="J431" s="8"/>
      <c r="K431" s="8"/>
      <c r="L431" s="8"/>
      <c r="M431" s="8"/>
      <c r="N431" s="8"/>
      <c r="O431" s="8"/>
      <c r="P431" s="8"/>
      <c r="Q431" s="8"/>
      <c r="R431" s="8"/>
      <c r="S431" s="8"/>
      <c r="T431" s="8"/>
      <c r="U431" s="8"/>
      <c r="V431" s="8"/>
      <c r="W431" s="8"/>
      <c r="X431" s="8"/>
      <c r="Y431" s="8"/>
      <c r="Z431" s="8"/>
      <c r="AA431" s="8"/>
      <c r="AB431" s="8"/>
      <c r="AC431" s="8"/>
      <c r="AD431" s="8"/>
      <c r="AE431" s="8"/>
      <c r="AF431" s="8"/>
      <c r="AG431" s="8"/>
      <c r="AH431" s="8"/>
      <c r="AI431" s="8"/>
      <c r="AJ431" s="8"/>
      <c r="AK431" s="8"/>
      <c r="AL431" s="8"/>
      <c r="AM431" s="8"/>
      <c r="AN431" s="8"/>
      <c r="AO431" s="1"/>
    </row>
    <row r="432" spans="1:41" x14ac:dyDescent="0.35">
      <c r="A432" s="6"/>
      <c r="B432" s="81"/>
      <c r="C432" s="83"/>
      <c r="D432" s="8"/>
      <c r="E432" s="8"/>
      <c r="F432" s="8"/>
      <c r="G432" s="8"/>
      <c r="H432" s="8"/>
      <c r="I432" s="8"/>
      <c r="J432" s="8"/>
      <c r="K432" s="8"/>
      <c r="L432" s="8"/>
      <c r="M432" s="8"/>
      <c r="N432" s="8"/>
      <c r="O432" s="8"/>
      <c r="P432" s="8"/>
      <c r="Q432" s="8"/>
      <c r="R432" s="8"/>
      <c r="S432" s="8"/>
      <c r="T432" s="8"/>
      <c r="U432" s="8"/>
      <c r="V432" s="8"/>
      <c r="W432" s="8"/>
      <c r="X432" s="8"/>
      <c r="Y432" s="8"/>
      <c r="Z432" s="8"/>
      <c r="AA432" s="8"/>
      <c r="AB432" s="8"/>
      <c r="AC432" s="8"/>
      <c r="AD432" s="8"/>
      <c r="AE432" s="8"/>
      <c r="AF432" s="8"/>
      <c r="AG432" s="8"/>
      <c r="AH432" s="8"/>
      <c r="AI432" s="8"/>
      <c r="AJ432" s="8"/>
      <c r="AK432" s="8"/>
      <c r="AL432" s="8"/>
      <c r="AM432" s="8"/>
      <c r="AN432" s="8"/>
      <c r="AO432" s="1"/>
    </row>
    <row r="433" spans="1:41" x14ac:dyDescent="0.35">
      <c r="A433" s="6"/>
      <c r="B433" s="81"/>
      <c r="C433" s="83"/>
      <c r="D433" s="8"/>
      <c r="E433" s="8"/>
      <c r="F433" s="8"/>
      <c r="G433" s="8"/>
      <c r="H433" s="8"/>
      <c r="I433" s="8"/>
      <c r="J433" s="8"/>
      <c r="K433" s="8"/>
      <c r="L433" s="8"/>
      <c r="M433" s="8"/>
      <c r="N433" s="8"/>
      <c r="O433" s="8"/>
      <c r="P433" s="8"/>
      <c r="Q433" s="8"/>
      <c r="R433" s="8"/>
      <c r="S433" s="8"/>
      <c r="T433" s="8"/>
      <c r="U433" s="8"/>
      <c r="V433" s="8"/>
      <c r="W433" s="8"/>
      <c r="X433" s="8"/>
      <c r="Y433" s="8"/>
      <c r="Z433" s="8"/>
      <c r="AA433" s="8"/>
      <c r="AB433" s="8"/>
      <c r="AC433" s="8"/>
      <c r="AD433" s="8"/>
      <c r="AE433" s="8"/>
      <c r="AF433" s="8"/>
      <c r="AG433" s="8"/>
      <c r="AH433" s="8"/>
      <c r="AI433" s="8"/>
      <c r="AJ433" s="8"/>
      <c r="AK433" s="8"/>
      <c r="AL433" s="8"/>
      <c r="AM433" s="8"/>
      <c r="AN433" s="8"/>
      <c r="AO433" s="1"/>
    </row>
    <row r="434" spans="1:41" x14ac:dyDescent="0.35">
      <c r="A434" s="6"/>
      <c r="B434" s="81"/>
      <c r="C434" s="83"/>
      <c r="D434" s="8"/>
      <c r="E434" s="8"/>
      <c r="F434" s="8"/>
      <c r="G434" s="8"/>
      <c r="H434" s="8"/>
      <c r="I434" s="8"/>
      <c r="J434" s="8"/>
      <c r="K434" s="8"/>
      <c r="L434" s="8"/>
      <c r="M434" s="8"/>
      <c r="N434" s="8"/>
      <c r="O434" s="8"/>
      <c r="P434" s="8"/>
      <c r="Q434" s="8"/>
      <c r="R434" s="8"/>
      <c r="S434" s="8"/>
      <c r="T434" s="8"/>
      <c r="U434" s="8"/>
      <c r="V434" s="8"/>
      <c r="W434" s="8"/>
      <c r="X434" s="8"/>
      <c r="Y434" s="8"/>
      <c r="Z434" s="8"/>
      <c r="AA434" s="8"/>
      <c r="AB434" s="8"/>
      <c r="AC434" s="8"/>
      <c r="AD434" s="8"/>
      <c r="AE434" s="8"/>
      <c r="AF434" s="8"/>
      <c r="AG434" s="8"/>
      <c r="AH434" s="8"/>
      <c r="AI434" s="8"/>
      <c r="AJ434" s="8"/>
      <c r="AK434" s="8"/>
      <c r="AL434" s="8"/>
      <c r="AM434" s="8"/>
      <c r="AN434" s="8"/>
      <c r="AO434" s="1"/>
    </row>
    <row r="435" spans="1:41" x14ac:dyDescent="0.35">
      <c r="A435" s="6"/>
      <c r="B435" s="81"/>
      <c r="C435" s="83"/>
      <c r="D435" s="8"/>
      <c r="E435" s="8"/>
      <c r="F435" s="8"/>
      <c r="G435" s="8"/>
      <c r="H435" s="8"/>
      <c r="I435" s="8"/>
      <c r="J435" s="8"/>
      <c r="K435" s="8"/>
      <c r="L435" s="8"/>
      <c r="M435" s="8"/>
      <c r="N435" s="8"/>
      <c r="O435" s="8"/>
      <c r="P435" s="8"/>
      <c r="Q435" s="8"/>
      <c r="R435" s="8"/>
      <c r="S435" s="8"/>
      <c r="T435" s="8"/>
      <c r="U435" s="8"/>
      <c r="V435" s="8"/>
      <c r="W435" s="8"/>
      <c r="X435" s="8"/>
      <c r="Y435" s="8"/>
      <c r="Z435" s="8"/>
      <c r="AA435" s="8"/>
      <c r="AB435" s="8"/>
      <c r="AC435" s="8"/>
      <c r="AD435" s="8"/>
      <c r="AE435" s="8"/>
      <c r="AF435" s="8"/>
      <c r="AG435" s="8"/>
      <c r="AH435" s="8"/>
      <c r="AI435" s="8"/>
      <c r="AJ435" s="8"/>
      <c r="AK435" s="8"/>
      <c r="AL435" s="8"/>
      <c r="AM435" s="8"/>
      <c r="AN435" s="8"/>
      <c r="AO435" s="1"/>
    </row>
    <row r="436" spans="1:41" x14ac:dyDescent="0.35">
      <c r="A436" s="6"/>
      <c r="B436" s="81"/>
      <c r="C436" s="83"/>
      <c r="D436" s="8"/>
      <c r="E436" s="8"/>
      <c r="F436" s="8"/>
      <c r="G436" s="8"/>
      <c r="H436" s="8"/>
      <c r="I436" s="8"/>
      <c r="J436" s="8"/>
      <c r="K436" s="8"/>
      <c r="L436" s="8"/>
      <c r="M436" s="8"/>
      <c r="N436" s="8"/>
      <c r="O436" s="8"/>
      <c r="P436" s="8"/>
      <c r="Q436" s="8"/>
      <c r="R436" s="8"/>
      <c r="S436" s="8"/>
      <c r="T436" s="8"/>
      <c r="U436" s="8"/>
      <c r="V436" s="8"/>
      <c r="W436" s="8"/>
      <c r="X436" s="8"/>
      <c r="Y436" s="8"/>
      <c r="Z436" s="8"/>
      <c r="AA436" s="8"/>
      <c r="AB436" s="8"/>
      <c r="AC436" s="8"/>
      <c r="AD436" s="8"/>
      <c r="AE436" s="8"/>
      <c r="AF436" s="8"/>
      <c r="AG436" s="8"/>
      <c r="AH436" s="8"/>
      <c r="AI436" s="8"/>
      <c r="AJ436" s="8"/>
      <c r="AK436" s="8"/>
      <c r="AL436" s="8"/>
      <c r="AM436" s="8"/>
      <c r="AN436" s="8"/>
      <c r="AO436" s="1"/>
    </row>
    <row r="437" spans="1:41" x14ac:dyDescent="0.35">
      <c r="A437" s="6"/>
      <c r="B437" s="81"/>
      <c r="C437" s="83"/>
      <c r="D437" s="8"/>
      <c r="E437" s="8"/>
      <c r="F437" s="8"/>
      <c r="G437" s="8"/>
      <c r="H437" s="8"/>
      <c r="I437" s="8"/>
      <c r="J437" s="8"/>
      <c r="K437" s="8"/>
      <c r="L437" s="8"/>
      <c r="M437" s="8"/>
      <c r="N437" s="8"/>
      <c r="O437" s="8"/>
      <c r="P437" s="8"/>
      <c r="Q437" s="8"/>
      <c r="R437" s="8"/>
      <c r="S437" s="8"/>
      <c r="T437" s="8"/>
      <c r="U437" s="8"/>
      <c r="V437" s="8"/>
      <c r="W437" s="8"/>
      <c r="X437" s="8"/>
      <c r="Y437" s="8"/>
      <c r="Z437" s="8"/>
      <c r="AA437" s="8"/>
      <c r="AB437" s="8"/>
      <c r="AC437" s="8"/>
      <c r="AD437" s="8"/>
      <c r="AE437" s="8"/>
      <c r="AF437" s="8"/>
      <c r="AG437" s="8"/>
      <c r="AH437" s="8"/>
      <c r="AI437" s="8"/>
      <c r="AJ437" s="8"/>
      <c r="AK437" s="8"/>
      <c r="AL437" s="8"/>
      <c r="AM437" s="8"/>
      <c r="AN437" s="8"/>
      <c r="AO437" s="1"/>
    </row>
    <row r="438" spans="1:41" x14ac:dyDescent="0.35">
      <c r="A438" s="6"/>
      <c r="B438" s="81"/>
      <c r="C438" s="83"/>
      <c r="D438" s="8"/>
      <c r="E438" s="8"/>
      <c r="F438" s="8"/>
      <c r="G438" s="8"/>
      <c r="H438" s="8"/>
      <c r="I438" s="8"/>
      <c r="J438" s="8"/>
      <c r="K438" s="8"/>
      <c r="L438" s="8"/>
      <c r="M438" s="8"/>
      <c r="N438" s="8"/>
      <c r="O438" s="8"/>
      <c r="P438" s="8"/>
      <c r="Q438" s="8"/>
      <c r="R438" s="8"/>
      <c r="S438" s="8"/>
      <c r="T438" s="8"/>
      <c r="U438" s="8"/>
      <c r="V438" s="8"/>
      <c r="W438" s="8"/>
      <c r="X438" s="8"/>
      <c r="Y438" s="8"/>
      <c r="Z438" s="8"/>
      <c r="AA438" s="8"/>
      <c r="AB438" s="8"/>
      <c r="AC438" s="8"/>
      <c r="AD438" s="8"/>
      <c r="AE438" s="8"/>
      <c r="AF438" s="8"/>
      <c r="AG438" s="8"/>
      <c r="AH438" s="8"/>
      <c r="AI438" s="8"/>
      <c r="AJ438" s="8"/>
      <c r="AK438" s="8"/>
      <c r="AL438" s="8"/>
      <c r="AM438" s="8"/>
      <c r="AN438" s="8"/>
      <c r="AO438" s="1"/>
    </row>
    <row r="439" spans="1:41" x14ac:dyDescent="0.35">
      <c r="A439" s="6"/>
      <c r="B439" s="81"/>
      <c r="C439" s="83"/>
      <c r="D439" s="8"/>
      <c r="E439" s="8"/>
      <c r="F439" s="8"/>
      <c r="G439" s="8"/>
      <c r="H439" s="8"/>
      <c r="I439" s="8"/>
      <c r="J439" s="8"/>
      <c r="K439" s="8"/>
      <c r="L439" s="8"/>
      <c r="M439" s="8"/>
      <c r="N439" s="8"/>
      <c r="O439" s="8"/>
      <c r="P439" s="8"/>
      <c r="Q439" s="8"/>
      <c r="R439" s="8"/>
      <c r="S439" s="8"/>
      <c r="T439" s="8"/>
      <c r="U439" s="8"/>
      <c r="V439" s="8"/>
      <c r="W439" s="8"/>
      <c r="X439" s="8"/>
      <c r="Y439" s="8"/>
      <c r="Z439" s="8"/>
      <c r="AA439" s="8"/>
      <c r="AB439" s="8"/>
      <c r="AC439" s="8"/>
      <c r="AD439" s="8"/>
      <c r="AE439" s="8"/>
      <c r="AF439" s="8"/>
      <c r="AG439" s="8"/>
      <c r="AH439" s="8"/>
      <c r="AI439" s="8"/>
      <c r="AJ439" s="8"/>
      <c r="AK439" s="8"/>
      <c r="AL439" s="8"/>
      <c r="AM439" s="8"/>
      <c r="AN439" s="8"/>
      <c r="AO439" s="1"/>
    </row>
    <row r="440" spans="1:41" x14ac:dyDescent="0.35">
      <c r="A440" s="6"/>
      <c r="B440" s="81"/>
      <c r="C440" s="83"/>
      <c r="D440" s="8"/>
      <c r="E440" s="8"/>
      <c r="F440" s="8"/>
      <c r="G440" s="8"/>
      <c r="H440" s="8"/>
      <c r="I440" s="8"/>
      <c r="J440" s="8"/>
      <c r="K440" s="8"/>
      <c r="L440" s="8"/>
      <c r="M440" s="8"/>
      <c r="N440" s="8"/>
      <c r="O440" s="8"/>
      <c r="P440" s="8"/>
      <c r="Q440" s="8"/>
      <c r="R440" s="8"/>
      <c r="S440" s="8"/>
      <c r="T440" s="8"/>
      <c r="U440" s="8"/>
      <c r="V440" s="8"/>
      <c r="W440" s="8"/>
      <c r="X440" s="8"/>
      <c r="Y440" s="8"/>
      <c r="Z440" s="8"/>
      <c r="AA440" s="8"/>
      <c r="AB440" s="8"/>
      <c r="AC440" s="8"/>
      <c r="AD440" s="8"/>
      <c r="AE440" s="8"/>
      <c r="AF440" s="8"/>
      <c r="AG440" s="8"/>
      <c r="AH440" s="8"/>
      <c r="AI440" s="8"/>
      <c r="AJ440" s="8"/>
      <c r="AK440" s="8"/>
      <c r="AL440" s="8"/>
      <c r="AM440" s="8"/>
      <c r="AN440" s="8"/>
      <c r="AO440" s="1"/>
    </row>
    <row r="441" spans="1:41" x14ac:dyDescent="0.35">
      <c r="A441" s="6"/>
      <c r="B441" s="81"/>
      <c r="C441" s="83"/>
      <c r="D441" s="8"/>
      <c r="E441" s="8"/>
      <c r="F441" s="8"/>
      <c r="G441" s="8"/>
      <c r="H441" s="8"/>
      <c r="I441" s="8"/>
      <c r="J441" s="8"/>
      <c r="K441" s="8"/>
      <c r="L441" s="8"/>
      <c r="M441" s="8"/>
      <c r="N441" s="8"/>
      <c r="O441" s="8"/>
      <c r="P441" s="8"/>
      <c r="Q441" s="8"/>
      <c r="R441" s="8"/>
      <c r="S441" s="8"/>
      <c r="T441" s="8"/>
      <c r="U441" s="8"/>
      <c r="V441" s="8"/>
      <c r="W441" s="8"/>
      <c r="X441" s="8"/>
      <c r="Y441" s="8"/>
      <c r="Z441" s="8"/>
      <c r="AA441" s="8"/>
      <c r="AB441" s="8"/>
      <c r="AC441" s="8"/>
      <c r="AD441" s="8"/>
      <c r="AE441" s="8"/>
      <c r="AF441" s="8"/>
      <c r="AG441" s="8"/>
      <c r="AH441" s="8"/>
      <c r="AI441" s="8"/>
      <c r="AJ441" s="8"/>
      <c r="AK441" s="8"/>
      <c r="AL441" s="8"/>
      <c r="AM441" s="8"/>
      <c r="AN441" s="8"/>
      <c r="AO441" s="1"/>
    </row>
    <row r="442" spans="1:41" x14ac:dyDescent="0.35">
      <c r="A442" s="6"/>
      <c r="B442" s="81"/>
      <c r="C442" s="83"/>
      <c r="D442" s="8"/>
      <c r="E442" s="8"/>
      <c r="F442" s="8"/>
      <c r="G442" s="8"/>
      <c r="H442" s="8"/>
      <c r="I442" s="8"/>
      <c r="J442" s="8"/>
      <c r="K442" s="8"/>
      <c r="L442" s="8"/>
      <c r="M442" s="8"/>
      <c r="N442" s="8"/>
      <c r="O442" s="8"/>
      <c r="P442" s="8"/>
      <c r="Q442" s="8"/>
      <c r="R442" s="8"/>
      <c r="S442" s="8"/>
      <c r="T442" s="8"/>
      <c r="U442" s="8"/>
      <c r="V442" s="8"/>
      <c r="W442" s="8"/>
      <c r="X442" s="8"/>
      <c r="Y442" s="8"/>
      <c r="Z442" s="8"/>
      <c r="AA442" s="8"/>
      <c r="AB442" s="8"/>
      <c r="AC442" s="8"/>
      <c r="AD442" s="8"/>
      <c r="AE442" s="8"/>
      <c r="AF442" s="8"/>
      <c r="AG442" s="8"/>
      <c r="AH442" s="8"/>
      <c r="AI442" s="8"/>
      <c r="AJ442" s="8"/>
      <c r="AK442" s="8"/>
      <c r="AL442" s="8"/>
      <c r="AM442" s="8"/>
      <c r="AN442" s="8"/>
      <c r="AO442" s="1"/>
    </row>
    <row r="443" spans="1:41" x14ac:dyDescent="0.35">
      <c r="A443" s="6"/>
      <c r="B443" s="81"/>
      <c r="C443" s="83"/>
      <c r="D443" s="8"/>
      <c r="E443" s="8"/>
      <c r="F443" s="8"/>
      <c r="G443" s="8"/>
      <c r="H443" s="8"/>
      <c r="I443" s="8"/>
      <c r="J443" s="8"/>
      <c r="K443" s="8"/>
      <c r="L443" s="8"/>
      <c r="M443" s="8"/>
      <c r="N443" s="8"/>
      <c r="O443" s="8"/>
      <c r="P443" s="8"/>
      <c r="Q443" s="8"/>
      <c r="R443" s="8"/>
      <c r="S443" s="8"/>
      <c r="T443" s="8"/>
      <c r="U443" s="8"/>
      <c r="V443" s="8"/>
      <c r="W443" s="8"/>
      <c r="X443" s="8"/>
      <c r="Y443" s="8"/>
      <c r="Z443" s="8"/>
      <c r="AA443" s="8"/>
      <c r="AB443" s="8"/>
      <c r="AC443" s="8"/>
      <c r="AD443" s="8"/>
      <c r="AE443" s="8"/>
      <c r="AF443" s="8"/>
      <c r="AG443" s="8"/>
      <c r="AH443" s="8"/>
      <c r="AI443" s="8"/>
      <c r="AJ443" s="8"/>
      <c r="AK443" s="8"/>
      <c r="AL443" s="8"/>
      <c r="AM443" s="8"/>
      <c r="AN443" s="8"/>
      <c r="AO443" s="1"/>
    </row>
    <row r="444" spans="1:41" x14ac:dyDescent="0.35">
      <c r="A444" s="6"/>
      <c r="B444" s="81"/>
      <c r="C444" s="83"/>
      <c r="D444" s="8"/>
      <c r="E444" s="8"/>
      <c r="F444" s="8"/>
      <c r="G444" s="8"/>
      <c r="H444" s="8"/>
      <c r="I444" s="8"/>
      <c r="J444" s="8"/>
      <c r="K444" s="8"/>
      <c r="L444" s="8"/>
      <c r="M444" s="8"/>
      <c r="N444" s="8"/>
      <c r="O444" s="8"/>
      <c r="P444" s="8"/>
      <c r="Q444" s="8"/>
      <c r="R444" s="8"/>
      <c r="S444" s="8"/>
      <c r="T444" s="8"/>
      <c r="U444" s="8"/>
      <c r="V444" s="8"/>
      <c r="W444" s="8"/>
      <c r="X444" s="8"/>
      <c r="Y444" s="8"/>
      <c r="Z444" s="8"/>
      <c r="AA444" s="8"/>
      <c r="AB444" s="8"/>
      <c r="AC444" s="8"/>
      <c r="AD444" s="8"/>
      <c r="AE444" s="8"/>
      <c r="AF444" s="8"/>
      <c r="AG444" s="8"/>
      <c r="AH444" s="8"/>
      <c r="AI444" s="8"/>
      <c r="AJ444" s="8"/>
      <c r="AK444" s="8"/>
      <c r="AL444" s="8"/>
      <c r="AM444" s="8"/>
      <c r="AN444" s="8"/>
      <c r="AO444" s="1"/>
    </row>
    <row r="445" spans="1:41" x14ac:dyDescent="0.35">
      <c r="A445" s="6"/>
      <c r="B445" s="81"/>
      <c r="C445" s="83"/>
      <c r="D445" s="8"/>
      <c r="E445" s="8"/>
      <c r="F445" s="8"/>
      <c r="G445" s="8"/>
      <c r="H445" s="8"/>
      <c r="I445" s="8"/>
      <c r="J445" s="8"/>
      <c r="K445" s="8"/>
      <c r="L445" s="8"/>
      <c r="M445" s="8"/>
      <c r="N445" s="8"/>
      <c r="O445" s="8"/>
      <c r="P445" s="8"/>
      <c r="Q445" s="8"/>
      <c r="R445" s="8"/>
      <c r="S445" s="8"/>
      <c r="T445" s="8"/>
      <c r="U445" s="8"/>
      <c r="V445" s="8"/>
      <c r="W445" s="8"/>
      <c r="X445" s="8"/>
      <c r="Y445" s="8"/>
      <c r="Z445" s="8"/>
      <c r="AA445" s="8"/>
      <c r="AB445" s="8"/>
      <c r="AC445" s="8"/>
      <c r="AD445" s="8"/>
      <c r="AE445" s="8"/>
      <c r="AF445" s="8"/>
      <c r="AG445" s="8"/>
      <c r="AH445" s="8"/>
      <c r="AI445" s="8"/>
      <c r="AJ445" s="8"/>
      <c r="AK445" s="8"/>
      <c r="AL445" s="8"/>
      <c r="AM445" s="8"/>
      <c r="AN445" s="8"/>
      <c r="AO445" s="1"/>
    </row>
    <row r="446" spans="1:41" x14ac:dyDescent="0.35">
      <c r="A446" s="6"/>
      <c r="B446" s="81"/>
      <c r="C446" s="83"/>
      <c r="D446" s="8"/>
      <c r="E446" s="8"/>
      <c r="F446" s="8"/>
      <c r="G446" s="8"/>
      <c r="H446" s="8"/>
      <c r="I446" s="8"/>
      <c r="J446" s="8"/>
      <c r="K446" s="8"/>
      <c r="L446" s="8"/>
      <c r="M446" s="8"/>
      <c r="N446" s="8"/>
      <c r="O446" s="8"/>
      <c r="P446" s="8"/>
      <c r="Q446" s="8"/>
      <c r="R446" s="8"/>
      <c r="S446" s="8"/>
      <c r="T446" s="8"/>
      <c r="U446" s="8"/>
      <c r="V446" s="8"/>
      <c r="W446" s="8"/>
      <c r="X446" s="8"/>
      <c r="Y446" s="8"/>
      <c r="Z446" s="8"/>
      <c r="AA446" s="8"/>
      <c r="AB446" s="8"/>
      <c r="AC446" s="8"/>
      <c r="AD446" s="8"/>
      <c r="AE446" s="8"/>
      <c r="AF446" s="8"/>
      <c r="AG446" s="8"/>
      <c r="AH446" s="8"/>
      <c r="AI446" s="8"/>
      <c r="AJ446" s="8"/>
      <c r="AK446" s="8"/>
      <c r="AL446" s="8"/>
      <c r="AM446" s="8"/>
      <c r="AN446" s="8"/>
      <c r="AO446" s="1"/>
    </row>
    <row r="447" spans="1:41" x14ac:dyDescent="0.35">
      <c r="A447" s="6"/>
      <c r="B447" s="81"/>
      <c r="C447" s="83"/>
      <c r="D447" s="8"/>
      <c r="E447" s="8"/>
      <c r="F447" s="8"/>
      <c r="G447" s="8"/>
      <c r="H447" s="8"/>
      <c r="I447" s="8"/>
      <c r="J447" s="8"/>
      <c r="K447" s="8"/>
      <c r="L447" s="8"/>
      <c r="M447" s="8"/>
      <c r="N447" s="8"/>
      <c r="O447" s="8"/>
      <c r="P447" s="8"/>
      <c r="Q447" s="8"/>
      <c r="R447" s="8"/>
      <c r="S447" s="8"/>
      <c r="T447" s="8"/>
      <c r="U447" s="8"/>
      <c r="V447" s="8"/>
      <c r="W447" s="8"/>
      <c r="X447" s="8"/>
      <c r="Y447" s="8"/>
      <c r="Z447" s="8"/>
      <c r="AA447" s="8"/>
      <c r="AB447" s="8"/>
      <c r="AC447" s="8"/>
      <c r="AD447" s="8"/>
      <c r="AE447" s="8"/>
      <c r="AF447" s="8"/>
      <c r="AG447" s="8"/>
      <c r="AH447" s="8"/>
      <c r="AI447" s="8"/>
      <c r="AJ447" s="8"/>
      <c r="AK447" s="8"/>
      <c r="AL447" s="8"/>
      <c r="AM447" s="8"/>
      <c r="AN447" s="8"/>
      <c r="AO447" s="1"/>
    </row>
    <row r="448" spans="1:41" x14ac:dyDescent="0.35">
      <c r="A448" s="6"/>
      <c r="B448" s="81"/>
      <c r="C448" s="83"/>
      <c r="D448" s="8"/>
      <c r="E448" s="8"/>
      <c r="F448" s="8"/>
      <c r="G448" s="8"/>
      <c r="H448" s="8"/>
      <c r="I448" s="8"/>
      <c r="J448" s="8"/>
      <c r="K448" s="8"/>
      <c r="L448" s="8"/>
      <c r="M448" s="8"/>
      <c r="N448" s="8"/>
      <c r="O448" s="8"/>
      <c r="P448" s="8"/>
      <c r="Q448" s="8"/>
      <c r="R448" s="8"/>
      <c r="S448" s="8"/>
      <c r="T448" s="8"/>
      <c r="U448" s="8"/>
      <c r="V448" s="8"/>
      <c r="W448" s="8"/>
      <c r="X448" s="8"/>
      <c r="Y448" s="8"/>
      <c r="Z448" s="8"/>
      <c r="AA448" s="8"/>
      <c r="AB448" s="8"/>
      <c r="AC448" s="8"/>
      <c r="AD448" s="8"/>
      <c r="AE448" s="8"/>
      <c r="AF448" s="8"/>
      <c r="AG448" s="8"/>
      <c r="AH448" s="8"/>
      <c r="AI448" s="8"/>
      <c r="AJ448" s="8"/>
      <c r="AK448" s="8"/>
      <c r="AL448" s="8"/>
      <c r="AM448" s="8"/>
      <c r="AN448" s="8"/>
      <c r="AO448" s="1"/>
    </row>
    <row r="449" spans="1:41" x14ac:dyDescent="0.35">
      <c r="A449" s="6"/>
      <c r="B449" s="81"/>
      <c r="C449" s="83"/>
      <c r="D449" s="8"/>
      <c r="E449" s="8"/>
      <c r="F449" s="8"/>
      <c r="G449" s="8"/>
      <c r="H449" s="8"/>
      <c r="I449" s="8"/>
      <c r="J449" s="8"/>
      <c r="K449" s="8"/>
      <c r="L449" s="8"/>
      <c r="M449" s="8"/>
      <c r="N449" s="8"/>
      <c r="O449" s="8"/>
      <c r="P449" s="8"/>
      <c r="Q449" s="8"/>
      <c r="R449" s="8"/>
      <c r="S449" s="8"/>
      <c r="T449" s="8"/>
      <c r="U449" s="8"/>
      <c r="V449" s="8"/>
      <c r="W449" s="8"/>
      <c r="X449" s="8"/>
      <c r="Y449" s="8"/>
      <c r="Z449" s="8"/>
      <c r="AA449" s="8"/>
      <c r="AB449" s="8"/>
      <c r="AC449" s="8"/>
      <c r="AD449" s="8"/>
      <c r="AE449" s="8"/>
      <c r="AF449" s="8"/>
      <c r="AG449" s="8"/>
      <c r="AH449" s="8"/>
      <c r="AI449" s="8"/>
      <c r="AJ449" s="8"/>
      <c r="AK449" s="8"/>
      <c r="AL449" s="8"/>
      <c r="AM449" s="8"/>
      <c r="AN449" s="8"/>
      <c r="AO449" s="1"/>
    </row>
    <row r="450" spans="1:41" x14ac:dyDescent="0.35">
      <c r="A450" s="6"/>
      <c r="B450" s="81"/>
      <c r="C450" s="83"/>
      <c r="D450" s="8"/>
      <c r="E450" s="8"/>
      <c r="F450" s="8"/>
      <c r="G450" s="8"/>
      <c r="H450" s="8"/>
      <c r="I450" s="8"/>
      <c r="J450" s="8"/>
      <c r="K450" s="8"/>
      <c r="L450" s="8"/>
      <c r="M450" s="8"/>
      <c r="N450" s="8"/>
      <c r="O450" s="8"/>
      <c r="P450" s="8"/>
      <c r="Q450" s="8"/>
      <c r="R450" s="8"/>
      <c r="S450" s="8"/>
      <c r="T450" s="8"/>
      <c r="U450" s="8"/>
      <c r="V450" s="8"/>
      <c r="W450" s="8"/>
      <c r="X450" s="8"/>
      <c r="Y450" s="8"/>
      <c r="Z450" s="8"/>
      <c r="AA450" s="8"/>
      <c r="AB450" s="8"/>
      <c r="AC450" s="8"/>
      <c r="AD450" s="8"/>
      <c r="AE450" s="8"/>
      <c r="AF450" s="8"/>
      <c r="AG450" s="8"/>
      <c r="AH450" s="8"/>
      <c r="AI450" s="8"/>
      <c r="AJ450" s="8"/>
      <c r="AK450" s="8"/>
      <c r="AL450" s="8"/>
      <c r="AM450" s="8"/>
      <c r="AN450" s="8"/>
      <c r="AO450" s="1"/>
    </row>
    <row r="451" spans="1:41" x14ac:dyDescent="0.35">
      <c r="A451" s="6"/>
      <c r="B451" s="81"/>
      <c r="C451" s="83"/>
      <c r="D451" s="8"/>
      <c r="E451" s="8"/>
      <c r="F451" s="8"/>
      <c r="G451" s="8"/>
      <c r="H451" s="8"/>
      <c r="I451" s="8"/>
      <c r="J451" s="8"/>
      <c r="K451" s="8"/>
      <c r="L451" s="8"/>
      <c r="M451" s="8"/>
      <c r="N451" s="8"/>
      <c r="O451" s="8"/>
      <c r="P451" s="8"/>
      <c r="Q451" s="8"/>
      <c r="R451" s="8"/>
      <c r="S451" s="8"/>
      <c r="T451" s="8"/>
      <c r="U451" s="8"/>
      <c r="V451" s="8"/>
      <c r="W451" s="8"/>
      <c r="X451" s="8"/>
      <c r="Y451" s="8"/>
      <c r="Z451" s="8"/>
      <c r="AA451" s="8"/>
      <c r="AB451" s="8"/>
      <c r="AC451" s="8"/>
      <c r="AD451" s="8"/>
      <c r="AE451" s="8"/>
      <c r="AF451" s="8"/>
      <c r="AG451" s="8"/>
      <c r="AH451" s="8"/>
      <c r="AI451" s="8"/>
      <c r="AJ451" s="8"/>
      <c r="AK451" s="8"/>
      <c r="AL451" s="8"/>
      <c r="AM451" s="8"/>
      <c r="AN451" s="8"/>
      <c r="AO451" s="1"/>
    </row>
    <row r="452" spans="1:41" x14ac:dyDescent="0.35">
      <c r="A452" s="6"/>
      <c r="B452" s="81"/>
      <c r="C452" s="83"/>
      <c r="D452" s="8"/>
      <c r="E452" s="8"/>
      <c r="F452" s="8"/>
      <c r="G452" s="8"/>
      <c r="H452" s="8"/>
      <c r="I452" s="8"/>
      <c r="J452" s="8"/>
      <c r="K452" s="8"/>
      <c r="L452" s="8"/>
      <c r="M452" s="8"/>
      <c r="N452" s="8"/>
      <c r="O452" s="8"/>
      <c r="P452" s="8"/>
      <c r="Q452" s="8"/>
      <c r="R452" s="8"/>
      <c r="S452" s="8"/>
      <c r="T452" s="8"/>
      <c r="U452" s="8"/>
      <c r="V452" s="8"/>
      <c r="W452" s="8"/>
      <c r="X452" s="8"/>
      <c r="Y452" s="8"/>
      <c r="Z452" s="8"/>
      <c r="AA452" s="8"/>
      <c r="AB452" s="8"/>
      <c r="AC452" s="8"/>
      <c r="AD452" s="8"/>
      <c r="AE452" s="8"/>
      <c r="AF452" s="8"/>
      <c r="AG452" s="8"/>
      <c r="AH452" s="8"/>
      <c r="AI452" s="8"/>
      <c r="AJ452" s="8"/>
      <c r="AK452" s="8"/>
      <c r="AL452" s="8"/>
      <c r="AM452" s="8"/>
      <c r="AN452" s="8"/>
      <c r="AO452" s="1"/>
    </row>
    <row r="453" spans="1:41" x14ac:dyDescent="0.35">
      <c r="A453" s="6"/>
      <c r="B453" s="81"/>
      <c r="C453" s="83"/>
      <c r="D453" s="8"/>
      <c r="E453" s="8"/>
      <c r="F453" s="8"/>
      <c r="G453" s="8"/>
      <c r="H453" s="8"/>
      <c r="I453" s="8"/>
      <c r="J453" s="8"/>
      <c r="K453" s="8"/>
      <c r="L453" s="8"/>
      <c r="M453" s="8"/>
      <c r="N453" s="8"/>
      <c r="O453" s="8"/>
      <c r="P453" s="8"/>
      <c r="Q453" s="8"/>
      <c r="R453" s="8"/>
      <c r="S453" s="8"/>
      <c r="T453" s="8"/>
      <c r="U453" s="8"/>
      <c r="V453" s="8"/>
      <c r="W453" s="8"/>
      <c r="X453" s="8"/>
      <c r="Y453" s="8"/>
      <c r="Z453" s="8"/>
      <c r="AA453" s="8"/>
      <c r="AB453" s="8"/>
      <c r="AC453" s="8"/>
      <c r="AD453" s="8"/>
      <c r="AE453" s="8"/>
      <c r="AF453" s="8"/>
      <c r="AG453" s="8"/>
      <c r="AH453" s="8"/>
      <c r="AI453" s="8"/>
      <c r="AJ453" s="8"/>
      <c r="AK453" s="8"/>
      <c r="AL453" s="8"/>
      <c r="AM453" s="8"/>
      <c r="AN453" s="8"/>
      <c r="AO453" s="1"/>
    </row>
    <row r="454" spans="1:41" x14ac:dyDescent="0.35">
      <c r="A454" s="6"/>
      <c r="B454" s="81"/>
      <c r="C454" s="83"/>
      <c r="D454" s="8"/>
      <c r="E454" s="8"/>
      <c r="F454" s="8"/>
      <c r="G454" s="8"/>
      <c r="H454" s="8"/>
      <c r="I454" s="8"/>
      <c r="J454" s="8"/>
      <c r="K454" s="8"/>
      <c r="L454" s="8"/>
      <c r="M454" s="8"/>
      <c r="N454" s="8"/>
      <c r="O454" s="8"/>
      <c r="P454" s="8"/>
      <c r="Q454" s="8"/>
      <c r="R454" s="8"/>
      <c r="S454" s="8"/>
      <c r="T454" s="8"/>
      <c r="U454" s="8"/>
      <c r="V454" s="8"/>
      <c r="W454" s="8"/>
      <c r="X454" s="8"/>
      <c r="Y454" s="8"/>
      <c r="Z454" s="8"/>
      <c r="AA454" s="8"/>
      <c r="AB454" s="8"/>
      <c r="AC454" s="8"/>
      <c r="AD454" s="8"/>
      <c r="AE454" s="8"/>
      <c r="AF454" s="8"/>
      <c r="AG454" s="8"/>
      <c r="AH454" s="8"/>
      <c r="AI454" s="8"/>
      <c r="AJ454" s="8"/>
      <c r="AK454" s="8"/>
      <c r="AL454" s="8"/>
      <c r="AM454" s="8"/>
      <c r="AN454" s="8"/>
      <c r="AO454" s="1"/>
    </row>
    <row r="455" spans="1:41" x14ac:dyDescent="0.35">
      <c r="A455" s="6"/>
      <c r="B455" s="81"/>
      <c r="C455" s="83"/>
      <c r="D455" s="8"/>
      <c r="E455" s="8"/>
      <c r="F455" s="8"/>
      <c r="G455" s="8"/>
      <c r="H455" s="8"/>
      <c r="I455" s="8"/>
      <c r="J455" s="8"/>
      <c r="K455" s="8"/>
      <c r="L455" s="8"/>
      <c r="M455" s="8"/>
      <c r="N455" s="8"/>
      <c r="O455" s="8"/>
      <c r="P455" s="8"/>
      <c r="Q455" s="8"/>
      <c r="R455" s="8"/>
      <c r="S455" s="8"/>
      <c r="T455" s="8"/>
      <c r="U455" s="8"/>
      <c r="V455" s="8"/>
      <c r="W455" s="8"/>
      <c r="X455" s="8"/>
      <c r="Y455" s="8"/>
      <c r="Z455" s="8"/>
      <c r="AA455" s="8"/>
      <c r="AB455" s="8"/>
      <c r="AC455" s="8"/>
      <c r="AD455" s="8"/>
      <c r="AE455" s="8"/>
      <c r="AF455" s="8"/>
      <c r="AG455" s="8"/>
      <c r="AH455" s="8"/>
      <c r="AI455" s="8"/>
      <c r="AJ455" s="8"/>
      <c r="AK455" s="8"/>
      <c r="AL455" s="8"/>
      <c r="AM455" s="8"/>
      <c r="AN455" s="8"/>
      <c r="AO455" s="1"/>
    </row>
    <row r="456" spans="1:41" x14ac:dyDescent="0.35">
      <c r="A456" s="6"/>
      <c r="B456" s="81"/>
      <c r="C456" s="83"/>
      <c r="D456" s="8"/>
      <c r="E456" s="8"/>
      <c r="F456" s="8"/>
      <c r="G456" s="8"/>
      <c r="H456" s="8"/>
      <c r="I456" s="8"/>
      <c r="J456" s="8"/>
      <c r="K456" s="8"/>
      <c r="L456" s="8"/>
      <c r="M456" s="8"/>
      <c r="N456" s="8"/>
      <c r="O456" s="8"/>
      <c r="P456" s="8"/>
      <c r="Q456" s="8"/>
      <c r="R456" s="8"/>
      <c r="S456" s="8"/>
      <c r="T456" s="8"/>
      <c r="U456" s="8"/>
      <c r="V456" s="8"/>
      <c r="W456" s="8"/>
      <c r="X456" s="8"/>
      <c r="Y456" s="8"/>
      <c r="Z456" s="8"/>
      <c r="AA456" s="8"/>
      <c r="AB456" s="8"/>
      <c r="AC456" s="8"/>
      <c r="AD456" s="8"/>
      <c r="AE456" s="8"/>
      <c r="AF456" s="8"/>
      <c r="AG456" s="8"/>
      <c r="AH456" s="8"/>
      <c r="AI456" s="8"/>
      <c r="AJ456" s="8"/>
      <c r="AK456" s="8"/>
      <c r="AL456" s="8"/>
      <c r="AM456" s="8"/>
      <c r="AN456" s="8"/>
      <c r="AO456" s="1"/>
    </row>
    <row r="457" spans="1:41" x14ac:dyDescent="0.35">
      <c r="A457" s="6"/>
      <c r="B457" s="81"/>
      <c r="C457" s="83"/>
      <c r="D457" s="8"/>
      <c r="E457" s="8"/>
      <c r="F457" s="8"/>
      <c r="G457" s="8"/>
      <c r="H457" s="8"/>
      <c r="I457" s="8"/>
      <c r="J457" s="8"/>
      <c r="K457" s="8"/>
      <c r="L457" s="8"/>
      <c r="M457" s="8"/>
      <c r="N457" s="8"/>
      <c r="O457" s="8"/>
      <c r="P457" s="8"/>
      <c r="Q457" s="8"/>
      <c r="R457" s="8"/>
      <c r="S457" s="8"/>
      <c r="T457" s="8"/>
      <c r="U457" s="8"/>
      <c r="V457" s="8"/>
      <c r="W457" s="8"/>
      <c r="X457" s="8"/>
      <c r="Y457" s="8"/>
      <c r="Z457" s="8"/>
      <c r="AA457" s="8"/>
      <c r="AB457" s="8"/>
      <c r="AC457" s="8"/>
      <c r="AD457" s="8"/>
      <c r="AE457" s="8"/>
      <c r="AF457" s="8"/>
      <c r="AG457" s="8"/>
      <c r="AH457" s="8"/>
      <c r="AI457" s="8"/>
      <c r="AJ457" s="8"/>
      <c r="AK457" s="8"/>
      <c r="AL457" s="8"/>
      <c r="AM457" s="8"/>
      <c r="AN457" s="8"/>
      <c r="AO457" s="1"/>
    </row>
    <row r="458" spans="1:41" x14ac:dyDescent="0.35">
      <c r="A458" s="6"/>
      <c r="B458" s="81"/>
      <c r="C458" s="83"/>
      <c r="D458" s="8"/>
      <c r="E458" s="8"/>
      <c r="F458" s="8"/>
      <c r="G458" s="8"/>
      <c r="H458" s="8"/>
      <c r="I458" s="8"/>
      <c r="J458" s="8"/>
      <c r="K458" s="8"/>
      <c r="L458" s="8"/>
      <c r="M458" s="8"/>
      <c r="N458" s="8"/>
      <c r="O458" s="8"/>
      <c r="P458" s="8"/>
      <c r="Q458" s="8"/>
      <c r="R458" s="8"/>
      <c r="S458" s="8"/>
      <c r="T458" s="8"/>
      <c r="U458" s="8"/>
      <c r="V458" s="8"/>
      <c r="W458" s="8"/>
      <c r="X458" s="8"/>
      <c r="Y458" s="8"/>
      <c r="Z458" s="8"/>
      <c r="AA458" s="8"/>
      <c r="AB458" s="8"/>
      <c r="AC458" s="8"/>
      <c r="AD458" s="8"/>
      <c r="AE458" s="8"/>
      <c r="AF458" s="8"/>
      <c r="AG458" s="8"/>
      <c r="AH458" s="8"/>
      <c r="AI458" s="8"/>
      <c r="AJ458" s="8"/>
      <c r="AK458" s="8"/>
      <c r="AL458" s="8"/>
      <c r="AM458" s="8"/>
      <c r="AN458" s="8"/>
      <c r="AO458" s="1"/>
    </row>
    <row r="459" spans="1:41" x14ac:dyDescent="0.35">
      <c r="A459" s="6"/>
      <c r="B459" s="81"/>
      <c r="C459" s="83"/>
      <c r="D459" s="8"/>
      <c r="E459" s="8"/>
      <c r="F459" s="8"/>
      <c r="G459" s="8"/>
      <c r="H459" s="8"/>
      <c r="I459" s="8"/>
      <c r="J459" s="8"/>
      <c r="K459" s="8"/>
      <c r="L459" s="8"/>
      <c r="M459" s="8"/>
      <c r="N459" s="8"/>
      <c r="O459" s="8"/>
      <c r="P459" s="8"/>
      <c r="Q459" s="8"/>
      <c r="R459" s="8"/>
      <c r="S459" s="8"/>
      <c r="T459" s="8"/>
      <c r="U459" s="8"/>
      <c r="V459" s="8"/>
      <c r="W459" s="8"/>
      <c r="X459" s="8"/>
      <c r="Y459" s="8"/>
      <c r="Z459" s="8"/>
      <c r="AA459" s="8"/>
      <c r="AB459" s="8"/>
      <c r="AC459" s="8"/>
      <c r="AD459" s="8"/>
      <c r="AE459" s="8"/>
      <c r="AF459" s="8"/>
      <c r="AG459" s="8"/>
      <c r="AH459" s="8"/>
      <c r="AI459" s="8"/>
      <c r="AJ459" s="8"/>
      <c r="AK459" s="8"/>
      <c r="AL459" s="8"/>
      <c r="AM459" s="8"/>
      <c r="AN459" s="8"/>
      <c r="AO459" s="1"/>
    </row>
    <row r="460" spans="1:41" x14ac:dyDescent="0.35">
      <c r="A460" s="6"/>
      <c r="B460" s="81"/>
      <c r="C460" s="83"/>
      <c r="D460" s="8"/>
      <c r="E460" s="8"/>
      <c r="F460" s="8"/>
      <c r="G460" s="8"/>
      <c r="H460" s="8"/>
      <c r="I460" s="8"/>
      <c r="J460" s="8"/>
      <c r="K460" s="8"/>
      <c r="L460" s="8"/>
      <c r="M460" s="8"/>
      <c r="N460" s="8"/>
      <c r="O460" s="8"/>
      <c r="P460" s="8"/>
      <c r="Q460" s="8"/>
      <c r="R460" s="8"/>
      <c r="S460" s="8"/>
      <c r="T460" s="8"/>
      <c r="U460" s="8"/>
      <c r="V460" s="8"/>
      <c r="W460" s="8"/>
      <c r="X460" s="8"/>
      <c r="Y460" s="8"/>
      <c r="Z460" s="8"/>
      <c r="AA460" s="8"/>
      <c r="AB460" s="8"/>
      <c r="AC460" s="8"/>
      <c r="AD460" s="8"/>
      <c r="AE460" s="8"/>
      <c r="AF460" s="8"/>
      <c r="AG460" s="8"/>
      <c r="AH460" s="8"/>
      <c r="AI460" s="8"/>
      <c r="AJ460" s="8"/>
      <c r="AK460" s="8"/>
      <c r="AL460" s="8"/>
      <c r="AM460" s="8"/>
      <c r="AN460" s="8"/>
      <c r="AO460" s="1"/>
    </row>
    <row r="461" spans="1:41" x14ac:dyDescent="0.35">
      <c r="A461" s="6"/>
      <c r="B461" s="81"/>
      <c r="C461" s="83"/>
      <c r="D461" s="8"/>
      <c r="E461" s="8"/>
      <c r="F461" s="8"/>
      <c r="G461" s="8"/>
      <c r="H461" s="8"/>
      <c r="I461" s="8"/>
      <c r="J461" s="8"/>
      <c r="K461" s="8"/>
      <c r="L461" s="8"/>
      <c r="M461" s="8"/>
      <c r="N461" s="8"/>
      <c r="O461" s="8"/>
      <c r="P461" s="8"/>
      <c r="Q461" s="8"/>
      <c r="R461" s="8"/>
      <c r="S461" s="8"/>
      <c r="T461" s="8"/>
      <c r="U461" s="8"/>
      <c r="V461" s="8"/>
      <c r="W461" s="8"/>
      <c r="X461" s="8"/>
      <c r="Y461" s="8"/>
      <c r="Z461" s="8"/>
      <c r="AA461" s="8"/>
      <c r="AB461" s="8"/>
      <c r="AC461" s="8"/>
      <c r="AD461" s="8"/>
      <c r="AE461" s="8"/>
      <c r="AF461" s="8"/>
      <c r="AG461" s="8"/>
      <c r="AH461" s="8"/>
      <c r="AI461" s="8"/>
      <c r="AJ461" s="8"/>
      <c r="AK461" s="8"/>
      <c r="AL461" s="8"/>
      <c r="AM461" s="8"/>
      <c r="AN461" s="8"/>
      <c r="AO461" s="1"/>
    </row>
    <row r="462" spans="1:41" x14ac:dyDescent="0.35">
      <c r="A462" s="6"/>
      <c r="B462" s="81"/>
      <c r="C462" s="83"/>
      <c r="D462" s="8"/>
      <c r="E462" s="8"/>
      <c r="F462" s="8"/>
      <c r="G462" s="8"/>
      <c r="H462" s="8"/>
      <c r="I462" s="8"/>
      <c r="J462" s="8"/>
      <c r="K462" s="8"/>
      <c r="L462" s="8"/>
      <c r="M462" s="8"/>
      <c r="N462" s="8"/>
      <c r="O462" s="8"/>
      <c r="P462" s="8"/>
      <c r="Q462" s="8"/>
      <c r="R462" s="8"/>
      <c r="S462" s="8"/>
      <c r="T462" s="8"/>
      <c r="U462" s="8"/>
      <c r="V462" s="8"/>
      <c r="W462" s="8"/>
      <c r="X462" s="8"/>
      <c r="Y462" s="8"/>
      <c r="Z462" s="8"/>
      <c r="AA462" s="8"/>
      <c r="AB462" s="8"/>
      <c r="AC462" s="8"/>
      <c r="AD462" s="8"/>
      <c r="AE462" s="8"/>
      <c r="AF462" s="8"/>
      <c r="AG462" s="8"/>
      <c r="AH462" s="8"/>
      <c r="AI462" s="8"/>
      <c r="AJ462" s="8"/>
      <c r="AK462" s="8"/>
      <c r="AL462" s="8"/>
      <c r="AM462" s="8"/>
      <c r="AN462" s="8"/>
      <c r="AO462" s="1"/>
    </row>
    <row r="463" spans="1:41" x14ac:dyDescent="0.35">
      <c r="A463" s="6"/>
      <c r="B463" s="81"/>
      <c r="C463" s="83"/>
      <c r="D463" s="8"/>
      <c r="E463" s="8"/>
      <c r="F463" s="8"/>
      <c r="G463" s="8"/>
      <c r="H463" s="8"/>
      <c r="I463" s="8"/>
      <c r="J463" s="8"/>
      <c r="K463" s="8"/>
      <c r="L463" s="8"/>
      <c r="M463" s="8"/>
      <c r="N463" s="8"/>
      <c r="O463" s="8"/>
      <c r="P463" s="8"/>
      <c r="Q463" s="8"/>
      <c r="R463" s="8"/>
      <c r="S463" s="8"/>
      <c r="T463" s="8"/>
      <c r="U463" s="8"/>
      <c r="V463" s="8"/>
      <c r="W463" s="8"/>
      <c r="X463" s="8"/>
      <c r="Y463" s="8"/>
      <c r="Z463" s="8"/>
      <c r="AA463" s="8"/>
      <c r="AB463" s="8"/>
      <c r="AC463" s="8"/>
      <c r="AD463" s="8"/>
      <c r="AE463" s="8"/>
      <c r="AF463" s="8"/>
      <c r="AG463" s="8"/>
      <c r="AH463" s="8"/>
      <c r="AI463" s="8"/>
      <c r="AJ463" s="8"/>
      <c r="AK463" s="8"/>
      <c r="AL463" s="8"/>
      <c r="AM463" s="8"/>
      <c r="AN463" s="8"/>
      <c r="AO463" s="1"/>
    </row>
    <row r="464" spans="1:41" x14ac:dyDescent="0.35">
      <c r="A464" s="6"/>
      <c r="B464" s="81"/>
      <c r="C464" s="83"/>
      <c r="D464" s="8"/>
      <c r="E464" s="8"/>
      <c r="F464" s="8"/>
      <c r="G464" s="8"/>
      <c r="H464" s="8"/>
      <c r="I464" s="8"/>
      <c r="J464" s="8"/>
      <c r="K464" s="8"/>
      <c r="L464" s="8"/>
      <c r="M464" s="8"/>
      <c r="N464" s="8"/>
      <c r="O464" s="8"/>
      <c r="P464" s="8"/>
      <c r="Q464" s="8"/>
      <c r="R464" s="8"/>
      <c r="S464" s="8"/>
      <c r="T464" s="8"/>
      <c r="U464" s="8"/>
      <c r="V464" s="8"/>
      <c r="W464" s="8"/>
      <c r="X464" s="8"/>
      <c r="Y464" s="8"/>
      <c r="Z464" s="8"/>
      <c r="AA464" s="8"/>
      <c r="AB464" s="8"/>
      <c r="AC464" s="8"/>
      <c r="AD464" s="8"/>
      <c r="AE464" s="8"/>
      <c r="AF464" s="8"/>
      <c r="AG464" s="8"/>
      <c r="AH464" s="8"/>
      <c r="AI464" s="8"/>
      <c r="AJ464" s="8"/>
      <c r="AK464" s="8"/>
      <c r="AL464" s="8"/>
      <c r="AM464" s="8"/>
      <c r="AN464" s="8"/>
      <c r="AO464" s="1"/>
    </row>
    <row r="465" spans="1:41" x14ac:dyDescent="0.35">
      <c r="A465" s="6"/>
      <c r="B465" s="81"/>
      <c r="C465" s="83"/>
      <c r="D465" s="8"/>
      <c r="E465" s="8"/>
      <c r="F465" s="8"/>
      <c r="G465" s="8"/>
      <c r="H465" s="8"/>
      <c r="I465" s="8"/>
      <c r="J465" s="8"/>
      <c r="K465" s="8"/>
      <c r="L465" s="8"/>
      <c r="M465" s="8"/>
      <c r="N465" s="8"/>
      <c r="O465" s="8"/>
      <c r="P465" s="8"/>
      <c r="Q465" s="8"/>
      <c r="R465" s="8"/>
      <c r="S465" s="8"/>
      <c r="T465" s="8"/>
      <c r="U465" s="8"/>
      <c r="V465" s="8"/>
      <c r="W465" s="8"/>
      <c r="X465" s="8"/>
      <c r="Y465" s="8"/>
      <c r="Z465" s="8"/>
      <c r="AA465" s="8"/>
      <c r="AB465" s="8"/>
      <c r="AC465" s="8"/>
      <c r="AD465" s="8"/>
      <c r="AE465" s="8"/>
      <c r="AF465" s="8"/>
      <c r="AG465" s="8"/>
      <c r="AH465" s="8"/>
      <c r="AI465" s="8"/>
      <c r="AJ465" s="8"/>
      <c r="AK465" s="8"/>
      <c r="AL465" s="8"/>
      <c r="AM465" s="8"/>
      <c r="AN465" s="8"/>
      <c r="AO465" s="1"/>
    </row>
    <row r="466" spans="1:41" x14ac:dyDescent="0.35">
      <c r="A466" s="6"/>
      <c r="B466" s="81"/>
      <c r="C466" s="83"/>
      <c r="D466" s="8"/>
      <c r="E466" s="8"/>
      <c r="F466" s="8"/>
      <c r="G466" s="8"/>
      <c r="H466" s="8"/>
      <c r="I466" s="8"/>
      <c r="J466" s="8"/>
      <c r="K466" s="8"/>
      <c r="L466" s="8"/>
      <c r="M466" s="8"/>
      <c r="N466" s="8"/>
      <c r="O466" s="8"/>
      <c r="P466" s="8"/>
      <c r="Q466" s="8"/>
      <c r="R466" s="8"/>
      <c r="S466" s="8"/>
      <c r="T466" s="8"/>
      <c r="U466" s="8"/>
      <c r="V466" s="8"/>
      <c r="W466" s="8"/>
      <c r="X466" s="8"/>
      <c r="Y466" s="8"/>
      <c r="Z466" s="8"/>
      <c r="AA466" s="8"/>
      <c r="AB466" s="8"/>
      <c r="AC466" s="8"/>
      <c r="AD466" s="8"/>
      <c r="AE466" s="8"/>
      <c r="AF466" s="8"/>
      <c r="AG466" s="8"/>
      <c r="AH466" s="8"/>
      <c r="AI466" s="8"/>
      <c r="AJ466" s="8"/>
      <c r="AK466" s="8"/>
      <c r="AL466" s="8"/>
      <c r="AM466" s="8"/>
      <c r="AN466" s="8"/>
      <c r="AO466" s="1"/>
    </row>
    <row r="467" spans="1:41" x14ac:dyDescent="0.35">
      <c r="A467" s="6"/>
      <c r="B467" s="81"/>
      <c r="C467" s="83"/>
      <c r="D467" s="8"/>
      <c r="E467" s="8"/>
      <c r="F467" s="8"/>
      <c r="G467" s="8"/>
      <c r="H467" s="8"/>
      <c r="I467" s="8"/>
      <c r="J467" s="8"/>
      <c r="K467" s="8"/>
      <c r="L467" s="8"/>
      <c r="M467" s="8"/>
      <c r="N467" s="8"/>
      <c r="O467" s="8"/>
      <c r="P467" s="8"/>
      <c r="Q467" s="8"/>
      <c r="R467" s="8"/>
      <c r="S467" s="8"/>
      <c r="T467" s="8"/>
      <c r="U467" s="8"/>
      <c r="V467" s="8"/>
      <c r="W467" s="8"/>
      <c r="X467" s="8"/>
      <c r="Y467" s="8"/>
      <c r="Z467" s="8"/>
      <c r="AA467" s="8"/>
      <c r="AB467" s="8"/>
      <c r="AC467" s="8"/>
      <c r="AD467" s="8"/>
      <c r="AE467" s="8"/>
      <c r="AF467" s="8"/>
      <c r="AG467" s="8"/>
      <c r="AH467" s="8"/>
      <c r="AI467" s="8"/>
      <c r="AJ467" s="8"/>
      <c r="AK467" s="8"/>
      <c r="AL467" s="8"/>
      <c r="AM467" s="8"/>
      <c r="AN467" s="8"/>
      <c r="AO467" s="1"/>
    </row>
    <row r="468" spans="1:41" x14ac:dyDescent="0.35">
      <c r="A468" s="6"/>
      <c r="B468" s="81"/>
      <c r="C468" s="83"/>
      <c r="D468" s="8"/>
      <c r="E468" s="8"/>
      <c r="F468" s="8"/>
      <c r="G468" s="8"/>
      <c r="H468" s="8"/>
      <c r="I468" s="8"/>
      <c r="J468" s="8"/>
      <c r="K468" s="8"/>
      <c r="L468" s="8"/>
      <c r="M468" s="8"/>
      <c r="N468" s="8"/>
      <c r="O468" s="8"/>
      <c r="P468" s="8"/>
      <c r="Q468" s="8"/>
      <c r="R468" s="8"/>
      <c r="S468" s="8"/>
      <c r="T468" s="8"/>
      <c r="U468" s="8"/>
      <c r="V468" s="8"/>
      <c r="W468" s="8"/>
      <c r="X468" s="8"/>
      <c r="Y468" s="8"/>
      <c r="Z468" s="8"/>
      <c r="AA468" s="8"/>
      <c r="AB468" s="8"/>
      <c r="AC468" s="8"/>
      <c r="AD468" s="8"/>
      <c r="AE468" s="8"/>
      <c r="AF468" s="8"/>
      <c r="AG468" s="8"/>
      <c r="AH468" s="8"/>
      <c r="AI468" s="8"/>
      <c r="AJ468" s="8"/>
      <c r="AK468" s="8"/>
      <c r="AL468" s="8"/>
      <c r="AM468" s="8"/>
      <c r="AN468" s="8"/>
      <c r="AO468" s="1"/>
    </row>
    <row r="469" spans="1:41" x14ac:dyDescent="0.35">
      <c r="A469" s="6"/>
      <c r="B469" s="81"/>
      <c r="C469" s="83"/>
      <c r="D469" s="8"/>
      <c r="E469" s="8"/>
      <c r="F469" s="8"/>
      <c r="G469" s="8"/>
      <c r="H469" s="8"/>
      <c r="I469" s="8"/>
      <c r="J469" s="8"/>
      <c r="K469" s="8"/>
      <c r="L469" s="8"/>
      <c r="M469" s="8"/>
      <c r="N469" s="8"/>
      <c r="O469" s="8"/>
      <c r="P469" s="8"/>
      <c r="Q469" s="8"/>
      <c r="R469" s="8"/>
      <c r="S469" s="8"/>
      <c r="T469" s="8"/>
      <c r="U469" s="8"/>
      <c r="V469" s="8"/>
      <c r="W469" s="8"/>
      <c r="X469" s="8"/>
      <c r="Y469" s="8"/>
      <c r="Z469" s="8"/>
      <c r="AA469" s="8"/>
      <c r="AB469" s="8"/>
      <c r="AC469" s="8"/>
      <c r="AD469" s="8"/>
      <c r="AE469" s="8"/>
      <c r="AF469" s="8"/>
      <c r="AG469" s="8"/>
      <c r="AH469" s="8"/>
      <c r="AI469" s="8"/>
      <c r="AJ469" s="8"/>
      <c r="AK469" s="8"/>
      <c r="AL469" s="8"/>
      <c r="AM469" s="8"/>
      <c r="AN469" s="8"/>
      <c r="AO469" s="1"/>
    </row>
    <row r="470" spans="1:41" x14ac:dyDescent="0.35">
      <c r="A470" s="6"/>
      <c r="B470" s="81"/>
      <c r="C470" s="83"/>
      <c r="D470" s="8"/>
      <c r="E470" s="8"/>
      <c r="F470" s="8"/>
      <c r="G470" s="8"/>
      <c r="H470" s="8"/>
      <c r="I470" s="8"/>
      <c r="J470" s="8"/>
      <c r="K470" s="8"/>
      <c r="L470" s="8"/>
      <c r="M470" s="8"/>
      <c r="N470" s="8"/>
      <c r="O470" s="8"/>
      <c r="P470" s="8"/>
      <c r="Q470" s="8"/>
      <c r="R470" s="8"/>
      <c r="S470" s="8"/>
      <c r="T470" s="8"/>
      <c r="U470" s="8"/>
      <c r="V470" s="8"/>
      <c r="W470" s="8"/>
      <c r="X470" s="8"/>
      <c r="Y470" s="8"/>
      <c r="Z470" s="8"/>
      <c r="AA470" s="8"/>
      <c r="AB470" s="8"/>
      <c r="AC470" s="8"/>
      <c r="AD470" s="8"/>
      <c r="AE470" s="8"/>
      <c r="AF470" s="8"/>
      <c r="AG470" s="8"/>
      <c r="AH470" s="8"/>
      <c r="AI470" s="8"/>
      <c r="AJ470" s="8"/>
      <c r="AK470" s="8"/>
      <c r="AL470" s="8"/>
      <c r="AM470" s="8"/>
      <c r="AN470" s="8"/>
      <c r="AO470" s="1"/>
    </row>
    <row r="471" spans="1:41" x14ac:dyDescent="0.35">
      <c r="A471" s="6"/>
      <c r="B471" s="81"/>
      <c r="C471" s="83"/>
      <c r="D471" s="8"/>
      <c r="E471" s="8"/>
      <c r="F471" s="8"/>
      <c r="G471" s="8"/>
      <c r="H471" s="8"/>
      <c r="I471" s="8"/>
      <c r="J471" s="8"/>
      <c r="K471" s="8"/>
      <c r="L471" s="8"/>
      <c r="M471" s="8"/>
      <c r="N471" s="8"/>
      <c r="O471" s="8"/>
      <c r="P471" s="8"/>
      <c r="Q471" s="8"/>
      <c r="R471" s="8"/>
      <c r="S471" s="8"/>
      <c r="T471" s="8"/>
      <c r="U471" s="8"/>
      <c r="V471" s="8"/>
      <c r="W471" s="8"/>
      <c r="X471" s="8"/>
      <c r="Y471" s="8"/>
      <c r="Z471" s="8"/>
      <c r="AA471" s="8"/>
      <c r="AB471" s="8"/>
      <c r="AC471" s="8"/>
      <c r="AD471" s="8"/>
      <c r="AE471" s="8"/>
      <c r="AF471" s="8"/>
      <c r="AG471" s="8"/>
      <c r="AH471" s="8"/>
      <c r="AI471" s="8"/>
      <c r="AJ471" s="8"/>
      <c r="AK471" s="8"/>
      <c r="AL471" s="8"/>
      <c r="AM471" s="8"/>
      <c r="AN471" s="8"/>
      <c r="AO471" s="1"/>
    </row>
    <row r="472" spans="1:41" x14ac:dyDescent="0.35">
      <c r="A472" s="6"/>
      <c r="B472" s="81"/>
      <c r="C472" s="83"/>
      <c r="D472" s="8"/>
      <c r="E472" s="8"/>
      <c r="F472" s="8"/>
      <c r="G472" s="8"/>
      <c r="H472" s="8"/>
      <c r="I472" s="8"/>
      <c r="J472" s="8"/>
      <c r="K472" s="8"/>
      <c r="L472" s="8"/>
      <c r="M472" s="8"/>
      <c r="N472" s="8"/>
      <c r="O472" s="8"/>
      <c r="P472" s="8"/>
      <c r="Q472" s="8"/>
      <c r="R472" s="8"/>
      <c r="S472" s="8"/>
      <c r="T472" s="8"/>
      <c r="U472" s="8"/>
      <c r="V472" s="8"/>
      <c r="W472" s="8"/>
      <c r="X472" s="8"/>
      <c r="Y472" s="8"/>
      <c r="Z472" s="8"/>
      <c r="AA472" s="8"/>
      <c r="AB472" s="8"/>
      <c r="AC472" s="8"/>
      <c r="AD472" s="8"/>
      <c r="AE472" s="8"/>
      <c r="AF472" s="8"/>
      <c r="AG472" s="8"/>
      <c r="AH472" s="8"/>
      <c r="AI472" s="8"/>
      <c r="AJ472" s="8"/>
      <c r="AK472" s="8"/>
      <c r="AL472" s="8"/>
      <c r="AM472" s="8"/>
      <c r="AN472" s="8"/>
      <c r="AO472" s="1"/>
    </row>
    <row r="473" spans="1:41" x14ac:dyDescent="0.35">
      <c r="A473" s="6"/>
      <c r="B473" s="81"/>
      <c r="C473" s="83"/>
      <c r="D473" s="8"/>
      <c r="E473" s="8"/>
      <c r="F473" s="8"/>
      <c r="G473" s="8"/>
      <c r="H473" s="8"/>
      <c r="I473" s="8"/>
      <c r="J473" s="8"/>
      <c r="K473" s="8"/>
      <c r="L473" s="8"/>
      <c r="M473" s="8"/>
      <c r="N473" s="8"/>
      <c r="O473" s="8"/>
      <c r="P473" s="8"/>
      <c r="Q473" s="8"/>
      <c r="R473" s="8"/>
      <c r="S473" s="8"/>
      <c r="T473" s="8"/>
      <c r="U473" s="8"/>
      <c r="V473" s="8"/>
      <c r="W473" s="8"/>
      <c r="X473" s="8"/>
      <c r="Y473" s="8"/>
      <c r="Z473" s="8"/>
      <c r="AA473" s="8"/>
      <c r="AB473" s="8"/>
      <c r="AC473" s="8"/>
      <c r="AD473" s="8"/>
      <c r="AE473" s="8"/>
      <c r="AF473" s="8"/>
      <c r="AG473" s="8"/>
      <c r="AH473" s="8"/>
      <c r="AI473" s="8"/>
      <c r="AJ473" s="8"/>
      <c r="AK473" s="8"/>
      <c r="AL473" s="8"/>
      <c r="AM473" s="8"/>
      <c r="AN473" s="8"/>
      <c r="AO473" s="1"/>
    </row>
    <row r="474" spans="1:41" x14ac:dyDescent="0.35">
      <c r="A474" s="6"/>
      <c r="B474" s="81"/>
      <c r="C474" s="83"/>
      <c r="D474" s="8"/>
      <c r="E474" s="8"/>
      <c r="F474" s="8"/>
      <c r="G474" s="8"/>
      <c r="H474" s="8"/>
      <c r="I474" s="8"/>
      <c r="J474" s="8"/>
      <c r="K474" s="8"/>
      <c r="L474" s="8"/>
      <c r="M474" s="8"/>
      <c r="N474" s="8"/>
      <c r="O474" s="8"/>
      <c r="P474" s="8"/>
      <c r="Q474" s="8"/>
      <c r="R474" s="8"/>
      <c r="S474" s="8"/>
      <c r="T474" s="8"/>
      <c r="U474" s="8"/>
      <c r="V474" s="8"/>
      <c r="W474" s="8"/>
      <c r="X474" s="8"/>
      <c r="Y474" s="8"/>
      <c r="Z474" s="8"/>
      <c r="AA474" s="8"/>
      <c r="AB474" s="8"/>
      <c r="AC474" s="8"/>
      <c r="AD474" s="8"/>
      <c r="AE474" s="8"/>
      <c r="AF474" s="8"/>
      <c r="AG474" s="8"/>
      <c r="AH474" s="8"/>
      <c r="AI474" s="8"/>
      <c r="AJ474" s="8"/>
      <c r="AK474" s="8"/>
      <c r="AL474" s="8"/>
      <c r="AM474" s="8"/>
      <c r="AN474" s="8"/>
      <c r="AO474" s="1"/>
    </row>
    <row r="475" spans="1:41" x14ac:dyDescent="0.35">
      <c r="A475" s="6"/>
      <c r="B475" s="81"/>
      <c r="C475" s="83"/>
      <c r="D475" s="8"/>
      <c r="E475" s="8"/>
      <c r="F475" s="8"/>
      <c r="G475" s="8"/>
      <c r="H475" s="8"/>
      <c r="I475" s="8"/>
      <c r="J475" s="8"/>
      <c r="K475" s="8"/>
      <c r="L475" s="8"/>
      <c r="M475" s="8"/>
      <c r="N475" s="8"/>
      <c r="O475" s="8"/>
      <c r="P475" s="8"/>
      <c r="Q475" s="8"/>
      <c r="R475" s="8"/>
      <c r="S475" s="8"/>
      <c r="T475" s="8"/>
      <c r="U475" s="8"/>
      <c r="V475" s="8"/>
      <c r="W475" s="8"/>
      <c r="X475" s="8"/>
      <c r="Y475" s="8"/>
      <c r="Z475" s="8"/>
      <c r="AA475" s="8"/>
      <c r="AB475" s="8"/>
      <c r="AC475" s="8"/>
      <c r="AD475" s="8"/>
      <c r="AE475" s="8"/>
      <c r="AF475" s="8"/>
      <c r="AG475" s="8"/>
      <c r="AH475" s="8"/>
      <c r="AI475" s="8"/>
      <c r="AJ475" s="8"/>
      <c r="AK475" s="8"/>
      <c r="AL475" s="8"/>
      <c r="AM475" s="8"/>
      <c r="AN475" s="8"/>
      <c r="AO475" s="1"/>
    </row>
    <row r="476" spans="1:41" x14ac:dyDescent="0.35">
      <c r="A476" s="6"/>
      <c r="B476" s="81"/>
      <c r="C476" s="83"/>
      <c r="D476" s="8"/>
      <c r="E476" s="8"/>
      <c r="F476" s="8"/>
      <c r="G476" s="8"/>
      <c r="H476" s="8"/>
      <c r="I476" s="8"/>
      <c r="J476" s="8"/>
      <c r="K476" s="8"/>
      <c r="L476" s="8"/>
      <c r="M476" s="8"/>
      <c r="N476" s="8"/>
      <c r="O476" s="8"/>
      <c r="P476" s="8"/>
      <c r="Q476" s="8"/>
      <c r="R476" s="8"/>
      <c r="S476" s="8"/>
      <c r="T476" s="8"/>
      <c r="U476" s="8"/>
      <c r="V476" s="8"/>
      <c r="W476" s="8"/>
      <c r="X476" s="8"/>
      <c r="Y476" s="8"/>
      <c r="Z476" s="8"/>
      <c r="AA476" s="8"/>
      <c r="AB476" s="8"/>
      <c r="AC476" s="8"/>
      <c r="AD476" s="8"/>
      <c r="AE476" s="8"/>
      <c r="AF476" s="8"/>
      <c r="AG476" s="8"/>
      <c r="AH476" s="8"/>
      <c r="AI476" s="8"/>
      <c r="AJ476" s="8"/>
      <c r="AK476" s="8"/>
      <c r="AL476" s="8"/>
      <c r="AM476" s="8"/>
      <c r="AN476" s="8"/>
      <c r="AO476" s="1"/>
    </row>
    <row r="477" spans="1:41" x14ac:dyDescent="0.35">
      <c r="A477" s="6"/>
      <c r="B477" s="81"/>
      <c r="C477" s="83"/>
      <c r="D477" s="8"/>
      <c r="E477" s="8"/>
      <c r="F477" s="8"/>
      <c r="G477" s="8"/>
      <c r="H477" s="8"/>
      <c r="I477" s="8"/>
      <c r="J477" s="8"/>
      <c r="K477" s="8"/>
      <c r="L477" s="8"/>
      <c r="M477" s="8"/>
      <c r="N477" s="8"/>
      <c r="O477" s="8"/>
      <c r="P477" s="8"/>
      <c r="Q477" s="8"/>
      <c r="R477" s="8"/>
      <c r="S477" s="8"/>
      <c r="T477" s="8"/>
      <c r="U477" s="8"/>
      <c r="V477" s="8"/>
      <c r="W477" s="8"/>
      <c r="X477" s="8"/>
      <c r="Y477" s="8"/>
      <c r="Z477" s="8"/>
      <c r="AA477" s="8"/>
      <c r="AB477" s="8"/>
      <c r="AC477" s="8"/>
      <c r="AD477" s="8"/>
      <c r="AE477" s="8"/>
      <c r="AF477" s="8"/>
      <c r="AG477" s="8"/>
      <c r="AH477" s="8"/>
      <c r="AI477" s="8"/>
      <c r="AJ477" s="8"/>
      <c r="AK477" s="8"/>
      <c r="AL477" s="8"/>
      <c r="AM477" s="8"/>
      <c r="AN477" s="8"/>
      <c r="AO477" s="1"/>
    </row>
    <row r="478" spans="1:41" x14ac:dyDescent="0.35">
      <c r="A478" s="6"/>
      <c r="B478" s="81"/>
      <c r="C478" s="83"/>
      <c r="D478" s="8"/>
      <c r="E478" s="8"/>
      <c r="F478" s="8"/>
      <c r="G478" s="8"/>
      <c r="H478" s="8"/>
      <c r="I478" s="8"/>
      <c r="J478" s="8"/>
      <c r="K478" s="8"/>
      <c r="L478" s="8"/>
      <c r="M478" s="8"/>
      <c r="N478" s="8"/>
      <c r="O478" s="8"/>
      <c r="P478" s="8"/>
      <c r="Q478" s="8"/>
      <c r="R478" s="8"/>
      <c r="S478" s="8"/>
      <c r="T478" s="8"/>
      <c r="U478" s="8"/>
      <c r="V478" s="8"/>
      <c r="W478" s="8"/>
      <c r="X478" s="8"/>
      <c r="Y478" s="8"/>
      <c r="Z478" s="8"/>
      <c r="AA478" s="8"/>
      <c r="AB478" s="8"/>
      <c r="AC478" s="8"/>
      <c r="AD478" s="8"/>
      <c r="AE478" s="8"/>
      <c r="AF478" s="8"/>
      <c r="AG478" s="8"/>
      <c r="AH478" s="8"/>
      <c r="AI478" s="8"/>
      <c r="AJ478" s="8"/>
      <c r="AK478" s="8"/>
      <c r="AL478" s="8"/>
      <c r="AM478" s="8"/>
      <c r="AN478" s="8"/>
      <c r="AO478" s="1"/>
    </row>
    <row r="479" spans="1:41" x14ac:dyDescent="0.35">
      <c r="A479" s="6"/>
      <c r="B479" s="81"/>
      <c r="C479" s="83"/>
      <c r="D479" s="8"/>
      <c r="E479" s="8"/>
      <c r="F479" s="8"/>
      <c r="G479" s="8"/>
      <c r="H479" s="8"/>
      <c r="I479" s="8"/>
      <c r="J479" s="8"/>
      <c r="K479" s="8"/>
      <c r="L479" s="8"/>
      <c r="M479" s="8"/>
      <c r="N479" s="8"/>
      <c r="O479" s="8"/>
      <c r="P479" s="8"/>
      <c r="Q479" s="8"/>
      <c r="R479" s="8"/>
      <c r="S479" s="8"/>
      <c r="T479" s="8"/>
      <c r="U479" s="8"/>
      <c r="V479" s="8"/>
      <c r="W479" s="8"/>
      <c r="X479" s="8"/>
      <c r="Y479" s="8"/>
      <c r="Z479" s="8"/>
      <c r="AA479" s="8"/>
      <c r="AB479" s="8"/>
      <c r="AC479" s="8"/>
      <c r="AD479" s="8"/>
      <c r="AE479" s="8"/>
      <c r="AF479" s="8"/>
      <c r="AG479" s="8"/>
      <c r="AH479" s="8"/>
      <c r="AI479" s="8"/>
      <c r="AJ479" s="8"/>
      <c r="AK479" s="8"/>
      <c r="AL479" s="8"/>
      <c r="AM479" s="8"/>
      <c r="AN479" s="8"/>
      <c r="AO479" s="1"/>
    </row>
    <row r="480" spans="1:41" x14ac:dyDescent="0.35">
      <c r="A480" s="6"/>
      <c r="B480" s="81"/>
      <c r="C480" s="83"/>
      <c r="D480" s="8"/>
      <c r="E480" s="8"/>
      <c r="F480" s="8"/>
      <c r="G480" s="8"/>
      <c r="H480" s="8"/>
      <c r="I480" s="8"/>
      <c r="J480" s="8"/>
      <c r="K480" s="8"/>
      <c r="L480" s="8"/>
      <c r="M480" s="8"/>
      <c r="N480" s="8"/>
      <c r="O480" s="8"/>
      <c r="P480" s="8"/>
      <c r="Q480" s="8"/>
      <c r="R480" s="8"/>
      <c r="S480" s="8"/>
      <c r="T480" s="8"/>
      <c r="U480" s="8"/>
      <c r="V480" s="8"/>
      <c r="W480" s="8"/>
      <c r="X480" s="8"/>
      <c r="Y480" s="8"/>
      <c r="Z480" s="8"/>
      <c r="AA480" s="8"/>
      <c r="AB480" s="8"/>
      <c r="AC480" s="8"/>
      <c r="AD480" s="8"/>
      <c r="AE480" s="8"/>
      <c r="AF480" s="8"/>
      <c r="AG480" s="8"/>
      <c r="AH480" s="8"/>
      <c r="AI480" s="8"/>
      <c r="AJ480" s="8"/>
      <c r="AK480" s="8"/>
      <c r="AL480" s="8"/>
      <c r="AM480" s="8"/>
      <c r="AN480" s="8"/>
      <c r="AO480" s="1"/>
    </row>
    <row r="481" spans="1:41" x14ac:dyDescent="0.35">
      <c r="A481" s="6"/>
      <c r="B481" s="81"/>
      <c r="C481" s="83"/>
      <c r="D481" s="8"/>
      <c r="E481" s="8"/>
      <c r="F481" s="8"/>
      <c r="G481" s="8"/>
      <c r="H481" s="8"/>
      <c r="I481" s="8"/>
      <c r="J481" s="8"/>
      <c r="K481" s="8"/>
      <c r="L481" s="8"/>
      <c r="M481" s="8"/>
      <c r="N481" s="8"/>
      <c r="O481" s="8"/>
      <c r="P481" s="8"/>
      <c r="Q481" s="8"/>
      <c r="R481" s="8"/>
      <c r="S481" s="8"/>
      <c r="T481" s="8"/>
      <c r="U481" s="8"/>
      <c r="V481" s="8"/>
      <c r="W481" s="8"/>
      <c r="X481" s="8"/>
      <c r="Y481" s="8"/>
      <c r="Z481" s="8"/>
      <c r="AA481" s="8"/>
      <c r="AB481" s="8"/>
      <c r="AC481" s="8"/>
      <c r="AD481" s="8"/>
      <c r="AE481" s="8"/>
      <c r="AF481" s="8"/>
      <c r="AG481" s="8"/>
      <c r="AH481" s="8"/>
      <c r="AI481" s="8"/>
      <c r="AJ481" s="8"/>
      <c r="AK481" s="8"/>
      <c r="AL481" s="8"/>
      <c r="AM481" s="8"/>
      <c r="AN481" s="8"/>
      <c r="AO481" s="1"/>
    </row>
    <row r="482" spans="1:41" x14ac:dyDescent="0.35">
      <c r="A482" s="6"/>
      <c r="B482" s="81"/>
      <c r="C482" s="83"/>
      <c r="D482" s="8"/>
      <c r="E482" s="8"/>
      <c r="F482" s="8"/>
      <c r="G482" s="8"/>
      <c r="H482" s="8"/>
      <c r="I482" s="8"/>
      <c r="J482" s="8"/>
      <c r="K482" s="8"/>
      <c r="L482" s="8"/>
      <c r="M482" s="8"/>
      <c r="N482" s="8"/>
      <c r="O482" s="8"/>
      <c r="P482" s="8"/>
      <c r="Q482" s="8"/>
      <c r="R482" s="8"/>
      <c r="S482" s="8"/>
      <c r="T482" s="8"/>
      <c r="U482" s="8"/>
      <c r="V482" s="8"/>
      <c r="W482" s="8"/>
      <c r="X482" s="8"/>
      <c r="Y482" s="8"/>
      <c r="Z482" s="8"/>
      <c r="AA482" s="8"/>
      <c r="AB482" s="8"/>
      <c r="AC482" s="8"/>
      <c r="AD482" s="8"/>
      <c r="AE482" s="8"/>
      <c r="AF482" s="8"/>
      <c r="AG482" s="8"/>
      <c r="AH482" s="8"/>
      <c r="AI482" s="8"/>
      <c r="AJ482" s="8"/>
      <c r="AK482" s="8"/>
      <c r="AL482" s="8"/>
      <c r="AM482" s="8"/>
      <c r="AN482" s="8"/>
      <c r="AO482" s="1"/>
    </row>
    <row r="483" spans="1:41" x14ac:dyDescent="0.35">
      <c r="A483" s="6"/>
      <c r="B483" s="81"/>
      <c r="C483" s="83"/>
      <c r="D483" s="8"/>
      <c r="E483" s="8"/>
      <c r="F483" s="8"/>
      <c r="G483" s="8"/>
      <c r="H483" s="8"/>
      <c r="I483" s="8"/>
      <c r="J483" s="8"/>
      <c r="K483" s="8"/>
      <c r="L483" s="8"/>
      <c r="M483" s="8"/>
      <c r="N483" s="8"/>
      <c r="O483" s="8"/>
      <c r="P483" s="8"/>
      <c r="Q483" s="8"/>
      <c r="R483" s="8"/>
      <c r="S483" s="8"/>
      <c r="T483" s="8"/>
      <c r="U483" s="8"/>
      <c r="V483" s="8"/>
      <c r="W483" s="8"/>
      <c r="X483" s="8"/>
      <c r="Y483" s="8"/>
      <c r="Z483" s="8"/>
      <c r="AA483" s="8"/>
      <c r="AB483" s="8"/>
      <c r="AC483" s="8"/>
      <c r="AD483" s="8"/>
      <c r="AE483" s="8"/>
      <c r="AF483" s="8"/>
      <c r="AG483" s="8"/>
      <c r="AH483" s="8"/>
      <c r="AI483" s="8"/>
      <c r="AJ483" s="8"/>
      <c r="AK483" s="8"/>
      <c r="AL483" s="8"/>
      <c r="AM483" s="8"/>
      <c r="AN483" s="8"/>
      <c r="AO483" s="1"/>
    </row>
    <row r="484" spans="1:41" x14ac:dyDescent="0.35">
      <c r="A484" s="6"/>
      <c r="B484" s="81"/>
      <c r="C484" s="83"/>
      <c r="D484" s="8"/>
      <c r="E484" s="8"/>
      <c r="F484" s="8"/>
      <c r="G484" s="8"/>
      <c r="H484" s="8"/>
      <c r="I484" s="8"/>
      <c r="J484" s="8"/>
      <c r="K484" s="8"/>
      <c r="L484" s="8"/>
      <c r="M484" s="8"/>
      <c r="N484" s="8"/>
      <c r="O484" s="8"/>
      <c r="P484" s="8"/>
      <c r="Q484" s="8"/>
      <c r="R484" s="8"/>
      <c r="S484" s="8"/>
      <c r="T484" s="8"/>
      <c r="U484" s="8"/>
      <c r="V484" s="8"/>
      <c r="W484" s="8"/>
      <c r="X484" s="8"/>
      <c r="Y484" s="8"/>
      <c r="Z484" s="8"/>
      <c r="AA484" s="8"/>
      <c r="AB484" s="8"/>
      <c r="AC484" s="8"/>
      <c r="AD484" s="8"/>
      <c r="AE484" s="8"/>
      <c r="AF484" s="8"/>
      <c r="AG484" s="8"/>
      <c r="AH484" s="8"/>
      <c r="AI484" s="8"/>
      <c r="AJ484" s="8"/>
      <c r="AK484" s="8"/>
      <c r="AL484" s="8"/>
      <c r="AM484" s="8"/>
      <c r="AN484" s="8"/>
      <c r="AO484" s="1"/>
    </row>
    <row r="485" spans="1:41" x14ac:dyDescent="0.35">
      <c r="A485" s="6"/>
      <c r="B485" s="81"/>
      <c r="C485" s="83"/>
      <c r="D485" s="8"/>
      <c r="E485" s="8"/>
      <c r="F485" s="8"/>
      <c r="G485" s="8"/>
      <c r="H485" s="8"/>
      <c r="I485" s="8"/>
      <c r="J485" s="8"/>
      <c r="K485" s="8"/>
      <c r="L485" s="8"/>
      <c r="M485" s="8"/>
      <c r="N485" s="8"/>
      <c r="O485" s="8"/>
      <c r="P485" s="8"/>
      <c r="Q485" s="8"/>
      <c r="R485" s="8"/>
      <c r="S485" s="8"/>
      <c r="T485" s="8"/>
      <c r="U485" s="8"/>
      <c r="V485" s="8"/>
      <c r="W485" s="8"/>
      <c r="X485" s="8"/>
      <c r="Y485" s="8"/>
      <c r="Z485" s="8"/>
      <c r="AA485" s="8"/>
      <c r="AB485" s="8"/>
      <c r="AC485" s="8"/>
      <c r="AD485" s="8"/>
      <c r="AE485" s="8"/>
      <c r="AF485" s="8"/>
      <c r="AG485" s="8"/>
      <c r="AH485" s="8"/>
      <c r="AI485" s="8"/>
      <c r="AJ485" s="8"/>
      <c r="AK485" s="8"/>
      <c r="AL485" s="8"/>
      <c r="AM485" s="8"/>
      <c r="AN485" s="8"/>
      <c r="AO485" s="1"/>
    </row>
    <row r="486" spans="1:41" x14ac:dyDescent="0.35">
      <c r="A486" s="6"/>
      <c r="B486" s="81"/>
      <c r="C486" s="83"/>
      <c r="D486" s="8"/>
      <c r="E486" s="8"/>
      <c r="F486" s="8"/>
      <c r="G486" s="8"/>
      <c r="H486" s="8"/>
      <c r="I486" s="8"/>
      <c r="J486" s="8"/>
      <c r="K486" s="8"/>
      <c r="L486" s="8"/>
      <c r="M486" s="8"/>
      <c r="N486" s="8"/>
      <c r="O486" s="8"/>
      <c r="P486" s="8"/>
      <c r="Q486" s="8"/>
      <c r="R486" s="8"/>
      <c r="S486" s="8"/>
      <c r="T486" s="8"/>
      <c r="U486" s="8"/>
      <c r="V486" s="8"/>
      <c r="W486" s="8"/>
      <c r="X486" s="8"/>
      <c r="Y486" s="8"/>
      <c r="Z486" s="8"/>
      <c r="AA486" s="8"/>
      <c r="AB486" s="8"/>
      <c r="AC486" s="8"/>
      <c r="AD486" s="8"/>
      <c r="AE486" s="8"/>
      <c r="AF486" s="8"/>
      <c r="AG486" s="8"/>
      <c r="AH486" s="8"/>
      <c r="AI486" s="8"/>
      <c r="AJ486" s="8"/>
      <c r="AK486" s="8"/>
      <c r="AL486" s="8"/>
      <c r="AM486" s="8"/>
      <c r="AN486" s="8"/>
      <c r="AO486" s="1"/>
    </row>
    <row r="487" spans="1:41" x14ac:dyDescent="0.35">
      <c r="A487" s="6"/>
      <c r="B487" s="81"/>
      <c r="C487" s="83"/>
      <c r="D487" s="8"/>
      <c r="E487" s="8"/>
      <c r="F487" s="8"/>
      <c r="G487" s="8"/>
      <c r="H487" s="8"/>
      <c r="I487" s="8"/>
      <c r="J487" s="8"/>
      <c r="K487" s="8"/>
      <c r="L487" s="8"/>
      <c r="M487" s="8"/>
      <c r="N487" s="8"/>
      <c r="O487" s="8"/>
      <c r="P487" s="8"/>
      <c r="Q487" s="8"/>
      <c r="R487" s="8"/>
      <c r="S487" s="8"/>
      <c r="T487" s="8"/>
      <c r="U487" s="8"/>
      <c r="V487" s="8"/>
      <c r="W487" s="8"/>
      <c r="X487" s="8"/>
      <c r="Y487" s="8"/>
      <c r="Z487" s="8"/>
      <c r="AA487" s="8"/>
      <c r="AB487" s="8"/>
      <c r="AC487" s="8"/>
      <c r="AD487" s="8"/>
      <c r="AE487" s="8"/>
      <c r="AF487" s="8"/>
      <c r="AG487" s="8"/>
      <c r="AH487" s="8"/>
      <c r="AI487" s="8"/>
      <c r="AJ487" s="8"/>
      <c r="AK487" s="8"/>
      <c r="AL487" s="8"/>
      <c r="AM487" s="8"/>
      <c r="AN487" s="8"/>
      <c r="AO487" s="1"/>
    </row>
    <row r="488" spans="1:41" x14ac:dyDescent="0.35">
      <c r="A488" s="6"/>
      <c r="B488" s="81"/>
      <c r="C488" s="83"/>
      <c r="D488" s="8"/>
      <c r="E488" s="8"/>
      <c r="F488" s="8"/>
      <c r="G488" s="8"/>
      <c r="H488" s="8"/>
      <c r="I488" s="8"/>
      <c r="J488" s="8"/>
      <c r="K488" s="8"/>
      <c r="L488" s="8"/>
      <c r="M488" s="8"/>
      <c r="N488" s="8"/>
      <c r="O488" s="8"/>
      <c r="P488" s="8"/>
      <c r="Q488" s="8"/>
      <c r="R488" s="8"/>
      <c r="S488" s="8"/>
      <c r="T488" s="8"/>
      <c r="U488" s="8"/>
      <c r="V488" s="8"/>
      <c r="W488" s="8"/>
      <c r="X488" s="8"/>
      <c r="Y488" s="8"/>
      <c r="Z488" s="8"/>
      <c r="AA488" s="8"/>
      <c r="AB488" s="8"/>
      <c r="AC488" s="8"/>
      <c r="AD488" s="8"/>
      <c r="AE488" s="8"/>
      <c r="AF488" s="8"/>
      <c r="AG488" s="8"/>
      <c r="AH488" s="8"/>
      <c r="AI488" s="8"/>
      <c r="AJ488" s="8"/>
      <c r="AK488" s="8"/>
      <c r="AL488" s="8"/>
      <c r="AM488" s="8"/>
      <c r="AN488" s="8"/>
      <c r="AO488" s="1"/>
    </row>
    <row r="489" spans="1:41" x14ac:dyDescent="0.35">
      <c r="A489" s="6"/>
      <c r="B489" s="81"/>
      <c r="C489" s="83"/>
      <c r="D489" s="8"/>
      <c r="E489" s="8"/>
      <c r="F489" s="8"/>
      <c r="G489" s="8"/>
      <c r="H489" s="8"/>
      <c r="I489" s="8"/>
      <c r="J489" s="8"/>
      <c r="K489" s="8"/>
      <c r="L489" s="8"/>
      <c r="M489" s="8"/>
      <c r="N489" s="8"/>
      <c r="O489" s="8"/>
      <c r="P489" s="8"/>
      <c r="Q489" s="8"/>
      <c r="R489" s="8"/>
      <c r="S489" s="8"/>
      <c r="T489" s="8"/>
      <c r="U489" s="8"/>
      <c r="V489" s="8"/>
      <c r="W489" s="8"/>
      <c r="X489" s="8"/>
      <c r="Y489" s="8"/>
      <c r="Z489" s="8"/>
      <c r="AA489" s="8"/>
      <c r="AB489" s="8"/>
      <c r="AC489" s="8"/>
      <c r="AD489" s="8"/>
      <c r="AE489" s="8"/>
      <c r="AF489" s="8"/>
      <c r="AG489" s="8"/>
      <c r="AH489" s="8"/>
      <c r="AI489" s="8"/>
      <c r="AJ489" s="8"/>
      <c r="AK489" s="8"/>
      <c r="AL489" s="8"/>
      <c r="AM489" s="8"/>
      <c r="AN489" s="8"/>
      <c r="AO489" s="1"/>
    </row>
    <row r="490" spans="1:41" x14ac:dyDescent="0.35">
      <c r="A490" s="6"/>
      <c r="B490" s="81"/>
      <c r="C490" s="83"/>
      <c r="D490" s="8"/>
      <c r="E490" s="8"/>
      <c r="F490" s="8"/>
      <c r="G490" s="8"/>
      <c r="H490" s="8"/>
      <c r="I490" s="8"/>
      <c r="J490" s="8"/>
      <c r="K490" s="8"/>
      <c r="L490" s="8"/>
      <c r="M490" s="8"/>
      <c r="N490" s="8"/>
      <c r="O490" s="8"/>
      <c r="P490" s="8"/>
      <c r="Q490" s="8"/>
      <c r="R490" s="8"/>
      <c r="S490" s="8"/>
      <c r="T490" s="8"/>
      <c r="U490" s="8"/>
      <c r="V490" s="8"/>
      <c r="W490" s="8"/>
      <c r="X490" s="8"/>
      <c r="Y490" s="8"/>
      <c r="Z490" s="8"/>
      <c r="AA490" s="8"/>
      <c r="AB490" s="8"/>
      <c r="AC490" s="8"/>
      <c r="AD490" s="8"/>
      <c r="AE490" s="8"/>
      <c r="AF490" s="8"/>
      <c r="AG490" s="8"/>
      <c r="AH490" s="8"/>
      <c r="AI490" s="8"/>
      <c r="AJ490" s="8"/>
      <c r="AK490" s="8"/>
      <c r="AL490" s="8"/>
      <c r="AM490" s="8"/>
      <c r="AN490" s="8"/>
      <c r="AO490" s="1"/>
    </row>
    <row r="491" spans="1:41" x14ac:dyDescent="0.35">
      <c r="A491" s="6"/>
      <c r="B491" s="81"/>
      <c r="C491" s="83"/>
      <c r="D491" s="8"/>
      <c r="E491" s="8"/>
      <c r="F491" s="8"/>
      <c r="G491" s="8"/>
      <c r="H491" s="8"/>
      <c r="I491" s="8"/>
      <c r="J491" s="8"/>
      <c r="K491" s="8"/>
      <c r="L491" s="8"/>
      <c r="M491" s="8"/>
      <c r="N491" s="8"/>
      <c r="O491" s="8"/>
      <c r="P491" s="8"/>
      <c r="Q491" s="8"/>
      <c r="R491" s="8"/>
      <c r="S491" s="8"/>
      <c r="T491" s="8"/>
      <c r="U491" s="8"/>
      <c r="V491" s="8"/>
      <c r="W491" s="8"/>
      <c r="X491" s="8"/>
      <c r="Y491" s="8"/>
      <c r="Z491" s="8"/>
      <c r="AA491" s="8"/>
      <c r="AB491" s="8"/>
      <c r="AC491" s="8"/>
      <c r="AD491" s="8"/>
      <c r="AE491" s="8"/>
      <c r="AF491" s="8"/>
      <c r="AG491" s="8"/>
      <c r="AH491" s="8"/>
      <c r="AI491" s="8"/>
      <c r="AJ491" s="8"/>
      <c r="AK491" s="8"/>
      <c r="AL491" s="8"/>
      <c r="AM491" s="8"/>
      <c r="AN491" s="8"/>
      <c r="AO491" s="1"/>
    </row>
    <row r="492" spans="1:41" x14ac:dyDescent="0.35">
      <c r="A492" s="6"/>
      <c r="B492" s="81"/>
      <c r="C492" s="83"/>
      <c r="D492" s="8"/>
      <c r="E492" s="8"/>
      <c r="F492" s="8"/>
      <c r="G492" s="8"/>
      <c r="H492" s="8"/>
      <c r="I492" s="8"/>
      <c r="J492" s="8"/>
      <c r="K492" s="8"/>
      <c r="L492" s="8"/>
      <c r="M492" s="8"/>
      <c r="N492" s="8"/>
      <c r="O492" s="8"/>
      <c r="P492" s="8"/>
      <c r="Q492" s="8"/>
      <c r="R492" s="8"/>
      <c r="S492" s="8"/>
      <c r="T492" s="8"/>
      <c r="U492" s="8"/>
      <c r="V492" s="8"/>
      <c r="W492" s="8"/>
      <c r="X492" s="8"/>
      <c r="Y492" s="8"/>
      <c r="Z492" s="8"/>
      <c r="AA492" s="8"/>
      <c r="AB492" s="8"/>
      <c r="AC492" s="8"/>
      <c r="AD492" s="8"/>
      <c r="AE492" s="8"/>
      <c r="AF492" s="8"/>
      <c r="AG492" s="8"/>
      <c r="AH492" s="8"/>
      <c r="AI492" s="8"/>
      <c r="AJ492" s="8"/>
      <c r="AK492" s="8"/>
      <c r="AL492" s="8"/>
      <c r="AM492" s="8"/>
      <c r="AN492" s="8"/>
      <c r="AO492" s="1"/>
    </row>
    <row r="493" spans="1:41" x14ac:dyDescent="0.35">
      <c r="A493" s="6"/>
      <c r="B493" s="81"/>
      <c r="C493" s="83"/>
      <c r="D493" s="8"/>
      <c r="E493" s="8"/>
      <c r="F493" s="8"/>
      <c r="G493" s="8"/>
      <c r="H493" s="8"/>
      <c r="I493" s="8"/>
      <c r="J493" s="8"/>
      <c r="K493" s="8"/>
      <c r="L493" s="8"/>
      <c r="M493" s="8"/>
      <c r="N493" s="8"/>
      <c r="O493" s="8"/>
      <c r="P493" s="8"/>
      <c r="Q493" s="8"/>
      <c r="R493" s="8"/>
      <c r="S493" s="8"/>
      <c r="T493" s="8"/>
      <c r="U493" s="8"/>
      <c r="V493" s="8"/>
      <c r="W493" s="8"/>
      <c r="X493" s="8"/>
      <c r="Y493" s="8"/>
      <c r="Z493" s="8"/>
      <c r="AA493" s="8"/>
      <c r="AB493" s="8"/>
      <c r="AC493" s="8"/>
      <c r="AD493" s="8"/>
      <c r="AE493" s="8"/>
      <c r="AF493" s="8"/>
      <c r="AG493" s="8"/>
      <c r="AH493" s="8"/>
      <c r="AI493" s="8"/>
      <c r="AJ493" s="8"/>
      <c r="AK493" s="8"/>
      <c r="AL493" s="8"/>
      <c r="AM493" s="8"/>
      <c r="AN493" s="8"/>
      <c r="AO493" s="1"/>
    </row>
    <row r="494" spans="1:41" x14ac:dyDescent="0.35">
      <c r="A494" s="6"/>
      <c r="B494" s="81"/>
      <c r="C494" s="83"/>
      <c r="D494" s="8"/>
      <c r="E494" s="8"/>
      <c r="F494" s="8"/>
      <c r="G494" s="8"/>
      <c r="H494" s="8"/>
      <c r="I494" s="8"/>
      <c r="J494" s="8"/>
      <c r="K494" s="8"/>
      <c r="L494" s="8"/>
      <c r="M494" s="8"/>
      <c r="N494" s="8"/>
      <c r="O494" s="8"/>
      <c r="P494" s="8"/>
      <c r="Q494" s="8"/>
      <c r="R494" s="8"/>
      <c r="S494" s="8"/>
      <c r="T494" s="8"/>
      <c r="U494" s="8"/>
      <c r="V494" s="8"/>
      <c r="W494" s="8"/>
      <c r="X494" s="8"/>
      <c r="Y494" s="8"/>
      <c r="Z494" s="8"/>
      <c r="AA494" s="8"/>
      <c r="AB494" s="8"/>
      <c r="AC494" s="8"/>
      <c r="AD494" s="8"/>
      <c r="AE494" s="8"/>
      <c r="AF494" s="8"/>
      <c r="AG494" s="8"/>
      <c r="AH494" s="8"/>
      <c r="AI494" s="8"/>
      <c r="AJ494" s="8"/>
      <c r="AK494" s="8"/>
      <c r="AL494" s="8"/>
      <c r="AM494" s="8"/>
      <c r="AN494" s="8"/>
      <c r="AO494" s="1"/>
    </row>
    <row r="495" spans="1:41" x14ac:dyDescent="0.35">
      <c r="A495" s="6"/>
      <c r="B495" s="81"/>
      <c r="C495" s="83"/>
      <c r="D495" s="8"/>
      <c r="E495" s="8"/>
      <c r="F495" s="8"/>
      <c r="G495" s="8"/>
      <c r="H495" s="8"/>
      <c r="I495" s="8"/>
      <c r="J495" s="8"/>
      <c r="K495" s="8"/>
      <c r="L495" s="8"/>
      <c r="M495" s="8"/>
      <c r="N495" s="8"/>
      <c r="O495" s="8"/>
      <c r="P495" s="8"/>
      <c r="Q495" s="8"/>
      <c r="R495" s="8"/>
      <c r="S495" s="8"/>
      <c r="T495" s="8"/>
      <c r="U495" s="8"/>
      <c r="V495" s="8"/>
      <c r="W495" s="8"/>
      <c r="X495" s="8"/>
      <c r="Y495" s="8"/>
      <c r="Z495" s="8"/>
      <c r="AA495" s="8"/>
      <c r="AB495" s="8"/>
      <c r="AC495" s="8"/>
      <c r="AD495" s="8"/>
      <c r="AE495" s="8"/>
      <c r="AF495" s="8"/>
      <c r="AG495" s="8"/>
      <c r="AH495" s="8"/>
      <c r="AI495" s="8"/>
      <c r="AJ495" s="8"/>
      <c r="AK495" s="8"/>
      <c r="AL495" s="8"/>
      <c r="AM495" s="8"/>
      <c r="AN495" s="8"/>
      <c r="AO495" s="1"/>
    </row>
    <row r="496" spans="1:41" x14ac:dyDescent="0.35">
      <c r="A496" s="6"/>
      <c r="B496" s="81"/>
      <c r="C496" s="83"/>
      <c r="D496" s="8"/>
      <c r="E496" s="8"/>
      <c r="F496" s="8"/>
      <c r="G496" s="8"/>
      <c r="H496" s="8"/>
      <c r="I496" s="8"/>
      <c r="J496" s="8"/>
      <c r="K496" s="8"/>
      <c r="L496" s="8"/>
      <c r="M496" s="8"/>
      <c r="N496" s="8"/>
      <c r="O496" s="8"/>
      <c r="P496" s="8"/>
      <c r="Q496" s="8"/>
      <c r="R496" s="8"/>
      <c r="S496" s="8"/>
      <c r="T496" s="8"/>
      <c r="U496" s="8"/>
      <c r="V496" s="8"/>
      <c r="W496" s="8"/>
      <c r="X496" s="8"/>
      <c r="Y496" s="8"/>
      <c r="Z496" s="8"/>
      <c r="AA496" s="8"/>
      <c r="AB496" s="8"/>
      <c r="AC496" s="8"/>
      <c r="AD496" s="8"/>
      <c r="AE496" s="8"/>
      <c r="AF496" s="8"/>
      <c r="AG496" s="8"/>
      <c r="AH496" s="8"/>
      <c r="AI496" s="8"/>
      <c r="AJ496" s="8"/>
      <c r="AK496" s="8"/>
      <c r="AL496" s="8"/>
      <c r="AM496" s="8"/>
      <c r="AN496" s="8"/>
      <c r="AO496" s="1"/>
    </row>
    <row r="497" spans="1:41" x14ac:dyDescent="0.35">
      <c r="A497" s="6"/>
      <c r="B497" s="81"/>
      <c r="C497" s="83"/>
      <c r="D497" s="8"/>
      <c r="E497" s="8"/>
      <c r="F497" s="8"/>
      <c r="G497" s="8"/>
      <c r="H497" s="8"/>
      <c r="I497" s="8"/>
      <c r="J497" s="8"/>
      <c r="K497" s="8"/>
      <c r="L497" s="8"/>
      <c r="M497" s="8"/>
      <c r="N497" s="8"/>
      <c r="O497" s="8"/>
      <c r="P497" s="8"/>
      <c r="Q497" s="8"/>
      <c r="R497" s="8"/>
      <c r="S497" s="8"/>
      <c r="T497" s="8"/>
      <c r="U497" s="8"/>
      <c r="V497" s="8"/>
      <c r="W497" s="8"/>
      <c r="X497" s="8"/>
      <c r="Y497" s="8"/>
      <c r="Z497" s="8"/>
      <c r="AA497" s="8"/>
      <c r="AB497" s="8"/>
      <c r="AC497" s="8"/>
      <c r="AD497" s="8"/>
      <c r="AE497" s="8"/>
      <c r="AF497" s="8"/>
      <c r="AG497" s="8"/>
      <c r="AH497" s="8"/>
      <c r="AI497" s="8"/>
      <c r="AJ497" s="8"/>
      <c r="AK497" s="8"/>
      <c r="AL497" s="8"/>
      <c r="AM497" s="8"/>
      <c r="AN497" s="8"/>
      <c r="AO497" s="1"/>
    </row>
    <row r="498" spans="1:41" x14ac:dyDescent="0.35">
      <c r="A498" s="6"/>
      <c r="B498" s="81"/>
      <c r="C498" s="83"/>
      <c r="D498" s="8"/>
      <c r="E498" s="8"/>
      <c r="F498" s="8"/>
      <c r="G498" s="8"/>
      <c r="H498" s="8"/>
      <c r="I498" s="8"/>
      <c r="J498" s="8"/>
      <c r="K498" s="8"/>
      <c r="L498" s="8"/>
      <c r="M498" s="8"/>
      <c r="N498" s="8"/>
      <c r="O498" s="8"/>
      <c r="P498" s="8"/>
      <c r="Q498" s="8"/>
      <c r="R498" s="8"/>
      <c r="S498" s="8"/>
      <c r="T498" s="8"/>
      <c r="U498" s="8"/>
      <c r="V498" s="8"/>
      <c r="W498" s="8"/>
      <c r="X498" s="8"/>
      <c r="Y498" s="8"/>
      <c r="Z498" s="8"/>
      <c r="AA498" s="8"/>
      <c r="AB498" s="8"/>
      <c r="AC498" s="8"/>
      <c r="AD498" s="8"/>
      <c r="AE498" s="8"/>
      <c r="AF498" s="8"/>
      <c r="AG498" s="8"/>
      <c r="AH498" s="8"/>
      <c r="AI498" s="8"/>
      <c r="AJ498" s="8"/>
      <c r="AK498" s="8"/>
      <c r="AL498" s="8"/>
      <c r="AM498" s="8"/>
      <c r="AN498" s="8"/>
      <c r="AO498" s="1"/>
    </row>
    <row r="499" spans="1:41" x14ac:dyDescent="0.35">
      <c r="A499" s="6"/>
      <c r="B499" s="81"/>
      <c r="C499" s="83"/>
      <c r="D499" s="8"/>
      <c r="E499" s="8"/>
      <c r="F499" s="8"/>
      <c r="G499" s="8"/>
      <c r="H499" s="8"/>
      <c r="I499" s="8"/>
      <c r="J499" s="8"/>
      <c r="K499" s="8"/>
      <c r="L499" s="8"/>
      <c r="M499" s="8"/>
      <c r="N499" s="8"/>
      <c r="O499" s="8"/>
      <c r="P499" s="8"/>
      <c r="Q499" s="8"/>
      <c r="R499" s="8"/>
      <c r="S499" s="8"/>
      <c r="T499" s="8"/>
      <c r="U499" s="8"/>
      <c r="V499" s="8"/>
      <c r="W499" s="8"/>
      <c r="X499" s="8"/>
      <c r="Y499" s="8"/>
      <c r="Z499" s="8"/>
      <c r="AA499" s="8"/>
      <c r="AB499" s="8"/>
      <c r="AC499" s="8"/>
      <c r="AD499" s="8"/>
      <c r="AE499" s="8"/>
      <c r="AF499" s="8"/>
      <c r="AG499" s="8"/>
      <c r="AH499" s="8"/>
      <c r="AI499" s="8"/>
      <c r="AJ499" s="8"/>
      <c r="AK499" s="8"/>
      <c r="AL499" s="8"/>
      <c r="AM499" s="8"/>
      <c r="AN499" s="8"/>
      <c r="AO499" s="1"/>
    </row>
    <row r="500" spans="1:41" x14ac:dyDescent="0.35">
      <c r="A500" s="6"/>
      <c r="B500" s="81"/>
      <c r="C500" s="83"/>
      <c r="D500" s="8"/>
      <c r="E500" s="8"/>
      <c r="F500" s="8"/>
      <c r="G500" s="8"/>
      <c r="H500" s="8"/>
      <c r="I500" s="8"/>
      <c r="J500" s="8"/>
      <c r="K500" s="8"/>
      <c r="L500" s="8"/>
      <c r="M500" s="8"/>
      <c r="N500" s="8"/>
      <c r="O500" s="8"/>
      <c r="P500" s="8"/>
      <c r="Q500" s="8"/>
      <c r="R500" s="8"/>
      <c r="S500" s="8"/>
      <c r="T500" s="8"/>
      <c r="U500" s="8"/>
      <c r="V500" s="8"/>
      <c r="W500" s="8"/>
      <c r="X500" s="8"/>
      <c r="Y500" s="8"/>
      <c r="Z500" s="8"/>
      <c r="AA500" s="8"/>
      <c r="AB500" s="8"/>
      <c r="AC500" s="8"/>
      <c r="AD500" s="8"/>
      <c r="AE500" s="8"/>
      <c r="AF500" s="8"/>
      <c r="AG500" s="8"/>
      <c r="AH500" s="8"/>
      <c r="AI500" s="8"/>
      <c r="AJ500" s="8"/>
      <c r="AK500" s="8"/>
      <c r="AL500" s="8"/>
      <c r="AM500" s="8"/>
      <c r="AN500" s="8"/>
      <c r="AO500" s="1"/>
    </row>
    <row r="501" spans="1:41" x14ac:dyDescent="0.35">
      <c r="A501" s="6"/>
      <c r="B501" s="81"/>
      <c r="C501" s="83"/>
      <c r="D501" s="8"/>
      <c r="E501" s="8"/>
      <c r="F501" s="8"/>
      <c r="G501" s="8"/>
      <c r="H501" s="8"/>
      <c r="I501" s="8"/>
      <c r="J501" s="8"/>
      <c r="K501" s="8"/>
      <c r="L501" s="8"/>
      <c r="M501" s="8"/>
      <c r="N501" s="8"/>
      <c r="O501" s="8"/>
      <c r="P501" s="8"/>
      <c r="Q501" s="8"/>
      <c r="R501" s="8"/>
      <c r="S501" s="8"/>
      <c r="T501" s="8"/>
      <c r="U501" s="8"/>
      <c r="V501" s="8"/>
      <c r="W501" s="8"/>
      <c r="X501" s="8"/>
      <c r="Y501" s="8"/>
      <c r="Z501" s="8"/>
      <c r="AA501" s="8"/>
      <c r="AB501" s="8"/>
      <c r="AC501" s="8"/>
      <c r="AD501" s="8"/>
      <c r="AE501" s="8"/>
      <c r="AF501" s="8"/>
      <c r="AG501" s="8"/>
      <c r="AH501" s="8"/>
      <c r="AI501" s="8"/>
      <c r="AJ501" s="8"/>
      <c r="AK501" s="8"/>
      <c r="AL501" s="8"/>
      <c r="AM501" s="8"/>
      <c r="AN501" s="8"/>
      <c r="AO501" s="1"/>
    </row>
    <row r="502" spans="1:41" x14ac:dyDescent="0.35">
      <c r="A502" s="6"/>
      <c r="B502" s="81"/>
      <c r="C502" s="83"/>
      <c r="D502" s="8"/>
      <c r="E502" s="8"/>
      <c r="F502" s="8"/>
      <c r="G502" s="8"/>
      <c r="H502" s="8"/>
      <c r="I502" s="8"/>
      <c r="J502" s="8"/>
      <c r="K502" s="8"/>
      <c r="L502" s="8"/>
      <c r="M502" s="8"/>
      <c r="N502" s="8"/>
      <c r="O502" s="8"/>
      <c r="P502" s="8"/>
      <c r="Q502" s="8"/>
      <c r="R502" s="8"/>
      <c r="S502" s="8"/>
      <c r="T502" s="8"/>
      <c r="U502" s="8"/>
      <c r="V502" s="8"/>
      <c r="W502" s="8"/>
      <c r="X502" s="8"/>
      <c r="Y502" s="8"/>
      <c r="Z502" s="8"/>
      <c r="AA502" s="8"/>
      <c r="AB502" s="8"/>
      <c r="AC502" s="8"/>
      <c r="AD502" s="8"/>
      <c r="AE502" s="8"/>
      <c r="AF502" s="8"/>
      <c r="AG502" s="8"/>
      <c r="AH502" s="8"/>
      <c r="AI502" s="8"/>
      <c r="AJ502" s="8"/>
      <c r="AK502" s="8"/>
      <c r="AL502" s="8"/>
      <c r="AM502" s="8"/>
      <c r="AN502" s="8"/>
      <c r="AO502" s="1"/>
    </row>
    <row r="503" spans="1:41" x14ac:dyDescent="0.35">
      <c r="A503" s="6"/>
      <c r="B503" s="81"/>
      <c r="C503" s="83"/>
      <c r="D503" s="8"/>
      <c r="E503" s="8"/>
      <c r="F503" s="8"/>
      <c r="G503" s="8"/>
      <c r="H503" s="8"/>
      <c r="I503" s="8"/>
      <c r="J503" s="8"/>
      <c r="K503" s="8"/>
      <c r="L503" s="8"/>
      <c r="M503" s="8"/>
      <c r="N503" s="8"/>
      <c r="O503" s="8"/>
      <c r="P503" s="8"/>
      <c r="Q503" s="8"/>
      <c r="R503" s="8"/>
      <c r="S503" s="8"/>
      <c r="T503" s="8"/>
      <c r="U503" s="8"/>
      <c r="V503" s="8"/>
      <c r="W503" s="8"/>
      <c r="X503" s="8"/>
      <c r="Y503" s="8"/>
      <c r="Z503" s="8"/>
      <c r="AA503" s="8"/>
      <c r="AB503" s="8"/>
      <c r="AC503" s="8"/>
      <c r="AD503" s="8"/>
      <c r="AE503" s="8"/>
      <c r="AF503" s="8"/>
      <c r="AG503" s="8"/>
      <c r="AH503" s="8"/>
      <c r="AI503" s="8"/>
      <c r="AJ503" s="8"/>
      <c r="AK503" s="8"/>
      <c r="AL503" s="8"/>
      <c r="AM503" s="8"/>
      <c r="AN503" s="8"/>
      <c r="AO503" s="1"/>
    </row>
    <row r="504" spans="1:41" x14ac:dyDescent="0.35">
      <c r="A504" s="6"/>
      <c r="B504" s="81"/>
      <c r="C504" s="83"/>
      <c r="D504" s="8"/>
      <c r="E504" s="8"/>
      <c r="F504" s="8"/>
      <c r="G504" s="8"/>
      <c r="H504" s="8"/>
      <c r="I504" s="8"/>
      <c r="J504" s="8"/>
      <c r="K504" s="8"/>
      <c r="L504" s="8"/>
      <c r="M504" s="8"/>
      <c r="N504" s="8"/>
      <c r="O504" s="8"/>
      <c r="P504" s="8"/>
      <c r="Q504" s="8"/>
      <c r="R504" s="8"/>
      <c r="S504" s="8"/>
      <c r="T504" s="8"/>
      <c r="U504" s="8"/>
      <c r="V504" s="8"/>
      <c r="W504" s="8"/>
      <c r="X504" s="8"/>
      <c r="Y504" s="8"/>
      <c r="Z504" s="8"/>
      <c r="AA504" s="8"/>
      <c r="AB504" s="8"/>
      <c r="AC504" s="8"/>
      <c r="AD504" s="8"/>
      <c r="AE504" s="8"/>
      <c r="AF504" s="8"/>
      <c r="AG504" s="8"/>
      <c r="AH504" s="8"/>
      <c r="AI504" s="8"/>
      <c r="AJ504" s="8"/>
      <c r="AK504" s="8"/>
      <c r="AL504" s="8"/>
      <c r="AM504" s="8"/>
      <c r="AN504" s="8"/>
      <c r="AO504" s="1"/>
    </row>
    <row r="505" spans="1:41" x14ac:dyDescent="0.35">
      <c r="A505" s="6"/>
      <c r="B505" s="81"/>
      <c r="C505" s="83"/>
      <c r="D505" s="8"/>
      <c r="E505" s="8"/>
      <c r="F505" s="8"/>
      <c r="G505" s="8"/>
      <c r="H505" s="8"/>
      <c r="I505" s="8"/>
      <c r="J505" s="8"/>
      <c r="K505" s="8"/>
      <c r="L505" s="8"/>
      <c r="M505" s="8"/>
      <c r="N505" s="8"/>
      <c r="O505" s="8"/>
      <c r="P505" s="8"/>
      <c r="Q505" s="8"/>
      <c r="R505" s="8"/>
      <c r="S505" s="8"/>
      <c r="T505" s="8"/>
      <c r="U505" s="8"/>
      <c r="V505" s="8"/>
      <c r="W505" s="8"/>
      <c r="X505" s="8"/>
      <c r="Y505" s="8"/>
      <c r="Z505" s="8"/>
      <c r="AA505" s="8"/>
      <c r="AB505" s="8"/>
      <c r="AC505" s="8"/>
      <c r="AD505" s="8"/>
      <c r="AE505" s="8"/>
      <c r="AF505" s="8"/>
      <c r="AG505" s="8"/>
      <c r="AH505" s="8"/>
      <c r="AI505" s="8"/>
      <c r="AJ505" s="8"/>
      <c r="AK505" s="8"/>
      <c r="AL505" s="8"/>
      <c r="AM505" s="8"/>
      <c r="AN505" s="8"/>
      <c r="AO505" s="1"/>
    </row>
    <row r="506" spans="1:41" x14ac:dyDescent="0.35">
      <c r="A506" s="6"/>
      <c r="B506" s="81"/>
      <c r="C506" s="83"/>
      <c r="D506" s="8"/>
      <c r="E506" s="8"/>
      <c r="F506" s="8"/>
      <c r="G506" s="8"/>
      <c r="H506" s="8"/>
      <c r="I506" s="8"/>
      <c r="J506" s="8"/>
      <c r="K506" s="8"/>
      <c r="L506" s="8"/>
      <c r="M506" s="8"/>
      <c r="N506" s="8"/>
      <c r="O506" s="8"/>
      <c r="P506" s="8"/>
      <c r="Q506" s="8"/>
      <c r="R506" s="8"/>
      <c r="S506" s="8"/>
      <c r="T506" s="8"/>
      <c r="U506" s="8"/>
      <c r="V506" s="8"/>
      <c r="W506" s="8"/>
      <c r="X506" s="8"/>
      <c r="Y506" s="8"/>
      <c r="Z506" s="8"/>
      <c r="AA506" s="8"/>
      <c r="AB506" s="8"/>
      <c r="AC506" s="8"/>
      <c r="AD506" s="8"/>
      <c r="AE506" s="8"/>
      <c r="AF506" s="8"/>
      <c r="AG506" s="8"/>
      <c r="AH506" s="8"/>
      <c r="AI506" s="8"/>
      <c r="AJ506" s="8"/>
      <c r="AK506" s="8"/>
      <c r="AL506" s="8"/>
      <c r="AM506" s="8"/>
      <c r="AN506" s="8"/>
      <c r="AO506" s="1"/>
    </row>
    <row r="507" spans="1:41" x14ac:dyDescent="0.35">
      <c r="A507" s="6"/>
      <c r="B507" s="81"/>
      <c r="C507" s="83"/>
      <c r="D507" s="8"/>
      <c r="E507" s="8"/>
      <c r="F507" s="8"/>
      <c r="G507" s="8"/>
      <c r="H507" s="8"/>
      <c r="I507" s="8"/>
      <c r="J507" s="8"/>
      <c r="K507" s="8"/>
      <c r="L507" s="8"/>
      <c r="M507" s="8"/>
      <c r="N507" s="8"/>
      <c r="O507" s="8"/>
      <c r="P507" s="8"/>
      <c r="Q507" s="8"/>
      <c r="R507" s="8"/>
      <c r="S507" s="8"/>
      <c r="T507" s="8"/>
      <c r="U507" s="8"/>
      <c r="V507" s="8"/>
      <c r="W507" s="8"/>
      <c r="X507" s="8"/>
      <c r="Y507" s="8"/>
      <c r="Z507" s="8"/>
      <c r="AA507" s="8"/>
      <c r="AB507" s="8"/>
      <c r="AC507" s="8"/>
      <c r="AD507" s="8"/>
      <c r="AE507" s="8"/>
      <c r="AF507" s="8"/>
      <c r="AG507" s="8"/>
      <c r="AH507" s="8"/>
      <c r="AI507" s="8"/>
      <c r="AJ507" s="8"/>
      <c r="AK507" s="8"/>
      <c r="AL507" s="8"/>
      <c r="AM507" s="8"/>
      <c r="AN507" s="8"/>
      <c r="AO507" s="1"/>
    </row>
    <row r="508" spans="1:41" x14ac:dyDescent="0.35">
      <c r="A508" s="6"/>
      <c r="B508" s="81"/>
      <c r="C508" s="83"/>
      <c r="D508" s="8"/>
      <c r="E508" s="8"/>
      <c r="F508" s="8"/>
      <c r="G508" s="8"/>
      <c r="H508" s="8"/>
      <c r="I508" s="8"/>
      <c r="J508" s="8"/>
      <c r="K508" s="8"/>
      <c r="L508" s="8"/>
      <c r="M508" s="8"/>
      <c r="N508" s="8"/>
      <c r="O508" s="8"/>
      <c r="P508" s="8"/>
      <c r="Q508" s="8"/>
      <c r="R508" s="8"/>
      <c r="S508" s="8"/>
      <c r="T508" s="8"/>
      <c r="U508" s="8"/>
      <c r="V508" s="8"/>
      <c r="W508" s="8"/>
      <c r="X508" s="8"/>
      <c r="Y508" s="8"/>
      <c r="Z508" s="8"/>
      <c r="AA508" s="8"/>
      <c r="AB508" s="8"/>
      <c r="AC508" s="8"/>
      <c r="AD508" s="8"/>
      <c r="AE508" s="8"/>
      <c r="AF508" s="8"/>
      <c r="AG508" s="8"/>
      <c r="AH508" s="8"/>
      <c r="AI508" s="8"/>
      <c r="AJ508" s="8"/>
      <c r="AK508" s="8"/>
      <c r="AL508" s="8"/>
      <c r="AM508" s="8"/>
      <c r="AN508" s="8"/>
      <c r="AO508" s="1"/>
    </row>
    <row r="509" spans="1:41" x14ac:dyDescent="0.35">
      <c r="A509" s="6"/>
      <c r="B509" s="81"/>
      <c r="C509" s="83"/>
      <c r="D509" s="8"/>
      <c r="E509" s="8"/>
      <c r="F509" s="8"/>
      <c r="G509" s="8"/>
      <c r="H509" s="8"/>
      <c r="I509" s="8"/>
      <c r="J509" s="8"/>
      <c r="K509" s="8"/>
      <c r="L509" s="8"/>
      <c r="M509" s="8"/>
      <c r="N509" s="8"/>
      <c r="O509" s="8"/>
      <c r="P509" s="8"/>
      <c r="Q509" s="8"/>
      <c r="R509" s="8"/>
      <c r="S509" s="8"/>
      <c r="T509" s="8"/>
      <c r="U509" s="8"/>
      <c r="V509" s="8"/>
      <c r="W509" s="8"/>
      <c r="X509" s="8"/>
      <c r="Y509" s="8"/>
      <c r="Z509" s="8"/>
      <c r="AA509" s="8"/>
      <c r="AB509" s="8"/>
      <c r="AC509" s="8"/>
      <c r="AD509" s="8"/>
      <c r="AE509" s="8"/>
      <c r="AF509" s="8"/>
      <c r="AG509" s="8"/>
      <c r="AH509" s="8"/>
      <c r="AI509" s="8"/>
      <c r="AJ509" s="8"/>
      <c r="AK509" s="8"/>
      <c r="AL509" s="8"/>
      <c r="AM509" s="8"/>
      <c r="AN509" s="8"/>
      <c r="AO509" s="1"/>
    </row>
    <row r="510" spans="1:41" x14ac:dyDescent="0.35">
      <c r="A510" s="6"/>
      <c r="B510" s="81"/>
      <c r="C510" s="83"/>
      <c r="D510" s="8"/>
      <c r="E510" s="8"/>
      <c r="F510" s="8"/>
      <c r="G510" s="8"/>
      <c r="H510" s="8"/>
      <c r="I510" s="8"/>
      <c r="J510" s="8"/>
      <c r="K510" s="8"/>
      <c r="L510" s="8"/>
      <c r="M510" s="8"/>
      <c r="N510" s="8"/>
      <c r="O510" s="8"/>
      <c r="P510" s="8"/>
      <c r="Q510" s="8"/>
      <c r="R510" s="8"/>
      <c r="S510" s="8"/>
      <c r="T510" s="8"/>
      <c r="U510" s="8"/>
      <c r="V510" s="8"/>
      <c r="W510" s="8"/>
      <c r="X510" s="8"/>
      <c r="Y510" s="8"/>
      <c r="Z510" s="8"/>
      <c r="AA510" s="8"/>
      <c r="AB510" s="8"/>
      <c r="AC510" s="8"/>
      <c r="AD510" s="8"/>
      <c r="AE510" s="8"/>
      <c r="AF510" s="8"/>
      <c r="AG510" s="8"/>
      <c r="AH510" s="8"/>
      <c r="AI510" s="8"/>
      <c r="AJ510" s="8"/>
      <c r="AK510" s="8"/>
      <c r="AL510" s="8"/>
      <c r="AM510" s="8"/>
      <c r="AN510" s="8"/>
      <c r="AO510" s="1"/>
    </row>
    <row r="511" spans="1:41" x14ac:dyDescent="0.35">
      <c r="A511" s="6"/>
      <c r="B511" s="81"/>
      <c r="C511" s="83"/>
      <c r="D511" s="8"/>
      <c r="E511" s="8"/>
      <c r="F511" s="8"/>
      <c r="G511" s="8"/>
      <c r="H511" s="8"/>
      <c r="I511" s="8"/>
      <c r="J511" s="8"/>
      <c r="K511" s="8"/>
      <c r="L511" s="8"/>
      <c r="M511" s="8"/>
      <c r="N511" s="8"/>
      <c r="O511" s="8"/>
      <c r="P511" s="8"/>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1"/>
    </row>
    <row r="512" spans="1:41" x14ac:dyDescent="0.35">
      <c r="A512" s="6"/>
      <c r="B512" s="81"/>
      <c r="C512" s="83"/>
      <c r="D512" s="8"/>
      <c r="E512" s="8"/>
      <c r="F512" s="8"/>
      <c r="G512" s="8"/>
      <c r="H512" s="8"/>
      <c r="I512" s="8"/>
      <c r="J512" s="8"/>
      <c r="K512" s="8"/>
      <c r="L512" s="8"/>
      <c r="M512" s="8"/>
      <c r="N512" s="8"/>
      <c r="O512" s="8"/>
      <c r="P512" s="8"/>
      <c r="Q512" s="8"/>
      <c r="R512" s="8"/>
      <c r="S512" s="8"/>
      <c r="T512" s="8"/>
      <c r="U512" s="8"/>
      <c r="V512" s="8"/>
      <c r="W512" s="8"/>
      <c r="X512" s="8"/>
      <c r="Y512" s="8"/>
      <c r="Z512" s="8"/>
      <c r="AA512" s="8"/>
      <c r="AB512" s="8"/>
      <c r="AC512" s="8"/>
      <c r="AD512" s="8"/>
      <c r="AE512" s="8"/>
      <c r="AF512" s="8"/>
      <c r="AG512" s="8"/>
      <c r="AH512" s="8"/>
      <c r="AI512" s="8"/>
      <c r="AJ512" s="8"/>
      <c r="AK512" s="8"/>
      <c r="AL512" s="8"/>
      <c r="AM512" s="8"/>
      <c r="AN512" s="8"/>
      <c r="AO512" s="1"/>
    </row>
    <row r="513" spans="1:41" x14ac:dyDescent="0.35">
      <c r="A513" s="6"/>
      <c r="B513" s="81"/>
      <c r="C513" s="83"/>
      <c r="D513" s="8"/>
      <c r="E513" s="8"/>
      <c r="F513" s="8"/>
      <c r="G513" s="8"/>
      <c r="H513" s="8"/>
      <c r="I513" s="8"/>
      <c r="J513" s="8"/>
      <c r="K513" s="8"/>
      <c r="L513" s="8"/>
      <c r="M513" s="8"/>
      <c r="N513" s="8"/>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1"/>
    </row>
    <row r="514" spans="1:41" x14ac:dyDescent="0.35">
      <c r="A514" s="6"/>
      <c r="B514" s="81"/>
      <c r="C514" s="83"/>
      <c r="D514" s="8"/>
      <c r="E514" s="8"/>
      <c r="F514" s="8"/>
      <c r="G514" s="8"/>
      <c r="H514" s="8"/>
      <c r="I514" s="8"/>
      <c r="J514" s="8"/>
      <c r="K514" s="8"/>
      <c r="L514" s="8"/>
      <c r="M514" s="8"/>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c r="AN514" s="8"/>
      <c r="AO514" s="1"/>
    </row>
    <row r="515" spans="1:41" x14ac:dyDescent="0.35">
      <c r="A515" s="6"/>
      <c r="B515" s="81"/>
      <c r="C515" s="83"/>
      <c r="D515" s="8"/>
      <c r="E515" s="8"/>
      <c r="F515" s="8"/>
      <c r="G515" s="8"/>
      <c r="H515" s="8"/>
      <c r="I515" s="8"/>
      <c r="J515" s="8"/>
      <c r="K515" s="8"/>
      <c r="L515" s="8"/>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1"/>
    </row>
    <row r="516" spans="1:41" x14ac:dyDescent="0.35">
      <c r="A516" s="6"/>
      <c r="B516" s="81"/>
      <c r="C516" s="83"/>
      <c r="D516" s="8"/>
      <c r="E516" s="8"/>
      <c r="F516" s="8"/>
      <c r="G516" s="8"/>
      <c r="H516" s="8"/>
      <c r="I516" s="8"/>
      <c r="J516" s="8"/>
      <c r="K516" s="8"/>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c r="AN516" s="8"/>
      <c r="AO516" s="1"/>
    </row>
    <row r="517" spans="1:41" x14ac:dyDescent="0.35">
      <c r="A517" s="6"/>
      <c r="B517" s="81"/>
      <c r="C517" s="83"/>
      <c r="D517" s="8"/>
      <c r="E517" s="8"/>
      <c r="F517" s="8"/>
      <c r="G517" s="8"/>
      <c r="H517" s="8"/>
      <c r="I517" s="8"/>
      <c r="J517" s="8"/>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1"/>
    </row>
    <row r="518" spans="1:41" x14ac:dyDescent="0.35">
      <c r="A518" s="6"/>
      <c r="B518" s="81"/>
      <c r="C518" s="83"/>
      <c r="D518" s="8"/>
      <c r="E518" s="8"/>
      <c r="F518" s="8"/>
      <c r="G518" s="8"/>
      <c r="H518" s="8"/>
      <c r="I518" s="8"/>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c r="AN518" s="8"/>
      <c r="AO518" s="1"/>
    </row>
    <row r="519" spans="1:41" x14ac:dyDescent="0.35">
      <c r="A519" s="6"/>
      <c r="B519" s="81"/>
      <c r="C519" s="83"/>
      <c r="D519" s="8"/>
      <c r="E519" s="8"/>
      <c r="F519" s="8"/>
      <c r="G519" s="8"/>
      <c r="H519" s="8"/>
      <c r="I519" s="8"/>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1"/>
    </row>
    <row r="520" spans="1:41" x14ac:dyDescent="0.35">
      <c r="A520" s="6"/>
      <c r="B520" s="81"/>
      <c r="C520" s="83"/>
      <c r="D520" s="8"/>
      <c r="E520" s="8"/>
      <c r="F520" s="8"/>
      <c r="G520" s="8"/>
      <c r="H520" s="8"/>
      <c r="I520" s="8"/>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c r="AN520" s="8"/>
      <c r="AO520" s="1"/>
    </row>
    <row r="521" spans="1:41" x14ac:dyDescent="0.35">
      <c r="A521" s="6"/>
      <c r="B521" s="81"/>
      <c r="C521" s="83"/>
      <c r="D521" s="8"/>
      <c r="E521" s="8"/>
      <c r="F521" s="8"/>
      <c r="G521" s="8"/>
      <c r="H521" s="8"/>
      <c r="I521" s="8"/>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1"/>
    </row>
    <row r="522" spans="1:41" x14ac:dyDescent="0.35">
      <c r="A522" s="6"/>
      <c r="B522" s="81"/>
      <c r="C522" s="83"/>
      <c r="D522" s="8"/>
      <c r="E522" s="8"/>
      <c r="F522" s="8"/>
      <c r="G522" s="8"/>
      <c r="H522" s="8"/>
      <c r="I522" s="8"/>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c r="AN522" s="8"/>
      <c r="AO522" s="1"/>
    </row>
    <row r="523" spans="1:41" x14ac:dyDescent="0.35">
      <c r="A523" s="6"/>
      <c r="B523" s="81"/>
      <c r="C523" s="83"/>
      <c r="D523" s="8"/>
      <c r="E523" s="8"/>
      <c r="F523" s="8"/>
      <c r="G523" s="8"/>
      <c r="H523" s="8"/>
      <c r="I523" s="8"/>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1"/>
    </row>
    <row r="524" spans="1:41" x14ac:dyDescent="0.35">
      <c r="A524" s="6"/>
      <c r="B524" s="81"/>
      <c r="C524" s="83"/>
      <c r="D524" s="8"/>
      <c r="E524" s="8"/>
      <c r="F524" s="8"/>
      <c r="G524" s="8"/>
      <c r="H524" s="8"/>
      <c r="I524" s="8"/>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c r="AN524" s="8"/>
      <c r="AO524" s="1"/>
    </row>
    <row r="525" spans="1:41" x14ac:dyDescent="0.35">
      <c r="A525" s="6"/>
      <c r="B525" s="81"/>
      <c r="C525" s="83"/>
      <c r="D525" s="8"/>
      <c r="E525" s="8"/>
      <c r="F525" s="8"/>
      <c r="G525" s="8"/>
      <c r="H525" s="8"/>
      <c r="I525" s="8"/>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1"/>
    </row>
    <row r="526" spans="1:41" x14ac:dyDescent="0.35">
      <c r="A526" s="6"/>
      <c r="B526" s="81"/>
      <c r="C526" s="83"/>
      <c r="D526" s="8"/>
      <c r="E526" s="8"/>
      <c r="F526" s="8"/>
      <c r="G526" s="8"/>
      <c r="H526" s="8"/>
      <c r="I526" s="8"/>
      <c r="J526" s="8"/>
      <c r="K526" s="8"/>
      <c r="L526" s="8"/>
      <c r="M526" s="8"/>
      <c r="N526" s="8"/>
      <c r="O526" s="8"/>
      <c r="P526" s="8"/>
      <c r="Q526" s="8"/>
      <c r="R526" s="8"/>
      <c r="S526" s="8"/>
      <c r="T526" s="8"/>
      <c r="U526" s="8"/>
      <c r="V526" s="8"/>
      <c r="W526" s="8"/>
      <c r="X526" s="8"/>
      <c r="Y526" s="8"/>
      <c r="Z526" s="8"/>
      <c r="AA526" s="8"/>
      <c r="AB526" s="8"/>
      <c r="AC526" s="8"/>
      <c r="AD526" s="8"/>
      <c r="AE526" s="8"/>
      <c r="AF526" s="8"/>
      <c r="AG526" s="8"/>
      <c r="AH526" s="8"/>
      <c r="AI526" s="8"/>
      <c r="AJ526" s="8"/>
      <c r="AK526" s="8"/>
      <c r="AL526" s="8"/>
      <c r="AM526" s="8"/>
      <c r="AN526" s="8"/>
      <c r="AO526" s="1"/>
    </row>
    <row r="527" spans="1:41" x14ac:dyDescent="0.35">
      <c r="A527" s="6"/>
      <c r="B527" s="81"/>
      <c r="C527" s="83"/>
      <c r="D527" s="8"/>
      <c r="E527" s="8"/>
      <c r="F527" s="8"/>
      <c r="G527" s="8"/>
      <c r="H527" s="8"/>
      <c r="I527" s="8"/>
      <c r="J527" s="8"/>
      <c r="K527" s="8"/>
      <c r="L527" s="8"/>
      <c r="M527" s="8"/>
      <c r="N527" s="8"/>
      <c r="O527" s="8"/>
      <c r="P527" s="8"/>
      <c r="Q527" s="8"/>
      <c r="R527" s="8"/>
      <c r="S527" s="8"/>
      <c r="T527" s="8"/>
      <c r="U527" s="8"/>
      <c r="V527" s="8"/>
      <c r="W527" s="8"/>
      <c r="X527" s="8"/>
      <c r="Y527" s="8"/>
      <c r="Z527" s="8"/>
      <c r="AA527" s="8"/>
      <c r="AB527" s="8"/>
      <c r="AC527" s="8"/>
      <c r="AD527" s="8"/>
      <c r="AE527" s="8"/>
      <c r="AF527" s="8"/>
      <c r="AG527" s="8"/>
      <c r="AH527" s="8"/>
      <c r="AI527" s="8"/>
      <c r="AJ527" s="8"/>
      <c r="AK527" s="8"/>
      <c r="AL527" s="8"/>
      <c r="AM527" s="8"/>
      <c r="AN527" s="8"/>
      <c r="AO527" s="1"/>
    </row>
    <row r="528" spans="1:41" x14ac:dyDescent="0.35">
      <c r="A528" s="6"/>
      <c r="B528" s="81"/>
      <c r="C528" s="83"/>
      <c r="D528" s="8"/>
      <c r="E528" s="8"/>
      <c r="F528" s="8"/>
      <c r="G528" s="8"/>
      <c r="H528" s="8"/>
      <c r="I528" s="8"/>
      <c r="J528" s="8"/>
      <c r="K528" s="8"/>
      <c r="L528" s="8"/>
      <c r="M528" s="8"/>
      <c r="N528" s="8"/>
      <c r="O528" s="8"/>
      <c r="P528" s="8"/>
      <c r="Q528" s="8"/>
      <c r="R528" s="8"/>
      <c r="S528" s="8"/>
      <c r="T528" s="8"/>
      <c r="U528" s="8"/>
      <c r="V528" s="8"/>
      <c r="W528" s="8"/>
      <c r="X528" s="8"/>
      <c r="Y528" s="8"/>
      <c r="Z528" s="8"/>
      <c r="AA528" s="8"/>
      <c r="AB528" s="8"/>
      <c r="AC528" s="8"/>
      <c r="AD528" s="8"/>
      <c r="AE528" s="8"/>
      <c r="AF528" s="8"/>
      <c r="AG528" s="8"/>
      <c r="AH528" s="8"/>
      <c r="AI528" s="8"/>
      <c r="AJ528" s="8"/>
      <c r="AK528" s="8"/>
      <c r="AL528" s="8"/>
      <c r="AM528" s="8"/>
      <c r="AN528" s="8"/>
      <c r="AO528" s="1"/>
    </row>
    <row r="529" spans="1:41" x14ac:dyDescent="0.35">
      <c r="A529" s="6"/>
      <c r="B529" s="81"/>
      <c r="C529" s="83"/>
      <c r="D529" s="8"/>
      <c r="E529" s="8"/>
      <c r="F529" s="8"/>
      <c r="G529" s="8"/>
      <c r="H529" s="8"/>
      <c r="I529" s="8"/>
      <c r="J529" s="8"/>
      <c r="K529" s="8"/>
      <c r="L529" s="8"/>
      <c r="M529" s="8"/>
      <c r="N529" s="8"/>
      <c r="O529" s="8"/>
      <c r="P529" s="8"/>
      <c r="Q529" s="8"/>
      <c r="R529" s="8"/>
      <c r="S529" s="8"/>
      <c r="T529" s="8"/>
      <c r="U529" s="8"/>
      <c r="V529" s="8"/>
      <c r="W529" s="8"/>
      <c r="X529" s="8"/>
      <c r="Y529" s="8"/>
      <c r="Z529" s="8"/>
      <c r="AA529" s="8"/>
      <c r="AB529" s="8"/>
      <c r="AC529" s="8"/>
      <c r="AD529" s="8"/>
      <c r="AE529" s="8"/>
      <c r="AF529" s="8"/>
      <c r="AG529" s="8"/>
      <c r="AH529" s="8"/>
      <c r="AI529" s="8"/>
      <c r="AJ529" s="8"/>
      <c r="AK529" s="8"/>
      <c r="AL529" s="8"/>
      <c r="AM529" s="8"/>
      <c r="AN529" s="8"/>
      <c r="AO529" s="1"/>
    </row>
    <row r="530" spans="1:41" x14ac:dyDescent="0.35">
      <c r="A530" s="6"/>
      <c r="B530" s="81"/>
      <c r="C530" s="83"/>
      <c r="D530" s="8"/>
      <c r="E530" s="8"/>
      <c r="F530" s="8"/>
      <c r="G530" s="8"/>
      <c r="H530" s="8"/>
      <c r="I530" s="8"/>
      <c r="J530" s="8"/>
      <c r="K530" s="8"/>
      <c r="L530" s="8"/>
      <c r="M530" s="8"/>
      <c r="N530" s="8"/>
      <c r="O530" s="8"/>
      <c r="P530" s="8"/>
      <c r="Q530" s="8"/>
      <c r="R530" s="8"/>
      <c r="S530" s="8"/>
      <c r="T530" s="8"/>
      <c r="U530" s="8"/>
      <c r="V530" s="8"/>
      <c r="W530" s="8"/>
      <c r="X530" s="8"/>
      <c r="Y530" s="8"/>
      <c r="Z530" s="8"/>
      <c r="AA530" s="8"/>
      <c r="AB530" s="8"/>
      <c r="AC530" s="8"/>
      <c r="AD530" s="8"/>
      <c r="AE530" s="8"/>
      <c r="AF530" s="8"/>
      <c r="AG530" s="8"/>
      <c r="AH530" s="8"/>
      <c r="AI530" s="8"/>
      <c r="AJ530" s="8"/>
      <c r="AK530" s="8"/>
      <c r="AL530" s="8"/>
      <c r="AM530" s="8"/>
      <c r="AN530" s="8"/>
      <c r="AO530" s="1"/>
    </row>
    <row r="531" spans="1:41" x14ac:dyDescent="0.35">
      <c r="A531" s="6"/>
      <c r="B531" s="81"/>
      <c r="C531" s="83"/>
      <c r="D531" s="8"/>
      <c r="E531" s="8"/>
      <c r="F531" s="8"/>
      <c r="G531" s="8"/>
      <c r="H531" s="8"/>
      <c r="I531" s="8"/>
      <c r="J531" s="8"/>
      <c r="K531" s="8"/>
      <c r="L531" s="8"/>
      <c r="M531" s="8"/>
      <c r="N531" s="8"/>
      <c r="O531" s="8"/>
      <c r="P531" s="8"/>
      <c r="Q531" s="8"/>
      <c r="R531" s="8"/>
      <c r="S531" s="8"/>
      <c r="T531" s="8"/>
      <c r="U531" s="8"/>
      <c r="V531" s="8"/>
      <c r="W531" s="8"/>
      <c r="X531" s="8"/>
      <c r="Y531" s="8"/>
      <c r="Z531" s="8"/>
      <c r="AA531" s="8"/>
      <c r="AB531" s="8"/>
      <c r="AC531" s="8"/>
      <c r="AD531" s="8"/>
      <c r="AE531" s="8"/>
      <c r="AF531" s="8"/>
      <c r="AG531" s="8"/>
      <c r="AH531" s="8"/>
      <c r="AI531" s="8"/>
      <c r="AJ531" s="8"/>
      <c r="AK531" s="8"/>
      <c r="AL531" s="8"/>
      <c r="AM531" s="8"/>
      <c r="AN531" s="8"/>
      <c r="AO531" s="1"/>
    </row>
    <row r="532" spans="1:41" x14ac:dyDescent="0.35">
      <c r="A532" s="6"/>
      <c r="B532" s="81"/>
      <c r="C532" s="83"/>
      <c r="D532" s="8"/>
      <c r="E532" s="8"/>
      <c r="F532" s="8"/>
      <c r="G532" s="8"/>
      <c r="H532" s="8"/>
      <c r="I532" s="8"/>
      <c r="J532" s="8"/>
      <c r="K532" s="8"/>
      <c r="L532" s="8"/>
      <c r="M532" s="8"/>
      <c r="N532" s="8"/>
      <c r="O532" s="8"/>
      <c r="P532" s="8"/>
      <c r="Q532" s="8"/>
      <c r="R532" s="8"/>
      <c r="S532" s="8"/>
      <c r="T532" s="8"/>
      <c r="U532" s="8"/>
      <c r="V532" s="8"/>
      <c r="W532" s="8"/>
      <c r="X532" s="8"/>
      <c r="Y532" s="8"/>
      <c r="Z532" s="8"/>
      <c r="AA532" s="8"/>
      <c r="AB532" s="8"/>
      <c r="AC532" s="8"/>
      <c r="AD532" s="8"/>
      <c r="AE532" s="8"/>
      <c r="AF532" s="8"/>
      <c r="AG532" s="8"/>
      <c r="AH532" s="8"/>
      <c r="AI532" s="8"/>
      <c r="AJ532" s="8"/>
      <c r="AK532" s="8"/>
      <c r="AL532" s="8"/>
      <c r="AM532" s="8"/>
      <c r="AN532" s="8"/>
      <c r="AO532" s="1"/>
    </row>
    <row r="533" spans="1:41" x14ac:dyDescent="0.35">
      <c r="A533" s="6"/>
      <c r="B533" s="81"/>
      <c r="C533" s="83"/>
      <c r="D533" s="8"/>
      <c r="E533" s="8"/>
      <c r="F533" s="8"/>
      <c r="G533" s="8"/>
      <c r="H533" s="8"/>
      <c r="I533" s="8"/>
      <c r="J533" s="8"/>
      <c r="K533" s="8"/>
      <c r="L533" s="8"/>
      <c r="M533" s="8"/>
      <c r="N533" s="8"/>
      <c r="O533" s="8"/>
      <c r="P533" s="8"/>
      <c r="Q533" s="8"/>
      <c r="R533" s="8"/>
      <c r="S533" s="8"/>
      <c r="T533" s="8"/>
      <c r="U533" s="8"/>
      <c r="V533" s="8"/>
      <c r="W533" s="8"/>
      <c r="X533" s="8"/>
      <c r="Y533" s="8"/>
      <c r="Z533" s="8"/>
      <c r="AA533" s="8"/>
      <c r="AB533" s="8"/>
      <c r="AC533" s="8"/>
      <c r="AD533" s="8"/>
      <c r="AE533" s="8"/>
      <c r="AF533" s="8"/>
      <c r="AG533" s="8"/>
      <c r="AH533" s="8"/>
      <c r="AI533" s="8"/>
      <c r="AJ533" s="8"/>
      <c r="AK533" s="8"/>
      <c r="AL533" s="8"/>
      <c r="AM533" s="8"/>
      <c r="AN533" s="8"/>
      <c r="AO533" s="1"/>
    </row>
    <row r="534" spans="1:41" x14ac:dyDescent="0.35">
      <c r="A534" s="6"/>
      <c r="B534" s="81"/>
      <c r="C534" s="83"/>
      <c r="D534" s="8"/>
      <c r="E534" s="8"/>
      <c r="F534" s="8"/>
      <c r="G534" s="8"/>
      <c r="H534" s="8"/>
      <c r="I534" s="8"/>
      <c r="J534" s="8"/>
      <c r="K534" s="8"/>
      <c r="L534" s="8"/>
      <c r="M534" s="8"/>
      <c r="N534" s="8"/>
      <c r="O534" s="8"/>
      <c r="P534" s="8"/>
      <c r="Q534" s="8"/>
      <c r="R534" s="8"/>
      <c r="S534" s="8"/>
      <c r="T534" s="8"/>
      <c r="U534" s="8"/>
      <c r="V534" s="8"/>
      <c r="W534" s="8"/>
      <c r="X534" s="8"/>
      <c r="Y534" s="8"/>
      <c r="Z534" s="8"/>
      <c r="AA534" s="8"/>
      <c r="AB534" s="8"/>
      <c r="AC534" s="8"/>
      <c r="AD534" s="8"/>
      <c r="AE534" s="8"/>
      <c r="AF534" s="8"/>
      <c r="AG534" s="8"/>
      <c r="AH534" s="8"/>
      <c r="AI534" s="8"/>
      <c r="AJ534" s="8"/>
      <c r="AK534" s="8"/>
      <c r="AL534" s="8"/>
      <c r="AM534" s="8"/>
      <c r="AN534" s="8"/>
      <c r="AO534" s="1"/>
    </row>
    <row r="535" spans="1:41" x14ac:dyDescent="0.35">
      <c r="A535" s="6"/>
      <c r="B535" s="81"/>
      <c r="C535" s="83"/>
      <c r="D535" s="8"/>
      <c r="E535" s="8"/>
      <c r="F535" s="8"/>
      <c r="G535" s="8"/>
      <c r="H535" s="8"/>
      <c r="I535" s="8"/>
      <c r="J535" s="8"/>
      <c r="K535" s="8"/>
      <c r="L535" s="8"/>
      <c r="M535" s="8"/>
      <c r="N535" s="8"/>
      <c r="O535" s="8"/>
      <c r="P535" s="8"/>
      <c r="Q535" s="8"/>
      <c r="R535" s="8"/>
      <c r="S535" s="8"/>
      <c r="T535" s="8"/>
      <c r="U535" s="8"/>
      <c r="V535" s="8"/>
      <c r="W535" s="8"/>
      <c r="X535" s="8"/>
      <c r="Y535" s="8"/>
      <c r="Z535" s="8"/>
      <c r="AA535" s="8"/>
      <c r="AB535" s="8"/>
      <c r="AC535" s="8"/>
      <c r="AD535" s="8"/>
      <c r="AE535" s="8"/>
      <c r="AF535" s="8"/>
      <c r="AG535" s="8"/>
      <c r="AH535" s="8"/>
      <c r="AI535" s="8"/>
      <c r="AJ535" s="8"/>
      <c r="AK535" s="8"/>
      <c r="AL535" s="8"/>
      <c r="AM535" s="8"/>
      <c r="AN535" s="8"/>
      <c r="AO535" s="1"/>
    </row>
    <row r="536" spans="1:41" x14ac:dyDescent="0.35">
      <c r="A536" s="6"/>
      <c r="B536" s="81"/>
      <c r="C536" s="83"/>
      <c r="D536" s="8"/>
      <c r="E536" s="8"/>
      <c r="F536" s="8"/>
      <c r="G536" s="8"/>
      <c r="H536" s="8"/>
      <c r="I536" s="8"/>
      <c r="J536" s="8"/>
      <c r="K536" s="8"/>
      <c r="L536" s="8"/>
      <c r="M536" s="8"/>
      <c r="N536" s="8"/>
      <c r="O536" s="8"/>
      <c r="P536" s="8"/>
      <c r="Q536" s="8"/>
      <c r="R536" s="8"/>
      <c r="S536" s="8"/>
      <c r="T536" s="8"/>
      <c r="U536" s="8"/>
      <c r="V536" s="8"/>
      <c r="W536" s="8"/>
      <c r="X536" s="8"/>
      <c r="Y536" s="8"/>
      <c r="Z536" s="8"/>
      <c r="AA536" s="8"/>
      <c r="AB536" s="8"/>
      <c r="AC536" s="8"/>
      <c r="AD536" s="8"/>
      <c r="AE536" s="8"/>
      <c r="AF536" s="8"/>
      <c r="AG536" s="8"/>
      <c r="AH536" s="8"/>
      <c r="AI536" s="8"/>
      <c r="AJ536" s="8"/>
      <c r="AK536" s="8"/>
      <c r="AL536" s="8"/>
      <c r="AM536" s="8"/>
      <c r="AN536" s="8"/>
      <c r="AO536" s="1"/>
    </row>
    <row r="537" spans="1:41" x14ac:dyDescent="0.35">
      <c r="A537" s="6"/>
      <c r="B537" s="81"/>
      <c r="C537" s="83"/>
      <c r="D537" s="8"/>
      <c r="E537" s="8"/>
      <c r="F537" s="8"/>
      <c r="G537" s="8"/>
      <c r="H537" s="8"/>
      <c r="I537" s="8"/>
      <c r="J537" s="8"/>
      <c r="K537" s="8"/>
      <c r="L537" s="8"/>
      <c r="M537" s="8"/>
      <c r="N537" s="8"/>
      <c r="O537" s="8"/>
      <c r="P537" s="8"/>
      <c r="Q537" s="8"/>
      <c r="R537" s="8"/>
      <c r="S537" s="8"/>
      <c r="T537" s="8"/>
      <c r="U537" s="8"/>
      <c r="V537" s="8"/>
      <c r="W537" s="8"/>
      <c r="X537" s="8"/>
      <c r="Y537" s="8"/>
      <c r="Z537" s="8"/>
      <c r="AA537" s="8"/>
      <c r="AB537" s="8"/>
      <c r="AC537" s="8"/>
      <c r="AD537" s="8"/>
      <c r="AE537" s="8"/>
      <c r="AF537" s="8"/>
      <c r="AG537" s="8"/>
      <c r="AH537" s="8"/>
      <c r="AI537" s="8"/>
      <c r="AJ537" s="8"/>
      <c r="AK537" s="8"/>
      <c r="AL537" s="8"/>
      <c r="AM537" s="8"/>
      <c r="AN537" s="8"/>
      <c r="AO537" s="1"/>
    </row>
    <row r="538" spans="1:41" x14ac:dyDescent="0.35">
      <c r="A538" s="6"/>
      <c r="B538" s="81"/>
      <c r="C538" s="83"/>
      <c r="D538" s="8"/>
      <c r="E538" s="8"/>
      <c r="F538" s="8"/>
      <c r="G538" s="8"/>
      <c r="H538" s="8"/>
      <c r="I538" s="8"/>
      <c r="J538" s="8"/>
      <c r="K538" s="8"/>
      <c r="L538" s="8"/>
      <c r="M538" s="8"/>
      <c r="N538" s="8"/>
      <c r="O538" s="8"/>
      <c r="P538" s="8"/>
      <c r="Q538" s="8"/>
      <c r="R538" s="8"/>
      <c r="S538" s="8"/>
      <c r="T538" s="8"/>
      <c r="U538" s="8"/>
      <c r="V538" s="8"/>
      <c r="W538" s="8"/>
      <c r="X538" s="8"/>
      <c r="Y538" s="8"/>
      <c r="Z538" s="8"/>
      <c r="AA538" s="8"/>
      <c r="AB538" s="8"/>
      <c r="AC538" s="8"/>
      <c r="AD538" s="8"/>
      <c r="AE538" s="8"/>
      <c r="AF538" s="8"/>
      <c r="AG538" s="8"/>
      <c r="AH538" s="8"/>
      <c r="AI538" s="8"/>
      <c r="AJ538" s="8"/>
      <c r="AK538" s="8"/>
      <c r="AL538" s="8"/>
      <c r="AM538" s="8"/>
      <c r="AN538" s="8"/>
      <c r="AO538" s="1"/>
    </row>
    <row r="539" spans="1:41" x14ac:dyDescent="0.35">
      <c r="A539" s="6"/>
      <c r="B539" s="81"/>
      <c r="C539" s="83"/>
      <c r="D539" s="8"/>
      <c r="E539" s="8"/>
      <c r="F539" s="8"/>
      <c r="G539" s="8"/>
      <c r="H539" s="8"/>
      <c r="I539" s="8"/>
      <c r="J539" s="8"/>
      <c r="K539" s="8"/>
      <c r="L539" s="8"/>
      <c r="M539" s="8"/>
      <c r="N539" s="8"/>
      <c r="O539" s="8"/>
      <c r="P539" s="8"/>
      <c r="Q539" s="8"/>
      <c r="R539" s="8"/>
      <c r="S539" s="8"/>
      <c r="T539" s="8"/>
      <c r="U539" s="8"/>
      <c r="V539" s="8"/>
      <c r="W539" s="8"/>
      <c r="X539" s="8"/>
      <c r="Y539" s="8"/>
      <c r="Z539" s="8"/>
      <c r="AA539" s="8"/>
      <c r="AB539" s="8"/>
      <c r="AC539" s="8"/>
      <c r="AD539" s="8"/>
      <c r="AE539" s="8"/>
      <c r="AF539" s="8"/>
      <c r="AG539" s="8"/>
      <c r="AH539" s="8"/>
      <c r="AI539" s="8"/>
      <c r="AJ539" s="8"/>
      <c r="AK539" s="8"/>
      <c r="AL539" s="8"/>
      <c r="AM539" s="8"/>
      <c r="AN539" s="8"/>
      <c r="AO539" s="1"/>
    </row>
    <row r="540" spans="1:41" x14ac:dyDescent="0.35">
      <c r="A540" s="6"/>
      <c r="B540" s="81"/>
      <c r="C540" s="83"/>
      <c r="D540" s="8"/>
      <c r="E540" s="8"/>
      <c r="F540" s="8"/>
      <c r="G540" s="8"/>
      <c r="H540" s="8"/>
      <c r="I540" s="8"/>
      <c r="J540" s="8"/>
      <c r="K540" s="8"/>
      <c r="L540" s="8"/>
      <c r="M540" s="8"/>
      <c r="N540" s="8"/>
      <c r="O540" s="8"/>
      <c r="P540" s="8"/>
      <c r="Q540" s="8"/>
      <c r="R540" s="8"/>
      <c r="S540" s="8"/>
      <c r="T540" s="8"/>
      <c r="U540" s="8"/>
      <c r="V540" s="8"/>
      <c r="W540" s="8"/>
      <c r="X540" s="8"/>
      <c r="Y540" s="8"/>
      <c r="Z540" s="8"/>
      <c r="AA540" s="8"/>
      <c r="AB540" s="8"/>
      <c r="AC540" s="8"/>
      <c r="AD540" s="8"/>
      <c r="AE540" s="8"/>
      <c r="AF540" s="8"/>
      <c r="AG540" s="8"/>
      <c r="AH540" s="8"/>
      <c r="AI540" s="8"/>
      <c r="AJ540" s="8"/>
      <c r="AK540" s="8"/>
      <c r="AL540" s="8"/>
      <c r="AM540" s="8"/>
      <c r="AN540" s="8"/>
      <c r="AO540" s="1"/>
    </row>
    <row r="541" spans="1:41" x14ac:dyDescent="0.35">
      <c r="A541" s="6"/>
      <c r="B541" s="81"/>
      <c r="C541" s="83"/>
      <c r="D541" s="8"/>
      <c r="E541" s="8"/>
      <c r="F541" s="8"/>
      <c r="G541" s="8"/>
      <c r="H541" s="8"/>
      <c r="I541" s="8"/>
      <c r="J541" s="8"/>
      <c r="K541" s="8"/>
      <c r="L541" s="8"/>
      <c r="M541" s="8"/>
      <c r="N541" s="8"/>
      <c r="O541" s="8"/>
      <c r="P541" s="8"/>
      <c r="Q541" s="8"/>
      <c r="R541" s="8"/>
      <c r="S541" s="8"/>
      <c r="T541" s="8"/>
      <c r="U541" s="8"/>
      <c r="V541" s="8"/>
      <c r="W541" s="8"/>
      <c r="X541" s="8"/>
      <c r="Y541" s="8"/>
      <c r="Z541" s="8"/>
      <c r="AA541" s="8"/>
      <c r="AB541" s="8"/>
      <c r="AC541" s="8"/>
      <c r="AD541" s="8"/>
      <c r="AE541" s="8"/>
      <c r="AF541" s="8"/>
      <c r="AG541" s="8"/>
      <c r="AH541" s="8"/>
      <c r="AI541" s="8"/>
      <c r="AJ541" s="8"/>
      <c r="AK541" s="8"/>
      <c r="AL541" s="8"/>
      <c r="AM541" s="8"/>
      <c r="AN541" s="8"/>
      <c r="AO541" s="1"/>
    </row>
    <row r="542" spans="1:41" x14ac:dyDescent="0.35">
      <c r="A542" s="6"/>
      <c r="B542" s="81"/>
      <c r="C542" s="83"/>
      <c r="D542" s="8"/>
      <c r="E542" s="8"/>
      <c r="F542" s="8"/>
      <c r="G542" s="8"/>
      <c r="H542" s="8"/>
      <c r="I542" s="8"/>
      <c r="J542" s="8"/>
      <c r="K542" s="8"/>
      <c r="L542" s="8"/>
      <c r="M542" s="8"/>
      <c r="N542" s="8"/>
      <c r="O542" s="8"/>
      <c r="P542" s="8"/>
      <c r="Q542" s="8"/>
      <c r="R542" s="8"/>
      <c r="S542" s="8"/>
      <c r="T542" s="8"/>
      <c r="U542" s="8"/>
      <c r="V542" s="8"/>
      <c r="W542" s="8"/>
      <c r="X542" s="8"/>
      <c r="Y542" s="8"/>
      <c r="Z542" s="8"/>
      <c r="AA542" s="8"/>
      <c r="AB542" s="8"/>
      <c r="AC542" s="8"/>
      <c r="AD542" s="8"/>
      <c r="AE542" s="8"/>
      <c r="AF542" s="8"/>
      <c r="AG542" s="8"/>
      <c r="AH542" s="8"/>
      <c r="AI542" s="8"/>
      <c r="AJ542" s="8"/>
      <c r="AK542" s="8"/>
      <c r="AL542" s="8"/>
      <c r="AM542" s="8"/>
      <c r="AN542" s="8"/>
      <c r="AO542" s="1"/>
    </row>
    <row r="543" spans="1:41" x14ac:dyDescent="0.35">
      <c r="A543" s="6"/>
      <c r="B543" s="81"/>
      <c r="C543" s="83"/>
      <c r="D543" s="8"/>
      <c r="E543" s="8"/>
      <c r="F543" s="8"/>
      <c r="G543" s="8"/>
      <c r="H543" s="8"/>
      <c r="I543" s="8"/>
      <c r="J543" s="8"/>
      <c r="K543" s="8"/>
      <c r="L543" s="8"/>
      <c r="M543" s="8"/>
      <c r="N543" s="8"/>
      <c r="O543" s="8"/>
      <c r="P543" s="8"/>
      <c r="Q543" s="8"/>
      <c r="R543" s="8"/>
      <c r="S543" s="8"/>
      <c r="T543" s="8"/>
      <c r="U543" s="8"/>
      <c r="V543" s="8"/>
      <c r="W543" s="8"/>
      <c r="X543" s="8"/>
      <c r="Y543" s="8"/>
      <c r="Z543" s="8"/>
      <c r="AA543" s="8"/>
      <c r="AB543" s="8"/>
      <c r="AC543" s="8"/>
      <c r="AD543" s="8"/>
      <c r="AE543" s="8"/>
      <c r="AF543" s="8"/>
      <c r="AG543" s="8"/>
      <c r="AH543" s="8"/>
      <c r="AI543" s="8"/>
      <c r="AJ543" s="8"/>
      <c r="AK543" s="8"/>
      <c r="AL543" s="8"/>
      <c r="AM543" s="8"/>
      <c r="AN543" s="8"/>
      <c r="AO543" s="1"/>
    </row>
    <row r="544" spans="1:41" x14ac:dyDescent="0.35">
      <c r="A544" s="6"/>
      <c r="B544" s="81"/>
      <c r="C544" s="83"/>
      <c r="D544" s="8"/>
      <c r="E544" s="8"/>
      <c r="F544" s="8"/>
      <c r="G544" s="8"/>
      <c r="H544" s="8"/>
      <c r="I544" s="8"/>
      <c r="J544" s="8"/>
      <c r="K544" s="8"/>
      <c r="L544" s="8"/>
      <c r="M544" s="8"/>
      <c r="N544" s="8"/>
      <c r="O544" s="8"/>
      <c r="P544" s="8"/>
      <c r="Q544" s="8"/>
      <c r="R544" s="8"/>
      <c r="S544" s="8"/>
      <c r="T544" s="8"/>
      <c r="U544" s="8"/>
      <c r="V544" s="8"/>
      <c r="W544" s="8"/>
      <c r="X544" s="8"/>
      <c r="Y544" s="8"/>
      <c r="Z544" s="8"/>
      <c r="AA544" s="8"/>
      <c r="AB544" s="8"/>
      <c r="AC544" s="8"/>
      <c r="AD544" s="8"/>
      <c r="AE544" s="8"/>
      <c r="AF544" s="8"/>
      <c r="AG544" s="8"/>
      <c r="AH544" s="8"/>
      <c r="AI544" s="8"/>
      <c r="AJ544" s="8"/>
      <c r="AK544" s="8"/>
      <c r="AL544" s="8"/>
      <c r="AM544" s="8"/>
      <c r="AN544" s="8"/>
      <c r="AO544" s="1"/>
    </row>
    <row r="545" spans="1:41" x14ac:dyDescent="0.35">
      <c r="A545" s="6"/>
      <c r="B545" s="81"/>
      <c r="C545" s="83"/>
      <c r="D545" s="8"/>
      <c r="E545" s="8"/>
      <c r="F545" s="8"/>
      <c r="G545" s="8"/>
      <c r="H545" s="8"/>
      <c r="I545" s="8"/>
      <c r="J545" s="8"/>
      <c r="K545" s="8"/>
      <c r="L545" s="8"/>
      <c r="M545" s="8"/>
      <c r="N545" s="8"/>
      <c r="O545" s="8"/>
      <c r="P545" s="8"/>
      <c r="Q545" s="8"/>
      <c r="R545" s="8"/>
      <c r="S545" s="8"/>
      <c r="T545" s="8"/>
      <c r="U545" s="8"/>
      <c r="V545" s="8"/>
      <c r="W545" s="8"/>
      <c r="X545" s="8"/>
      <c r="Y545" s="8"/>
      <c r="Z545" s="8"/>
      <c r="AA545" s="8"/>
      <c r="AB545" s="8"/>
      <c r="AC545" s="8"/>
      <c r="AD545" s="8"/>
      <c r="AE545" s="8"/>
      <c r="AF545" s="8"/>
      <c r="AG545" s="8"/>
      <c r="AH545" s="8"/>
      <c r="AI545" s="8"/>
      <c r="AJ545" s="8"/>
      <c r="AK545" s="8"/>
      <c r="AL545" s="8"/>
      <c r="AM545" s="8"/>
      <c r="AN545" s="8"/>
      <c r="AO545" s="1"/>
    </row>
    <row r="546" spans="1:41" x14ac:dyDescent="0.35">
      <c r="A546" s="6"/>
      <c r="B546" s="81"/>
      <c r="C546" s="83"/>
      <c r="D546" s="8"/>
      <c r="E546" s="8"/>
      <c r="F546" s="8"/>
      <c r="G546" s="8"/>
      <c r="H546" s="8"/>
      <c r="I546" s="8"/>
      <c r="J546" s="8"/>
      <c r="K546" s="8"/>
      <c r="L546" s="8"/>
      <c r="M546" s="8"/>
      <c r="N546" s="8"/>
      <c r="O546" s="8"/>
      <c r="P546" s="8"/>
      <c r="Q546" s="8"/>
      <c r="R546" s="8"/>
      <c r="S546" s="8"/>
      <c r="T546" s="8"/>
      <c r="U546" s="8"/>
      <c r="V546" s="8"/>
      <c r="W546" s="8"/>
      <c r="X546" s="8"/>
      <c r="Y546" s="8"/>
      <c r="Z546" s="8"/>
      <c r="AA546" s="8"/>
      <c r="AB546" s="8"/>
      <c r="AC546" s="8"/>
      <c r="AD546" s="8"/>
      <c r="AE546" s="8"/>
      <c r="AF546" s="8"/>
      <c r="AG546" s="8"/>
      <c r="AH546" s="8"/>
      <c r="AI546" s="8"/>
      <c r="AJ546" s="8"/>
      <c r="AK546" s="8"/>
      <c r="AL546" s="8"/>
      <c r="AM546" s="8"/>
      <c r="AN546" s="8"/>
      <c r="AO546" s="1"/>
    </row>
    <row r="547" spans="1:41" x14ac:dyDescent="0.35">
      <c r="A547" s="6"/>
      <c r="B547" s="81"/>
      <c r="C547" s="83"/>
      <c r="D547" s="8"/>
      <c r="E547" s="8"/>
      <c r="F547" s="8"/>
      <c r="G547" s="8"/>
      <c r="H547" s="8"/>
      <c r="I547" s="8"/>
      <c r="J547" s="8"/>
      <c r="K547" s="8"/>
      <c r="L547" s="8"/>
      <c r="M547" s="8"/>
      <c r="N547" s="8"/>
      <c r="O547" s="8"/>
      <c r="P547" s="8"/>
      <c r="Q547" s="8"/>
      <c r="R547" s="8"/>
      <c r="S547" s="8"/>
      <c r="T547" s="8"/>
      <c r="U547" s="8"/>
      <c r="V547" s="8"/>
      <c r="W547" s="8"/>
      <c r="X547" s="8"/>
      <c r="Y547" s="8"/>
      <c r="Z547" s="8"/>
      <c r="AA547" s="8"/>
      <c r="AB547" s="8"/>
      <c r="AC547" s="8"/>
      <c r="AD547" s="8"/>
      <c r="AE547" s="8"/>
      <c r="AF547" s="8"/>
      <c r="AG547" s="8"/>
      <c r="AH547" s="8"/>
      <c r="AI547" s="8"/>
      <c r="AJ547" s="8"/>
      <c r="AK547" s="8"/>
      <c r="AL547" s="8"/>
      <c r="AM547" s="8"/>
      <c r="AN547" s="8"/>
      <c r="AO547" s="1"/>
    </row>
    <row r="548" spans="1:41" x14ac:dyDescent="0.35">
      <c r="A548" s="6"/>
      <c r="B548" s="81"/>
      <c r="C548" s="83"/>
      <c r="D548" s="8"/>
      <c r="E548" s="8"/>
      <c r="F548" s="8"/>
      <c r="G548" s="8"/>
      <c r="H548" s="8"/>
      <c r="I548" s="8"/>
      <c r="J548" s="8"/>
      <c r="K548" s="8"/>
      <c r="L548" s="8"/>
      <c r="M548" s="8"/>
      <c r="N548" s="8"/>
      <c r="O548" s="8"/>
      <c r="P548" s="8"/>
      <c r="Q548" s="8"/>
      <c r="R548" s="8"/>
      <c r="S548" s="8"/>
      <c r="T548" s="8"/>
      <c r="U548" s="8"/>
      <c r="V548" s="8"/>
      <c r="W548" s="8"/>
      <c r="X548" s="8"/>
      <c r="Y548" s="8"/>
      <c r="Z548" s="8"/>
      <c r="AA548" s="8"/>
      <c r="AB548" s="8"/>
      <c r="AC548" s="8"/>
      <c r="AD548" s="8"/>
      <c r="AE548" s="8"/>
      <c r="AF548" s="8"/>
      <c r="AG548" s="8"/>
      <c r="AH548" s="8"/>
      <c r="AI548" s="8"/>
      <c r="AJ548" s="8"/>
      <c r="AK548" s="8"/>
      <c r="AL548" s="8"/>
      <c r="AM548" s="8"/>
      <c r="AN548" s="8"/>
      <c r="AO548" s="1"/>
    </row>
    <row r="549" spans="1:41" x14ac:dyDescent="0.35">
      <c r="A549" s="6"/>
      <c r="B549" s="81"/>
      <c r="C549" s="83"/>
      <c r="D549" s="8"/>
      <c r="E549" s="8"/>
      <c r="F549" s="8"/>
      <c r="G549" s="8"/>
      <c r="H549" s="8"/>
      <c r="I549" s="8"/>
      <c r="J549" s="8"/>
      <c r="K549" s="8"/>
      <c r="L549" s="8"/>
      <c r="M549" s="8"/>
      <c r="N549" s="8"/>
      <c r="O549" s="8"/>
      <c r="P549" s="8"/>
      <c r="Q549" s="8"/>
      <c r="R549" s="8"/>
      <c r="S549" s="8"/>
      <c r="T549" s="8"/>
      <c r="U549" s="8"/>
      <c r="V549" s="8"/>
      <c r="W549" s="8"/>
      <c r="X549" s="8"/>
      <c r="Y549" s="8"/>
      <c r="Z549" s="8"/>
      <c r="AA549" s="8"/>
      <c r="AB549" s="8"/>
      <c r="AC549" s="8"/>
      <c r="AD549" s="8"/>
      <c r="AE549" s="8"/>
      <c r="AF549" s="8"/>
      <c r="AG549" s="8"/>
      <c r="AH549" s="8"/>
      <c r="AI549" s="8"/>
      <c r="AJ549" s="8"/>
      <c r="AK549" s="8"/>
      <c r="AL549" s="8"/>
      <c r="AM549" s="8"/>
      <c r="AN549" s="8"/>
      <c r="AO549" s="1"/>
    </row>
    <row r="550" spans="1:41" x14ac:dyDescent="0.35">
      <c r="A550" s="6"/>
      <c r="B550" s="81"/>
      <c r="C550" s="83"/>
      <c r="D550" s="8"/>
      <c r="E550" s="8"/>
      <c r="F550" s="8"/>
      <c r="G550" s="8"/>
      <c r="H550" s="8"/>
      <c r="I550" s="8"/>
      <c r="J550" s="8"/>
      <c r="K550" s="8"/>
      <c r="L550" s="8"/>
      <c r="M550" s="8"/>
      <c r="N550" s="8"/>
      <c r="O550" s="8"/>
      <c r="P550" s="8"/>
      <c r="Q550" s="8"/>
      <c r="R550" s="8"/>
      <c r="S550" s="8"/>
      <c r="T550" s="8"/>
      <c r="U550" s="8"/>
      <c r="V550" s="8"/>
      <c r="W550" s="8"/>
      <c r="X550" s="8"/>
      <c r="Y550" s="8"/>
      <c r="Z550" s="8"/>
      <c r="AA550" s="8"/>
      <c r="AB550" s="8"/>
      <c r="AC550" s="8"/>
      <c r="AD550" s="8"/>
      <c r="AE550" s="8"/>
      <c r="AF550" s="8"/>
      <c r="AG550" s="8"/>
      <c r="AH550" s="8"/>
      <c r="AI550" s="8"/>
      <c r="AJ550" s="8"/>
      <c r="AK550" s="8"/>
      <c r="AL550" s="8"/>
      <c r="AM550" s="8"/>
      <c r="AN550" s="8"/>
      <c r="AO550" s="1"/>
    </row>
    <row r="551" spans="1:41" x14ac:dyDescent="0.35">
      <c r="A551" s="6"/>
      <c r="B551" s="81"/>
      <c r="C551" s="83"/>
      <c r="D551" s="8"/>
      <c r="E551" s="8"/>
      <c r="F551" s="8"/>
      <c r="G551" s="8"/>
      <c r="H551" s="8"/>
      <c r="I551" s="8"/>
      <c r="J551" s="8"/>
      <c r="K551" s="8"/>
      <c r="L551" s="8"/>
      <c r="M551" s="8"/>
      <c r="N551" s="8"/>
      <c r="O551" s="8"/>
      <c r="P551" s="8"/>
      <c r="Q551" s="8"/>
      <c r="R551" s="8"/>
      <c r="S551" s="8"/>
      <c r="T551" s="8"/>
      <c r="U551" s="8"/>
      <c r="V551" s="8"/>
      <c r="W551" s="8"/>
      <c r="X551" s="8"/>
      <c r="Y551" s="8"/>
      <c r="Z551" s="8"/>
      <c r="AA551" s="8"/>
      <c r="AB551" s="8"/>
      <c r="AC551" s="8"/>
      <c r="AD551" s="8"/>
      <c r="AE551" s="8"/>
      <c r="AF551" s="8"/>
      <c r="AG551" s="8"/>
      <c r="AH551" s="8"/>
      <c r="AI551" s="8"/>
      <c r="AJ551" s="8"/>
      <c r="AK551" s="8"/>
      <c r="AL551" s="8"/>
      <c r="AM551" s="8"/>
      <c r="AN551" s="8"/>
      <c r="AO551" s="1"/>
    </row>
    <row r="552" spans="1:41" x14ac:dyDescent="0.35">
      <c r="A552" s="6"/>
      <c r="B552" s="81"/>
      <c r="C552" s="83"/>
      <c r="D552" s="8"/>
      <c r="E552" s="8"/>
      <c r="F552" s="8"/>
      <c r="G552" s="8"/>
      <c r="H552" s="8"/>
      <c r="I552" s="8"/>
      <c r="J552" s="8"/>
      <c r="K552" s="8"/>
      <c r="L552" s="8"/>
      <c r="M552" s="8"/>
      <c r="N552" s="8"/>
      <c r="O552" s="8"/>
      <c r="P552" s="8"/>
      <c r="Q552" s="8"/>
      <c r="R552" s="8"/>
      <c r="S552" s="8"/>
      <c r="T552" s="8"/>
      <c r="U552" s="8"/>
      <c r="V552" s="8"/>
      <c r="W552" s="8"/>
      <c r="X552" s="8"/>
      <c r="Y552" s="8"/>
      <c r="Z552" s="8"/>
      <c r="AA552" s="8"/>
      <c r="AB552" s="8"/>
      <c r="AC552" s="8"/>
      <c r="AD552" s="8"/>
      <c r="AE552" s="8"/>
      <c r="AF552" s="8"/>
      <c r="AG552" s="8"/>
      <c r="AH552" s="8"/>
      <c r="AI552" s="8"/>
      <c r="AJ552" s="8"/>
      <c r="AK552" s="8"/>
      <c r="AL552" s="8"/>
      <c r="AM552" s="8"/>
      <c r="AN552" s="8"/>
      <c r="AO552" s="1"/>
    </row>
    <row r="553" spans="1:41" x14ac:dyDescent="0.35">
      <c r="A553" s="6"/>
      <c r="B553" s="81"/>
      <c r="C553" s="83"/>
      <c r="D553" s="8"/>
      <c r="E553" s="8"/>
      <c r="F553" s="8"/>
      <c r="G553" s="8"/>
      <c r="H553" s="8"/>
      <c r="I553" s="8"/>
      <c r="J553" s="8"/>
      <c r="K553" s="8"/>
      <c r="L553" s="8"/>
      <c r="M553" s="8"/>
      <c r="N553" s="8"/>
      <c r="O553" s="8"/>
      <c r="P553" s="8"/>
      <c r="Q553" s="8"/>
      <c r="R553" s="8"/>
      <c r="S553" s="8"/>
      <c r="T553" s="8"/>
      <c r="U553" s="8"/>
      <c r="V553" s="8"/>
      <c r="W553" s="8"/>
      <c r="X553" s="8"/>
      <c r="Y553" s="8"/>
      <c r="Z553" s="8"/>
      <c r="AA553" s="8"/>
      <c r="AB553" s="8"/>
      <c r="AC553" s="8"/>
      <c r="AD553" s="8"/>
      <c r="AE553" s="8"/>
      <c r="AF553" s="8"/>
      <c r="AG553" s="8"/>
      <c r="AH553" s="8"/>
      <c r="AI553" s="8"/>
      <c r="AJ553" s="8"/>
      <c r="AK553" s="8"/>
      <c r="AL553" s="8"/>
      <c r="AM553" s="8"/>
      <c r="AN553" s="8"/>
      <c r="AO553" s="1"/>
    </row>
    <row r="554" spans="1:41" x14ac:dyDescent="0.35">
      <c r="A554" s="6"/>
      <c r="B554" s="81"/>
      <c r="C554" s="83"/>
      <c r="D554" s="8"/>
      <c r="E554" s="8"/>
      <c r="F554" s="8"/>
      <c r="G554" s="8"/>
      <c r="H554" s="8"/>
      <c r="I554" s="8"/>
      <c r="J554" s="8"/>
      <c r="K554" s="8"/>
      <c r="L554" s="8"/>
      <c r="M554" s="8"/>
      <c r="N554" s="8"/>
      <c r="O554" s="8"/>
      <c r="P554" s="8"/>
      <c r="Q554" s="8"/>
      <c r="R554" s="8"/>
      <c r="S554" s="8"/>
      <c r="T554" s="8"/>
      <c r="U554" s="8"/>
      <c r="V554" s="8"/>
      <c r="W554" s="8"/>
      <c r="X554" s="8"/>
      <c r="Y554" s="8"/>
      <c r="Z554" s="8"/>
      <c r="AA554" s="8"/>
      <c r="AB554" s="8"/>
      <c r="AC554" s="8"/>
      <c r="AD554" s="8"/>
      <c r="AE554" s="8"/>
      <c r="AF554" s="8"/>
      <c r="AG554" s="8"/>
      <c r="AH554" s="8"/>
      <c r="AI554" s="8"/>
      <c r="AJ554" s="8"/>
      <c r="AK554" s="8"/>
      <c r="AL554" s="8"/>
      <c r="AM554" s="8"/>
      <c r="AN554" s="8"/>
      <c r="AO554" s="1"/>
    </row>
    <row r="555" spans="1:41" x14ac:dyDescent="0.35">
      <c r="A555" s="6"/>
      <c r="B555" s="81"/>
      <c r="C555" s="83"/>
      <c r="D555" s="8"/>
      <c r="E555" s="8"/>
      <c r="F555" s="8"/>
      <c r="G555" s="8"/>
      <c r="H555" s="8"/>
      <c r="I555" s="8"/>
      <c r="J555" s="8"/>
      <c r="K555" s="8"/>
      <c r="L555" s="8"/>
      <c r="M555" s="8"/>
      <c r="N555" s="8"/>
      <c r="O555" s="8"/>
      <c r="P555" s="8"/>
      <c r="Q555" s="8"/>
      <c r="R555" s="8"/>
      <c r="S555" s="8"/>
      <c r="T555" s="8"/>
      <c r="U555" s="8"/>
      <c r="V555" s="8"/>
      <c r="W555" s="8"/>
      <c r="X555" s="8"/>
      <c r="Y555" s="8"/>
      <c r="Z555" s="8"/>
      <c r="AA555" s="8"/>
      <c r="AB555" s="8"/>
      <c r="AC555" s="8"/>
      <c r="AD555" s="8"/>
      <c r="AE555" s="8"/>
      <c r="AF555" s="8"/>
      <c r="AG555" s="8"/>
      <c r="AH555" s="8"/>
      <c r="AI555" s="8"/>
      <c r="AJ555" s="8"/>
      <c r="AK555" s="8"/>
      <c r="AL555" s="8"/>
      <c r="AM555" s="8"/>
      <c r="AN555" s="8"/>
      <c r="AO555" s="1"/>
    </row>
    <row r="556" spans="1:41" x14ac:dyDescent="0.35">
      <c r="A556" s="6"/>
      <c r="B556" s="81"/>
      <c r="C556" s="83"/>
      <c r="D556" s="8"/>
      <c r="E556" s="8"/>
      <c r="F556" s="8"/>
      <c r="G556" s="8"/>
      <c r="H556" s="8"/>
      <c r="I556" s="8"/>
      <c r="J556" s="8"/>
      <c r="K556" s="8"/>
      <c r="L556" s="8"/>
      <c r="M556" s="8"/>
      <c r="N556" s="8"/>
      <c r="O556" s="8"/>
      <c r="P556" s="8"/>
      <c r="Q556" s="8"/>
      <c r="R556" s="8"/>
      <c r="S556" s="8"/>
      <c r="T556" s="8"/>
      <c r="U556" s="8"/>
      <c r="V556" s="8"/>
      <c r="W556" s="8"/>
      <c r="X556" s="8"/>
      <c r="Y556" s="8"/>
      <c r="Z556" s="8"/>
      <c r="AA556" s="8"/>
      <c r="AB556" s="8"/>
      <c r="AC556" s="8"/>
      <c r="AD556" s="8"/>
      <c r="AE556" s="8"/>
      <c r="AF556" s="8"/>
      <c r="AG556" s="8"/>
      <c r="AH556" s="8"/>
      <c r="AI556" s="8"/>
      <c r="AJ556" s="8"/>
      <c r="AK556" s="8"/>
      <c r="AL556" s="8"/>
      <c r="AM556" s="8"/>
      <c r="AN556" s="8"/>
      <c r="AO556" s="1"/>
    </row>
    <row r="557" spans="1:41" x14ac:dyDescent="0.35">
      <c r="A557" s="6"/>
      <c r="B557" s="81"/>
      <c r="C557" s="83"/>
      <c r="D557" s="8"/>
      <c r="E557" s="8"/>
      <c r="F557" s="8"/>
      <c r="G557" s="8"/>
      <c r="H557" s="8"/>
      <c r="I557" s="8"/>
      <c r="J557" s="8"/>
      <c r="K557" s="8"/>
      <c r="L557" s="8"/>
      <c r="M557" s="8"/>
      <c r="N557" s="8"/>
      <c r="O557" s="8"/>
      <c r="P557" s="8"/>
      <c r="Q557" s="8"/>
      <c r="R557" s="8"/>
      <c r="S557" s="8"/>
      <c r="T557" s="8"/>
      <c r="U557" s="8"/>
      <c r="V557" s="8"/>
      <c r="W557" s="8"/>
      <c r="X557" s="8"/>
      <c r="Y557" s="8"/>
      <c r="Z557" s="8"/>
      <c r="AA557" s="8"/>
      <c r="AB557" s="8"/>
      <c r="AC557" s="8"/>
      <c r="AD557" s="8"/>
      <c r="AE557" s="8"/>
      <c r="AF557" s="8"/>
      <c r="AG557" s="8"/>
      <c r="AH557" s="8"/>
      <c r="AI557" s="8"/>
      <c r="AJ557" s="8"/>
      <c r="AK557" s="8"/>
      <c r="AL557" s="8"/>
      <c r="AM557" s="8"/>
      <c r="AN557" s="8"/>
      <c r="AO557" s="1"/>
    </row>
    <row r="558" spans="1:41" x14ac:dyDescent="0.35">
      <c r="A558" s="6"/>
      <c r="B558" s="81"/>
      <c r="C558" s="83"/>
      <c r="D558" s="8"/>
      <c r="E558" s="8"/>
      <c r="F558" s="8"/>
      <c r="G558" s="8"/>
      <c r="H558" s="8"/>
      <c r="I558" s="8"/>
      <c r="J558" s="8"/>
      <c r="K558" s="8"/>
      <c r="L558" s="8"/>
      <c r="M558" s="8"/>
      <c r="N558" s="8"/>
      <c r="O558" s="8"/>
      <c r="P558" s="8"/>
      <c r="Q558" s="8"/>
      <c r="R558" s="8"/>
      <c r="S558" s="8"/>
      <c r="T558" s="8"/>
      <c r="U558" s="8"/>
      <c r="V558" s="8"/>
      <c r="W558" s="8"/>
      <c r="X558" s="8"/>
      <c r="Y558" s="8"/>
      <c r="Z558" s="8"/>
      <c r="AA558" s="8"/>
      <c r="AB558" s="8"/>
      <c r="AC558" s="8"/>
      <c r="AD558" s="8"/>
      <c r="AE558" s="8"/>
      <c r="AF558" s="8"/>
      <c r="AG558" s="8"/>
      <c r="AH558" s="8"/>
      <c r="AI558" s="8"/>
      <c r="AJ558" s="8"/>
      <c r="AK558" s="8"/>
      <c r="AL558" s="8"/>
      <c r="AM558" s="8"/>
      <c r="AN558" s="8"/>
      <c r="AO558" s="1"/>
    </row>
    <row r="559" spans="1:41" x14ac:dyDescent="0.35">
      <c r="A559" s="6"/>
      <c r="B559" s="81"/>
      <c r="C559" s="83"/>
      <c r="D559" s="8"/>
      <c r="E559" s="8"/>
      <c r="F559" s="8"/>
      <c r="G559" s="8"/>
      <c r="H559" s="8"/>
      <c r="I559" s="8"/>
      <c r="J559" s="8"/>
      <c r="K559" s="8"/>
      <c r="L559" s="8"/>
      <c r="M559" s="8"/>
      <c r="N559" s="8"/>
      <c r="O559" s="8"/>
      <c r="P559" s="8"/>
      <c r="Q559" s="8"/>
      <c r="R559" s="8"/>
      <c r="S559" s="8"/>
      <c r="T559" s="8"/>
      <c r="U559" s="8"/>
      <c r="V559" s="8"/>
      <c r="W559" s="8"/>
      <c r="X559" s="8"/>
      <c r="Y559" s="8"/>
      <c r="Z559" s="8"/>
      <c r="AA559" s="8"/>
      <c r="AB559" s="8"/>
      <c r="AC559" s="8"/>
      <c r="AD559" s="8"/>
      <c r="AE559" s="8"/>
      <c r="AF559" s="8"/>
      <c r="AG559" s="8"/>
      <c r="AH559" s="8"/>
      <c r="AI559" s="8"/>
      <c r="AJ559" s="8"/>
      <c r="AK559" s="8"/>
      <c r="AL559" s="8"/>
      <c r="AM559" s="8"/>
      <c r="AN559" s="8"/>
      <c r="AO559" s="1"/>
    </row>
    <row r="560" spans="1:41" x14ac:dyDescent="0.35">
      <c r="A560" s="6"/>
      <c r="B560" s="81"/>
      <c r="C560" s="83"/>
      <c r="D560" s="8"/>
      <c r="E560" s="8"/>
      <c r="F560" s="8"/>
      <c r="G560" s="8"/>
      <c r="H560" s="8"/>
      <c r="I560" s="8"/>
      <c r="J560" s="8"/>
      <c r="K560" s="8"/>
      <c r="L560" s="8"/>
      <c r="M560" s="8"/>
      <c r="N560" s="8"/>
      <c r="O560" s="8"/>
      <c r="P560" s="8"/>
      <c r="Q560" s="8"/>
      <c r="R560" s="8"/>
      <c r="S560" s="8"/>
      <c r="T560" s="8"/>
      <c r="U560" s="8"/>
      <c r="V560" s="8"/>
      <c r="W560" s="8"/>
      <c r="X560" s="8"/>
      <c r="Y560" s="8"/>
      <c r="Z560" s="8"/>
      <c r="AA560" s="8"/>
      <c r="AB560" s="8"/>
      <c r="AC560" s="8"/>
      <c r="AD560" s="8"/>
      <c r="AE560" s="8"/>
      <c r="AF560" s="8"/>
      <c r="AG560" s="8"/>
      <c r="AH560" s="8"/>
      <c r="AI560" s="8"/>
      <c r="AJ560" s="8"/>
      <c r="AK560" s="8"/>
      <c r="AL560" s="8"/>
      <c r="AM560" s="8"/>
      <c r="AN560" s="8"/>
      <c r="AO560" s="1"/>
    </row>
    <row r="561" spans="1:41" x14ac:dyDescent="0.35">
      <c r="A561" s="6"/>
      <c r="B561" s="81"/>
      <c r="C561" s="83"/>
      <c r="D561" s="8"/>
      <c r="E561" s="8"/>
      <c r="F561" s="8"/>
      <c r="G561" s="8"/>
      <c r="H561" s="8"/>
      <c r="I561" s="8"/>
      <c r="J561" s="8"/>
      <c r="K561" s="8"/>
      <c r="L561" s="8"/>
      <c r="M561" s="8"/>
      <c r="N561" s="8"/>
      <c r="O561" s="8"/>
      <c r="P561" s="8"/>
      <c r="Q561" s="8"/>
      <c r="R561" s="8"/>
      <c r="S561" s="8"/>
      <c r="T561" s="8"/>
      <c r="U561" s="8"/>
      <c r="V561" s="8"/>
      <c r="W561" s="8"/>
      <c r="X561" s="8"/>
      <c r="Y561" s="8"/>
      <c r="Z561" s="8"/>
      <c r="AA561" s="8"/>
      <c r="AB561" s="8"/>
      <c r="AC561" s="8"/>
      <c r="AD561" s="8"/>
      <c r="AE561" s="8"/>
      <c r="AF561" s="8"/>
      <c r="AG561" s="8"/>
      <c r="AH561" s="8"/>
      <c r="AI561" s="8"/>
      <c r="AJ561" s="8"/>
      <c r="AK561" s="8"/>
      <c r="AL561" s="8"/>
      <c r="AM561" s="8"/>
      <c r="AN561" s="8"/>
      <c r="AO561" s="1"/>
    </row>
    <row r="562" spans="1:41" x14ac:dyDescent="0.35">
      <c r="A562" s="6"/>
      <c r="B562" s="81"/>
      <c r="C562" s="83"/>
      <c r="D562" s="8"/>
      <c r="E562" s="8"/>
      <c r="F562" s="8"/>
      <c r="G562" s="8"/>
      <c r="H562" s="8"/>
      <c r="I562" s="8"/>
      <c r="J562" s="8"/>
      <c r="K562" s="8"/>
      <c r="L562" s="8"/>
      <c r="M562" s="8"/>
      <c r="N562" s="8"/>
      <c r="O562" s="8"/>
      <c r="P562" s="8"/>
      <c r="Q562" s="8"/>
      <c r="R562" s="8"/>
      <c r="S562" s="8"/>
      <c r="T562" s="8"/>
      <c r="U562" s="8"/>
      <c r="V562" s="8"/>
      <c r="W562" s="8"/>
      <c r="X562" s="8"/>
      <c r="Y562" s="8"/>
      <c r="Z562" s="8"/>
      <c r="AA562" s="8"/>
      <c r="AB562" s="8"/>
      <c r="AC562" s="8"/>
      <c r="AD562" s="8"/>
      <c r="AE562" s="8"/>
      <c r="AF562" s="8"/>
      <c r="AG562" s="8"/>
      <c r="AH562" s="8"/>
      <c r="AI562" s="8"/>
      <c r="AJ562" s="8"/>
      <c r="AK562" s="8"/>
      <c r="AL562" s="8"/>
      <c r="AM562" s="8"/>
      <c r="AN562" s="8"/>
      <c r="AO562" s="1"/>
    </row>
    <row r="563" spans="1:41" x14ac:dyDescent="0.35">
      <c r="A563" s="6"/>
      <c r="B563" s="81"/>
      <c r="C563" s="83"/>
      <c r="D563" s="8"/>
      <c r="E563" s="8"/>
      <c r="F563" s="8"/>
      <c r="G563" s="8"/>
      <c r="H563" s="8"/>
      <c r="I563" s="8"/>
      <c r="J563" s="8"/>
      <c r="K563" s="8"/>
      <c r="L563" s="8"/>
      <c r="M563" s="8"/>
      <c r="N563" s="8"/>
      <c r="O563" s="8"/>
      <c r="P563" s="8"/>
      <c r="Q563" s="8"/>
      <c r="R563" s="8"/>
      <c r="S563" s="8"/>
      <c r="T563" s="8"/>
      <c r="U563" s="8"/>
      <c r="V563" s="8"/>
      <c r="W563" s="8"/>
      <c r="X563" s="8"/>
      <c r="Y563" s="8"/>
      <c r="Z563" s="8"/>
      <c r="AA563" s="8"/>
      <c r="AB563" s="8"/>
      <c r="AC563" s="8"/>
      <c r="AD563" s="8"/>
      <c r="AE563" s="8"/>
      <c r="AF563" s="8"/>
      <c r="AG563" s="8"/>
      <c r="AH563" s="8"/>
      <c r="AI563" s="8"/>
      <c r="AJ563" s="8"/>
      <c r="AK563" s="8"/>
      <c r="AL563" s="8"/>
      <c r="AM563" s="8"/>
      <c r="AN563" s="8"/>
      <c r="AO563" s="1"/>
    </row>
    <row r="564" spans="1:41" x14ac:dyDescent="0.35">
      <c r="A564" s="6"/>
      <c r="B564" s="81"/>
      <c r="C564" s="83"/>
      <c r="D564" s="8"/>
      <c r="E564" s="8"/>
      <c r="F564" s="8"/>
      <c r="G564" s="8"/>
      <c r="H564" s="8"/>
      <c r="I564" s="8"/>
      <c r="J564" s="8"/>
      <c r="K564" s="8"/>
      <c r="L564" s="8"/>
      <c r="M564" s="8"/>
      <c r="N564" s="8"/>
      <c r="O564" s="8"/>
      <c r="P564" s="8"/>
      <c r="Q564" s="8"/>
      <c r="R564" s="8"/>
      <c r="S564" s="8"/>
      <c r="T564" s="8"/>
      <c r="U564" s="8"/>
      <c r="V564" s="8"/>
      <c r="W564" s="8"/>
      <c r="X564" s="8"/>
      <c r="Y564" s="8"/>
      <c r="Z564" s="8"/>
      <c r="AA564" s="8"/>
      <c r="AB564" s="8"/>
      <c r="AC564" s="8"/>
      <c r="AD564" s="8"/>
      <c r="AE564" s="8"/>
      <c r="AF564" s="8"/>
      <c r="AG564" s="8"/>
      <c r="AH564" s="8"/>
      <c r="AI564" s="8"/>
      <c r="AJ564" s="8"/>
      <c r="AK564" s="8"/>
      <c r="AL564" s="8"/>
      <c r="AM564" s="8"/>
      <c r="AN564" s="8"/>
      <c r="AO564" s="1"/>
    </row>
    <row r="565" spans="1:41" x14ac:dyDescent="0.35">
      <c r="A565" s="6"/>
      <c r="B565" s="81"/>
      <c r="C565" s="83"/>
      <c r="D565" s="8"/>
      <c r="E565" s="8"/>
      <c r="F565" s="8"/>
      <c r="G565" s="8"/>
      <c r="H565" s="8"/>
      <c r="I565" s="8"/>
      <c r="J565" s="8"/>
      <c r="K565" s="8"/>
      <c r="L565" s="8"/>
      <c r="M565" s="8"/>
      <c r="N565" s="8"/>
      <c r="O565" s="8"/>
      <c r="P565" s="8"/>
      <c r="Q565" s="8"/>
      <c r="R565" s="8"/>
      <c r="S565" s="8"/>
      <c r="T565" s="8"/>
      <c r="U565" s="8"/>
      <c r="V565" s="8"/>
      <c r="W565" s="8"/>
      <c r="X565" s="8"/>
      <c r="Y565" s="8"/>
      <c r="Z565" s="8"/>
      <c r="AA565" s="8"/>
      <c r="AB565" s="8"/>
      <c r="AC565" s="8"/>
      <c r="AD565" s="8"/>
      <c r="AE565" s="8"/>
      <c r="AF565" s="8"/>
      <c r="AG565" s="8"/>
      <c r="AH565" s="8"/>
      <c r="AI565" s="8"/>
      <c r="AJ565" s="8"/>
      <c r="AK565" s="8"/>
      <c r="AL565" s="8"/>
      <c r="AM565" s="8"/>
      <c r="AN565" s="8"/>
      <c r="AO565" s="1"/>
    </row>
    <row r="566" spans="1:41" x14ac:dyDescent="0.35">
      <c r="A566" s="6"/>
      <c r="B566" s="81"/>
      <c r="C566" s="83"/>
      <c r="D566" s="8"/>
      <c r="E566" s="8"/>
      <c r="F566" s="8"/>
      <c r="G566" s="8"/>
      <c r="H566" s="8"/>
      <c r="I566" s="8"/>
      <c r="J566" s="8"/>
      <c r="K566" s="8"/>
      <c r="L566" s="8"/>
      <c r="M566" s="8"/>
      <c r="N566" s="8"/>
      <c r="O566" s="8"/>
      <c r="P566" s="8"/>
      <c r="Q566" s="8"/>
      <c r="R566" s="8"/>
      <c r="S566" s="8"/>
      <c r="T566" s="8"/>
      <c r="U566" s="8"/>
      <c r="V566" s="8"/>
      <c r="W566" s="8"/>
      <c r="X566" s="8"/>
      <c r="Y566" s="8"/>
      <c r="Z566" s="8"/>
      <c r="AA566" s="8"/>
      <c r="AB566" s="8"/>
      <c r="AC566" s="8"/>
      <c r="AD566" s="8"/>
      <c r="AE566" s="8"/>
      <c r="AF566" s="8"/>
      <c r="AG566" s="8"/>
      <c r="AH566" s="8"/>
      <c r="AI566" s="8"/>
      <c r="AJ566" s="8"/>
      <c r="AK566" s="8"/>
      <c r="AL566" s="8"/>
      <c r="AM566" s="8"/>
      <c r="AN566" s="8"/>
      <c r="AO566" s="1"/>
    </row>
    <row r="567" spans="1:41" x14ac:dyDescent="0.35">
      <c r="A567" s="6"/>
      <c r="B567" s="81"/>
      <c r="C567" s="83"/>
      <c r="D567" s="8"/>
      <c r="E567" s="8"/>
      <c r="F567" s="8"/>
      <c r="G567" s="8"/>
      <c r="H567" s="8"/>
      <c r="I567" s="8"/>
      <c r="J567" s="8"/>
      <c r="K567" s="8"/>
      <c r="L567" s="8"/>
      <c r="M567" s="8"/>
      <c r="N567" s="8"/>
      <c r="O567" s="8"/>
      <c r="P567" s="8"/>
      <c r="Q567" s="8"/>
      <c r="R567" s="8"/>
      <c r="S567" s="8"/>
      <c r="T567" s="8"/>
      <c r="U567" s="8"/>
      <c r="V567" s="8"/>
      <c r="W567" s="8"/>
      <c r="X567" s="8"/>
      <c r="Y567" s="8"/>
      <c r="Z567" s="8"/>
      <c r="AA567" s="8"/>
      <c r="AB567" s="8"/>
      <c r="AC567" s="8"/>
      <c r="AD567" s="8"/>
      <c r="AE567" s="8"/>
      <c r="AF567" s="8"/>
      <c r="AG567" s="8"/>
      <c r="AH567" s="8"/>
      <c r="AI567" s="8"/>
      <c r="AJ567" s="8"/>
      <c r="AK567" s="8"/>
      <c r="AL567" s="8"/>
      <c r="AM567" s="8"/>
      <c r="AN567" s="8"/>
      <c r="AO567" s="1"/>
    </row>
    <row r="568" spans="1:41" x14ac:dyDescent="0.35">
      <c r="A568" s="6"/>
      <c r="B568" s="81"/>
      <c r="C568" s="83"/>
      <c r="D568" s="8"/>
      <c r="E568" s="8"/>
      <c r="F568" s="8"/>
      <c r="G568" s="8"/>
      <c r="H568" s="8"/>
      <c r="I568" s="8"/>
      <c r="J568" s="8"/>
      <c r="K568" s="8"/>
      <c r="L568" s="8"/>
      <c r="M568" s="8"/>
      <c r="N568" s="8"/>
      <c r="O568" s="8"/>
      <c r="P568" s="8"/>
      <c r="Q568" s="8"/>
      <c r="R568" s="8"/>
      <c r="S568" s="8"/>
      <c r="T568" s="8"/>
      <c r="U568" s="8"/>
      <c r="V568" s="8"/>
      <c r="W568" s="8"/>
      <c r="X568" s="8"/>
      <c r="Y568" s="8"/>
      <c r="Z568" s="8"/>
      <c r="AA568" s="8"/>
      <c r="AB568" s="8"/>
      <c r="AC568" s="8"/>
      <c r="AD568" s="8"/>
      <c r="AE568" s="8"/>
      <c r="AF568" s="8"/>
      <c r="AG568" s="8"/>
      <c r="AH568" s="8"/>
      <c r="AI568" s="8"/>
      <c r="AJ568" s="8"/>
      <c r="AK568" s="8"/>
      <c r="AL568" s="8"/>
      <c r="AM568" s="8"/>
      <c r="AN568" s="8"/>
      <c r="AO568" s="1"/>
    </row>
    <row r="569" spans="1:41" x14ac:dyDescent="0.35">
      <c r="A569" s="6"/>
      <c r="B569" s="81"/>
      <c r="C569" s="83"/>
      <c r="D569" s="8"/>
      <c r="E569" s="8"/>
      <c r="F569" s="8"/>
      <c r="G569" s="8"/>
      <c r="H569" s="8"/>
      <c r="I569" s="8"/>
      <c r="J569" s="8"/>
      <c r="K569" s="8"/>
      <c r="L569" s="8"/>
      <c r="M569" s="8"/>
      <c r="N569" s="8"/>
      <c r="O569" s="8"/>
      <c r="P569" s="8"/>
      <c r="Q569" s="8"/>
      <c r="R569" s="8"/>
      <c r="S569" s="8"/>
      <c r="T569" s="8"/>
      <c r="U569" s="8"/>
      <c r="V569" s="8"/>
      <c r="W569" s="8"/>
      <c r="X569" s="8"/>
      <c r="Y569" s="8"/>
      <c r="Z569" s="8"/>
      <c r="AA569" s="8"/>
      <c r="AB569" s="8"/>
      <c r="AC569" s="8"/>
      <c r="AD569" s="8"/>
      <c r="AE569" s="8"/>
      <c r="AF569" s="8"/>
      <c r="AG569" s="8"/>
      <c r="AH569" s="8"/>
      <c r="AI569" s="8"/>
      <c r="AJ569" s="8"/>
      <c r="AK569" s="8"/>
      <c r="AL569" s="8"/>
      <c r="AM569" s="8"/>
      <c r="AN569" s="8"/>
      <c r="AO569" s="1"/>
    </row>
    <row r="570" spans="1:41" x14ac:dyDescent="0.35">
      <c r="A570" s="6"/>
      <c r="B570" s="81"/>
      <c r="C570" s="83"/>
      <c r="D570" s="8"/>
      <c r="E570" s="8"/>
      <c r="F570" s="8"/>
      <c r="G570" s="8"/>
      <c r="H570" s="8"/>
      <c r="I570" s="8"/>
      <c r="J570" s="8"/>
      <c r="K570" s="8"/>
      <c r="L570" s="8"/>
      <c r="M570" s="8"/>
      <c r="N570" s="8"/>
      <c r="O570" s="8"/>
      <c r="P570" s="8"/>
      <c r="Q570" s="8"/>
      <c r="R570" s="8"/>
      <c r="S570" s="8"/>
      <c r="T570" s="8"/>
      <c r="U570" s="8"/>
      <c r="V570" s="8"/>
      <c r="W570" s="8"/>
      <c r="X570" s="8"/>
      <c r="Y570" s="8"/>
      <c r="Z570" s="8"/>
      <c r="AA570" s="8"/>
      <c r="AB570" s="8"/>
      <c r="AC570" s="8"/>
      <c r="AD570" s="8"/>
      <c r="AE570" s="8"/>
      <c r="AF570" s="8"/>
      <c r="AG570" s="8"/>
      <c r="AH570" s="8"/>
      <c r="AI570" s="8"/>
      <c r="AJ570" s="8"/>
      <c r="AK570" s="8"/>
      <c r="AL570" s="8"/>
      <c r="AM570" s="8"/>
      <c r="AN570" s="8"/>
      <c r="AO570" s="1"/>
    </row>
    <row r="571" spans="1:41" x14ac:dyDescent="0.35">
      <c r="A571" s="6"/>
      <c r="B571" s="81"/>
      <c r="C571" s="83"/>
      <c r="D571" s="8"/>
      <c r="E571" s="8"/>
      <c r="F571" s="8"/>
      <c r="G571" s="8"/>
      <c r="H571" s="8"/>
      <c r="I571" s="8"/>
      <c r="J571" s="8"/>
      <c r="K571" s="8"/>
      <c r="L571" s="8"/>
      <c r="M571" s="8"/>
      <c r="N571" s="8"/>
      <c r="O571" s="8"/>
      <c r="P571" s="8"/>
      <c r="Q571" s="8"/>
      <c r="R571" s="8"/>
      <c r="S571" s="8"/>
      <c r="T571" s="8"/>
      <c r="U571" s="8"/>
      <c r="V571" s="8"/>
      <c r="W571" s="8"/>
      <c r="X571" s="8"/>
      <c r="Y571" s="8"/>
      <c r="Z571" s="8"/>
      <c r="AA571" s="8"/>
      <c r="AB571" s="8"/>
      <c r="AC571" s="8"/>
      <c r="AD571" s="8"/>
      <c r="AE571" s="8"/>
      <c r="AF571" s="8"/>
      <c r="AG571" s="8"/>
      <c r="AH571" s="8"/>
      <c r="AI571" s="8"/>
      <c r="AJ571" s="8"/>
      <c r="AK571" s="8"/>
      <c r="AL571" s="8"/>
      <c r="AM571" s="8"/>
      <c r="AN571" s="8"/>
      <c r="AO571" s="1"/>
    </row>
    <row r="572" spans="1:41" x14ac:dyDescent="0.35">
      <c r="A572" s="6"/>
      <c r="B572" s="81"/>
      <c r="C572" s="83"/>
      <c r="D572" s="8"/>
      <c r="E572" s="8"/>
      <c r="F572" s="8"/>
      <c r="G572" s="8"/>
      <c r="H572" s="8"/>
      <c r="I572" s="8"/>
      <c r="J572" s="8"/>
      <c r="K572" s="8"/>
      <c r="L572" s="8"/>
      <c r="M572" s="8"/>
      <c r="N572" s="8"/>
      <c r="O572" s="8"/>
      <c r="P572" s="8"/>
      <c r="Q572" s="8"/>
      <c r="R572" s="8"/>
      <c r="S572" s="8"/>
      <c r="T572" s="8"/>
      <c r="U572" s="8"/>
      <c r="V572" s="8"/>
      <c r="W572" s="8"/>
      <c r="X572" s="8"/>
      <c r="Y572" s="8"/>
      <c r="Z572" s="8"/>
      <c r="AA572" s="8"/>
      <c r="AB572" s="8"/>
      <c r="AC572" s="8"/>
      <c r="AD572" s="8"/>
      <c r="AE572" s="8"/>
      <c r="AF572" s="8"/>
      <c r="AG572" s="8"/>
      <c r="AH572" s="8"/>
      <c r="AI572" s="8"/>
      <c r="AJ572" s="8"/>
      <c r="AK572" s="8"/>
      <c r="AL572" s="8"/>
      <c r="AM572" s="8"/>
      <c r="AN572" s="8"/>
      <c r="AO572" s="1"/>
    </row>
    <row r="573" spans="1:41" x14ac:dyDescent="0.35">
      <c r="A573" s="6"/>
      <c r="B573" s="81"/>
      <c r="C573" s="83"/>
      <c r="D573" s="8"/>
      <c r="E573" s="8"/>
      <c r="F573" s="8"/>
      <c r="G573" s="8"/>
      <c r="H573" s="8"/>
      <c r="I573" s="8"/>
      <c r="J573" s="8"/>
      <c r="K573" s="8"/>
      <c r="L573" s="8"/>
      <c r="M573" s="8"/>
      <c r="N573" s="8"/>
      <c r="O573" s="8"/>
      <c r="P573" s="8"/>
      <c r="Q573" s="8"/>
      <c r="R573" s="8"/>
      <c r="S573" s="8"/>
      <c r="T573" s="8"/>
      <c r="U573" s="8"/>
      <c r="V573" s="8"/>
      <c r="W573" s="8"/>
      <c r="X573" s="8"/>
      <c r="Y573" s="8"/>
      <c r="Z573" s="8"/>
      <c r="AA573" s="8"/>
      <c r="AB573" s="8"/>
      <c r="AC573" s="8"/>
      <c r="AD573" s="8"/>
      <c r="AE573" s="8"/>
      <c r="AF573" s="8"/>
      <c r="AG573" s="8"/>
      <c r="AH573" s="8"/>
      <c r="AI573" s="8"/>
      <c r="AJ573" s="8"/>
      <c r="AK573" s="8"/>
      <c r="AL573" s="8"/>
      <c r="AM573" s="8"/>
      <c r="AN573" s="8"/>
      <c r="AO573" s="1"/>
    </row>
    <row r="574" spans="1:41" x14ac:dyDescent="0.35">
      <c r="A574" s="6"/>
      <c r="B574" s="81"/>
      <c r="C574" s="83"/>
      <c r="D574" s="8"/>
      <c r="E574" s="8"/>
      <c r="F574" s="8"/>
      <c r="G574" s="8"/>
      <c r="H574" s="8"/>
      <c r="I574" s="8"/>
      <c r="J574" s="8"/>
      <c r="K574" s="8"/>
      <c r="L574" s="8"/>
      <c r="M574" s="8"/>
      <c r="N574" s="8"/>
      <c r="O574" s="8"/>
      <c r="P574" s="8"/>
      <c r="Q574" s="8"/>
      <c r="R574" s="8"/>
      <c r="S574" s="8"/>
      <c r="T574" s="8"/>
      <c r="U574" s="8"/>
      <c r="V574" s="8"/>
      <c r="W574" s="8"/>
      <c r="X574" s="8"/>
      <c r="Y574" s="8"/>
      <c r="Z574" s="8"/>
      <c r="AA574" s="8"/>
      <c r="AB574" s="8"/>
      <c r="AC574" s="8"/>
      <c r="AD574" s="8"/>
      <c r="AE574" s="8"/>
      <c r="AF574" s="8"/>
      <c r="AG574" s="8"/>
      <c r="AH574" s="8"/>
      <c r="AI574" s="8"/>
      <c r="AJ574" s="8"/>
      <c r="AK574" s="8"/>
      <c r="AL574" s="8"/>
      <c r="AM574" s="8"/>
      <c r="AN574" s="8"/>
      <c r="AO574" s="1"/>
    </row>
    <row r="575" spans="1:41" x14ac:dyDescent="0.35">
      <c r="A575" s="6"/>
      <c r="B575" s="81"/>
      <c r="C575" s="83"/>
      <c r="D575" s="8"/>
      <c r="E575" s="8"/>
      <c r="F575" s="8"/>
      <c r="G575" s="8"/>
      <c r="H575" s="8"/>
      <c r="I575" s="8"/>
      <c r="J575" s="8"/>
      <c r="K575" s="8"/>
      <c r="L575" s="8"/>
      <c r="M575" s="8"/>
      <c r="N575" s="8"/>
      <c r="O575" s="8"/>
      <c r="P575" s="8"/>
      <c r="Q575" s="8"/>
      <c r="R575" s="8"/>
      <c r="S575" s="8"/>
      <c r="T575" s="8"/>
      <c r="U575" s="8"/>
      <c r="V575" s="8"/>
      <c r="W575" s="8"/>
      <c r="X575" s="8"/>
      <c r="Y575" s="8"/>
      <c r="Z575" s="8"/>
      <c r="AA575" s="8"/>
      <c r="AB575" s="8"/>
      <c r="AC575" s="8"/>
      <c r="AD575" s="8"/>
      <c r="AE575" s="8"/>
      <c r="AF575" s="8"/>
      <c r="AG575" s="8"/>
      <c r="AH575" s="8"/>
      <c r="AI575" s="8"/>
      <c r="AJ575" s="8"/>
      <c r="AK575" s="8"/>
      <c r="AL575" s="8"/>
      <c r="AM575" s="8"/>
      <c r="AN575" s="8"/>
      <c r="AO575" s="1"/>
    </row>
    <row r="576" spans="1:41" x14ac:dyDescent="0.35">
      <c r="A576" s="6"/>
      <c r="B576" s="81"/>
      <c r="C576" s="83"/>
      <c r="D576" s="8"/>
      <c r="E576" s="8"/>
      <c r="F576" s="8"/>
      <c r="G576" s="8"/>
      <c r="H576" s="8"/>
      <c r="I576" s="8"/>
      <c r="J576" s="8"/>
      <c r="K576" s="8"/>
      <c r="L576" s="8"/>
      <c r="M576" s="8"/>
      <c r="N576" s="8"/>
      <c r="O576" s="8"/>
      <c r="P576" s="8"/>
      <c r="Q576" s="8"/>
      <c r="R576" s="8"/>
      <c r="S576" s="8"/>
      <c r="T576" s="8"/>
      <c r="U576" s="8"/>
      <c r="V576" s="8"/>
      <c r="W576" s="8"/>
      <c r="X576" s="8"/>
      <c r="Y576" s="8"/>
      <c r="Z576" s="8"/>
      <c r="AA576" s="8"/>
      <c r="AB576" s="8"/>
      <c r="AC576" s="8"/>
      <c r="AD576" s="8"/>
      <c r="AE576" s="8"/>
      <c r="AF576" s="8"/>
      <c r="AG576" s="8"/>
      <c r="AH576" s="8"/>
      <c r="AI576" s="8"/>
      <c r="AJ576" s="8"/>
      <c r="AK576" s="8"/>
      <c r="AL576" s="8"/>
      <c r="AM576" s="8"/>
      <c r="AN576" s="8"/>
      <c r="AO576" s="1"/>
    </row>
    <row r="577" spans="1:41" x14ac:dyDescent="0.35">
      <c r="A577" s="6"/>
      <c r="B577" s="81"/>
      <c r="C577" s="83"/>
      <c r="D577" s="8"/>
      <c r="E577" s="8"/>
      <c r="F577" s="8"/>
      <c r="G577" s="8"/>
      <c r="H577" s="8"/>
      <c r="I577" s="8"/>
      <c r="J577" s="8"/>
      <c r="K577" s="8"/>
      <c r="L577" s="8"/>
      <c r="M577" s="8"/>
      <c r="N577" s="8"/>
      <c r="O577" s="8"/>
      <c r="P577" s="8"/>
      <c r="Q577" s="8"/>
      <c r="R577" s="8"/>
      <c r="S577" s="8"/>
      <c r="T577" s="8"/>
      <c r="U577" s="8"/>
      <c r="V577" s="8"/>
      <c r="W577" s="8"/>
      <c r="X577" s="8"/>
      <c r="Y577" s="8"/>
      <c r="Z577" s="8"/>
      <c r="AA577" s="8"/>
      <c r="AB577" s="8"/>
      <c r="AC577" s="8"/>
      <c r="AD577" s="8"/>
      <c r="AE577" s="8"/>
      <c r="AF577" s="8"/>
      <c r="AG577" s="8"/>
      <c r="AH577" s="8"/>
      <c r="AI577" s="8"/>
      <c r="AJ577" s="8"/>
      <c r="AK577" s="8"/>
      <c r="AL577" s="8"/>
      <c r="AM577" s="8"/>
      <c r="AN577" s="8"/>
      <c r="AO577" s="1"/>
    </row>
    <row r="578" spans="1:41" x14ac:dyDescent="0.35">
      <c r="A578" s="6"/>
      <c r="B578" s="81"/>
      <c r="C578" s="83"/>
      <c r="D578" s="8"/>
      <c r="E578" s="8"/>
      <c r="F578" s="8"/>
      <c r="G578" s="8"/>
      <c r="H578" s="8"/>
      <c r="I578" s="8"/>
      <c r="J578" s="8"/>
      <c r="K578" s="8"/>
      <c r="L578" s="8"/>
      <c r="M578" s="8"/>
      <c r="N578" s="8"/>
      <c r="O578" s="8"/>
      <c r="P578" s="8"/>
      <c r="Q578" s="8"/>
      <c r="R578" s="8"/>
      <c r="S578" s="8"/>
      <c r="T578" s="8"/>
      <c r="U578" s="8"/>
      <c r="V578" s="8"/>
      <c r="W578" s="8"/>
      <c r="X578" s="8"/>
      <c r="Y578" s="8"/>
      <c r="Z578" s="8"/>
      <c r="AA578" s="8"/>
      <c r="AB578" s="8"/>
      <c r="AC578" s="8"/>
      <c r="AD578" s="8"/>
      <c r="AE578" s="8"/>
      <c r="AF578" s="8"/>
      <c r="AG578" s="8"/>
      <c r="AH578" s="8"/>
      <c r="AI578" s="8"/>
      <c r="AJ578" s="8"/>
      <c r="AK578" s="8"/>
      <c r="AL578" s="8"/>
      <c r="AM578" s="8"/>
      <c r="AN578" s="8"/>
      <c r="AO578" s="1"/>
    </row>
    <row r="579" spans="1:41" x14ac:dyDescent="0.35">
      <c r="A579" s="6"/>
      <c r="B579" s="81"/>
      <c r="C579" s="83"/>
      <c r="D579" s="8"/>
      <c r="E579" s="8"/>
      <c r="F579" s="8"/>
      <c r="G579" s="8"/>
      <c r="H579" s="8"/>
      <c r="I579" s="8"/>
      <c r="J579" s="8"/>
      <c r="K579" s="8"/>
      <c r="L579" s="8"/>
      <c r="M579" s="8"/>
      <c r="N579" s="8"/>
      <c r="O579" s="8"/>
      <c r="P579" s="8"/>
      <c r="Q579" s="8"/>
      <c r="R579" s="8"/>
      <c r="S579" s="8"/>
      <c r="T579" s="8"/>
      <c r="U579" s="8"/>
      <c r="V579" s="8"/>
      <c r="W579" s="8"/>
      <c r="X579" s="8"/>
      <c r="Y579" s="8"/>
      <c r="Z579" s="8"/>
      <c r="AA579" s="8"/>
      <c r="AB579" s="8"/>
      <c r="AC579" s="8"/>
      <c r="AD579" s="8"/>
      <c r="AE579" s="8"/>
      <c r="AF579" s="8"/>
      <c r="AG579" s="8"/>
      <c r="AH579" s="8"/>
      <c r="AI579" s="8"/>
      <c r="AJ579" s="8"/>
      <c r="AK579" s="8"/>
      <c r="AL579" s="8"/>
      <c r="AM579" s="8"/>
      <c r="AN579" s="8"/>
      <c r="AO579" s="1"/>
    </row>
    <row r="580" spans="1:41" x14ac:dyDescent="0.35">
      <c r="A580" s="6"/>
      <c r="B580" s="81"/>
      <c r="C580" s="83"/>
      <c r="D580" s="8"/>
      <c r="E580" s="8"/>
      <c r="F580" s="8"/>
      <c r="G580" s="8"/>
      <c r="H580" s="8"/>
      <c r="I580" s="8"/>
      <c r="J580" s="8"/>
      <c r="K580" s="8"/>
      <c r="L580" s="8"/>
      <c r="M580" s="8"/>
      <c r="N580" s="8"/>
      <c r="O580" s="8"/>
      <c r="P580" s="8"/>
      <c r="Q580" s="8"/>
      <c r="R580" s="8"/>
      <c r="S580" s="8"/>
      <c r="T580" s="8"/>
      <c r="U580" s="8"/>
      <c r="V580" s="8"/>
      <c r="W580" s="8"/>
      <c r="X580" s="8"/>
      <c r="Y580" s="8"/>
      <c r="Z580" s="8"/>
      <c r="AA580" s="8"/>
      <c r="AB580" s="8"/>
      <c r="AC580" s="8"/>
      <c r="AD580" s="8"/>
      <c r="AE580" s="8"/>
      <c r="AF580" s="8"/>
      <c r="AG580" s="8"/>
      <c r="AH580" s="8"/>
      <c r="AI580" s="8"/>
      <c r="AJ580" s="8"/>
      <c r="AK580" s="8"/>
      <c r="AL580" s="8"/>
      <c r="AM580" s="8"/>
      <c r="AN580" s="8"/>
      <c r="AO580" s="1"/>
    </row>
    <row r="581" spans="1:41" x14ac:dyDescent="0.35">
      <c r="A581" s="6"/>
      <c r="B581" s="81"/>
      <c r="C581" s="83"/>
      <c r="D581" s="8"/>
      <c r="E581" s="8"/>
      <c r="F581" s="8"/>
      <c r="G581" s="8"/>
      <c r="H581" s="8"/>
      <c r="I581" s="8"/>
      <c r="J581" s="8"/>
      <c r="K581" s="8"/>
      <c r="L581" s="8"/>
      <c r="M581" s="8"/>
      <c r="N581" s="8"/>
      <c r="O581" s="8"/>
      <c r="P581" s="8"/>
      <c r="Q581" s="8"/>
      <c r="R581" s="8"/>
      <c r="S581" s="8"/>
      <c r="T581" s="8"/>
      <c r="U581" s="8"/>
      <c r="V581" s="8"/>
      <c r="W581" s="8"/>
      <c r="X581" s="8"/>
      <c r="Y581" s="8"/>
      <c r="Z581" s="8"/>
      <c r="AA581" s="8"/>
      <c r="AB581" s="8"/>
      <c r="AC581" s="8"/>
      <c r="AD581" s="8"/>
      <c r="AE581" s="8"/>
      <c r="AF581" s="8"/>
      <c r="AG581" s="8"/>
      <c r="AH581" s="8"/>
      <c r="AI581" s="8"/>
      <c r="AJ581" s="8"/>
      <c r="AK581" s="8"/>
      <c r="AL581" s="8"/>
      <c r="AM581" s="8"/>
      <c r="AN581" s="8"/>
      <c r="AO581" s="1"/>
    </row>
    <row r="582" spans="1:41" x14ac:dyDescent="0.35">
      <c r="A582" s="6"/>
      <c r="B582" s="81"/>
      <c r="C582" s="83"/>
      <c r="D582" s="8"/>
      <c r="E582" s="8"/>
      <c r="F582" s="8"/>
      <c r="G582" s="8"/>
      <c r="H582" s="8"/>
      <c r="I582" s="8"/>
      <c r="J582" s="8"/>
      <c r="K582" s="8"/>
      <c r="L582" s="8"/>
      <c r="M582" s="8"/>
      <c r="N582" s="8"/>
      <c r="O582" s="8"/>
      <c r="P582" s="8"/>
      <c r="Q582" s="8"/>
      <c r="R582" s="8"/>
      <c r="S582" s="8"/>
      <c r="T582" s="8"/>
      <c r="U582" s="8"/>
      <c r="V582" s="8"/>
      <c r="W582" s="8"/>
      <c r="X582" s="8"/>
      <c r="Y582" s="8"/>
      <c r="Z582" s="8"/>
      <c r="AA582" s="8"/>
      <c r="AB582" s="8"/>
      <c r="AC582" s="8"/>
      <c r="AD582" s="8"/>
      <c r="AE582" s="8"/>
      <c r="AF582" s="8"/>
      <c r="AG582" s="8"/>
      <c r="AH582" s="8"/>
      <c r="AI582" s="8"/>
      <c r="AJ582" s="8"/>
      <c r="AK582" s="8"/>
      <c r="AL582" s="8"/>
      <c r="AM582" s="8"/>
      <c r="AN582" s="8"/>
      <c r="AO582" s="1"/>
    </row>
    <row r="583" spans="1:41" x14ac:dyDescent="0.35">
      <c r="A583" s="6"/>
      <c r="B583" s="81"/>
      <c r="C583" s="83"/>
      <c r="D583" s="8"/>
      <c r="E583" s="8"/>
      <c r="F583" s="8"/>
      <c r="G583" s="8"/>
      <c r="H583" s="8"/>
      <c r="I583" s="8"/>
      <c r="J583" s="8"/>
      <c r="K583" s="8"/>
      <c r="L583" s="8"/>
      <c r="M583" s="8"/>
      <c r="N583" s="8"/>
      <c r="O583" s="8"/>
      <c r="P583" s="8"/>
      <c r="Q583" s="8"/>
      <c r="R583" s="8"/>
      <c r="S583" s="8"/>
      <c r="T583" s="8"/>
      <c r="U583" s="8"/>
      <c r="V583" s="8"/>
      <c r="W583" s="8"/>
      <c r="X583" s="8"/>
      <c r="Y583" s="8"/>
      <c r="Z583" s="8"/>
      <c r="AA583" s="8"/>
      <c r="AB583" s="8"/>
      <c r="AC583" s="8"/>
      <c r="AD583" s="8"/>
      <c r="AE583" s="8"/>
      <c r="AF583" s="8"/>
      <c r="AG583" s="8"/>
      <c r="AH583" s="8"/>
      <c r="AI583" s="8"/>
      <c r="AJ583" s="8"/>
      <c r="AK583" s="8"/>
      <c r="AL583" s="8"/>
      <c r="AM583" s="8"/>
      <c r="AN583" s="8"/>
      <c r="AO583" s="1"/>
    </row>
    <row r="584" spans="1:41" x14ac:dyDescent="0.35">
      <c r="A584" s="6"/>
      <c r="B584" s="81"/>
      <c r="C584" s="83"/>
      <c r="D584" s="8"/>
      <c r="E584" s="8"/>
      <c r="F584" s="8"/>
      <c r="G584" s="8"/>
      <c r="H584" s="8"/>
      <c r="I584" s="8"/>
      <c r="J584" s="8"/>
      <c r="K584" s="8"/>
      <c r="L584" s="8"/>
      <c r="M584" s="8"/>
      <c r="N584" s="8"/>
      <c r="O584" s="8"/>
      <c r="P584" s="8"/>
      <c r="Q584" s="8"/>
      <c r="R584" s="8"/>
      <c r="S584" s="8"/>
      <c r="T584" s="8"/>
      <c r="U584" s="8"/>
      <c r="V584" s="8"/>
      <c r="W584" s="8"/>
      <c r="X584" s="8"/>
      <c r="Y584" s="8"/>
      <c r="Z584" s="8"/>
      <c r="AA584" s="8"/>
      <c r="AB584" s="8"/>
      <c r="AC584" s="8"/>
      <c r="AD584" s="8"/>
      <c r="AE584" s="8"/>
      <c r="AF584" s="8"/>
      <c r="AG584" s="8"/>
      <c r="AH584" s="8"/>
      <c r="AI584" s="8"/>
      <c r="AJ584" s="8"/>
      <c r="AK584" s="8"/>
      <c r="AL584" s="8"/>
      <c r="AM584" s="8"/>
      <c r="AN584" s="8"/>
      <c r="AO584" s="1"/>
    </row>
    <row r="585" spans="1:41" x14ac:dyDescent="0.35">
      <c r="A585" s="6"/>
      <c r="B585" s="81"/>
      <c r="C585" s="83"/>
      <c r="D585" s="8"/>
      <c r="E585" s="8"/>
      <c r="F585" s="8"/>
      <c r="G585" s="8"/>
      <c r="H585" s="8"/>
      <c r="I585" s="8"/>
      <c r="J585" s="8"/>
      <c r="K585" s="8"/>
      <c r="L585" s="8"/>
      <c r="M585" s="8"/>
      <c r="N585" s="8"/>
      <c r="O585" s="8"/>
      <c r="P585" s="8"/>
      <c r="Q585" s="8"/>
      <c r="R585" s="8"/>
      <c r="S585" s="8"/>
      <c r="T585" s="8"/>
      <c r="U585" s="8"/>
      <c r="V585" s="8"/>
      <c r="W585" s="8"/>
      <c r="X585" s="8"/>
      <c r="Y585" s="8"/>
      <c r="Z585" s="8"/>
      <c r="AA585" s="8"/>
      <c r="AB585" s="8"/>
      <c r="AC585" s="8"/>
      <c r="AD585" s="8"/>
      <c r="AE585" s="8"/>
      <c r="AF585" s="8"/>
      <c r="AG585" s="8"/>
      <c r="AH585" s="8"/>
      <c r="AI585" s="8"/>
      <c r="AJ585" s="8"/>
      <c r="AK585" s="8"/>
      <c r="AL585" s="8"/>
      <c r="AM585" s="8"/>
      <c r="AN585" s="8"/>
      <c r="AO585" s="1"/>
    </row>
    <row r="586" spans="1:41" x14ac:dyDescent="0.35">
      <c r="A586" s="6"/>
      <c r="B586" s="81"/>
      <c r="C586" s="83"/>
      <c r="D586" s="8"/>
      <c r="E586" s="8"/>
      <c r="F586" s="8"/>
      <c r="G586" s="8"/>
      <c r="H586" s="8"/>
      <c r="I586" s="8"/>
      <c r="J586" s="8"/>
      <c r="K586" s="8"/>
      <c r="L586" s="8"/>
      <c r="M586" s="8"/>
      <c r="N586" s="8"/>
      <c r="O586" s="8"/>
      <c r="P586" s="8"/>
      <c r="Q586" s="8"/>
      <c r="R586" s="8"/>
      <c r="S586" s="8"/>
      <c r="T586" s="8"/>
      <c r="U586" s="8"/>
      <c r="V586" s="8"/>
      <c r="W586" s="8"/>
      <c r="X586" s="8"/>
      <c r="Y586" s="8"/>
      <c r="Z586" s="8"/>
      <c r="AA586" s="8"/>
      <c r="AB586" s="8"/>
      <c r="AC586" s="8"/>
      <c r="AD586" s="8"/>
      <c r="AE586" s="8"/>
      <c r="AF586" s="8"/>
      <c r="AG586" s="8"/>
      <c r="AH586" s="8"/>
      <c r="AI586" s="8"/>
      <c r="AJ586" s="8"/>
      <c r="AK586" s="8"/>
      <c r="AL586" s="8"/>
      <c r="AM586" s="8"/>
      <c r="AN586" s="8"/>
      <c r="AO586" s="1"/>
    </row>
    <row r="587" spans="1:41" x14ac:dyDescent="0.35">
      <c r="A587" s="6"/>
      <c r="B587" s="81"/>
      <c r="C587" s="83"/>
      <c r="D587" s="8"/>
      <c r="E587" s="8"/>
      <c r="F587" s="8"/>
      <c r="G587" s="8"/>
      <c r="H587" s="8"/>
      <c r="I587" s="8"/>
      <c r="J587" s="8"/>
      <c r="K587" s="8"/>
      <c r="L587" s="8"/>
      <c r="M587" s="8"/>
      <c r="N587" s="8"/>
      <c r="O587" s="8"/>
      <c r="P587" s="8"/>
      <c r="Q587" s="8"/>
      <c r="R587" s="8"/>
      <c r="S587" s="8"/>
      <c r="T587" s="8"/>
      <c r="U587" s="8"/>
      <c r="V587" s="8"/>
      <c r="W587" s="8"/>
      <c r="X587" s="8"/>
      <c r="Y587" s="8"/>
      <c r="Z587" s="8"/>
      <c r="AA587" s="8"/>
      <c r="AB587" s="8"/>
      <c r="AC587" s="8"/>
      <c r="AD587" s="8"/>
      <c r="AE587" s="8"/>
      <c r="AF587" s="8"/>
      <c r="AG587" s="8"/>
      <c r="AH587" s="8"/>
      <c r="AI587" s="8"/>
      <c r="AJ587" s="8"/>
      <c r="AK587" s="8"/>
      <c r="AL587" s="8"/>
      <c r="AM587" s="8"/>
      <c r="AN587" s="8"/>
      <c r="AO587" s="1"/>
    </row>
    <row r="588" spans="1:41" x14ac:dyDescent="0.35">
      <c r="A588" s="6"/>
      <c r="B588" s="81"/>
      <c r="C588" s="83"/>
      <c r="D588" s="8"/>
      <c r="E588" s="8"/>
      <c r="F588" s="8"/>
      <c r="G588" s="8"/>
      <c r="H588" s="8"/>
      <c r="I588" s="8"/>
      <c r="J588" s="8"/>
      <c r="K588" s="8"/>
      <c r="L588" s="8"/>
      <c r="M588" s="8"/>
      <c r="N588" s="8"/>
      <c r="O588" s="8"/>
      <c r="P588" s="8"/>
      <c r="Q588" s="8"/>
      <c r="R588" s="8"/>
      <c r="S588" s="8"/>
      <c r="T588" s="8"/>
      <c r="U588" s="8"/>
      <c r="V588" s="8"/>
      <c r="W588" s="8"/>
      <c r="X588" s="8"/>
      <c r="Y588" s="8"/>
      <c r="Z588" s="8"/>
      <c r="AA588" s="8"/>
      <c r="AB588" s="8"/>
      <c r="AC588" s="8"/>
      <c r="AD588" s="8"/>
      <c r="AE588" s="8"/>
      <c r="AF588" s="8"/>
      <c r="AG588" s="8"/>
      <c r="AH588" s="8"/>
      <c r="AI588" s="8"/>
      <c r="AJ588" s="8"/>
      <c r="AK588" s="8"/>
      <c r="AL588" s="8"/>
      <c r="AM588" s="8"/>
      <c r="AN588" s="8"/>
      <c r="AO588" s="1"/>
    </row>
    <row r="589" spans="1:41" x14ac:dyDescent="0.35">
      <c r="A589" s="6"/>
      <c r="B589" s="81"/>
      <c r="C589" s="83"/>
      <c r="D589" s="8"/>
      <c r="E589" s="8"/>
      <c r="F589" s="8"/>
      <c r="G589" s="8"/>
      <c r="H589" s="8"/>
      <c r="I589" s="8"/>
      <c r="J589" s="8"/>
      <c r="K589" s="8"/>
      <c r="L589" s="8"/>
      <c r="M589" s="8"/>
      <c r="N589" s="8"/>
      <c r="O589" s="8"/>
      <c r="P589" s="8"/>
      <c r="Q589" s="8"/>
      <c r="R589" s="8"/>
      <c r="S589" s="8"/>
      <c r="T589" s="8"/>
      <c r="U589" s="8"/>
      <c r="V589" s="8"/>
      <c r="W589" s="8"/>
      <c r="X589" s="8"/>
      <c r="Y589" s="8"/>
      <c r="Z589" s="8"/>
      <c r="AA589" s="8"/>
      <c r="AB589" s="8"/>
      <c r="AC589" s="8"/>
      <c r="AD589" s="8"/>
      <c r="AE589" s="8"/>
      <c r="AF589" s="8"/>
      <c r="AG589" s="8"/>
      <c r="AH589" s="8"/>
      <c r="AI589" s="8"/>
      <c r="AJ589" s="8"/>
      <c r="AK589" s="8"/>
      <c r="AL589" s="8"/>
      <c r="AM589" s="8"/>
      <c r="AN589" s="8"/>
      <c r="AO589" s="1"/>
    </row>
    <row r="590" spans="1:41" x14ac:dyDescent="0.35">
      <c r="A590" s="6"/>
      <c r="B590" s="81"/>
      <c r="C590" s="83"/>
      <c r="D590" s="8"/>
      <c r="E590" s="8"/>
      <c r="F590" s="8"/>
      <c r="G590" s="8"/>
      <c r="H590" s="8"/>
      <c r="I590" s="8"/>
      <c r="J590" s="8"/>
      <c r="K590" s="8"/>
      <c r="L590" s="8"/>
      <c r="M590" s="8"/>
      <c r="N590" s="8"/>
      <c r="O590" s="8"/>
      <c r="P590" s="8"/>
      <c r="Q590" s="8"/>
      <c r="R590" s="8"/>
      <c r="S590" s="8"/>
      <c r="T590" s="8"/>
      <c r="U590" s="8"/>
      <c r="V590" s="8"/>
      <c r="W590" s="8"/>
      <c r="X590" s="8"/>
      <c r="Y590" s="8"/>
      <c r="Z590" s="8"/>
      <c r="AA590" s="8"/>
      <c r="AB590" s="8"/>
      <c r="AC590" s="8"/>
      <c r="AD590" s="8"/>
      <c r="AE590" s="8"/>
      <c r="AF590" s="8"/>
      <c r="AG590" s="8"/>
      <c r="AH590" s="8"/>
      <c r="AI590" s="8"/>
      <c r="AJ590" s="8"/>
      <c r="AK590" s="8"/>
      <c r="AL590" s="8"/>
      <c r="AM590" s="8"/>
      <c r="AN590" s="8"/>
      <c r="AO590" s="1"/>
    </row>
    <row r="591" spans="1:41" x14ac:dyDescent="0.35">
      <c r="A591" s="6"/>
      <c r="B591" s="81"/>
      <c r="C591" s="83"/>
      <c r="D591" s="8"/>
      <c r="E591" s="8"/>
      <c r="F591" s="8"/>
      <c r="G591" s="8"/>
      <c r="H591" s="8"/>
      <c r="I591" s="8"/>
      <c r="J591" s="8"/>
      <c r="K591" s="8"/>
      <c r="L591" s="8"/>
      <c r="M591" s="8"/>
      <c r="N591" s="8"/>
      <c r="O591" s="8"/>
      <c r="P591" s="8"/>
      <c r="Q591" s="8"/>
      <c r="R591" s="8"/>
      <c r="S591" s="8"/>
      <c r="T591" s="8"/>
      <c r="U591" s="8"/>
      <c r="V591" s="8"/>
      <c r="W591" s="8"/>
      <c r="X591" s="8"/>
      <c r="Y591" s="8"/>
      <c r="Z591" s="8"/>
      <c r="AA591" s="8"/>
      <c r="AB591" s="8"/>
      <c r="AC591" s="8"/>
      <c r="AD591" s="8"/>
      <c r="AE591" s="8"/>
      <c r="AF591" s="8"/>
      <c r="AG591" s="8"/>
      <c r="AH591" s="8"/>
      <c r="AI591" s="8"/>
      <c r="AJ591" s="8"/>
      <c r="AK591" s="8"/>
      <c r="AL591" s="8"/>
      <c r="AM591" s="8"/>
      <c r="AN591" s="8"/>
      <c r="AO591" s="1"/>
    </row>
    <row r="592" spans="1:41" x14ac:dyDescent="0.35">
      <c r="A592" s="6"/>
      <c r="B592" s="81"/>
      <c r="C592" s="83"/>
      <c r="D592" s="8"/>
      <c r="E592" s="8"/>
      <c r="F592" s="8"/>
      <c r="G592" s="8"/>
      <c r="H592" s="8"/>
      <c r="I592" s="8"/>
      <c r="J592" s="8"/>
      <c r="K592" s="8"/>
      <c r="L592" s="8"/>
      <c r="M592" s="8"/>
      <c r="N592" s="8"/>
      <c r="O592" s="8"/>
      <c r="P592" s="8"/>
      <c r="Q592" s="8"/>
      <c r="R592" s="8"/>
      <c r="S592" s="8"/>
      <c r="T592" s="8"/>
      <c r="U592" s="8"/>
      <c r="V592" s="8"/>
      <c r="W592" s="8"/>
      <c r="X592" s="8"/>
      <c r="Y592" s="8"/>
      <c r="Z592" s="8"/>
      <c r="AA592" s="8"/>
      <c r="AB592" s="8"/>
      <c r="AC592" s="8"/>
      <c r="AD592" s="8"/>
      <c r="AE592" s="8"/>
      <c r="AF592" s="8"/>
      <c r="AG592" s="8"/>
      <c r="AH592" s="8"/>
      <c r="AI592" s="8"/>
      <c r="AJ592" s="8"/>
      <c r="AK592" s="8"/>
      <c r="AL592" s="8"/>
      <c r="AM592" s="8"/>
      <c r="AN592" s="8"/>
      <c r="AO592" s="1"/>
    </row>
    <row r="593" spans="1:41" x14ac:dyDescent="0.35">
      <c r="A593" s="6"/>
      <c r="B593" s="81"/>
      <c r="C593" s="83"/>
      <c r="D593" s="8"/>
      <c r="E593" s="8"/>
      <c r="F593" s="8"/>
      <c r="G593" s="8"/>
      <c r="H593" s="8"/>
      <c r="I593" s="8"/>
      <c r="J593" s="8"/>
      <c r="K593" s="8"/>
      <c r="L593" s="8"/>
      <c r="M593" s="8"/>
      <c r="N593" s="8"/>
      <c r="O593" s="8"/>
      <c r="P593" s="8"/>
      <c r="Q593" s="8"/>
      <c r="R593" s="8"/>
      <c r="S593" s="8"/>
      <c r="T593" s="8"/>
      <c r="U593" s="8"/>
      <c r="V593" s="8"/>
      <c r="W593" s="8"/>
      <c r="X593" s="8"/>
      <c r="Y593" s="8"/>
      <c r="Z593" s="8"/>
      <c r="AA593" s="8"/>
      <c r="AB593" s="8"/>
      <c r="AC593" s="8"/>
      <c r="AD593" s="8"/>
      <c r="AE593" s="8"/>
      <c r="AF593" s="8"/>
      <c r="AG593" s="8"/>
      <c r="AH593" s="8"/>
      <c r="AI593" s="8"/>
      <c r="AJ593" s="8"/>
      <c r="AK593" s="8"/>
      <c r="AL593" s="8"/>
      <c r="AM593" s="8"/>
      <c r="AN593" s="8"/>
      <c r="AO593" s="1"/>
    </row>
    <row r="594" spans="1:41" x14ac:dyDescent="0.35">
      <c r="A594" s="6"/>
      <c r="B594" s="81"/>
      <c r="C594" s="83"/>
      <c r="D594" s="8"/>
      <c r="E594" s="8"/>
      <c r="F594" s="8"/>
      <c r="G594" s="8"/>
      <c r="H594" s="8"/>
      <c r="I594" s="8"/>
      <c r="J594" s="8"/>
      <c r="K594" s="8"/>
      <c r="L594" s="8"/>
      <c r="M594" s="8"/>
      <c r="N594" s="8"/>
      <c r="O594" s="8"/>
      <c r="P594" s="8"/>
      <c r="Q594" s="8"/>
      <c r="R594" s="8"/>
      <c r="S594" s="8"/>
      <c r="T594" s="8"/>
      <c r="U594" s="8"/>
      <c r="V594" s="8"/>
      <c r="W594" s="8"/>
      <c r="X594" s="8"/>
      <c r="Y594" s="8"/>
      <c r="Z594" s="8"/>
      <c r="AA594" s="8"/>
      <c r="AB594" s="8"/>
      <c r="AC594" s="8"/>
      <c r="AD594" s="8"/>
      <c r="AE594" s="8"/>
      <c r="AF594" s="8"/>
      <c r="AG594" s="8"/>
      <c r="AH594" s="8"/>
      <c r="AI594" s="8"/>
      <c r="AJ594" s="8"/>
      <c r="AK594" s="8"/>
      <c r="AL594" s="8"/>
      <c r="AM594" s="8"/>
      <c r="AN594" s="8"/>
      <c r="AO594" s="1"/>
    </row>
    <row r="595" spans="1:41" x14ac:dyDescent="0.35">
      <c r="A595" s="6"/>
      <c r="B595" s="81"/>
      <c r="C595" s="83"/>
      <c r="D595" s="8"/>
      <c r="E595" s="8"/>
      <c r="F595" s="8"/>
      <c r="G595" s="8"/>
      <c r="H595" s="8"/>
      <c r="I595" s="8"/>
      <c r="J595" s="8"/>
      <c r="K595" s="8"/>
      <c r="L595" s="8"/>
      <c r="M595" s="8"/>
      <c r="N595" s="8"/>
      <c r="O595" s="8"/>
      <c r="P595" s="8"/>
      <c r="Q595" s="8"/>
      <c r="R595" s="8"/>
      <c r="S595" s="8"/>
      <c r="T595" s="8"/>
      <c r="U595" s="8"/>
      <c r="V595" s="8"/>
      <c r="W595" s="8"/>
      <c r="X595" s="8"/>
      <c r="Y595" s="8"/>
      <c r="Z595" s="8"/>
      <c r="AA595" s="8"/>
      <c r="AB595" s="8"/>
      <c r="AC595" s="8"/>
      <c r="AD595" s="8"/>
      <c r="AE595" s="8"/>
      <c r="AF595" s="8"/>
      <c r="AG595" s="8"/>
      <c r="AH595" s="8"/>
      <c r="AI595" s="8"/>
      <c r="AJ595" s="8"/>
      <c r="AK595" s="8"/>
      <c r="AL595" s="8"/>
      <c r="AM595" s="8"/>
      <c r="AN595" s="8"/>
      <c r="AO595" s="1"/>
    </row>
    <row r="596" spans="1:41" x14ac:dyDescent="0.35">
      <c r="A596" s="6"/>
      <c r="B596" s="81"/>
      <c r="C596" s="83"/>
      <c r="D596" s="8"/>
      <c r="E596" s="8"/>
      <c r="F596" s="8"/>
      <c r="G596" s="8"/>
      <c r="H596" s="8"/>
      <c r="I596" s="8"/>
      <c r="J596" s="8"/>
      <c r="K596" s="8"/>
      <c r="L596" s="8"/>
      <c r="M596" s="8"/>
      <c r="N596" s="8"/>
      <c r="O596" s="8"/>
      <c r="P596" s="8"/>
      <c r="Q596" s="8"/>
      <c r="R596" s="8"/>
      <c r="S596" s="8"/>
      <c r="T596" s="8"/>
      <c r="U596" s="8"/>
      <c r="V596" s="8"/>
      <c r="W596" s="8"/>
      <c r="X596" s="8"/>
      <c r="Y596" s="8"/>
      <c r="Z596" s="8"/>
      <c r="AA596" s="8"/>
      <c r="AB596" s="8"/>
      <c r="AC596" s="8"/>
      <c r="AD596" s="8"/>
      <c r="AE596" s="8"/>
      <c r="AF596" s="8"/>
      <c r="AG596" s="8"/>
      <c r="AH596" s="8"/>
      <c r="AI596" s="8"/>
      <c r="AJ596" s="8"/>
      <c r="AK596" s="8"/>
      <c r="AL596" s="8"/>
      <c r="AM596" s="8"/>
      <c r="AN596" s="8"/>
      <c r="AO596" s="1"/>
    </row>
    <row r="597" spans="1:41" x14ac:dyDescent="0.35">
      <c r="A597" s="6"/>
      <c r="B597" s="81"/>
      <c r="C597" s="83"/>
      <c r="D597" s="8"/>
      <c r="E597" s="8"/>
      <c r="F597" s="8"/>
      <c r="G597" s="8"/>
      <c r="H597" s="8"/>
      <c r="I597" s="8"/>
      <c r="J597" s="8"/>
      <c r="K597" s="8"/>
      <c r="L597" s="8"/>
      <c r="M597" s="8"/>
      <c r="N597" s="8"/>
      <c r="O597" s="8"/>
      <c r="P597" s="8"/>
      <c r="Q597" s="8"/>
      <c r="R597" s="8"/>
      <c r="S597" s="8"/>
      <c r="T597" s="8"/>
      <c r="U597" s="8"/>
      <c r="V597" s="8"/>
      <c r="W597" s="8"/>
      <c r="X597" s="8"/>
      <c r="Y597" s="8"/>
      <c r="Z597" s="8"/>
      <c r="AA597" s="8"/>
      <c r="AB597" s="8"/>
      <c r="AC597" s="8"/>
      <c r="AD597" s="8"/>
      <c r="AE597" s="8"/>
      <c r="AF597" s="8"/>
      <c r="AG597" s="8"/>
      <c r="AH597" s="8"/>
      <c r="AI597" s="8"/>
      <c r="AJ597" s="8"/>
      <c r="AK597" s="8"/>
      <c r="AL597" s="8"/>
      <c r="AM597" s="8"/>
      <c r="AN597" s="8"/>
      <c r="AO597" s="1"/>
    </row>
    <row r="598" spans="1:41" x14ac:dyDescent="0.35">
      <c r="A598" s="6"/>
      <c r="B598" s="81"/>
      <c r="C598" s="83"/>
      <c r="D598" s="8"/>
      <c r="E598" s="8"/>
      <c r="F598" s="8"/>
      <c r="G598" s="8"/>
      <c r="H598" s="8"/>
      <c r="I598" s="8"/>
      <c r="J598" s="8"/>
      <c r="K598" s="8"/>
      <c r="L598" s="8"/>
      <c r="M598" s="8"/>
      <c r="N598" s="8"/>
      <c r="O598" s="8"/>
      <c r="P598" s="8"/>
      <c r="Q598" s="8"/>
      <c r="R598" s="8"/>
      <c r="S598" s="8"/>
      <c r="T598" s="8"/>
      <c r="U598" s="8"/>
      <c r="V598" s="8"/>
      <c r="W598" s="8"/>
      <c r="X598" s="8"/>
      <c r="Y598" s="8"/>
      <c r="Z598" s="8"/>
      <c r="AA598" s="8"/>
      <c r="AB598" s="8"/>
      <c r="AC598" s="8"/>
      <c r="AD598" s="8"/>
      <c r="AE598" s="8"/>
      <c r="AF598" s="8"/>
      <c r="AG598" s="8"/>
      <c r="AH598" s="8"/>
      <c r="AI598" s="8"/>
      <c r="AJ598" s="8"/>
      <c r="AK598" s="8"/>
      <c r="AL598" s="8"/>
      <c r="AM598" s="8"/>
      <c r="AN598" s="8"/>
      <c r="AO598" s="1"/>
    </row>
    <row r="599" spans="1:41" x14ac:dyDescent="0.35">
      <c r="A599" s="6"/>
      <c r="B599" s="81"/>
      <c r="C599" s="83"/>
      <c r="D599" s="8"/>
      <c r="E599" s="8"/>
      <c r="F599" s="8"/>
      <c r="G599" s="8"/>
      <c r="H599" s="8"/>
      <c r="I599" s="8"/>
      <c r="J599" s="8"/>
      <c r="K599" s="8"/>
      <c r="L599" s="8"/>
      <c r="M599" s="8"/>
      <c r="N599" s="8"/>
      <c r="O599" s="8"/>
      <c r="P599" s="8"/>
      <c r="Q599" s="8"/>
      <c r="R599" s="8"/>
      <c r="S599" s="8"/>
      <c r="T599" s="8"/>
      <c r="U599" s="8"/>
      <c r="V599" s="8"/>
      <c r="W599" s="8"/>
      <c r="X599" s="8"/>
      <c r="Y599" s="8"/>
      <c r="Z599" s="8"/>
      <c r="AA599" s="8"/>
      <c r="AB599" s="8"/>
      <c r="AC599" s="8"/>
      <c r="AD599" s="8"/>
      <c r="AE599" s="8"/>
      <c r="AF599" s="8"/>
      <c r="AG599" s="8"/>
      <c r="AH599" s="8"/>
      <c r="AI599" s="8"/>
      <c r="AJ599" s="8"/>
      <c r="AK599" s="8"/>
      <c r="AL599" s="8"/>
      <c r="AM599" s="8"/>
      <c r="AN599" s="8"/>
      <c r="AO599" s="1"/>
    </row>
    <row r="600" spans="1:41" x14ac:dyDescent="0.35">
      <c r="A600" s="6"/>
      <c r="B600" s="81"/>
      <c r="C600" s="83"/>
      <c r="D600" s="8"/>
      <c r="E600" s="8"/>
      <c r="F600" s="8"/>
      <c r="G600" s="8"/>
      <c r="H600" s="8"/>
      <c r="I600" s="8"/>
      <c r="J600" s="8"/>
      <c r="K600" s="8"/>
      <c r="L600" s="8"/>
      <c r="M600" s="8"/>
      <c r="N600" s="8"/>
      <c r="O600" s="8"/>
      <c r="P600" s="8"/>
      <c r="Q600" s="8"/>
      <c r="R600" s="8"/>
      <c r="S600" s="8"/>
      <c r="T600" s="8"/>
      <c r="U600" s="8"/>
      <c r="V600" s="8"/>
      <c r="W600" s="8"/>
      <c r="X600" s="8"/>
      <c r="Y600" s="8"/>
      <c r="Z600" s="8"/>
      <c r="AA600" s="8"/>
      <c r="AB600" s="8"/>
      <c r="AC600" s="8"/>
      <c r="AD600" s="8"/>
      <c r="AE600" s="8"/>
      <c r="AF600" s="8"/>
      <c r="AG600" s="8"/>
      <c r="AH600" s="8"/>
      <c r="AI600" s="8"/>
      <c r="AJ600" s="8"/>
      <c r="AK600" s="8"/>
      <c r="AL600" s="8"/>
      <c r="AM600" s="8"/>
      <c r="AN600" s="8"/>
      <c r="AO600" s="1"/>
    </row>
    <row r="601" spans="1:41" x14ac:dyDescent="0.35">
      <c r="A601" s="6"/>
      <c r="B601" s="81"/>
      <c r="C601" s="83"/>
      <c r="D601" s="8"/>
      <c r="E601" s="8"/>
      <c r="F601" s="8"/>
      <c r="G601" s="8"/>
      <c r="H601" s="8"/>
      <c r="I601" s="8"/>
      <c r="J601" s="8"/>
      <c r="K601" s="8"/>
      <c r="L601" s="8"/>
      <c r="M601" s="8"/>
      <c r="N601" s="8"/>
      <c r="O601" s="8"/>
      <c r="P601" s="8"/>
      <c r="Q601" s="8"/>
      <c r="R601" s="8"/>
      <c r="S601" s="8"/>
      <c r="T601" s="8"/>
      <c r="U601" s="8"/>
      <c r="V601" s="8"/>
      <c r="W601" s="8"/>
      <c r="X601" s="8"/>
      <c r="Y601" s="8"/>
      <c r="Z601" s="8"/>
      <c r="AA601" s="8"/>
      <c r="AB601" s="8"/>
      <c r="AC601" s="8"/>
      <c r="AD601" s="8"/>
      <c r="AE601" s="8"/>
      <c r="AF601" s="8"/>
      <c r="AG601" s="8"/>
      <c r="AH601" s="8"/>
      <c r="AI601" s="8"/>
      <c r="AJ601" s="8"/>
      <c r="AK601" s="8"/>
      <c r="AL601" s="8"/>
      <c r="AM601" s="8"/>
      <c r="AN601" s="8"/>
      <c r="AO601" s="1"/>
    </row>
    <row r="602" spans="1:41" x14ac:dyDescent="0.35">
      <c r="A602" s="6"/>
      <c r="B602" s="81"/>
      <c r="C602" s="83"/>
      <c r="D602" s="8"/>
      <c r="E602" s="8"/>
      <c r="F602" s="8"/>
      <c r="G602" s="8"/>
      <c r="H602" s="8"/>
      <c r="I602" s="8"/>
      <c r="J602" s="8"/>
      <c r="K602" s="8"/>
      <c r="L602" s="8"/>
      <c r="M602" s="8"/>
      <c r="N602" s="8"/>
      <c r="O602" s="8"/>
      <c r="P602" s="8"/>
      <c r="Q602" s="8"/>
      <c r="R602" s="8"/>
      <c r="S602" s="8"/>
      <c r="T602" s="8"/>
      <c r="U602" s="8"/>
      <c r="V602" s="8"/>
      <c r="W602" s="8"/>
      <c r="X602" s="8"/>
      <c r="Y602" s="8"/>
      <c r="Z602" s="8"/>
      <c r="AA602" s="8"/>
      <c r="AB602" s="8"/>
      <c r="AC602" s="8"/>
      <c r="AD602" s="8"/>
      <c r="AE602" s="8"/>
      <c r="AF602" s="8"/>
      <c r="AG602" s="8"/>
      <c r="AH602" s="8"/>
      <c r="AI602" s="8"/>
      <c r="AJ602" s="8"/>
      <c r="AK602" s="8"/>
      <c r="AL602" s="8"/>
      <c r="AM602" s="8"/>
      <c r="AN602" s="8"/>
      <c r="AO602" s="1"/>
    </row>
    <row r="603" spans="1:41" x14ac:dyDescent="0.35">
      <c r="A603" s="6"/>
      <c r="B603" s="81"/>
      <c r="C603" s="83"/>
      <c r="D603" s="8"/>
      <c r="E603" s="8"/>
      <c r="F603" s="8"/>
      <c r="G603" s="8"/>
      <c r="H603" s="8"/>
      <c r="I603" s="8"/>
      <c r="J603" s="8"/>
      <c r="K603" s="8"/>
      <c r="L603" s="8"/>
      <c r="M603" s="8"/>
      <c r="N603" s="8"/>
      <c r="O603" s="8"/>
      <c r="P603" s="8"/>
      <c r="Q603" s="8"/>
      <c r="R603" s="8"/>
      <c r="S603" s="8"/>
      <c r="T603" s="8"/>
      <c r="U603" s="8"/>
      <c r="V603" s="8"/>
      <c r="W603" s="8"/>
      <c r="X603" s="8"/>
      <c r="Y603" s="8"/>
      <c r="Z603" s="8"/>
      <c r="AA603" s="8"/>
      <c r="AB603" s="8"/>
      <c r="AC603" s="8"/>
      <c r="AD603" s="8"/>
      <c r="AE603" s="8"/>
      <c r="AF603" s="8"/>
      <c r="AG603" s="8"/>
      <c r="AH603" s="8"/>
      <c r="AI603" s="8"/>
      <c r="AJ603" s="8"/>
      <c r="AK603" s="8"/>
      <c r="AL603" s="8"/>
      <c r="AM603" s="8"/>
      <c r="AN603" s="8"/>
      <c r="AO603" s="1"/>
    </row>
    <row r="604" spans="1:41" x14ac:dyDescent="0.35">
      <c r="A604" s="6"/>
      <c r="B604" s="81"/>
      <c r="C604" s="83"/>
      <c r="D604" s="8"/>
      <c r="E604" s="8"/>
      <c r="F604" s="8"/>
      <c r="G604" s="8"/>
      <c r="H604" s="8"/>
      <c r="I604" s="8"/>
      <c r="J604" s="8"/>
      <c r="K604" s="8"/>
      <c r="L604" s="8"/>
      <c r="M604" s="8"/>
      <c r="N604" s="8"/>
      <c r="O604" s="8"/>
      <c r="P604" s="8"/>
      <c r="Q604" s="8"/>
      <c r="R604" s="8"/>
      <c r="S604" s="8"/>
      <c r="T604" s="8"/>
      <c r="U604" s="8"/>
      <c r="V604" s="8"/>
      <c r="W604" s="8"/>
      <c r="X604" s="8"/>
      <c r="Y604" s="8"/>
      <c r="Z604" s="8"/>
      <c r="AA604" s="8"/>
      <c r="AB604" s="8"/>
      <c r="AC604" s="8"/>
      <c r="AD604" s="8"/>
      <c r="AE604" s="8"/>
      <c r="AF604" s="8"/>
      <c r="AG604" s="8"/>
      <c r="AH604" s="8"/>
      <c r="AI604" s="8"/>
      <c r="AJ604" s="8"/>
      <c r="AK604" s="8"/>
      <c r="AL604" s="8"/>
      <c r="AM604" s="8"/>
      <c r="AN604" s="8"/>
      <c r="AO604" s="1"/>
    </row>
    <row r="605" spans="1:41" x14ac:dyDescent="0.35">
      <c r="A605" s="6"/>
      <c r="B605" s="81"/>
      <c r="C605" s="83"/>
      <c r="D605" s="8"/>
      <c r="E605" s="8"/>
      <c r="F605" s="8"/>
      <c r="G605" s="8"/>
      <c r="H605" s="8"/>
      <c r="I605" s="8"/>
      <c r="J605" s="8"/>
      <c r="K605" s="8"/>
      <c r="L605" s="8"/>
      <c r="M605" s="8"/>
      <c r="N605" s="8"/>
      <c r="O605" s="8"/>
      <c r="P605" s="8"/>
      <c r="Q605" s="8"/>
      <c r="R605" s="8"/>
      <c r="S605" s="8"/>
      <c r="T605" s="8"/>
      <c r="U605" s="8"/>
      <c r="V605" s="8"/>
      <c r="W605" s="8"/>
      <c r="X605" s="8"/>
      <c r="Y605" s="8"/>
      <c r="Z605" s="8"/>
      <c r="AA605" s="8"/>
      <c r="AB605" s="8"/>
      <c r="AC605" s="8"/>
      <c r="AD605" s="8"/>
      <c r="AE605" s="8"/>
      <c r="AF605" s="8"/>
      <c r="AG605" s="8"/>
      <c r="AH605" s="8"/>
      <c r="AI605" s="8"/>
      <c r="AJ605" s="8"/>
      <c r="AK605" s="8"/>
      <c r="AL605" s="8"/>
      <c r="AM605" s="8"/>
      <c r="AN605" s="8"/>
      <c r="AO605" s="1"/>
    </row>
    <row r="606" spans="1:41" x14ac:dyDescent="0.35">
      <c r="A606" s="6"/>
      <c r="B606" s="81"/>
      <c r="C606" s="83"/>
      <c r="D606" s="8"/>
      <c r="E606" s="8"/>
      <c r="F606" s="8"/>
      <c r="G606" s="8"/>
      <c r="H606" s="8"/>
      <c r="I606" s="8"/>
      <c r="J606" s="8"/>
      <c r="K606" s="8"/>
      <c r="L606" s="8"/>
      <c r="M606" s="8"/>
      <c r="N606" s="8"/>
      <c r="O606" s="8"/>
      <c r="P606" s="8"/>
      <c r="Q606" s="8"/>
      <c r="R606" s="8"/>
      <c r="S606" s="8"/>
      <c r="T606" s="8"/>
      <c r="U606" s="8"/>
      <c r="V606" s="8"/>
      <c r="W606" s="8"/>
      <c r="X606" s="8"/>
      <c r="Y606" s="8"/>
      <c r="Z606" s="8"/>
      <c r="AA606" s="8"/>
      <c r="AB606" s="8"/>
      <c r="AC606" s="8"/>
      <c r="AD606" s="8"/>
      <c r="AE606" s="8"/>
      <c r="AF606" s="8"/>
      <c r="AG606" s="8"/>
      <c r="AH606" s="8"/>
      <c r="AI606" s="8"/>
      <c r="AJ606" s="8"/>
      <c r="AK606" s="8"/>
      <c r="AL606" s="8"/>
      <c r="AM606" s="8"/>
      <c r="AN606" s="8"/>
      <c r="AO606" s="1"/>
    </row>
    <row r="607" spans="1:41" x14ac:dyDescent="0.35">
      <c r="A607" s="6"/>
      <c r="B607" s="81"/>
      <c r="C607" s="83"/>
      <c r="D607" s="8"/>
      <c r="E607" s="8"/>
      <c r="F607" s="8"/>
      <c r="G607" s="8"/>
      <c r="H607" s="8"/>
      <c r="I607" s="8"/>
      <c r="J607" s="8"/>
      <c r="K607" s="8"/>
      <c r="L607" s="8"/>
      <c r="M607" s="8"/>
      <c r="N607" s="8"/>
      <c r="O607" s="8"/>
      <c r="P607" s="8"/>
      <c r="Q607" s="8"/>
      <c r="R607" s="8"/>
      <c r="S607" s="8"/>
      <c r="T607" s="8"/>
      <c r="U607" s="8"/>
      <c r="V607" s="8"/>
      <c r="W607" s="8"/>
      <c r="X607" s="8"/>
      <c r="Y607" s="8"/>
      <c r="Z607" s="8"/>
      <c r="AA607" s="8"/>
      <c r="AB607" s="8"/>
      <c r="AC607" s="8"/>
      <c r="AD607" s="8"/>
      <c r="AE607" s="8"/>
      <c r="AF607" s="8"/>
      <c r="AG607" s="8"/>
      <c r="AH607" s="8"/>
      <c r="AI607" s="8"/>
      <c r="AJ607" s="8"/>
      <c r="AK607" s="8"/>
      <c r="AL607" s="8"/>
      <c r="AM607" s="8"/>
      <c r="AN607" s="8"/>
      <c r="AO607" s="1"/>
    </row>
    <row r="608" spans="1:41" x14ac:dyDescent="0.35">
      <c r="A608" s="6"/>
      <c r="B608" s="81"/>
      <c r="C608" s="83"/>
      <c r="D608" s="8"/>
      <c r="E608" s="8"/>
      <c r="F608" s="8"/>
      <c r="G608" s="8"/>
      <c r="H608" s="8"/>
      <c r="I608" s="8"/>
      <c r="J608" s="8"/>
      <c r="K608" s="8"/>
      <c r="L608" s="8"/>
      <c r="M608" s="8"/>
      <c r="N608" s="8"/>
      <c r="O608" s="8"/>
      <c r="P608" s="8"/>
      <c r="Q608" s="8"/>
      <c r="R608" s="8"/>
      <c r="S608" s="8"/>
      <c r="T608" s="8"/>
      <c r="U608" s="8"/>
      <c r="V608" s="8"/>
      <c r="W608" s="8"/>
      <c r="X608" s="8"/>
      <c r="Y608" s="8"/>
      <c r="Z608" s="8"/>
      <c r="AA608" s="8"/>
      <c r="AB608" s="8"/>
      <c r="AC608" s="8"/>
      <c r="AD608" s="8"/>
      <c r="AE608" s="8"/>
      <c r="AF608" s="8"/>
      <c r="AG608" s="8"/>
      <c r="AH608" s="8"/>
      <c r="AI608" s="8"/>
      <c r="AJ608" s="8"/>
      <c r="AK608" s="8"/>
      <c r="AL608" s="8"/>
      <c r="AM608" s="8"/>
      <c r="AN608" s="8"/>
      <c r="AO608" s="1"/>
    </row>
    <row r="609" spans="1:41" x14ac:dyDescent="0.35">
      <c r="A609" s="6"/>
      <c r="B609" s="81"/>
      <c r="C609" s="83"/>
      <c r="D609" s="8"/>
      <c r="E609" s="8"/>
      <c r="F609" s="8"/>
      <c r="G609" s="8"/>
      <c r="H609" s="8"/>
      <c r="I609" s="8"/>
      <c r="J609" s="8"/>
      <c r="K609" s="8"/>
      <c r="L609" s="8"/>
      <c r="M609" s="8"/>
      <c r="N609" s="8"/>
      <c r="O609" s="8"/>
      <c r="P609" s="8"/>
      <c r="Q609" s="8"/>
      <c r="R609" s="8"/>
      <c r="S609" s="8"/>
      <c r="T609" s="8"/>
      <c r="U609" s="8"/>
      <c r="V609" s="8"/>
      <c r="W609" s="8"/>
      <c r="X609" s="8"/>
      <c r="Y609" s="8"/>
      <c r="Z609" s="8"/>
      <c r="AA609" s="8"/>
      <c r="AB609" s="8"/>
      <c r="AC609" s="8"/>
      <c r="AD609" s="8"/>
      <c r="AE609" s="8"/>
      <c r="AF609" s="8"/>
      <c r="AG609" s="8"/>
      <c r="AH609" s="8"/>
      <c r="AI609" s="8"/>
      <c r="AJ609" s="8"/>
      <c r="AK609" s="8"/>
      <c r="AL609" s="8"/>
      <c r="AM609" s="8"/>
      <c r="AN609" s="8"/>
      <c r="AO609" s="1"/>
    </row>
    <row r="610" spans="1:41" x14ac:dyDescent="0.35">
      <c r="A610" s="6"/>
      <c r="B610" s="81"/>
      <c r="C610" s="83"/>
      <c r="D610" s="8"/>
      <c r="E610" s="8"/>
      <c r="F610" s="8"/>
      <c r="G610" s="8"/>
      <c r="H610" s="8"/>
      <c r="I610" s="8"/>
      <c r="J610" s="8"/>
      <c r="K610" s="8"/>
      <c r="L610" s="8"/>
      <c r="M610" s="8"/>
      <c r="N610" s="8"/>
      <c r="O610" s="8"/>
      <c r="P610" s="8"/>
      <c r="Q610" s="8"/>
      <c r="R610" s="8"/>
      <c r="S610" s="8"/>
      <c r="T610" s="8"/>
      <c r="U610" s="8"/>
      <c r="V610" s="8"/>
      <c r="W610" s="8"/>
      <c r="X610" s="8"/>
      <c r="Y610" s="8"/>
      <c r="Z610" s="8"/>
      <c r="AA610" s="8"/>
      <c r="AB610" s="8"/>
      <c r="AC610" s="8"/>
      <c r="AD610" s="8"/>
      <c r="AE610" s="8"/>
      <c r="AF610" s="8"/>
      <c r="AG610" s="8"/>
      <c r="AH610" s="8"/>
      <c r="AI610" s="8"/>
      <c r="AJ610" s="8"/>
      <c r="AK610" s="8"/>
      <c r="AL610" s="8"/>
      <c r="AM610" s="8"/>
      <c r="AN610" s="8"/>
      <c r="AO610" s="1"/>
    </row>
    <row r="611" spans="1:41" x14ac:dyDescent="0.35">
      <c r="A611" s="6"/>
      <c r="B611" s="81"/>
      <c r="C611" s="83"/>
      <c r="D611" s="8"/>
      <c r="E611" s="8"/>
      <c r="F611" s="8"/>
      <c r="G611" s="8"/>
      <c r="H611" s="8"/>
      <c r="I611" s="8"/>
      <c r="J611" s="8"/>
      <c r="K611" s="8"/>
      <c r="L611" s="8"/>
      <c r="M611" s="8"/>
      <c r="N611" s="8"/>
      <c r="O611" s="8"/>
      <c r="P611" s="8"/>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1"/>
    </row>
    <row r="612" spans="1:41" x14ac:dyDescent="0.35">
      <c r="A612" s="6"/>
      <c r="B612" s="81"/>
      <c r="C612" s="83"/>
      <c r="D612" s="8"/>
      <c r="E612" s="8"/>
      <c r="F612" s="8"/>
      <c r="G612" s="8"/>
      <c r="H612" s="8"/>
      <c r="I612" s="8"/>
      <c r="J612" s="8"/>
      <c r="K612" s="8"/>
      <c r="L612" s="8"/>
      <c r="M612" s="8"/>
      <c r="N612" s="8"/>
      <c r="O612" s="8"/>
      <c r="P612" s="8"/>
      <c r="Q612" s="8"/>
      <c r="R612" s="8"/>
      <c r="S612" s="8"/>
      <c r="T612" s="8"/>
      <c r="U612" s="8"/>
      <c r="V612" s="8"/>
      <c r="W612" s="8"/>
      <c r="X612" s="8"/>
      <c r="Y612" s="8"/>
      <c r="Z612" s="8"/>
      <c r="AA612" s="8"/>
      <c r="AB612" s="8"/>
      <c r="AC612" s="8"/>
      <c r="AD612" s="8"/>
      <c r="AE612" s="8"/>
      <c r="AF612" s="8"/>
      <c r="AG612" s="8"/>
      <c r="AH612" s="8"/>
      <c r="AI612" s="8"/>
      <c r="AJ612" s="8"/>
      <c r="AK612" s="8"/>
      <c r="AL612" s="8"/>
      <c r="AM612" s="8"/>
      <c r="AN612" s="8"/>
      <c r="AO612" s="1"/>
    </row>
    <row r="613" spans="1:41" x14ac:dyDescent="0.35">
      <c r="A613" s="6"/>
      <c r="B613" s="81"/>
      <c r="C613" s="83"/>
      <c r="D613" s="8"/>
      <c r="E613" s="8"/>
      <c r="F613" s="8"/>
      <c r="G613" s="8"/>
      <c r="H613" s="8"/>
      <c r="I613" s="8"/>
      <c r="J613" s="8"/>
      <c r="K613" s="8"/>
      <c r="L613" s="8"/>
      <c r="M613" s="8"/>
      <c r="N613" s="8"/>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1"/>
    </row>
    <row r="614" spans="1:41" x14ac:dyDescent="0.35">
      <c r="A614" s="6"/>
      <c r="B614" s="81"/>
      <c r="C614" s="83"/>
      <c r="D614" s="8"/>
      <c r="E614" s="8"/>
      <c r="F614" s="8"/>
      <c r="G614" s="8"/>
      <c r="H614" s="8"/>
      <c r="I614" s="8"/>
      <c r="J614" s="8"/>
      <c r="K614" s="8"/>
      <c r="L614" s="8"/>
      <c r="M614" s="8"/>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c r="AN614" s="8"/>
      <c r="AO614" s="1"/>
    </row>
    <row r="615" spans="1:41" x14ac:dyDescent="0.35">
      <c r="A615" s="6"/>
      <c r="B615" s="81"/>
      <c r="C615" s="83"/>
      <c r="D615" s="8"/>
      <c r="E615" s="8"/>
      <c r="F615" s="8"/>
      <c r="G615" s="8"/>
      <c r="H615" s="8"/>
      <c r="I615" s="8"/>
      <c r="J615" s="8"/>
      <c r="K615" s="8"/>
      <c r="L615" s="8"/>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1"/>
    </row>
    <row r="616" spans="1:41" x14ac:dyDescent="0.35">
      <c r="A616" s="6"/>
      <c r="B616" s="81"/>
      <c r="C616" s="83"/>
      <c r="D616" s="8"/>
      <c r="E616" s="8"/>
      <c r="F616" s="8"/>
      <c r="G616" s="8"/>
      <c r="H616" s="8"/>
      <c r="I616" s="8"/>
      <c r="J616" s="8"/>
      <c r="K616" s="8"/>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c r="AN616" s="8"/>
      <c r="AO616" s="1"/>
    </row>
    <row r="617" spans="1:41" x14ac:dyDescent="0.35">
      <c r="A617" s="6"/>
      <c r="B617" s="81"/>
      <c r="C617" s="83"/>
      <c r="D617" s="8"/>
      <c r="E617" s="8"/>
      <c r="F617" s="8"/>
      <c r="G617" s="8"/>
      <c r="H617" s="8"/>
      <c r="I617" s="8"/>
      <c r="J617" s="8"/>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1"/>
    </row>
    <row r="618" spans="1:41" x14ac:dyDescent="0.35">
      <c r="A618" s="6"/>
      <c r="B618" s="81"/>
      <c r="C618" s="83"/>
      <c r="D618" s="8"/>
      <c r="E618" s="8"/>
      <c r="F618" s="8"/>
      <c r="G618" s="8"/>
      <c r="H618" s="8"/>
      <c r="I618" s="8"/>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c r="AN618" s="8"/>
      <c r="AO618" s="1"/>
    </row>
    <row r="619" spans="1:41" x14ac:dyDescent="0.35">
      <c r="A619" s="6"/>
      <c r="B619" s="81"/>
      <c r="C619" s="83"/>
      <c r="D619" s="8"/>
      <c r="E619" s="8"/>
      <c r="F619" s="8"/>
      <c r="G619" s="8"/>
      <c r="H619" s="8"/>
      <c r="I619" s="8"/>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1"/>
    </row>
    <row r="620" spans="1:41" x14ac:dyDescent="0.35">
      <c r="A620" s="6"/>
      <c r="B620" s="81"/>
      <c r="C620" s="83"/>
      <c r="D620" s="8"/>
      <c r="E620" s="8"/>
      <c r="F620" s="8"/>
      <c r="G620" s="8"/>
      <c r="H620" s="8"/>
      <c r="I620" s="8"/>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c r="AN620" s="8"/>
      <c r="AO620" s="1"/>
    </row>
    <row r="621" spans="1:41" x14ac:dyDescent="0.35">
      <c r="A621" s="6"/>
      <c r="B621" s="81"/>
      <c r="C621" s="83"/>
      <c r="D621" s="8"/>
      <c r="E621" s="8"/>
      <c r="F621" s="8"/>
      <c r="G621" s="8"/>
      <c r="H621" s="8"/>
      <c r="I621" s="8"/>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1"/>
    </row>
    <row r="622" spans="1:41" x14ac:dyDescent="0.35">
      <c r="A622" s="6"/>
      <c r="B622" s="81"/>
      <c r="C622" s="83"/>
      <c r="D622" s="8"/>
      <c r="E622" s="8"/>
      <c r="F622" s="8"/>
      <c r="G622" s="8"/>
      <c r="H622" s="8"/>
      <c r="I622" s="8"/>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c r="AN622" s="8"/>
      <c r="AO622" s="1"/>
    </row>
    <row r="623" spans="1:41" x14ac:dyDescent="0.35">
      <c r="A623" s="6"/>
      <c r="B623" s="81"/>
      <c r="C623" s="83"/>
      <c r="D623" s="8"/>
      <c r="E623" s="8"/>
      <c r="F623" s="8"/>
      <c r="G623" s="8"/>
      <c r="H623" s="8"/>
      <c r="I623" s="8"/>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1"/>
    </row>
    <row r="624" spans="1:41" x14ac:dyDescent="0.35">
      <c r="A624" s="6"/>
      <c r="B624" s="81"/>
      <c r="C624" s="83"/>
      <c r="D624" s="8"/>
      <c r="E624" s="8"/>
      <c r="F624" s="8"/>
      <c r="G624" s="8"/>
      <c r="H624" s="8"/>
      <c r="I624" s="8"/>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c r="AN624" s="8"/>
      <c r="AO624" s="1"/>
    </row>
    <row r="625" spans="1:41" x14ac:dyDescent="0.35">
      <c r="A625" s="6"/>
      <c r="B625" s="81"/>
      <c r="C625" s="83"/>
      <c r="D625" s="8"/>
      <c r="E625" s="8"/>
      <c r="F625" s="8"/>
      <c r="G625" s="8"/>
      <c r="H625" s="8"/>
      <c r="I625" s="8"/>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1"/>
    </row>
    <row r="626" spans="1:41" x14ac:dyDescent="0.35">
      <c r="A626" s="6"/>
      <c r="B626" s="81"/>
      <c r="C626" s="83"/>
      <c r="D626" s="8"/>
      <c r="E626" s="8"/>
      <c r="F626" s="8"/>
      <c r="G626" s="8"/>
      <c r="H626" s="8"/>
      <c r="I626" s="8"/>
      <c r="J626" s="8"/>
      <c r="K626" s="8"/>
      <c r="L626" s="8"/>
      <c r="M626" s="8"/>
      <c r="N626" s="8"/>
      <c r="O626" s="8"/>
      <c r="P626" s="8"/>
      <c r="Q626" s="8"/>
      <c r="R626" s="8"/>
      <c r="S626" s="8"/>
      <c r="T626" s="8"/>
      <c r="U626" s="8"/>
      <c r="V626" s="8"/>
      <c r="W626" s="8"/>
      <c r="X626" s="8"/>
      <c r="Y626" s="8"/>
      <c r="Z626" s="8"/>
      <c r="AA626" s="8"/>
      <c r="AB626" s="8"/>
      <c r="AC626" s="8"/>
      <c r="AD626" s="8"/>
      <c r="AE626" s="8"/>
      <c r="AF626" s="8"/>
      <c r="AG626" s="8"/>
      <c r="AH626" s="8"/>
      <c r="AI626" s="8"/>
      <c r="AJ626" s="8"/>
      <c r="AK626" s="8"/>
      <c r="AL626" s="8"/>
      <c r="AM626" s="8"/>
      <c r="AN626" s="8"/>
      <c r="AO626" s="1"/>
    </row>
    <row r="627" spans="1:41" x14ac:dyDescent="0.35">
      <c r="A627" s="6"/>
      <c r="B627" s="81"/>
      <c r="C627" s="83"/>
      <c r="D627" s="8"/>
      <c r="E627" s="8"/>
      <c r="F627" s="8"/>
      <c r="G627" s="8"/>
      <c r="H627" s="8"/>
      <c r="I627" s="8"/>
      <c r="J627" s="8"/>
      <c r="K627" s="8"/>
      <c r="L627" s="8"/>
      <c r="M627" s="8"/>
      <c r="N627" s="8"/>
      <c r="O627" s="8"/>
      <c r="P627" s="8"/>
      <c r="Q627" s="8"/>
      <c r="R627" s="8"/>
      <c r="S627" s="8"/>
      <c r="T627" s="8"/>
      <c r="U627" s="8"/>
      <c r="V627" s="8"/>
      <c r="W627" s="8"/>
      <c r="X627" s="8"/>
      <c r="Y627" s="8"/>
      <c r="Z627" s="8"/>
      <c r="AA627" s="8"/>
      <c r="AB627" s="8"/>
      <c r="AC627" s="8"/>
      <c r="AD627" s="8"/>
      <c r="AE627" s="8"/>
      <c r="AF627" s="8"/>
      <c r="AG627" s="8"/>
      <c r="AH627" s="8"/>
      <c r="AI627" s="8"/>
      <c r="AJ627" s="8"/>
      <c r="AK627" s="8"/>
      <c r="AL627" s="8"/>
      <c r="AM627" s="8"/>
      <c r="AN627" s="8"/>
      <c r="AO627" s="1"/>
    </row>
    <row r="628" spans="1:41" x14ac:dyDescent="0.35">
      <c r="A628" s="6"/>
      <c r="B628" s="81"/>
      <c r="C628" s="83"/>
      <c r="D628" s="8"/>
      <c r="E628" s="8"/>
      <c r="F628" s="8"/>
      <c r="G628" s="8"/>
      <c r="H628" s="8"/>
      <c r="I628" s="8"/>
      <c r="J628" s="8"/>
      <c r="K628" s="8"/>
      <c r="L628" s="8"/>
      <c r="M628" s="8"/>
      <c r="N628" s="8"/>
      <c r="O628" s="8"/>
      <c r="P628" s="8"/>
      <c r="Q628" s="8"/>
      <c r="R628" s="8"/>
      <c r="S628" s="8"/>
      <c r="T628" s="8"/>
      <c r="U628" s="8"/>
      <c r="V628" s="8"/>
      <c r="W628" s="8"/>
      <c r="X628" s="8"/>
      <c r="Y628" s="8"/>
      <c r="Z628" s="8"/>
      <c r="AA628" s="8"/>
      <c r="AB628" s="8"/>
      <c r="AC628" s="8"/>
      <c r="AD628" s="8"/>
      <c r="AE628" s="8"/>
      <c r="AF628" s="8"/>
      <c r="AG628" s="8"/>
      <c r="AH628" s="8"/>
      <c r="AI628" s="8"/>
      <c r="AJ628" s="8"/>
      <c r="AK628" s="8"/>
      <c r="AL628" s="8"/>
      <c r="AM628" s="8"/>
      <c r="AN628" s="8"/>
      <c r="AO628" s="1"/>
    </row>
    <row r="629" spans="1:41" x14ac:dyDescent="0.35">
      <c r="A629" s="6"/>
      <c r="B629" s="81"/>
      <c r="C629" s="83"/>
      <c r="D629" s="8"/>
      <c r="E629" s="8"/>
      <c r="F629" s="8"/>
      <c r="G629" s="8"/>
      <c r="H629" s="8"/>
      <c r="I629" s="8"/>
      <c r="J629" s="8"/>
      <c r="K629" s="8"/>
      <c r="L629" s="8"/>
      <c r="M629" s="8"/>
      <c r="N629" s="8"/>
      <c r="O629" s="8"/>
      <c r="P629" s="8"/>
      <c r="Q629" s="8"/>
      <c r="R629" s="8"/>
      <c r="S629" s="8"/>
      <c r="T629" s="8"/>
      <c r="U629" s="8"/>
      <c r="V629" s="8"/>
      <c r="W629" s="8"/>
      <c r="X629" s="8"/>
      <c r="Y629" s="8"/>
      <c r="Z629" s="8"/>
      <c r="AA629" s="8"/>
      <c r="AB629" s="8"/>
      <c r="AC629" s="8"/>
      <c r="AD629" s="8"/>
      <c r="AE629" s="8"/>
      <c r="AF629" s="8"/>
      <c r="AG629" s="8"/>
      <c r="AH629" s="8"/>
      <c r="AI629" s="8"/>
      <c r="AJ629" s="8"/>
      <c r="AK629" s="8"/>
      <c r="AL629" s="8"/>
      <c r="AM629" s="8"/>
      <c r="AN629" s="8"/>
      <c r="AO629" s="1"/>
    </row>
    <row r="630" spans="1:41" x14ac:dyDescent="0.35">
      <c r="A630" s="6"/>
      <c r="B630" s="81"/>
      <c r="C630" s="83"/>
      <c r="D630" s="8"/>
      <c r="E630" s="8"/>
      <c r="F630" s="8"/>
      <c r="G630" s="8"/>
      <c r="H630" s="8"/>
      <c r="I630" s="8"/>
      <c r="J630" s="8"/>
      <c r="K630" s="8"/>
      <c r="L630" s="8"/>
      <c r="M630" s="8"/>
      <c r="N630" s="8"/>
      <c r="O630" s="8"/>
      <c r="P630" s="8"/>
      <c r="Q630" s="8"/>
      <c r="R630" s="8"/>
      <c r="S630" s="8"/>
      <c r="T630" s="8"/>
      <c r="U630" s="8"/>
      <c r="V630" s="8"/>
      <c r="W630" s="8"/>
      <c r="X630" s="8"/>
      <c r="Y630" s="8"/>
      <c r="Z630" s="8"/>
      <c r="AA630" s="8"/>
      <c r="AB630" s="8"/>
      <c r="AC630" s="8"/>
      <c r="AD630" s="8"/>
      <c r="AE630" s="8"/>
      <c r="AF630" s="8"/>
      <c r="AG630" s="8"/>
      <c r="AH630" s="8"/>
      <c r="AI630" s="8"/>
      <c r="AJ630" s="8"/>
      <c r="AK630" s="8"/>
      <c r="AL630" s="8"/>
      <c r="AM630" s="8"/>
      <c r="AN630" s="8"/>
      <c r="AO630" s="1"/>
    </row>
    <row r="631" spans="1:41" x14ac:dyDescent="0.35">
      <c r="A631" s="6"/>
      <c r="B631" s="81"/>
      <c r="C631" s="83"/>
      <c r="D631" s="8"/>
      <c r="E631" s="8"/>
      <c r="F631" s="8"/>
      <c r="G631" s="8"/>
      <c r="H631" s="8"/>
      <c r="I631" s="8"/>
      <c r="J631" s="8"/>
      <c r="K631" s="8"/>
      <c r="L631" s="8"/>
      <c r="M631" s="8"/>
      <c r="N631" s="8"/>
      <c r="O631" s="8"/>
      <c r="P631" s="8"/>
      <c r="Q631" s="8"/>
      <c r="R631" s="8"/>
      <c r="S631" s="8"/>
      <c r="T631" s="8"/>
      <c r="U631" s="8"/>
      <c r="V631" s="8"/>
      <c r="W631" s="8"/>
      <c r="X631" s="8"/>
      <c r="Y631" s="8"/>
      <c r="Z631" s="8"/>
      <c r="AA631" s="8"/>
      <c r="AB631" s="8"/>
      <c r="AC631" s="8"/>
      <c r="AD631" s="8"/>
      <c r="AE631" s="8"/>
      <c r="AF631" s="8"/>
      <c r="AG631" s="8"/>
      <c r="AH631" s="8"/>
      <c r="AI631" s="8"/>
      <c r="AJ631" s="8"/>
      <c r="AK631" s="8"/>
      <c r="AL631" s="8"/>
      <c r="AM631" s="8"/>
      <c r="AN631" s="8"/>
      <c r="AO631" s="1"/>
    </row>
    <row r="632" spans="1:41" x14ac:dyDescent="0.35">
      <c r="A632" s="6"/>
      <c r="B632" s="81"/>
      <c r="C632" s="83"/>
      <c r="D632" s="8"/>
      <c r="E632" s="8"/>
      <c r="F632" s="8"/>
      <c r="G632" s="8"/>
      <c r="H632" s="8"/>
      <c r="I632" s="8"/>
      <c r="J632" s="8"/>
      <c r="K632" s="8"/>
      <c r="L632" s="8"/>
      <c r="M632" s="8"/>
      <c r="N632" s="8"/>
      <c r="O632" s="8"/>
      <c r="P632" s="8"/>
      <c r="Q632" s="8"/>
      <c r="R632" s="8"/>
      <c r="S632" s="8"/>
      <c r="T632" s="8"/>
      <c r="U632" s="8"/>
      <c r="V632" s="8"/>
      <c r="W632" s="8"/>
      <c r="X632" s="8"/>
      <c r="Y632" s="8"/>
      <c r="Z632" s="8"/>
      <c r="AA632" s="8"/>
      <c r="AB632" s="8"/>
      <c r="AC632" s="8"/>
      <c r="AD632" s="8"/>
      <c r="AE632" s="8"/>
      <c r="AF632" s="8"/>
      <c r="AG632" s="8"/>
      <c r="AH632" s="8"/>
      <c r="AI632" s="8"/>
      <c r="AJ632" s="8"/>
      <c r="AK632" s="8"/>
      <c r="AL632" s="8"/>
      <c r="AM632" s="8"/>
      <c r="AN632" s="8"/>
      <c r="AO632" s="1"/>
    </row>
    <row r="633" spans="1:41" x14ac:dyDescent="0.35">
      <c r="A633" s="6"/>
      <c r="B633" s="81"/>
      <c r="C633" s="83"/>
      <c r="D633" s="8"/>
      <c r="E633" s="8"/>
      <c r="F633" s="8"/>
      <c r="G633" s="8"/>
      <c r="H633" s="8"/>
      <c r="I633" s="8"/>
      <c r="J633" s="8"/>
      <c r="K633" s="8"/>
      <c r="L633" s="8"/>
      <c r="M633" s="8"/>
      <c r="N633" s="8"/>
      <c r="O633" s="8"/>
      <c r="P633" s="8"/>
      <c r="Q633" s="8"/>
      <c r="R633" s="8"/>
      <c r="S633" s="8"/>
      <c r="T633" s="8"/>
      <c r="U633" s="8"/>
      <c r="V633" s="8"/>
      <c r="W633" s="8"/>
      <c r="X633" s="8"/>
      <c r="Y633" s="8"/>
      <c r="Z633" s="8"/>
      <c r="AA633" s="8"/>
      <c r="AB633" s="8"/>
      <c r="AC633" s="8"/>
      <c r="AD633" s="8"/>
      <c r="AE633" s="8"/>
      <c r="AF633" s="8"/>
      <c r="AG633" s="8"/>
      <c r="AH633" s="8"/>
      <c r="AI633" s="8"/>
      <c r="AJ633" s="8"/>
      <c r="AK633" s="8"/>
      <c r="AL633" s="8"/>
      <c r="AM633" s="8"/>
      <c r="AN633" s="8"/>
      <c r="AO633" s="1"/>
    </row>
    <row r="634" spans="1:41" x14ac:dyDescent="0.35">
      <c r="A634" s="6"/>
      <c r="B634" s="81"/>
      <c r="C634" s="83"/>
      <c r="D634" s="8"/>
      <c r="E634" s="8"/>
      <c r="F634" s="8"/>
      <c r="G634" s="8"/>
      <c r="H634" s="8"/>
      <c r="I634" s="8"/>
      <c r="J634" s="8"/>
      <c r="K634" s="8"/>
      <c r="L634" s="8"/>
      <c r="M634" s="8"/>
      <c r="N634" s="8"/>
      <c r="O634" s="8"/>
      <c r="P634" s="8"/>
      <c r="Q634" s="8"/>
      <c r="R634" s="8"/>
      <c r="S634" s="8"/>
      <c r="T634" s="8"/>
      <c r="U634" s="8"/>
      <c r="V634" s="8"/>
      <c r="W634" s="8"/>
      <c r="X634" s="8"/>
      <c r="Y634" s="8"/>
      <c r="Z634" s="8"/>
      <c r="AA634" s="8"/>
      <c r="AB634" s="8"/>
      <c r="AC634" s="8"/>
      <c r="AD634" s="8"/>
      <c r="AE634" s="8"/>
      <c r="AF634" s="8"/>
      <c r="AG634" s="8"/>
      <c r="AH634" s="8"/>
      <c r="AI634" s="8"/>
      <c r="AJ634" s="8"/>
      <c r="AK634" s="8"/>
      <c r="AL634" s="8"/>
      <c r="AM634" s="8"/>
      <c r="AN634" s="8"/>
      <c r="AO634" s="1"/>
    </row>
    <row r="635" spans="1:41" x14ac:dyDescent="0.35">
      <c r="A635" s="6"/>
      <c r="B635" s="81"/>
      <c r="C635" s="83"/>
      <c r="D635" s="8"/>
      <c r="E635" s="8"/>
      <c r="F635" s="8"/>
      <c r="G635" s="8"/>
      <c r="H635" s="8"/>
      <c r="I635" s="8"/>
      <c r="J635" s="8"/>
      <c r="K635" s="8"/>
      <c r="L635" s="8"/>
      <c r="M635" s="8"/>
      <c r="N635" s="8"/>
      <c r="O635" s="8"/>
      <c r="P635" s="8"/>
      <c r="Q635" s="8"/>
      <c r="R635" s="8"/>
      <c r="S635" s="8"/>
      <c r="T635" s="8"/>
      <c r="U635" s="8"/>
      <c r="V635" s="8"/>
      <c r="W635" s="8"/>
      <c r="X635" s="8"/>
      <c r="Y635" s="8"/>
      <c r="Z635" s="8"/>
      <c r="AA635" s="8"/>
      <c r="AB635" s="8"/>
      <c r="AC635" s="8"/>
      <c r="AD635" s="8"/>
      <c r="AE635" s="8"/>
      <c r="AF635" s="8"/>
      <c r="AG635" s="8"/>
      <c r="AH635" s="8"/>
      <c r="AI635" s="8"/>
      <c r="AJ635" s="8"/>
      <c r="AK635" s="8"/>
      <c r="AL635" s="8"/>
      <c r="AM635" s="8"/>
      <c r="AN635" s="8"/>
      <c r="AO635" s="1"/>
    </row>
    <row r="636" spans="1:41" x14ac:dyDescent="0.35">
      <c r="A636" s="6"/>
      <c r="B636" s="81"/>
      <c r="C636" s="83"/>
      <c r="D636" s="8"/>
      <c r="E636" s="8"/>
      <c r="F636" s="8"/>
      <c r="G636" s="8"/>
      <c r="H636" s="8"/>
      <c r="I636" s="8"/>
      <c r="J636" s="8"/>
      <c r="K636" s="8"/>
      <c r="L636" s="8"/>
      <c r="M636" s="8"/>
      <c r="N636" s="8"/>
      <c r="O636" s="8"/>
      <c r="P636" s="8"/>
      <c r="Q636" s="8"/>
      <c r="R636" s="8"/>
      <c r="S636" s="8"/>
      <c r="T636" s="8"/>
      <c r="U636" s="8"/>
      <c r="V636" s="8"/>
      <c r="W636" s="8"/>
      <c r="X636" s="8"/>
      <c r="Y636" s="8"/>
      <c r="Z636" s="8"/>
      <c r="AA636" s="8"/>
      <c r="AB636" s="8"/>
      <c r="AC636" s="8"/>
      <c r="AD636" s="8"/>
      <c r="AE636" s="8"/>
      <c r="AF636" s="8"/>
      <c r="AG636" s="8"/>
      <c r="AH636" s="8"/>
      <c r="AI636" s="8"/>
      <c r="AJ636" s="8"/>
      <c r="AK636" s="8"/>
      <c r="AL636" s="8"/>
      <c r="AM636" s="8"/>
      <c r="AN636" s="8"/>
      <c r="AO636" s="1"/>
    </row>
    <row r="637" spans="1:41" x14ac:dyDescent="0.35">
      <c r="A637" s="6"/>
      <c r="B637" s="81"/>
      <c r="C637" s="83"/>
      <c r="D637" s="8"/>
      <c r="E637" s="8"/>
      <c r="F637" s="8"/>
      <c r="G637" s="8"/>
      <c r="H637" s="8"/>
      <c r="I637" s="8"/>
      <c r="J637" s="8"/>
      <c r="K637" s="8"/>
      <c r="L637" s="8"/>
      <c r="M637" s="8"/>
      <c r="N637" s="8"/>
      <c r="O637" s="8"/>
      <c r="P637" s="8"/>
      <c r="Q637" s="8"/>
      <c r="R637" s="8"/>
      <c r="S637" s="8"/>
      <c r="T637" s="8"/>
      <c r="U637" s="8"/>
      <c r="V637" s="8"/>
      <c r="W637" s="8"/>
      <c r="X637" s="8"/>
      <c r="Y637" s="8"/>
      <c r="Z637" s="8"/>
      <c r="AA637" s="8"/>
      <c r="AB637" s="8"/>
      <c r="AC637" s="8"/>
      <c r="AD637" s="8"/>
      <c r="AE637" s="8"/>
      <c r="AF637" s="8"/>
      <c r="AG637" s="8"/>
      <c r="AH637" s="8"/>
      <c r="AI637" s="8"/>
      <c r="AJ637" s="8"/>
      <c r="AK637" s="8"/>
      <c r="AL637" s="8"/>
      <c r="AM637" s="8"/>
      <c r="AN637" s="8"/>
      <c r="AO637" s="1"/>
    </row>
    <row r="638" spans="1:41" x14ac:dyDescent="0.35">
      <c r="A638" s="6"/>
      <c r="B638" s="81"/>
      <c r="C638" s="83"/>
      <c r="D638" s="8"/>
      <c r="E638" s="8"/>
      <c r="F638" s="8"/>
      <c r="G638" s="8"/>
      <c r="H638" s="8"/>
      <c r="I638" s="8"/>
      <c r="J638" s="8"/>
      <c r="K638" s="8"/>
      <c r="L638" s="8"/>
      <c r="M638" s="8"/>
      <c r="N638" s="8"/>
      <c r="O638" s="8"/>
      <c r="P638" s="8"/>
      <c r="Q638" s="8"/>
      <c r="R638" s="8"/>
      <c r="S638" s="8"/>
      <c r="T638" s="8"/>
      <c r="U638" s="8"/>
      <c r="V638" s="8"/>
      <c r="W638" s="8"/>
      <c r="X638" s="8"/>
      <c r="Y638" s="8"/>
      <c r="Z638" s="8"/>
      <c r="AA638" s="8"/>
      <c r="AB638" s="8"/>
      <c r="AC638" s="8"/>
      <c r="AD638" s="8"/>
      <c r="AE638" s="8"/>
      <c r="AF638" s="8"/>
      <c r="AG638" s="8"/>
      <c r="AH638" s="8"/>
      <c r="AI638" s="8"/>
      <c r="AJ638" s="8"/>
      <c r="AK638" s="8"/>
      <c r="AL638" s="8"/>
      <c r="AM638" s="8"/>
      <c r="AN638" s="8"/>
      <c r="AO638" s="1"/>
    </row>
    <row r="639" spans="1:41" x14ac:dyDescent="0.35">
      <c r="A639" s="6"/>
      <c r="B639" s="81"/>
      <c r="C639" s="83"/>
      <c r="D639" s="8"/>
      <c r="E639" s="8"/>
      <c r="F639" s="8"/>
      <c r="G639" s="8"/>
      <c r="H639" s="8"/>
      <c r="I639" s="8"/>
      <c r="J639" s="8"/>
      <c r="K639" s="8"/>
      <c r="L639" s="8"/>
      <c r="M639" s="8"/>
      <c r="N639" s="8"/>
      <c r="O639" s="8"/>
      <c r="P639" s="8"/>
      <c r="Q639" s="8"/>
      <c r="R639" s="8"/>
      <c r="S639" s="8"/>
      <c r="T639" s="8"/>
      <c r="U639" s="8"/>
      <c r="V639" s="8"/>
      <c r="W639" s="8"/>
      <c r="X639" s="8"/>
      <c r="Y639" s="8"/>
      <c r="Z639" s="8"/>
      <c r="AA639" s="8"/>
      <c r="AB639" s="8"/>
      <c r="AC639" s="8"/>
      <c r="AD639" s="8"/>
      <c r="AE639" s="8"/>
      <c r="AF639" s="8"/>
      <c r="AG639" s="8"/>
      <c r="AH639" s="8"/>
      <c r="AI639" s="8"/>
      <c r="AJ639" s="8"/>
      <c r="AK639" s="8"/>
      <c r="AL639" s="8"/>
      <c r="AM639" s="8"/>
      <c r="AN639" s="8"/>
      <c r="AO639" s="1"/>
    </row>
    <row r="640" spans="1:41" x14ac:dyDescent="0.35">
      <c r="A640" s="6"/>
      <c r="B640" s="81"/>
      <c r="C640" s="83"/>
      <c r="D640" s="8"/>
      <c r="E640" s="8"/>
      <c r="F640" s="8"/>
      <c r="G640" s="8"/>
      <c r="H640" s="8"/>
      <c r="I640" s="8"/>
      <c r="J640" s="8"/>
      <c r="K640" s="8"/>
      <c r="L640" s="8"/>
      <c r="M640" s="8"/>
      <c r="N640" s="8"/>
      <c r="O640" s="8"/>
      <c r="P640" s="8"/>
      <c r="Q640" s="8"/>
      <c r="R640" s="8"/>
      <c r="S640" s="8"/>
      <c r="T640" s="8"/>
      <c r="U640" s="8"/>
      <c r="V640" s="8"/>
      <c r="W640" s="8"/>
      <c r="X640" s="8"/>
      <c r="Y640" s="8"/>
      <c r="Z640" s="8"/>
      <c r="AA640" s="8"/>
      <c r="AB640" s="8"/>
      <c r="AC640" s="8"/>
      <c r="AD640" s="8"/>
      <c r="AE640" s="8"/>
      <c r="AF640" s="8"/>
      <c r="AG640" s="8"/>
      <c r="AH640" s="8"/>
      <c r="AI640" s="8"/>
      <c r="AJ640" s="8"/>
      <c r="AK640" s="8"/>
      <c r="AL640" s="8"/>
      <c r="AM640" s="8"/>
      <c r="AN640" s="8"/>
      <c r="AO640" s="1"/>
    </row>
    <row r="641" spans="1:41" x14ac:dyDescent="0.35">
      <c r="A641" s="6"/>
      <c r="B641" s="81"/>
      <c r="C641" s="83"/>
      <c r="D641" s="8"/>
      <c r="E641" s="8"/>
      <c r="F641" s="8"/>
      <c r="G641" s="8"/>
      <c r="H641" s="8"/>
      <c r="I641" s="8"/>
      <c r="J641" s="8"/>
      <c r="K641" s="8"/>
      <c r="L641" s="8"/>
      <c r="M641" s="8"/>
      <c r="N641" s="8"/>
      <c r="O641" s="8"/>
      <c r="P641" s="8"/>
      <c r="Q641" s="8"/>
      <c r="R641" s="8"/>
      <c r="S641" s="8"/>
      <c r="T641" s="8"/>
      <c r="U641" s="8"/>
      <c r="V641" s="8"/>
      <c r="W641" s="8"/>
      <c r="X641" s="8"/>
      <c r="Y641" s="8"/>
      <c r="Z641" s="8"/>
      <c r="AA641" s="8"/>
      <c r="AB641" s="8"/>
      <c r="AC641" s="8"/>
      <c r="AD641" s="8"/>
      <c r="AE641" s="8"/>
      <c r="AF641" s="8"/>
      <c r="AG641" s="8"/>
      <c r="AH641" s="8"/>
      <c r="AI641" s="8"/>
      <c r="AJ641" s="8"/>
      <c r="AK641" s="8"/>
      <c r="AL641" s="8"/>
      <c r="AM641" s="8"/>
      <c r="AN641" s="8"/>
      <c r="AO641" s="1"/>
    </row>
    <row r="642" spans="1:41" x14ac:dyDescent="0.35">
      <c r="A642" s="6"/>
      <c r="B642" s="81"/>
      <c r="C642" s="83"/>
      <c r="D642" s="8"/>
      <c r="E642" s="8"/>
      <c r="F642" s="8"/>
      <c r="G642" s="8"/>
      <c r="H642" s="8"/>
      <c r="I642" s="8"/>
      <c r="J642" s="8"/>
      <c r="K642" s="8"/>
      <c r="L642" s="8"/>
      <c r="M642" s="8"/>
      <c r="N642" s="8"/>
      <c r="O642" s="8"/>
      <c r="P642" s="8"/>
      <c r="Q642" s="8"/>
      <c r="R642" s="8"/>
      <c r="S642" s="8"/>
      <c r="T642" s="8"/>
      <c r="U642" s="8"/>
      <c r="V642" s="8"/>
      <c r="W642" s="8"/>
      <c r="X642" s="8"/>
      <c r="Y642" s="8"/>
      <c r="Z642" s="8"/>
      <c r="AA642" s="8"/>
      <c r="AB642" s="8"/>
      <c r="AC642" s="8"/>
      <c r="AD642" s="8"/>
      <c r="AE642" s="8"/>
      <c r="AF642" s="8"/>
      <c r="AG642" s="8"/>
      <c r="AH642" s="8"/>
      <c r="AI642" s="8"/>
      <c r="AJ642" s="8"/>
      <c r="AK642" s="8"/>
      <c r="AL642" s="8"/>
      <c r="AM642" s="8"/>
      <c r="AN642" s="8"/>
      <c r="AO642" s="1"/>
    </row>
    <row r="643" spans="1:41" x14ac:dyDescent="0.35">
      <c r="A643" s="6"/>
      <c r="B643" s="81"/>
      <c r="C643" s="83"/>
      <c r="D643" s="8"/>
      <c r="E643" s="8"/>
      <c r="F643" s="8"/>
      <c r="G643" s="8"/>
      <c r="H643" s="8"/>
      <c r="I643" s="8"/>
      <c r="J643" s="8"/>
      <c r="K643" s="8"/>
      <c r="L643" s="8"/>
      <c r="M643" s="8"/>
      <c r="N643" s="8"/>
      <c r="O643" s="8"/>
      <c r="P643" s="8"/>
      <c r="Q643" s="8"/>
      <c r="R643" s="8"/>
      <c r="S643" s="8"/>
      <c r="T643" s="8"/>
      <c r="U643" s="8"/>
      <c r="V643" s="8"/>
      <c r="W643" s="8"/>
      <c r="X643" s="8"/>
      <c r="Y643" s="8"/>
      <c r="Z643" s="8"/>
      <c r="AA643" s="8"/>
      <c r="AB643" s="8"/>
      <c r="AC643" s="8"/>
      <c r="AD643" s="8"/>
      <c r="AE643" s="8"/>
      <c r="AF643" s="8"/>
      <c r="AG643" s="8"/>
      <c r="AH643" s="8"/>
      <c r="AI643" s="8"/>
      <c r="AJ643" s="8"/>
      <c r="AK643" s="8"/>
      <c r="AL643" s="8"/>
      <c r="AM643" s="8"/>
      <c r="AN643" s="8"/>
      <c r="AO643" s="1"/>
    </row>
    <row r="644" spans="1:41" x14ac:dyDescent="0.35">
      <c r="A644" s="6"/>
      <c r="B644" s="81"/>
      <c r="C644" s="83"/>
      <c r="D644" s="8"/>
      <c r="E644" s="8"/>
      <c r="F644" s="8"/>
      <c r="G644" s="8"/>
      <c r="H644" s="8"/>
      <c r="I644" s="8"/>
      <c r="J644" s="8"/>
      <c r="K644" s="8"/>
      <c r="L644" s="8"/>
      <c r="M644" s="8"/>
      <c r="N644" s="8"/>
      <c r="O644" s="8"/>
      <c r="P644" s="8"/>
      <c r="Q644" s="8"/>
      <c r="R644" s="8"/>
      <c r="S644" s="8"/>
      <c r="T644" s="8"/>
      <c r="U644" s="8"/>
      <c r="V644" s="8"/>
      <c r="W644" s="8"/>
      <c r="X644" s="8"/>
      <c r="Y644" s="8"/>
      <c r="Z644" s="8"/>
      <c r="AA644" s="8"/>
      <c r="AB644" s="8"/>
      <c r="AC644" s="8"/>
      <c r="AD644" s="8"/>
      <c r="AE644" s="8"/>
      <c r="AF644" s="8"/>
      <c r="AG644" s="8"/>
      <c r="AH644" s="8"/>
      <c r="AI644" s="8"/>
      <c r="AJ644" s="8"/>
      <c r="AK644" s="8"/>
      <c r="AL644" s="8"/>
      <c r="AM644" s="8"/>
      <c r="AN644" s="8"/>
      <c r="AO644" s="1"/>
    </row>
    <row r="645" spans="1:41" x14ac:dyDescent="0.35">
      <c r="A645" s="6"/>
      <c r="B645" s="81"/>
      <c r="C645" s="83"/>
      <c r="D645" s="8"/>
      <c r="E645" s="8"/>
      <c r="F645" s="8"/>
      <c r="G645" s="8"/>
      <c r="H645" s="8"/>
      <c r="I645" s="8"/>
      <c r="J645" s="8"/>
      <c r="K645" s="8"/>
      <c r="L645" s="8"/>
      <c r="M645" s="8"/>
      <c r="N645" s="8"/>
      <c r="O645" s="8"/>
      <c r="P645" s="8"/>
      <c r="Q645" s="8"/>
      <c r="R645" s="8"/>
      <c r="S645" s="8"/>
      <c r="T645" s="8"/>
      <c r="U645" s="8"/>
      <c r="V645" s="8"/>
      <c r="W645" s="8"/>
      <c r="X645" s="8"/>
      <c r="Y645" s="8"/>
      <c r="Z645" s="8"/>
      <c r="AA645" s="8"/>
      <c r="AB645" s="8"/>
      <c r="AC645" s="8"/>
      <c r="AD645" s="8"/>
      <c r="AE645" s="8"/>
      <c r="AF645" s="8"/>
      <c r="AG645" s="8"/>
      <c r="AH645" s="8"/>
      <c r="AI645" s="8"/>
      <c r="AJ645" s="8"/>
      <c r="AK645" s="8"/>
      <c r="AL645" s="8"/>
      <c r="AM645" s="8"/>
      <c r="AN645" s="8"/>
      <c r="AO645" s="1"/>
    </row>
    <row r="646" spans="1:41" x14ac:dyDescent="0.35">
      <c r="A646" s="6"/>
      <c r="B646" s="81"/>
      <c r="C646" s="83"/>
      <c r="D646" s="8"/>
      <c r="E646" s="8"/>
      <c r="F646" s="8"/>
      <c r="G646" s="8"/>
      <c r="H646" s="8"/>
      <c r="I646" s="8"/>
      <c r="J646" s="8"/>
      <c r="K646" s="8"/>
      <c r="L646" s="8"/>
      <c r="M646" s="8"/>
      <c r="N646" s="8"/>
      <c r="O646" s="8"/>
      <c r="P646" s="8"/>
      <c r="Q646" s="8"/>
      <c r="R646" s="8"/>
      <c r="S646" s="8"/>
      <c r="T646" s="8"/>
      <c r="U646" s="8"/>
      <c r="V646" s="8"/>
      <c r="W646" s="8"/>
      <c r="X646" s="8"/>
      <c r="Y646" s="8"/>
      <c r="Z646" s="8"/>
      <c r="AA646" s="8"/>
      <c r="AB646" s="8"/>
      <c r="AC646" s="8"/>
      <c r="AD646" s="8"/>
      <c r="AE646" s="8"/>
      <c r="AF646" s="8"/>
      <c r="AG646" s="8"/>
      <c r="AH646" s="8"/>
      <c r="AI646" s="8"/>
      <c r="AJ646" s="8"/>
      <c r="AK646" s="8"/>
      <c r="AL646" s="8"/>
      <c r="AM646" s="8"/>
      <c r="AN646" s="8"/>
      <c r="AO646" s="1"/>
    </row>
    <row r="647" spans="1:41" x14ac:dyDescent="0.35">
      <c r="A647" s="6"/>
      <c r="B647" s="81"/>
      <c r="C647" s="83"/>
      <c r="D647" s="8"/>
      <c r="E647" s="8"/>
      <c r="F647" s="8"/>
      <c r="G647" s="8"/>
      <c r="H647" s="8"/>
      <c r="I647" s="8"/>
      <c r="J647" s="8"/>
      <c r="K647" s="8"/>
      <c r="L647" s="8"/>
      <c r="M647" s="8"/>
      <c r="N647" s="8"/>
      <c r="O647" s="8"/>
      <c r="P647" s="8"/>
      <c r="Q647" s="8"/>
      <c r="R647" s="8"/>
      <c r="S647" s="8"/>
      <c r="T647" s="8"/>
      <c r="U647" s="8"/>
      <c r="V647" s="8"/>
      <c r="W647" s="8"/>
      <c r="X647" s="8"/>
      <c r="Y647" s="8"/>
      <c r="Z647" s="8"/>
      <c r="AA647" s="8"/>
      <c r="AB647" s="8"/>
      <c r="AC647" s="8"/>
      <c r="AD647" s="8"/>
      <c r="AE647" s="8"/>
      <c r="AF647" s="8"/>
      <c r="AG647" s="8"/>
      <c r="AH647" s="8"/>
      <c r="AI647" s="8"/>
      <c r="AJ647" s="8"/>
      <c r="AK647" s="8"/>
      <c r="AL647" s="8"/>
      <c r="AM647" s="8"/>
      <c r="AN647" s="8"/>
      <c r="AO647" s="1"/>
    </row>
    <row r="648" spans="1:41" x14ac:dyDescent="0.35">
      <c r="A648" s="6"/>
      <c r="B648" s="81"/>
      <c r="C648" s="83"/>
      <c r="D648" s="8"/>
      <c r="E648" s="8"/>
      <c r="F648" s="8"/>
      <c r="G648" s="8"/>
      <c r="H648" s="8"/>
      <c r="I648" s="8"/>
      <c r="J648" s="8"/>
      <c r="K648" s="8"/>
      <c r="L648" s="8"/>
      <c r="M648" s="8"/>
      <c r="N648" s="8"/>
      <c r="O648" s="8"/>
      <c r="P648" s="8"/>
      <c r="Q648" s="8"/>
      <c r="R648" s="8"/>
      <c r="S648" s="8"/>
      <c r="T648" s="8"/>
      <c r="U648" s="8"/>
      <c r="V648" s="8"/>
      <c r="W648" s="8"/>
      <c r="X648" s="8"/>
      <c r="Y648" s="8"/>
      <c r="Z648" s="8"/>
      <c r="AA648" s="8"/>
      <c r="AB648" s="8"/>
      <c r="AC648" s="8"/>
      <c r="AD648" s="8"/>
      <c r="AE648" s="8"/>
      <c r="AF648" s="8"/>
      <c r="AG648" s="8"/>
      <c r="AH648" s="8"/>
      <c r="AI648" s="8"/>
      <c r="AJ648" s="8"/>
      <c r="AK648" s="8"/>
      <c r="AL648" s="8"/>
      <c r="AM648" s="8"/>
      <c r="AN648" s="8"/>
      <c r="AO648" s="1"/>
    </row>
    <row r="649" spans="1:41" x14ac:dyDescent="0.35">
      <c r="A649" s="6"/>
      <c r="B649" s="81"/>
      <c r="C649" s="83"/>
      <c r="D649" s="8"/>
      <c r="E649" s="8"/>
      <c r="F649" s="8"/>
      <c r="G649" s="8"/>
      <c r="H649" s="8"/>
      <c r="I649" s="8"/>
      <c r="J649" s="8"/>
      <c r="K649" s="8"/>
      <c r="L649" s="8"/>
      <c r="M649" s="8"/>
      <c r="N649" s="8"/>
      <c r="O649" s="8"/>
      <c r="P649" s="8"/>
      <c r="Q649" s="8"/>
      <c r="R649" s="8"/>
      <c r="S649" s="8"/>
      <c r="T649" s="8"/>
      <c r="U649" s="8"/>
      <c r="V649" s="8"/>
      <c r="W649" s="8"/>
      <c r="X649" s="8"/>
      <c r="Y649" s="8"/>
      <c r="Z649" s="8"/>
      <c r="AA649" s="8"/>
      <c r="AB649" s="8"/>
      <c r="AC649" s="8"/>
      <c r="AD649" s="8"/>
      <c r="AE649" s="8"/>
      <c r="AF649" s="8"/>
      <c r="AG649" s="8"/>
      <c r="AH649" s="8"/>
      <c r="AI649" s="8"/>
      <c r="AJ649" s="8"/>
      <c r="AK649" s="8"/>
      <c r="AL649" s="8"/>
      <c r="AM649" s="8"/>
      <c r="AN649" s="8"/>
      <c r="AO649" s="1"/>
    </row>
    <row r="650" spans="1:41" x14ac:dyDescent="0.35">
      <c r="A650" s="6"/>
      <c r="B650" s="81"/>
      <c r="C650" s="83"/>
      <c r="D650" s="8"/>
      <c r="E650" s="8"/>
      <c r="F650" s="8"/>
      <c r="G650" s="8"/>
      <c r="H650" s="8"/>
      <c r="I650" s="8"/>
      <c r="J650" s="8"/>
      <c r="K650" s="8"/>
      <c r="L650" s="8"/>
      <c r="M650" s="8"/>
      <c r="N650" s="8"/>
      <c r="O650" s="8"/>
      <c r="P650" s="8"/>
      <c r="Q650" s="8"/>
      <c r="R650" s="8"/>
      <c r="S650" s="8"/>
      <c r="T650" s="8"/>
      <c r="U650" s="8"/>
      <c r="V650" s="8"/>
      <c r="W650" s="8"/>
      <c r="X650" s="8"/>
      <c r="Y650" s="8"/>
      <c r="Z650" s="8"/>
      <c r="AA650" s="8"/>
      <c r="AB650" s="8"/>
      <c r="AC650" s="8"/>
      <c r="AD650" s="8"/>
      <c r="AE650" s="8"/>
      <c r="AF650" s="8"/>
      <c r="AG650" s="8"/>
      <c r="AH650" s="8"/>
      <c r="AI650" s="8"/>
      <c r="AJ650" s="8"/>
      <c r="AK650" s="8"/>
      <c r="AL650" s="8"/>
      <c r="AM650" s="8"/>
      <c r="AN650" s="8"/>
      <c r="AO650" s="1"/>
    </row>
    <row r="651" spans="1:41" x14ac:dyDescent="0.35">
      <c r="A651" s="6"/>
      <c r="B651" s="81"/>
      <c r="C651" s="83"/>
      <c r="D651" s="8"/>
      <c r="E651" s="8"/>
      <c r="F651" s="8"/>
      <c r="G651" s="8"/>
      <c r="H651" s="8"/>
      <c r="I651" s="8"/>
      <c r="J651" s="8"/>
      <c r="K651" s="8"/>
      <c r="L651" s="8"/>
      <c r="M651" s="8"/>
      <c r="N651" s="8"/>
      <c r="O651" s="8"/>
      <c r="P651" s="8"/>
      <c r="Q651" s="8"/>
      <c r="R651" s="8"/>
      <c r="S651" s="8"/>
      <c r="T651" s="8"/>
      <c r="U651" s="8"/>
      <c r="V651" s="8"/>
      <c r="W651" s="8"/>
      <c r="X651" s="8"/>
      <c r="Y651" s="8"/>
      <c r="Z651" s="8"/>
      <c r="AA651" s="8"/>
      <c r="AB651" s="8"/>
      <c r="AC651" s="8"/>
      <c r="AD651" s="8"/>
      <c r="AE651" s="8"/>
      <c r="AF651" s="8"/>
      <c r="AG651" s="8"/>
      <c r="AH651" s="8"/>
      <c r="AI651" s="8"/>
      <c r="AJ651" s="8"/>
      <c r="AK651" s="8"/>
      <c r="AL651" s="8"/>
      <c r="AM651" s="8"/>
      <c r="AN651" s="8"/>
      <c r="AO651" s="1"/>
    </row>
    <row r="652" spans="1:41" x14ac:dyDescent="0.35">
      <c r="A652" s="6"/>
      <c r="B652" s="81"/>
      <c r="C652" s="83"/>
      <c r="D652" s="8"/>
      <c r="E652" s="8"/>
      <c r="F652" s="8"/>
      <c r="G652" s="8"/>
      <c r="H652" s="8"/>
      <c r="I652" s="8"/>
      <c r="J652" s="8"/>
      <c r="K652" s="8"/>
      <c r="L652" s="8"/>
      <c r="M652" s="8"/>
      <c r="N652" s="8"/>
      <c r="O652" s="8"/>
      <c r="P652" s="8"/>
      <c r="Q652" s="8"/>
      <c r="R652" s="8"/>
      <c r="S652" s="8"/>
      <c r="T652" s="8"/>
      <c r="U652" s="8"/>
      <c r="V652" s="8"/>
      <c r="W652" s="8"/>
      <c r="X652" s="8"/>
      <c r="Y652" s="8"/>
      <c r="Z652" s="8"/>
      <c r="AA652" s="8"/>
      <c r="AB652" s="8"/>
      <c r="AC652" s="8"/>
      <c r="AD652" s="8"/>
      <c r="AE652" s="8"/>
      <c r="AF652" s="8"/>
      <c r="AG652" s="8"/>
      <c r="AH652" s="8"/>
      <c r="AI652" s="8"/>
      <c r="AJ652" s="8"/>
      <c r="AK652" s="8"/>
      <c r="AL652" s="8"/>
      <c r="AM652" s="8"/>
      <c r="AN652" s="8"/>
      <c r="AO652" s="1"/>
    </row>
    <row r="653" spans="1:41" x14ac:dyDescent="0.35">
      <c r="A653" s="6"/>
      <c r="B653" s="81"/>
      <c r="C653" s="83"/>
      <c r="D653" s="8"/>
      <c r="E653" s="8"/>
      <c r="F653" s="8"/>
      <c r="G653" s="8"/>
      <c r="H653" s="8"/>
      <c r="I653" s="8"/>
      <c r="J653" s="8"/>
      <c r="K653" s="8"/>
      <c r="L653" s="8"/>
      <c r="M653" s="8"/>
      <c r="N653" s="8"/>
      <c r="O653" s="8"/>
      <c r="P653" s="8"/>
      <c r="Q653" s="8"/>
      <c r="R653" s="8"/>
      <c r="S653" s="8"/>
      <c r="T653" s="8"/>
      <c r="U653" s="8"/>
      <c r="V653" s="8"/>
      <c r="W653" s="8"/>
      <c r="X653" s="8"/>
      <c r="Y653" s="8"/>
      <c r="Z653" s="8"/>
      <c r="AA653" s="8"/>
      <c r="AB653" s="8"/>
      <c r="AC653" s="8"/>
      <c r="AD653" s="8"/>
      <c r="AE653" s="8"/>
      <c r="AF653" s="8"/>
      <c r="AG653" s="8"/>
      <c r="AH653" s="8"/>
      <c r="AI653" s="8"/>
      <c r="AJ653" s="8"/>
      <c r="AK653" s="8"/>
      <c r="AL653" s="8"/>
      <c r="AM653" s="8"/>
      <c r="AN653" s="8"/>
      <c r="AO653" s="1"/>
    </row>
    <row r="654" spans="1:41" x14ac:dyDescent="0.35">
      <c r="A654" s="6"/>
      <c r="B654" s="81"/>
      <c r="C654" s="83"/>
      <c r="D654" s="8"/>
      <c r="E654" s="8"/>
      <c r="F654" s="8"/>
      <c r="G654" s="8"/>
      <c r="H654" s="8"/>
      <c r="I654" s="8"/>
      <c r="J654" s="8"/>
      <c r="K654" s="8"/>
      <c r="L654" s="8"/>
      <c r="M654" s="8"/>
      <c r="N654" s="8"/>
      <c r="O654" s="8"/>
      <c r="P654" s="8"/>
      <c r="Q654" s="8"/>
      <c r="R654" s="8"/>
      <c r="S654" s="8"/>
      <c r="T654" s="8"/>
      <c r="U654" s="8"/>
      <c r="V654" s="8"/>
      <c r="W654" s="8"/>
      <c r="X654" s="8"/>
      <c r="Y654" s="8"/>
      <c r="Z654" s="8"/>
      <c r="AA654" s="8"/>
      <c r="AB654" s="8"/>
      <c r="AC654" s="8"/>
      <c r="AD654" s="8"/>
      <c r="AE654" s="8"/>
      <c r="AF654" s="8"/>
      <c r="AG654" s="8"/>
      <c r="AH654" s="8"/>
      <c r="AI654" s="8"/>
      <c r="AJ654" s="8"/>
      <c r="AK654" s="8"/>
      <c r="AL654" s="8"/>
      <c r="AM654" s="8"/>
      <c r="AN654" s="8"/>
      <c r="AO654" s="1"/>
    </row>
    <row r="655" spans="1:41" x14ac:dyDescent="0.35">
      <c r="A655" s="6"/>
      <c r="B655" s="81"/>
      <c r="C655" s="83"/>
      <c r="D655" s="8"/>
      <c r="E655" s="8"/>
      <c r="F655" s="8"/>
      <c r="G655" s="8"/>
      <c r="H655" s="8"/>
      <c r="I655" s="8"/>
      <c r="J655" s="8"/>
      <c r="K655" s="8"/>
      <c r="L655" s="8"/>
      <c r="M655" s="8"/>
      <c r="N655" s="8"/>
      <c r="O655" s="8"/>
      <c r="P655" s="8"/>
      <c r="Q655" s="8"/>
      <c r="R655" s="8"/>
      <c r="S655" s="8"/>
      <c r="T655" s="8"/>
      <c r="U655" s="8"/>
      <c r="V655" s="8"/>
      <c r="W655" s="8"/>
      <c r="X655" s="8"/>
      <c r="Y655" s="8"/>
      <c r="Z655" s="8"/>
      <c r="AA655" s="8"/>
      <c r="AB655" s="8"/>
      <c r="AC655" s="8"/>
      <c r="AD655" s="8"/>
      <c r="AE655" s="8"/>
      <c r="AF655" s="8"/>
      <c r="AG655" s="8"/>
      <c r="AH655" s="8"/>
      <c r="AI655" s="8"/>
      <c r="AJ655" s="8"/>
      <c r="AK655" s="8"/>
      <c r="AL655" s="8"/>
      <c r="AM655" s="8"/>
      <c r="AN655" s="8"/>
      <c r="AO655" s="1"/>
    </row>
    <row r="656" spans="1:41" x14ac:dyDescent="0.35">
      <c r="A656" s="6"/>
      <c r="B656" s="81"/>
      <c r="C656" s="83"/>
      <c r="D656" s="8"/>
      <c r="E656" s="8"/>
      <c r="F656" s="8"/>
      <c r="G656" s="8"/>
      <c r="H656" s="8"/>
      <c r="I656" s="8"/>
      <c r="J656" s="8"/>
      <c r="K656" s="8"/>
      <c r="L656" s="8"/>
      <c r="M656" s="8"/>
      <c r="N656" s="8"/>
      <c r="O656" s="8"/>
      <c r="P656" s="8"/>
      <c r="Q656" s="8"/>
      <c r="R656" s="8"/>
      <c r="S656" s="8"/>
      <c r="T656" s="8"/>
      <c r="U656" s="8"/>
      <c r="V656" s="8"/>
      <c r="W656" s="8"/>
      <c r="X656" s="8"/>
      <c r="Y656" s="8"/>
      <c r="Z656" s="8"/>
      <c r="AA656" s="8"/>
      <c r="AB656" s="8"/>
      <c r="AC656" s="8"/>
      <c r="AD656" s="8"/>
      <c r="AE656" s="8"/>
      <c r="AF656" s="8"/>
      <c r="AG656" s="8"/>
      <c r="AH656" s="8"/>
      <c r="AI656" s="8"/>
      <c r="AJ656" s="8"/>
      <c r="AK656" s="8"/>
      <c r="AL656" s="8"/>
      <c r="AM656" s="8"/>
      <c r="AN656" s="8"/>
      <c r="AO656" s="1"/>
    </row>
    <row r="657" spans="1:41" x14ac:dyDescent="0.35">
      <c r="A657" s="6"/>
      <c r="B657" s="81"/>
      <c r="C657" s="83"/>
      <c r="D657" s="8"/>
      <c r="E657" s="8"/>
      <c r="F657" s="8"/>
      <c r="G657" s="8"/>
      <c r="H657" s="8"/>
      <c r="I657" s="8"/>
      <c r="J657" s="8"/>
      <c r="K657" s="8"/>
      <c r="L657" s="8"/>
      <c r="M657" s="8"/>
      <c r="N657" s="8"/>
      <c r="O657" s="8"/>
      <c r="P657" s="8"/>
      <c r="Q657" s="8"/>
      <c r="R657" s="8"/>
      <c r="S657" s="8"/>
      <c r="T657" s="8"/>
      <c r="U657" s="8"/>
      <c r="V657" s="8"/>
      <c r="W657" s="8"/>
      <c r="X657" s="8"/>
      <c r="Y657" s="8"/>
      <c r="Z657" s="8"/>
      <c r="AA657" s="8"/>
      <c r="AB657" s="8"/>
      <c r="AC657" s="8"/>
      <c r="AD657" s="8"/>
      <c r="AE657" s="8"/>
      <c r="AF657" s="8"/>
      <c r="AG657" s="8"/>
      <c r="AH657" s="8"/>
      <c r="AI657" s="8"/>
      <c r="AJ657" s="8"/>
      <c r="AK657" s="8"/>
      <c r="AL657" s="8"/>
      <c r="AM657" s="8"/>
      <c r="AN657" s="8"/>
      <c r="AO657" s="1"/>
    </row>
    <row r="658" spans="1:41" x14ac:dyDescent="0.35">
      <c r="A658" s="6"/>
      <c r="B658" s="81"/>
      <c r="C658" s="83"/>
      <c r="D658" s="8"/>
      <c r="E658" s="8"/>
      <c r="F658" s="8"/>
      <c r="G658" s="8"/>
      <c r="H658" s="8"/>
      <c r="I658" s="8"/>
      <c r="J658" s="8"/>
      <c r="K658" s="8"/>
      <c r="L658" s="8"/>
      <c r="M658" s="8"/>
      <c r="N658" s="8"/>
      <c r="O658" s="8"/>
      <c r="P658" s="8"/>
      <c r="Q658" s="8"/>
      <c r="R658" s="8"/>
      <c r="S658" s="8"/>
      <c r="T658" s="8"/>
      <c r="U658" s="8"/>
      <c r="V658" s="8"/>
      <c r="W658" s="8"/>
      <c r="X658" s="8"/>
      <c r="Y658" s="8"/>
      <c r="Z658" s="8"/>
      <c r="AA658" s="8"/>
      <c r="AB658" s="8"/>
      <c r="AC658" s="8"/>
      <c r="AD658" s="8"/>
      <c r="AE658" s="8"/>
      <c r="AF658" s="8"/>
      <c r="AG658" s="8"/>
      <c r="AH658" s="8"/>
      <c r="AI658" s="8"/>
      <c r="AJ658" s="8"/>
      <c r="AK658" s="8"/>
      <c r="AL658" s="8"/>
      <c r="AM658" s="8"/>
      <c r="AN658" s="8"/>
      <c r="AO658" s="1"/>
    </row>
    <row r="659" spans="1:41" x14ac:dyDescent="0.35">
      <c r="A659" s="6"/>
      <c r="B659" s="81"/>
      <c r="C659" s="83"/>
      <c r="D659" s="8"/>
      <c r="E659" s="8"/>
      <c r="F659" s="8"/>
      <c r="G659" s="8"/>
      <c r="H659" s="8"/>
      <c r="I659" s="8"/>
      <c r="J659" s="8"/>
      <c r="K659" s="8"/>
      <c r="L659" s="8"/>
      <c r="M659" s="8"/>
      <c r="N659" s="8"/>
      <c r="O659" s="8"/>
      <c r="P659" s="8"/>
      <c r="Q659" s="8"/>
      <c r="R659" s="8"/>
      <c r="S659" s="8"/>
      <c r="T659" s="8"/>
      <c r="U659" s="8"/>
      <c r="V659" s="8"/>
      <c r="W659" s="8"/>
      <c r="X659" s="8"/>
      <c r="Y659" s="8"/>
      <c r="Z659" s="8"/>
      <c r="AA659" s="8"/>
      <c r="AB659" s="8"/>
      <c r="AC659" s="8"/>
      <c r="AD659" s="8"/>
      <c r="AE659" s="8"/>
      <c r="AF659" s="8"/>
      <c r="AG659" s="8"/>
      <c r="AH659" s="8"/>
      <c r="AI659" s="8"/>
      <c r="AJ659" s="8"/>
      <c r="AK659" s="8"/>
      <c r="AL659" s="8"/>
      <c r="AM659" s="8"/>
      <c r="AN659" s="8"/>
      <c r="AO659" s="1"/>
    </row>
    <row r="660" spans="1:41" x14ac:dyDescent="0.35">
      <c r="A660" s="6"/>
      <c r="B660" s="81"/>
      <c r="C660" s="83"/>
      <c r="D660" s="8"/>
      <c r="E660" s="8"/>
      <c r="F660" s="8"/>
      <c r="G660" s="8"/>
      <c r="H660" s="8"/>
      <c r="I660" s="8"/>
      <c r="J660" s="8"/>
      <c r="K660" s="8"/>
      <c r="L660" s="8"/>
      <c r="M660" s="8"/>
      <c r="N660" s="8"/>
      <c r="O660" s="8"/>
      <c r="P660" s="8"/>
      <c r="Q660" s="8"/>
      <c r="R660" s="8"/>
      <c r="S660" s="8"/>
      <c r="T660" s="8"/>
      <c r="U660" s="8"/>
      <c r="V660" s="8"/>
      <c r="W660" s="8"/>
      <c r="X660" s="8"/>
      <c r="Y660" s="8"/>
      <c r="Z660" s="8"/>
      <c r="AA660" s="8"/>
      <c r="AB660" s="8"/>
      <c r="AC660" s="8"/>
      <c r="AD660" s="8"/>
      <c r="AE660" s="8"/>
      <c r="AF660" s="8"/>
      <c r="AG660" s="8"/>
      <c r="AH660" s="8"/>
      <c r="AI660" s="8"/>
      <c r="AJ660" s="8"/>
      <c r="AK660" s="8"/>
      <c r="AL660" s="8"/>
      <c r="AM660" s="8"/>
      <c r="AN660" s="8"/>
      <c r="AO660" s="1"/>
    </row>
    <row r="661" spans="1:41" x14ac:dyDescent="0.35">
      <c r="A661" s="6"/>
      <c r="B661" s="81"/>
      <c r="C661" s="83"/>
      <c r="D661" s="8"/>
      <c r="E661" s="8"/>
      <c r="F661" s="8"/>
      <c r="G661" s="8"/>
      <c r="H661" s="8"/>
      <c r="I661" s="8"/>
      <c r="J661" s="8"/>
      <c r="K661" s="8"/>
      <c r="L661" s="8"/>
      <c r="M661" s="8"/>
      <c r="N661" s="8"/>
      <c r="O661" s="8"/>
      <c r="P661" s="8"/>
      <c r="Q661" s="8"/>
      <c r="R661" s="8"/>
      <c r="S661" s="8"/>
      <c r="T661" s="8"/>
      <c r="U661" s="8"/>
      <c r="V661" s="8"/>
      <c r="W661" s="8"/>
      <c r="X661" s="8"/>
      <c r="Y661" s="8"/>
      <c r="Z661" s="8"/>
      <c r="AA661" s="8"/>
      <c r="AB661" s="8"/>
      <c r="AC661" s="8"/>
      <c r="AD661" s="8"/>
      <c r="AE661" s="8"/>
      <c r="AF661" s="8"/>
      <c r="AG661" s="8"/>
      <c r="AH661" s="8"/>
      <c r="AI661" s="8"/>
      <c r="AJ661" s="8"/>
      <c r="AK661" s="8"/>
      <c r="AL661" s="8"/>
      <c r="AM661" s="8"/>
      <c r="AN661" s="8"/>
      <c r="AO661" s="1"/>
    </row>
    <row r="662" spans="1:41" x14ac:dyDescent="0.35">
      <c r="A662" s="6"/>
      <c r="B662" s="81"/>
      <c r="C662" s="83"/>
      <c r="D662" s="8"/>
      <c r="E662" s="8"/>
      <c r="F662" s="8"/>
      <c r="G662" s="8"/>
      <c r="H662" s="8"/>
      <c r="I662" s="8"/>
      <c r="J662" s="8"/>
      <c r="K662" s="8"/>
      <c r="L662" s="8"/>
      <c r="M662" s="8"/>
      <c r="N662" s="8"/>
      <c r="O662" s="8"/>
      <c r="P662" s="8"/>
      <c r="Q662" s="8"/>
      <c r="R662" s="8"/>
      <c r="S662" s="8"/>
      <c r="T662" s="8"/>
      <c r="U662" s="8"/>
      <c r="V662" s="8"/>
      <c r="W662" s="8"/>
      <c r="X662" s="8"/>
      <c r="Y662" s="8"/>
      <c r="Z662" s="8"/>
      <c r="AA662" s="8"/>
      <c r="AB662" s="8"/>
      <c r="AC662" s="8"/>
      <c r="AD662" s="8"/>
      <c r="AE662" s="8"/>
      <c r="AF662" s="8"/>
      <c r="AG662" s="8"/>
      <c r="AH662" s="8"/>
      <c r="AI662" s="8"/>
      <c r="AJ662" s="8"/>
      <c r="AK662" s="8"/>
      <c r="AL662" s="8"/>
      <c r="AM662" s="8"/>
      <c r="AN662" s="8"/>
      <c r="AO662" s="1"/>
    </row>
    <row r="663" spans="1:41" x14ac:dyDescent="0.35">
      <c r="A663" s="6"/>
      <c r="B663" s="81"/>
      <c r="C663" s="83"/>
      <c r="D663" s="8"/>
      <c r="E663" s="8"/>
      <c r="F663" s="8"/>
      <c r="G663" s="8"/>
      <c r="H663" s="8"/>
      <c r="I663" s="8"/>
      <c r="J663" s="8"/>
      <c r="K663" s="8"/>
      <c r="L663" s="8"/>
      <c r="M663" s="8"/>
      <c r="N663" s="8"/>
      <c r="O663" s="8"/>
      <c r="P663" s="8"/>
      <c r="Q663" s="8"/>
      <c r="R663" s="8"/>
      <c r="S663" s="8"/>
      <c r="T663" s="8"/>
      <c r="U663" s="8"/>
      <c r="V663" s="8"/>
      <c r="W663" s="8"/>
      <c r="X663" s="8"/>
      <c r="Y663" s="8"/>
      <c r="Z663" s="8"/>
      <c r="AA663" s="8"/>
      <c r="AB663" s="8"/>
      <c r="AC663" s="8"/>
      <c r="AD663" s="8"/>
      <c r="AE663" s="8"/>
      <c r="AF663" s="8"/>
      <c r="AG663" s="8"/>
      <c r="AH663" s="8"/>
      <c r="AI663" s="8"/>
      <c r="AJ663" s="8"/>
      <c r="AK663" s="8"/>
      <c r="AL663" s="8"/>
      <c r="AM663" s="8"/>
      <c r="AN663" s="8"/>
      <c r="AO663" s="1"/>
    </row>
    <row r="664" spans="1:41" x14ac:dyDescent="0.35">
      <c r="A664" s="6"/>
      <c r="B664" s="81"/>
      <c r="C664" s="83"/>
      <c r="D664" s="8"/>
      <c r="E664" s="8"/>
      <c r="F664" s="8"/>
      <c r="G664" s="8"/>
      <c r="H664" s="8"/>
      <c r="I664" s="8"/>
      <c r="J664" s="8"/>
      <c r="K664" s="8"/>
      <c r="L664" s="8"/>
      <c r="M664" s="8"/>
      <c r="N664" s="8"/>
      <c r="O664" s="8"/>
      <c r="P664" s="8"/>
      <c r="Q664" s="8"/>
      <c r="R664" s="8"/>
      <c r="S664" s="8"/>
      <c r="T664" s="8"/>
      <c r="U664" s="8"/>
      <c r="V664" s="8"/>
      <c r="W664" s="8"/>
      <c r="X664" s="8"/>
      <c r="Y664" s="8"/>
      <c r="Z664" s="8"/>
      <c r="AA664" s="8"/>
      <c r="AB664" s="8"/>
      <c r="AC664" s="8"/>
      <c r="AD664" s="8"/>
      <c r="AE664" s="8"/>
      <c r="AF664" s="8"/>
      <c r="AG664" s="8"/>
      <c r="AH664" s="8"/>
      <c r="AI664" s="8"/>
      <c r="AJ664" s="8"/>
      <c r="AK664" s="8"/>
      <c r="AL664" s="8"/>
      <c r="AM664" s="8"/>
      <c r="AN664" s="8"/>
      <c r="AO664" s="1"/>
    </row>
    <row r="665" spans="1:41" x14ac:dyDescent="0.35">
      <c r="A665" s="6"/>
      <c r="B665" s="81"/>
      <c r="C665" s="83"/>
      <c r="D665" s="8"/>
      <c r="E665" s="8"/>
      <c r="F665" s="8"/>
      <c r="G665" s="8"/>
      <c r="H665" s="8"/>
      <c r="I665" s="8"/>
      <c r="J665" s="8"/>
      <c r="K665" s="8"/>
      <c r="L665" s="8"/>
      <c r="M665" s="8"/>
      <c r="N665" s="8"/>
      <c r="O665" s="8"/>
      <c r="P665" s="8"/>
      <c r="Q665" s="8"/>
      <c r="R665" s="8"/>
      <c r="S665" s="8"/>
      <c r="T665" s="8"/>
      <c r="U665" s="8"/>
      <c r="V665" s="8"/>
      <c r="W665" s="8"/>
      <c r="X665" s="8"/>
      <c r="Y665" s="8"/>
      <c r="Z665" s="8"/>
      <c r="AA665" s="8"/>
      <c r="AB665" s="8"/>
      <c r="AC665" s="8"/>
      <c r="AD665" s="8"/>
      <c r="AE665" s="8"/>
      <c r="AF665" s="8"/>
      <c r="AG665" s="8"/>
      <c r="AH665" s="8"/>
      <c r="AI665" s="8"/>
      <c r="AJ665" s="8"/>
      <c r="AK665" s="8"/>
      <c r="AL665" s="8"/>
      <c r="AM665" s="8"/>
      <c r="AN665" s="8"/>
      <c r="AO665" s="1"/>
    </row>
    <row r="666" spans="1:41" x14ac:dyDescent="0.35">
      <c r="A666" s="6"/>
      <c r="B666" s="81"/>
      <c r="C666" s="83"/>
      <c r="D666" s="8"/>
      <c r="E666" s="8"/>
      <c r="F666" s="8"/>
      <c r="G666" s="8"/>
      <c r="H666" s="8"/>
      <c r="I666" s="8"/>
      <c r="J666" s="8"/>
      <c r="K666" s="8"/>
      <c r="L666" s="8"/>
      <c r="M666" s="8"/>
      <c r="N666" s="8"/>
      <c r="O666" s="8"/>
      <c r="P666" s="8"/>
      <c r="Q666" s="8"/>
      <c r="R666" s="8"/>
      <c r="S666" s="8"/>
      <c r="T666" s="8"/>
      <c r="U666" s="8"/>
      <c r="V666" s="8"/>
      <c r="W666" s="8"/>
      <c r="X666" s="8"/>
      <c r="Y666" s="8"/>
      <c r="Z666" s="8"/>
      <c r="AA666" s="8"/>
      <c r="AB666" s="8"/>
      <c r="AC666" s="8"/>
      <c r="AD666" s="8"/>
      <c r="AE666" s="8"/>
      <c r="AF666" s="8"/>
      <c r="AG666" s="8"/>
      <c r="AH666" s="8"/>
      <c r="AI666" s="8"/>
      <c r="AJ666" s="8"/>
      <c r="AK666" s="8"/>
      <c r="AL666" s="8"/>
      <c r="AM666" s="8"/>
      <c r="AN666" s="8"/>
      <c r="AO666" s="1"/>
    </row>
    <row r="667" spans="1:41" x14ac:dyDescent="0.35">
      <c r="A667" s="6"/>
      <c r="B667" s="81"/>
      <c r="C667" s="83"/>
      <c r="D667" s="8"/>
      <c r="E667" s="8"/>
      <c r="F667" s="8"/>
      <c r="G667" s="8"/>
      <c r="H667" s="8"/>
      <c r="I667" s="8"/>
      <c r="J667" s="8"/>
      <c r="K667" s="8"/>
      <c r="L667" s="8"/>
      <c r="M667" s="8"/>
      <c r="N667" s="8"/>
      <c r="O667" s="8"/>
      <c r="P667" s="8"/>
      <c r="Q667" s="8"/>
      <c r="R667" s="8"/>
      <c r="S667" s="8"/>
      <c r="T667" s="8"/>
      <c r="U667" s="8"/>
      <c r="V667" s="8"/>
      <c r="W667" s="8"/>
      <c r="X667" s="8"/>
      <c r="Y667" s="8"/>
      <c r="Z667" s="8"/>
      <c r="AA667" s="8"/>
      <c r="AB667" s="8"/>
      <c r="AC667" s="8"/>
      <c r="AD667" s="8"/>
      <c r="AE667" s="8"/>
      <c r="AF667" s="8"/>
      <c r="AG667" s="8"/>
      <c r="AH667" s="8"/>
      <c r="AI667" s="8"/>
      <c r="AJ667" s="8"/>
      <c r="AK667" s="8"/>
      <c r="AL667" s="8"/>
      <c r="AM667" s="8"/>
      <c r="AN667" s="8"/>
      <c r="AO667" s="1"/>
    </row>
    <row r="668" spans="1:41" x14ac:dyDescent="0.35">
      <c r="A668" s="6"/>
      <c r="B668" s="81"/>
      <c r="C668" s="83"/>
      <c r="D668" s="8"/>
      <c r="E668" s="8"/>
      <c r="F668" s="8"/>
      <c r="G668" s="8"/>
      <c r="H668" s="8"/>
      <c r="I668" s="8"/>
      <c r="J668" s="8"/>
      <c r="K668" s="8"/>
      <c r="L668" s="8"/>
      <c r="M668" s="8"/>
      <c r="N668" s="8"/>
      <c r="O668" s="8"/>
      <c r="P668" s="8"/>
      <c r="Q668" s="8"/>
      <c r="R668" s="8"/>
      <c r="S668" s="8"/>
      <c r="T668" s="8"/>
      <c r="U668" s="8"/>
      <c r="V668" s="8"/>
      <c r="W668" s="8"/>
      <c r="X668" s="8"/>
      <c r="Y668" s="8"/>
      <c r="Z668" s="8"/>
      <c r="AA668" s="8"/>
      <c r="AB668" s="8"/>
      <c r="AC668" s="8"/>
      <c r="AD668" s="8"/>
      <c r="AE668" s="8"/>
      <c r="AF668" s="8"/>
      <c r="AG668" s="8"/>
      <c r="AH668" s="8"/>
      <c r="AI668" s="8"/>
      <c r="AJ668" s="8"/>
      <c r="AK668" s="8"/>
      <c r="AL668" s="8"/>
      <c r="AM668" s="8"/>
      <c r="AN668" s="8"/>
      <c r="AO668" s="1"/>
    </row>
    <row r="669" spans="1:41" x14ac:dyDescent="0.35">
      <c r="A669" s="6"/>
      <c r="B669" s="81"/>
      <c r="C669" s="83"/>
      <c r="D669" s="8"/>
      <c r="E669" s="8"/>
      <c r="F669" s="8"/>
      <c r="G669" s="8"/>
      <c r="H669" s="8"/>
      <c r="I669" s="8"/>
      <c r="J669" s="8"/>
      <c r="K669" s="8"/>
      <c r="L669" s="8"/>
      <c r="M669" s="8"/>
      <c r="N669" s="8"/>
      <c r="O669" s="8"/>
      <c r="P669" s="8"/>
      <c r="Q669" s="8"/>
      <c r="R669" s="8"/>
      <c r="S669" s="8"/>
      <c r="T669" s="8"/>
      <c r="U669" s="8"/>
      <c r="V669" s="8"/>
      <c r="W669" s="8"/>
      <c r="X669" s="8"/>
      <c r="Y669" s="8"/>
      <c r="Z669" s="8"/>
      <c r="AA669" s="8"/>
      <c r="AB669" s="8"/>
      <c r="AC669" s="8"/>
      <c r="AD669" s="8"/>
      <c r="AE669" s="8"/>
      <c r="AF669" s="8"/>
      <c r="AG669" s="8"/>
      <c r="AH669" s="8"/>
      <c r="AI669" s="8"/>
      <c r="AJ669" s="8"/>
      <c r="AK669" s="8"/>
      <c r="AL669" s="8"/>
      <c r="AM669" s="8"/>
      <c r="AN669" s="8"/>
      <c r="AO669" s="1"/>
    </row>
    <row r="670" spans="1:41" x14ac:dyDescent="0.35">
      <c r="A670" s="6"/>
      <c r="B670" s="81"/>
      <c r="C670" s="83"/>
      <c r="D670" s="8"/>
      <c r="E670" s="8"/>
      <c r="F670" s="8"/>
      <c r="G670" s="8"/>
      <c r="H670" s="8"/>
      <c r="I670" s="8"/>
      <c r="J670" s="8"/>
      <c r="K670" s="8"/>
      <c r="L670" s="8"/>
      <c r="M670" s="8"/>
      <c r="N670" s="8"/>
      <c r="O670" s="8"/>
      <c r="P670" s="8"/>
      <c r="Q670" s="8"/>
      <c r="R670" s="8"/>
      <c r="S670" s="8"/>
      <c r="T670" s="8"/>
      <c r="U670" s="8"/>
      <c r="V670" s="8"/>
      <c r="W670" s="8"/>
      <c r="X670" s="8"/>
      <c r="Y670" s="8"/>
      <c r="Z670" s="8"/>
      <c r="AA670" s="8"/>
      <c r="AB670" s="8"/>
      <c r="AC670" s="8"/>
      <c r="AD670" s="8"/>
      <c r="AE670" s="8"/>
      <c r="AF670" s="8"/>
      <c r="AG670" s="8"/>
      <c r="AH670" s="8"/>
      <c r="AI670" s="8"/>
      <c r="AJ670" s="8"/>
      <c r="AK670" s="8"/>
      <c r="AL670" s="8"/>
      <c r="AM670" s="8"/>
      <c r="AN670" s="8"/>
      <c r="AO670" s="1"/>
    </row>
    <row r="671" spans="1:41" x14ac:dyDescent="0.35">
      <c r="A671" s="6"/>
      <c r="B671" s="81"/>
      <c r="C671" s="83"/>
      <c r="D671" s="8"/>
      <c r="E671" s="8"/>
      <c r="F671" s="8"/>
      <c r="G671" s="8"/>
      <c r="H671" s="8"/>
      <c r="I671" s="8"/>
      <c r="J671" s="8"/>
      <c r="K671" s="8"/>
      <c r="L671" s="8"/>
      <c r="M671" s="8"/>
      <c r="N671" s="8"/>
      <c r="O671" s="8"/>
      <c r="P671" s="8"/>
      <c r="Q671" s="8"/>
      <c r="R671" s="8"/>
      <c r="S671" s="8"/>
      <c r="T671" s="8"/>
      <c r="U671" s="8"/>
      <c r="V671" s="8"/>
      <c r="W671" s="8"/>
      <c r="X671" s="8"/>
      <c r="Y671" s="8"/>
      <c r="Z671" s="8"/>
      <c r="AA671" s="8"/>
      <c r="AB671" s="8"/>
      <c r="AC671" s="8"/>
      <c r="AD671" s="8"/>
      <c r="AE671" s="8"/>
      <c r="AF671" s="8"/>
      <c r="AG671" s="8"/>
      <c r="AH671" s="8"/>
      <c r="AI671" s="8"/>
      <c r="AJ671" s="8"/>
      <c r="AK671" s="8"/>
      <c r="AL671" s="8"/>
      <c r="AM671" s="8"/>
      <c r="AN671" s="8"/>
      <c r="AO671" s="1"/>
    </row>
    <row r="672" spans="1:41" x14ac:dyDescent="0.35">
      <c r="A672" s="6"/>
      <c r="B672" s="81"/>
      <c r="C672" s="83"/>
      <c r="D672" s="8"/>
      <c r="E672" s="8"/>
      <c r="F672" s="8"/>
      <c r="G672" s="8"/>
      <c r="H672" s="8"/>
      <c r="I672" s="8"/>
      <c r="J672" s="8"/>
      <c r="K672" s="8"/>
      <c r="L672" s="8"/>
      <c r="M672" s="8"/>
      <c r="N672" s="8"/>
      <c r="O672" s="8"/>
      <c r="P672" s="8"/>
      <c r="Q672" s="8"/>
      <c r="R672" s="8"/>
      <c r="S672" s="8"/>
      <c r="T672" s="8"/>
      <c r="U672" s="8"/>
      <c r="V672" s="8"/>
      <c r="W672" s="8"/>
      <c r="X672" s="8"/>
      <c r="Y672" s="8"/>
      <c r="Z672" s="8"/>
      <c r="AA672" s="8"/>
      <c r="AB672" s="8"/>
      <c r="AC672" s="8"/>
      <c r="AD672" s="8"/>
      <c r="AE672" s="8"/>
      <c r="AF672" s="8"/>
      <c r="AG672" s="8"/>
      <c r="AH672" s="8"/>
      <c r="AI672" s="8"/>
      <c r="AJ672" s="8"/>
      <c r="AK672" s="8"/>
      <c r="AL672" s="8"/>
      <c r="AM672" s="8"/>
      <c r="AN672" s="8"/>
      <c r="AO672" s="1"/>
    </row>
    <row r="673" spans="1:41" x14ac:dyDescent="0.35">
      <c r="A673" s="6"/>
      <c r="B673" s="81"/>
      <c r="C673" s="83"/>
      <c r="D673" s="8"/>
      <c r="E673" s="8"/>
      <c r="F673" s="8"/>
      <c r="G673" s="8"/>
      <c r="H673" s="8"/>
      <c r="I673" s="8"/>
      <c r="J673" s="8"/>
      <c r="K673" s="8"/>
      <c r="L673" s="8"/>
      <c r="M673" s="8"/>
      <c r="N673" s="8"/>
      <c r="O673" s="8"/>
      <c r="P673" s="8"/>
      <c r="Q673" s="8"/>
      <c r="R673" s="8"/>
      <c r="S673" s="8"/>
      <c r="T673" s="8"/>
      <c r="U673" s="8"/>
      <c r="V673" s="8"/>
      <c r="W673" s="8"/>
      <c r="X673" s="8"/>
      <c r="Y673" s="8"/>
      <c r="Z673" s="8"/>
      <c r="AA673" s="8"/>
      <c r="AB673" s="8"/>
      <c r="AC673" s="8"/>
      <c r="AD673" s="8"/>
      <c r="AE673" s="8"/>
      <c r="AF673" s="8"/>
      <c r="AG673" s="8"/>
      <c r="AH673" s="8"/>
      <c r="AI673" s="8"/>
      <c r="AJ673" s="8"/>
      <c r="AK673" s="8"/>
      <c r="AL673" s="8"/>
      <c r="AM673" s="8"/>
      <c r="AN673" s="8"/>
      <c r="AO673" s="1"/>
    </row>
    <row r="674" spans="1:41" x14ac:dyDescent="0.35">
      <c r="A674" s="6"/>
      <c r="B674" s="81"/>
      <c r="C674" s="83"/>
      <c r="D674" s="8"/>
      <c r="E674" s="8"/>
      <c r="F674" s="8"/>
      <c r="G674" s="8"/>
      <c r="H674" s="8"/>
      <c r="I674" s="8"/>
      <c r="J674" s="8"/>
      <c r="K674" s="8"/>
      <c r="L674" s="8"/>
      <c r="M674" s="8"/>
      <c r="N674" s="8"/>
      <c r="O674" s="8"/>
      <c r="P674" s="8"/>
      <c r="Q674" s="8"/>
      <c r="R674" s="8"/>
      <c r="S674" s="8"/>
      <c r="T674" s="8"/>
      <c r="U674" s="8"/>
      <c r="V674" s="8"/>
      <c r="W674" s="8"/>
      <c r="X674" s="8"/>
      <c r="Y674" s="8"/>
      <c r="Z674" s="8"/>
      <c r="AA674" s="8"/>
      <c r="AB674" s="8"/>
      <c r="AC674" s="8"/>
      <c r="AD674" s="8"/>
      <c r="AE674" s="8"/>
      <c r="AF674" s="8"/>
      <c r="AG674" s="8"/>
      <c r="AH674" s="8"/>
      <c r="AI674" s="8"/>
      <c r="AJ674" s="8"/>
      <c r="AK674" s="8"/>
      <c r="AL674" s="8"/>
      <c r="AM674" s="8"/>
      <c r="AN674" s="8"/>
      <c r="AO674" s="1"/>
    </row>
    <row r="675" spans="1:41" x14ac:dyDescent="0.35">
      <c r="A675" s="6"/>
      <c r="B675" s="81"/>
      <c r="C675" s="83"/>
      <c r="D675" s="8"/>
      <c r="E675" s="8"/>
      <c r="F675" s="8"/>
      <c r="G675" s="8"/>
      <c r="H675" s="8"/>
      <c r="I675" s="8"/>
      <c r="J675" s="8"/>
      <c r="K675" s="8"/>
      <c r="L675" s="8"/>
      <c r="M675" s="8"/>
      <c r="N675" s="8"/>
      <c r="O675" s="8"/>
      <c r="P675" s="8"/>
      <c r="Q675" s="8"/>
      <c r="R675" s="8"/>
      <c r="S675" s="8"/>
      <c r="T675" s="8"/>
      <c r="U675" s="8"/>
      <c r="V675" s="8"/>
      <c r="W675" s="8"/>
      <c r="X675" s="8"/>
      <c r="Y675" s="8"/>
      <c r="Z675" s="8"/>
      <c r="AA675" s="8"/>
      <c r="AB675" s="8"/>
      <c r="AC675" s="8"/>
      <c r="AD675" s="8"/>
      <c r="AE675" s="8"/>
      <c r="AF675" s="8"/>
      <c r="AG675" s="8"/>
      <c r="AH675" s="8"/>
      <c r="AI675" s="8"/>
      <c r="AJ675" s="8"/>
      <c r="AK675" s="8"/>
      <c r="AL675" s="8"/>
      <c r="AM675" s="8"/>
      <c r="AN675" s="8"/>
      <c r="AO675" s="1"/>
    </row>
    <row r="676" spans="1:41" x14ac:dyDescent="0.35">
      <c r="A676" s="6"/>
      <c r="B676" s="81"/>
      <c r="C676" s="83"/>
      <c r="D676" s="8"/>
      <c r="E676" s="8"/>
      <c r="F676" s="8"/>
      <c r="G676" s="8"/>
      <c r="H676" s="8"/>
      <c r="I676" s="8"/>
      <c r="J676" s="8"/>
      <c r="K676" s="8"/>
      <c r="L676" s="8"/>
      <c r="M676" s="8"/>
      <c r="N676" s="8"/>
      <c r="O676" s="8"/>
      <c r="P676" s="8"/>
      <c r="Q676" s="8"/>
      <c r="R676" s="8"/>
      <c r="S676" s="8"/>
      <c r="T676" s="8"/>
      <c r="U676" s="8"/>
      <c r="V676" s="8"/>
      <c r="W676" s="8"/>
      <c r="X676" s="8"/>
      <c r="Y676" s="8"/>
      <c r="Z676" s="8"/>
      <c r="AA676" s="8"/>
      <c r="AB676" s="8"/>
      <c r="AC676" s="8"/>
      <c r="AD676" s="8"/>
      <c r="AE676" s="8"/>
      <c r="AF676" s="8"/>
      <c r="AG676" s="8"/>
      <c r="AH676" s="8"/>
      <c r="AI676" s="8"/>
      <c r="AJ676" s="8"/>
      <c r="AK676" s="8"/>
      <c r="AL676" s="8"/>
      <c r="AM676" s="8"/>
      <c r="AN676" s="8"/>
      <c r="AO676" s="1"/>
    </row>
    <row r="677" spans="1:41" x14ac:dyDescent="0.35">
      <c r="A677" s="6"/>
      <c r="B677" s="81"/>
      <c r="C677" s="83"/>
      <c r="D677" s="8"/>
      <c r="E677" s="8"/>
      <c r="F677" s="8"/>
      <c r="G677" s="8"/>
      <c r="H677" s="8"/>
      <c r="I677" s="8"/>
      <c r="J677" s="8"/>
      <c r="K677" s="8"/>
      <c r="L677" s="8"/>
      <c r="M677" s="8"/>
      <c r="N677" s="8"/>
      <c r="O677" s="8"/>
      <c r="P677" s="8"/>
      <c r="Q677" s="8"/>
      <c r="R677" s="8"/>
      <c r="S677" s="8"/>
      <c r="T677" s="8"/>
      <c r="U677" s="8"/>
      <c r="V677" s="8"/>
      <c r="W677" s="8"/>
      <c r="X677" s="8"/>
      <c r="Y677" s="8"/>
      <c r="Z677" s="8"/>
      <c r="AA677" s="8"/>
      <c r="AB677" s="8"/>
      <c r="AC677" s="8"/>
      <c r="AD677" s="8"/>
      <c r="AE677" s="8"/>
      <c r="AF677" s="8"/>
      <c r="AG677" s="8"/>
      <c r="AH677" s="8"/>
      <c r="AI677" s="8"/>
      <c r="AJ677" s="8"/>
      <c r="AK677" s="8"/>
      <c r="AL677" s="8"/>
      <c r="AM677" s="8"/>
      <c r="AN677" s="8"/>
      <c r="AO677" s="1"/>
    </row>
    <row r="678" spans="1:41" x14ac:dyDescent="0.35">
      <c r="A678" s="6"/>
      <c r="B678" s="81"/>
      <c r="C678" s="83"/>
      <c r="D678" s="8"/>
      <c r="E678" s="8"/>
      <c r="F678" s="8"/>
      <c r="G678" s="8"/>
      <c r="H678" s="8"/>
      <c r="I678" s="8"/>
      <c r="J678" s="8"/>
      <c r="K678" s="8"/>
      <c r="L678" s="8"/>
      <c r="M678" s="8"/>
      <c r="N678" s="8"/>
      <c r="O678" s="8"/>
      <c r="P678" s="8"/>
      <c r="Q678" s="8"/>
      <c r="R678" s="8"/>
      <c r="S678" s="8"/>
      <c r="T678" s="8"/>
      <c r="U678" s="8"/>
      <c r="V678" s="8"/>
      <c r="W678" s="8"/>
      <c r="X678" s="8"/>
      <c r="Y678" s="8"/>
      <c r="Z678" s="8"/>
      <c r="AA678" s="8"/>
      <c r="AB678" s="8"/>
      <c r="AC678" s="8"/>
      <c r="AD678" s="8"/>
      <c r="AE678" s="8"/>
      <c r="AF678" s="8"/>
      <c r="AG678" s="8"/>
      <c r="AH678" s="8"/>
      <c r="AI678" s="8"/>
      <c r="AJ678" s="8"/>
      <c r="AK678" s="8"/>
      <c r="AL678" s="8"/>
      <c r="AM678" s="8"/>
      <c r="AN678" s="8"/>
      <c r="AO678" s="1"/>
    </row>
    <row r="679" spans="1:41" x14ac:dyDescent="0.35">
      <c r="A679" s="6"/>
      <c r="B679" s="81"/>
      <c r="C679" s="83"/>
      <c r="D679" s="8"/>
      <c r="E679" s="8"/>
      <c r="F679" s="8"/>
      <c r="G679" s="8"/>
      <c r="H679" s="8"/>
      <c r="I679" s="8"/>
      <c r="J679" s="8"/>
      <c r="K679" s="8"/>
      <c r="L679" s="8"/>
      <c r="M679" s="8"/>
      <c r="N679" s="8"/>
      <c r="O679" s="8"/>
      <c r="P679" s="8"/>
      <c r="Q679" s="8"/>
      <c r="R679" s="8"/>
      <c r="S679" s="8"/>
      <c r="T679" s="8"/>
      <c r="U679" s="8"/>
      <c r="V679" s="8"/>
      <c r="W679" s="8"/>
      <c r="X679" s="8"/>
      <c r="Y679" s="8"/>
      <c r="Z679" s="8"/>
      <c r="AA679" s="8"/>
      <c r="AB679" s="8"/>
      <c r="AC679" s="8"/>
      <c r="AD679" s="8"/>
      <c r="AE679" s="8"/>
      <c r="AF679" s="8"/>
      <c r="AG679" s="8"/>
      <c r="AH679" s="8"/>
      <c r="AI679" s="8"/>
      <c r="AJ679" s="8"/>
      <c r="AK679" s="8"/>
      <c r="AL679" s="8"/>
      <c r="AM679" s="8"/>
      <c r="AN679" s="8"/>
      <c r="AO679" s="1"/>
    </row>
    <row r="680" spans="1:41" x14ac:dyDescent="0.35">
      <c r="A680" s="6"/>
      <c r="B680" s="81"/>
      <c r="C680" s="83"/>
      <c r="D680" s="8"/>
      <c r="E680" s="8"/>
      <c r="F680" s="8"/>
      <c r="G680" s="8"/>
      <c r="H680" s="8"/>
      <c r="I680" s="8"/>
      <c r="J680" s="8"/>
      <c r="K680" s="8"/>
      <c r="L680" s="8"/>
      <c r="M680" s="8"/>
      <c r="N680" s="8"/>
      <c r="O680" s="8"/>
      <c r="P680" s="8"/>
      <c r="Q680" s="8"/>
      <c r="R680" s="8"/>
      <c r="S680" s="8"/>
      <c r="T680" s="8"/>
      <c r="U680" s="8"/>
      <c r="V680" s="8"/>
      <c r="W680" s="8"/>
      <c r="X680" s="8"/>
      <c r="Y680" s="8"/>
      <c r="Z680" s="8"/>
      <c r="AA680" s="8"/>
      <c r="AB680" s="8"/>
      <c r="AC680" s="8"/>
      <c r="AD680" s="8"/>
      <c r="AE680" s="8"/>
      <c r="AF680" s="8"/>
      <c r="AG680" s="8"/>
      <c r="AH680" s="8"/>
      <c r="AI680" s="8"/>
      <c r="AJ680" s="8"/>
      <c r="AK680" s="8"/>
      <c r="AL680" s="8"/>
      <c r="AM680" s="8"/>
      <c r="AN680" s="8"/>
      <c r="AO680" s="1"/>
    </row>
    <row r="681" spans="1:41" x14ac:dyDescent="0.35">
      <c r="A681" s="6"/>
      <c r="B681" s="81"/>
      <c r="C681" s="83"/>
      <c r="D681" s="8"/>
      <c r="E681" s="8"/>
      <c r="F681" s="8"/>
      <c r="G681" s="8"/>
      <c r="H681" s="8"/>
      <c r="I681" s="8"/>
      <c r="J681" s="8"/>
      <c r="K681" s="8"/>
      <c r="L681" s="8"/>
      <c r="M681" s="8"/>
      <c r="N681" s="8"/>
      <c r="O681" s="8"/>
      <c r="P681" s="8"/>
      <c r="Q681" s="8"/>
      <c r="R681" s="8"/>
      <c r="S681" s="8"/>
      <c r="T681" s="8"/>
      <c r="U681" s="8"/>
      <c r="V681" s="8"/>
      <c r="W681" s="8"/>
      <c r="X681" s="8"/>
      <c r="Y681" s="8"/>
      <c r="Z681" s="8"/>
      <c r="AA681" s="8"/>
      <c r="AB681" s="8"/>
      <c r="AC681" s="8"/>
      <c r="AD681" s="8"/>
      <c r="AE681" s="8"/>
      <c r="AF681" s="8"/>
      <c r="AG681" s="8"/>
      <c r="AH681" s="8"/>
      <c r="AI681" s="8"/>
      <c r="AJ681" s="8"/>
      <c r="AK681" s="8"/>
      <c r="AL681" s="8"/>
      <c r="AM681" s="8"/>
      <c r="AN681" s="8"/>
      <c r="AO681" s="1"/>
    </row>
    <row r="682" spans="1:41" x14ac:dyDescent="0.35">
      <c r="A682" s="6"/>
      <c r="B682" s="81"/>
      <c r="C682" s="83"/>
      <c r="D682" s="8"/>
      <c r="E682" s="8"/>
      <c r="F682" s="8"/>
      <c r="G682" s="8"/>
      <c r="H682" s="8"/>
      <c r="I682" s="8"/>
      <c r="J682" s="8"/>
      <c r="K682" s="8"/>
      <c r="L682" s="8"/>
      <c r="M682" s="8"/>
      <c r="N682" s="8"/>
      <c r="O682" s="8"/>
      <c r="P682" s="8"/>
      <c r="Q682" s="8"/>
      <c r="R682" s="8"/>
      <c r="S682" s="8"/>
      <c r="T682" s="8"/>
      <c r="U682" s="8"/>
      <c r="V682" s="8"/>
      <c r="W682" s="8"/>
      <c r="X682" s="8"/>
      <c r="Y682" s="8"/>
      <c r="Z682" s="8"/>
      <c r="AA682" s="8"/>
      <c r="AB682" s="8"/>
      <c r="AC682" s="8"/>
      <c r="AD682" s="8"/>
      <c r="AE682" s="8"/>
      <c r="AF682" s="8"/>
      <c r="AG682" s="8"/>
      <c r="AH682" s="8"/>
      <c r="AI682" s="8"/>
      <c r="AJ682" s="8"/>
      <c r="AK682" s="8"/>
      <c r="AL682" s="8"/>
      <c r="AM682" s="8"/>
      <c r="AN682" s="8"/>
      <c r="AO682" s="1"/>
    </row>
    <row r="683" spans="1:41" x14ac:dyDescent="0.35">
      <c r="A683" s="6"/>
      <c r="B683" s="81"/>
      <c r="C683" s="83"/>
      <c r="D683" s="8"/>
      <c r="E683" s="8"/>
      <c r="F683" s="8"/>
      <c r="G683" s="8"/>
      <c r="H683" s="8"/>
      <c r="I683" s="8"/>
      <c r="J683" s="8"/>
      <c r="K683" s="8"/>
      <c r="L683" s="8"/>
      <c r="M683" s="8"/>
      <c r="N683" s="8"/>
      <c r="O683" s="8"/>
      <c r="P683" s="8"/>
      <c r="Q683" s="8"/>
      <c r="R683" s="8"/>
      <c r="S683" s="8"/>
      <c r="T683" s="8"/>
      <c r="U683" s="8"/>
      <c r="V683" s="8"/>
      <c r="W683" s="8"/>
      <c r="X683" s="8"/>
      <c r="Y683" s="8"/>
      <c r="Z683" s="8"/>
      <c r="AA683" s="8"/>
      <c r="AB683" s="8"/>
      <c r="AC683" s="8"/>
      <c r="AD683" s="8"/>
      <c r="AE683" s="8"/>
      <c r="AF683" s="8"/>
      <c r="AG683" s="8"/>
      <c r="AH683" s="8"/>
      <c r="AI683" s="8"/>
      <c r="AJ683" s="8"/>
      <c r="AK683" s="8"/>
      <c r="AL683" s="8"/>
      <c r="AM683" s="8"/>
      <c r="AN683" s="8"/>
      <c r="AO683" s="1"/>
    </row>
    <row r="684" spans="1:41" x14ac:dyDescent="0.35">
      <c r="A684" s="6"/>
      <c r="B684" s="81"/>
      <c r="C684" s="83"/>
      <c r="D684" s="8"/>
      <c r="E684" s="8"/>
      <c r="F684" s="8"/>
      <c r="G684" s="8"/>
      <c r="H684" s="8"/>
      <c r="I684" s="8"/>
      <c r="J684" s="8"/>
      <c r="K684" s="8"/>
      <c r="L684" s="8"/>
      <c r="M684" s="8"/>
      <c r="N684" s="8"/>
      <c r="O684" s="8"/>
      <c r="P684" s="8"/>
      <c r="Q684" s="8"/>
      <c r="R684" s="8"/>
      <c r="S684" s="8"/>
      <c r="T684" s="8"/>
      <c r="U684" s="8"/>
      <c r="V684" s="8"/>
      <c r="W684" s="8"/>
      <c r="X684" s="8"/>
      <c r="Y684" s="8"/>
      <c r="Z684" s="8"/>
      <c r="AA684" s="8"/>
      <c r="AB684" s="8"/>
      <c r="AC684" s="8"/>
      <c r="AD684" s="8"/>
      <c r="AE684" s="8"/>
      <c r="AF684" s="8"/>
      <c r="AG684" s="8"/>
      <c r="AH684" s="8"/>
      <c r="AI684" s="8"/>
      <c r="AJ684" s="8"/>
      <c r="AK684" s="8"/>
      <c r="AL684" s="8"/>
      <c r="AM684" s="8"/>
      <c r="AN684" s="8"/>
      <c r="AO684" s="1"/>
    </row>
    <row r="685" spans="1:41" x14ac:dyDescent="0.35">
      <c r="A685" s="6"/>
      <c r="B685" s="81"/>
      <c r="C685" s="83"/>
      <c r="D685" s="8"/>
      <c r="E685" s="8"/>
      <c r="F685" s="8"/>
      <c r="G685" s="8"/>
      <c r="H685" s="8"/>
      <c r="I685" s="8"/>
      <c r="J685" s="8"/>
      <c r="K685" s="8"/>
      <c r="L685" s="8"/>
      <c r="M685" s="8"/>
      <c r="N685" s="8"/>
      <c r="O685" s="8"/>
      <c r="P685" s="8"/>
      <c r="Q685" s="8"/>
      <c r="R685" s="8"/>
      <c r="S685" s="8"/>
      <c r="T685" s="8"/>
      <c r="U685" s="8"/>
      <c r="V685" s="8"/>
      <c r="W685" s="8"/>
      <c r="X685" s="8"/>
      <c r="Y685" s="8"/>
      <c r="Z685" s="8"/>
      <c r="AA685" s="8"/>
      <c r="AB685" s="8"/>
      <c r="AC685" s="8"/>
      <c r="AD685" s="8"/>
      <c r="AE685" s="8"/>
      <c r="AF685" s="8"/>
      <c r="AG685" s="8"/>
      <c r="AH685" s="8"/>
      <c r="AI685" s="8"/>
      <c r="AJ685" s="8"/>
      <c r="AK685" s="8"/>
      <c r="AL685" s="8"/>
      <c r="AM685" s="8"/>
      <c r="AN685" s="8"/>
      <c r="AO685" s="1"/>
    </row>
    <row r="686" spans="1:41" x14ac:dyDescent="0.35">
      <c r="A686" s="6"/>
      <c r="B686" s="81"/>
      <c r="C686" s="83"/>
      <c r="D686" s="8"/>
      <c r="E686" s="8"/>
      <c r="F686" s="8"/>
      <c r="G686" s="8"/>
      <c r="H686" s="8"/>
      <c r="I686" s="8"/>
      <c r="J686" s="8"/>
      <c r="K686" s="8"/>
      <c r="L686" s="8"/>
      <c r="M686" s="8"/>
      <c r="N686" s="8"/>
      <c r="O686" s="8"/>
      <c r="P686" s="8"/>
      <c r="Q686" s="8"/>
      <c r="R686" s="8"/>
      <c r="S686" s="8"/>
      <c r="T686" s="8"/>
      <c r="U686" s="8"/>
      <c r="V686" s="8"/>
      <c r="W686" s="8"/>
      <c r="X686" s="8"/>
      <c r="Y686" s="8"/>
      <c r="Z686" s="8"/>
      <c r="AA686" s="8"/>
      <c r="AB686" s="8"/>
      <c r="AC686" s="8"/>
      <c r="AD686" s="8"/>
      <c r="AE686" s="8"/>
      <c r="AF686" s="8"/>
      <c r="AG686" s="8"/>
      <c r="AH686" s="8"/>
      <c r="AI686" s="8"/>
      <c r="AJ686" s="8"/>
      <c r="AK686" s="8"/>
      <c r="AL686" s="8"/>
      <c r="AM686" s="8"/>
      <c r="AN686" s="8"/>
      <c r="AO686" s="1"/>
    </row>
    <row r="687" spans="1:41" x14ac:dyDescent="0.35">
      <c r="A687" s="6"/>
      <c r="B687" s="81"/>
      <c r="C687" s="83"/>
      <c r="D687" s="8"/>
      <c r="E687" s="8"/>
      <c r="F687" s="8"/>
      <c r="G687" s="8"/>
      <c r="H687" s="8"/>
      <c r="I687" s="8"/>
      <c r="J687" s="8"/>
      <c r="K687" s="8"/>
      <c r="L687" s="8"/>
      <c r="M687" s="8"/>
      <c r="N687" s="8"/>
      <c r="O687" s="8"/>
      <c r="P687" s="8"/>
      <c r="Q687" s="8"/>
      <c r="R687" s="8"/>
      <c r="S687" s="8"/>
      <c r="T687" s="8"/>
      <c r="U687" s="8"/>
      <c r="V687" s="8"/>
      <c r="W687" s="8"/>
      <c r="X687" s="8"/>
      <c r="Y687" s="8"/>
      <c r="Z687" s="8"/>
      <c r="AA687" s="8"/>
      <c r="AB687" s="8"/>
      <c r="AC687" s="8"/>
      <c r="AD687" s="8"/>
      <c r="AE687" s="8"/>
      <c r="AF687" s="8"/>
      <c r="AG687" s="8"/>
      <c r="AH687" s="8"/>
      <c r="AI687" s="8"/>
      <c r="AJ687" s="8"/>
      <c r="AK687" s="8"/>
      <c r="AL687" s="8"/>
      <c r="AM687" s="8"/>
      <c r="AN687" s="8"/>
      <c r="AO687" s="1"/>
    </row>
    <row r="688" spans="1:41" x14ac:dyDescent="0.35">
      <c r="A688" s="6"/>
      <c r="B688" s="81"/>
      <c r="C688" s="83"/>
      <c r="D688" s="8"/>
      <c r="E688" s="8"/>
      <c r="F688" s="8"/>
      <c r="G688" s="8"/>
      <c r="H688" s="8"/>
      <c r="I688" s="8"/>
      <c r="J688" s="8"/>
      <c r="K688" s="8"/>
      <c r="L688" s="8"/>
      <c r="M688" s="8"/>
      <c r="N688" s="8"/>
      <c r="O688" s="8"/>
      <c r="P688" s="8"/>
      <c r="Q688" s="8"/>
      <c r="R688" s="8"/>
      <c r="S688" s="8"/>
      <c r="T688" s="8"/>
      <c r="U688" s="8"/>
      <c r="V688" s="8"/>
      <c r="W688" s="8"/>
      <c r="X688" s="8"/>
      <c r="Y688" s="8"/>
      <c r="Z688" s="8"/>
      <c r="AA688" s="8"/>
      <c r="AB688" s="8"/>
      <c r="AC688" s="8"/>
      <c r="AD688" s="8"/>
      <c r="AE688" s="8"/>
      <c r="AF688" s="8"/>
      <c r="AG688" s="8"/>
      <c r="AH688" s="8"/>
      <c r="AI688" s="8"/>
      <c r="AJ688" s="8"/>
      <c r="AK688" s="8"/>
      <c r="AL688" s="8"/>
      <c r="AM688" s="8"/>
      <c r="AN688" s="8"/>
      <c r="AO688" s="1"/>
    </row>
    <row r="689" spans="1:41" x14ac:dyDescent="0.35">
      <c r="A689" s="6"/>
      <c r="B689" s="81"/>
      <c r="C689" s="83"/>
      <c r="D689" s="8"/>
      <c r="E689" s="8"/>
      <c r="F689" s="8"/>
      <c r="G689" s="8"/>
      <c r="H689" s="8"/>
      <c r="I689" s="8"/>
      <c r="J689" s="8"/>
      <c r="K689" s="8"/>
      <c r="L689" s="8"/>
      <c r="M689" s="8"/>
      <c r="N689" s="8"/>
      <c r="O689" s="8"/>
      <c r="P689" s="8"/>
      <c r="Q689" s="8"/>
      <c r="R689" s="8"/>
      <c r="S689" s="8"/>
      <c r="T689" s="8"/>
      <c r="U689" s="8"/>
      <c r="V689" s="8"/>
      <c r="W689" s="8"/>
      <c r="X689" s="8"/>
      <c r="Y689" s="8"/>
      <c r="Z689" s="8"/>
      <c r="AA689" s="8"/>
      <c r="AB689" s="8"/>
      <c r="AC689" s="8"/>
      <c r="AD689" s="8"/>
      <c r="AE689" s="8"/>
      <c r="AF689" s="8"/>
      <c r="AG689" s="8"/>
      <c r="AH689" s="8"/>
      <c r="AI689" s="8"/>
      <c r="AJ689" s="8"/>
      <c r="AK689" s="8"/>
      <c r="AL689" s="8"/>
      <c r="AM689" s="8"/>
      <c r="AN689" s="8"/>
      <c r="AO689" s="1"/>
    </row>
    <row r="690" spans="1:41" x14ac:dyDescent="0.35">
      <c r="A690" s="6"/>
      <c r="B690" s="81"/>
      <c r="C690" s="83"/>
      <c r="D690" s="8"/>
      <c r="E690" s="8"/>
      <c r="F690" s="8"/>
      <c r="G690" s="8"/>
      <c r="H690" s="8"/>
      <c r="I690" s="8"/>
      <c r="J690" s="8"/>
      <c r="K690" s="8"/>
      <c r="L690" s="8"/>
      <c r="M690" s="8"/>
      <c r="N690" s="8"/>
      <c r="O690" s="8"/>
      <c r="P690" s="8"/>
      <c r="Q690" s="8"/>
      <c r="R690" s="8"/>
      <c r="S690" s="8"/>
      <c r="T690" s="8"/>
      <c r="U690" s="8"/>
      <c r="V690" s="8"/>
      <c r="W690" s="8"/>
      <c r="X690" s="8"/>
      <c r="Y690" s="8"/>
      <c r="Z690" s="8"/>
      <c r="AA690" s="8"/>
      <c r="AB690" s="8"/>
      <c r="AC690" s="8"/>
      <c r="AD690" s="8"/>
      <c r="AE690" s="8"/>
      <c r="AF690" s="8"/>
      <c r="AG690" s="8"/>
      <c r="AH690" s="8"/>
      <c r="AI690" s="8"/>
      <c r="AJ690" s="8"/>
      <c r="AK690" s="8"/>
      <c r="AL690" s="8"/>
      <c r="AM690" s="8"/>
      <c r="AN690" s="8"/>
      <c r="AO690" s="1"/>
    </row>
    <row r="691" spans="1:41" x14ac:dyDescent="0.35">
      <c r="A691" s="6"/>
      <c r="B691" s="81"/>
      <c r="C691" s="83"/>
      <c r="D691" s="8"/>
      <c r="E691" s="8"/>
      <c r="F691" s="8"/>
      <c r="G691" s="8"/>
      <c r="H691" s="8"/>
      <c r="I691" s="8"/>
      <c r="J691" s="8"/>
      <c r="K691" s="8"/>
      <c r="L691" s="8"/>
      <c r="M691" s="8"/>
      <c r="N691" s="8"/>
      <c r="O691" s="8"/>
      <c r="P691" s="8"/>
      <c r="Q691" s="8"/>
      <c r="R691" s="8"/>
      <c r="S691" s="8"/>
      <c r="T691" s="8"/>
      <c r="U691" s="8"/>
      <c r="V691" s="8"/>
      <c r="W691" s="8"/>
      <c r="X691" s="8"/>
      <c r="Y691" s="8"/>
      <c r="Z691" s="8"/>
      <c r="AA691" s="8"/>
      <c r="AB691" s="8"/>
      <c r="AC691" s="8"/>
      <c r="AD691" s="8"/>
      <c r="AE691" s="8"/>
      <c r="AF691" s="8"/>
      <c r="AG691" s="8"/>
      <c r="AH691" s="8"/>
      <c r="AI691" s="8"/>
      <c r="AJ691" s="8"/>
      <c r="AK691" s="8"/>
      <c r="AL691" s="8"/>
      <c r="AM691" s="8"/>
      <c r="AN691" s="8"/>
      <c r="AO691" s="1"/>
    </row>
    <row r="692" spans="1:41" x14ac:dyDescent="0.35">
      <c r="A692" s="6"/>
      <c r="B692" s="81"/>
      <c r="C692" s="83"/>
      <c r="D692" s="8"/>
      <c r="E692" s="8"/>
      <c r="F692" s="8"/>
      <c r="G692" s="8"/>
      <c r="H692" s="8"/>
      <c r="I692" s="8"/>
      <c r="J692" s="8"/>
      <c r="K692" s="8"/>
      <c r="L692" s="8"/>
      <c r="M692" s="8"/>
      <c r="N692" s="8"/>
      <c r="O692" s="8"/>
      <c r="P692" s="8"/>
      <c r="Q692" s="8"/>
      <c r="R692" s="8"/>
      <c r="S692" s="8"/>
      <c r="T692" s="8"/>
      <c r="U692" s="8"/>
      <c r="V692" s="8"/>
      <c r="W692" s="8"/>
      <c r="X692" s="8"/>
      <c r="Y692" s="8"/>
      <c r="Z692" s="8"/>
      <c r="AA692" s="8"/>
      <c r="AB692" s="8"/>
      <c r="AC692" s="8"/>
      <c r="AD692" s="8"/>
      <c r="AE692" s="8"/>
      <c r="AF692" s="8"/>
      <c r="AG692" s="8"/>
      <c r="AH692" s="8"/>
      <c r="AI692" s="8"/>
      <c r="AJ692" s="8"/>
      <c r="AK692" s="8"/>
      <c r="AL692" s="8"/>
      <c r="AM692" s="8"/>
      <c r="AN692" s="8"/>
      <c r="AO692" s="1"/>
    </row>
    <row r="693" spans="1:41" x14ac:dyDescent="0.35">
      <c r="A693" s="6"/>
      <c r="B693" s="81"/>
      <c r="C693" s="83"/>
      <c r="D693" s="8"/>
      <c r="E693" s="8"/>
      <c r="F693" s="8"/>
      <c r="G693" s="8"/>
      <c r="H693" s="8"/>
      <c r="I693" s="8"/>
      <c r="J693" s="8"/>
      <c r="K693" s="8"/>
      <c r="L693" s="8"/>
      <c r="M693" s="8"/>
      <c r="N693" s="8"/>
      <c r="O693" s="8"/>
      <c r="P693" s="8"/>
      <c r="Q693" s="8"/>
      <c r="R693" s="8"/>
      <c r="S693" s="8"/>
      <c r="T693" s="8"/>
      <c r="U693" s="8"/>
      <c r="V693" s="8"/>
      <c r="W693" s="8"/>
      <c r="X693" s="8"/>
      <c r="Y693" s="8"/>
      <c r="Z693" s="8"/>
      <c r="AA693" s="8"/>
      <c r="AB693" s="8"/>
      <c r="AC693" s="8"/>
      <c r="AD693" s="8"/>
      <c r="AE693" s="8"/>
      <c r="AF693" s="8"/>
      <c r="AG693" s="8"/>
      <c r="AH693" s="8"/>
      <c r="AI693" s="8"/>
      <c r="AJ693" s="8"/>
      <c r="AK693" s="8"/>
      <c r="AL693" s="8"/>
      <c r="AM693" s="8"/>
      <c r="AN693" s="8"/>
      <c r="AO693" s="1"/>
    </row>
    <row r="694" spans="1:41" x14ac:dyDescent="0.35">
      <c r="A694" s="6"/>
      <c r="B694" s="81"/>
      <c r="C694" s="83"/>
      <c r="D694" s="8"/>
      <c r="E694" s="8"/>
      <c r="F694" s="8"/>
      <c r="G694" s="8"/>
      <c r="H694" s="8"/>
      <c r="I694" s="8"/>
      <c r="J694" s="8"/>
      <c r="K694" s="8"/>
      <c r="L694" s="8"/>
      <c r="M694" s="8"/>
      <c r="N694" s="8"/>
      <c r="O694" s="8"/>
      <c r="P694" s="8"/>
      <c r="Q694" s="8"/>
      <c r="R694" s="8"/>
      <c r="S694" s="8"/>
      <c r="T694" s="8"/>
      <c r="U694" s="8"/>
      <c r="V694" s="8"/>
      <c r="W694" s="8"/>
      <c r="X694" s="8"/>
      <c r="Y694" s="8"/>
      <c r="Z694" s="8"/>
      <c r="AA694" s="8"/>
      <c r="AB694" s="8"/>
      <c r="AC694" s="8"/>
      <c r="AD694" s="8"/>
      <c r="AE694" s="8"/>
      <c r="AF694" s="8"/>
      <c r="AG694" s="8"/>
      <c r="AH694" s="8"/>
      <c r="AI694" s="8"/>
      <c r="AJ694" s="8"/>
      <c r="AK694" s="8"/>
      <c r="AL694" s="8"/>
      <c r="AM694" s="8"/>
      <c r="AN694" s="8"/>
      <c r="AO694" s="1"/>
    </row>
    <row r="695" spans="1:41" x14ac:dyDescent="0.35">
      <c r="A695" s="6"/>
      <c r="B695" s="81"/>
      <c r="C695" s="83"/>
      <c r="D695" s="8"/>
      <c r="E695" s="8"/>
      <c r="F695" s="8"/>
      <c r="G695" s="8"/>
      <c r="H695" s="8"/>
      <c r="I695" s="8"/>
      <c r="J695" s="8"/>
      <c r="K695" s="8"/>
      <c r="L695" s="8"/>
      <c r="M695" s="8"/>
      <c r="N695" s="8"/>
      <c r="O695" s="8"/>
      <c r="P695" s="8"/>
      <c r="Q695" s="8"/>
      <c r="R695" s="8"/>
      <c r="S695" s="8"/>
      <c r="T695" s="8"/>
      <c r="U695" s="8"/>
      <c r="V695" s="8"/>
      <c r="W695" s="8"/>
      <c r="X695" s="8"/>
      <c r="Y695" s="8"/>
      <c r="Z695" s="8"/>
      <c r="AA695" s="8"/>
      <c r="AB695" s="8"/>
      <c r="AC695" s="8"/>
      <c r="AD695" s="8"/>
      <c r="AE695" s="8"/>
      <c r="AF695" s="8"/>
      <c r="AG695" s="8"/>
      <c r="AH695" s="8"/>
      <c r="AI695" s="8"/>
      <c r="AJ695" s="8"/>
      <c r="AK695" s="8"/>
      <c r="AL695" s="8"/>
      <c r="AM695" s="8"/>
      <c r="AN695" s="8"/>
      <c r="AO695" s="1"/>
    </row>
    <row r="696" spans="1:41" x14ac:dyDescent="0.35">
      <c r="A696" s="6"/>
      <c r="B696" s="81"/>
      <c r="C696" s="83"/>
      <c r="D696" s="8"/>
      <c r="E696" s="8"/>
      <c r="F696" s="8"/>
      <c r="G696" s="8"/>
      <c r="H696" s="8"/>
      <c r="I696" s="8"/>
      <c r="J696" s="8"/>
      <c r="K696" s="8"/>
      <c r="L696" s="8"/>
      <c r="M696" s="8"/>
      <c r="N696" s="8"/>
      <c r="O696" s="8"/>
      <c r="P696" s="8"/>
      <c r="Q696" s="8"/>
      <c r="R696" s="8"/>
      <c r="S696" s="8"/>
      <c r="T696" s="8"/>
      <c r="U696" s="8"/>
      <c r="V696" s="8"/>
      <c r="W696" s="8"/>
      <c r="X696" s="8"/>
      <c r="Y696" s="8"/>
      <c r="Z696" s="8"/>
      <c r="AA696" s="8"/>
      <c r="AB696" s="8"/>
      <c r="AC696" s="8"/>
      <c r="AD696" s="8"/>
      <c r="AE696" s="8"/>
      <c r="AF696" s="8"/>
      <c r="AG696" s="8"/>
      <c r="AH696" s="8"/>
      <c r="AI696" s="8"/>
      <c r="AJ696" s="8"/>
      <c r="AK696" s="8"/>
      <c r="AL696" s="8"/>
      <c r="AM696" s="8"/>
      <c r="AN696" s="8"/>
      <c r="AO696" s="1"/>
    </row>
    <row r="697" spans="1:41" x14ac:dyDescent="0.35">
      <c r="A697" s="6"/>
      <c r="B697" s="81"/>
      <c r="C697" s="83"/>
      <c r="D697" s="8"/>
      <c r="E697" s="8"/>
      <c r="F697" s="8"/>
      <c r="G697" s="8"/>
      <c r="H697" s="8"/>
      <c r="I697" s="8"/>
      <c r="J697" s="8"/>
      <c r="K697" s="8"/>
      <c r="L697" s="8"/>
      <c r="M697" s="8"/>
      <c r="N697" s="8"/>
      <c r="O697" s="8"/>
      <c r="P697" s="8"/>
      <c r="Q697" s="8"/>
      <c r="R697" s="8"/>
      <c r="S697" s="8"/>
      <c r="T697" s="8"/>
      <c r="U697" s="8"/>
      <c r="V697" s="8"/>
      <c r="W697" s="8"/>
      <c r="X697" s="8"/>
      <c r="Y697" s="8"/>
      <c r="Z697" s="8"/>
      <c r="AA697" s="8"/>
      <c r="AB697" s="8"/>
      <c r="AC697" s="8"/>
      <c r="AD697" s="8"/>
      <c r="AE697" s="8"/>
      <c r="AF697" s="8"/>
      <c r="AG697" s="8"/>
      <c r="AH697" s="8"/>
      <c r="AI697" s="8"/>
      <c r="AJ697" s="8"/>
      <c r="AK697" s="8"/>
      <c r="AL697" s="8"/>
      <c r="AM697" s="8"/>
      <c r="AN697" s="8"/>
      <c r="AO697" s="1"/>
    </row>
    <row r="698" spans="1:41" x14ac:dyDescent="0.35">
      <c r="A698" s="6"/>
      <c r="B698" s="81"/>
      <c r="C698" s="83"/>
      <c r="D698" s="8"/>
      <c r="E698" s="8"/>
      <c r="F698" s="8"/>
      <c r="G698" s="8"/>
      <c r="H698" s="8"/>
      <c r="I698" s="8"/>
      <c r="J698" s="8"/>
      <c r="K698" s="8"/>
      <c r="L698" s="8"/>
      <c r="M698" s="8"/>
      <c r="N698" s="8"/>
      <c r="O698" s="8"/>
      <c r="P698" s="8"/>
      <c r="Q698" s="8"/>
      <c r="R698" s="8"/>
      <c r="S698" s="8"/>
      <c r="T698" s="8"/>
      <c r="U698" s="8"/>
      <c r="V698" s="8"/>
      <c r="W698" s="8"/>
      <c r="X698" s="8"/>
      <c r="Y698" s="8"/>
      <c r="Z698" s="8"/>
      <c r="AA698" s="8"/>
      <c r="AB698" s="8"/>
      <c r="AC698" s="8"/>
      <c r="AD698" s="8"/>
      <c r="AE698" s="8"/>
      <c r="AF698" s="8"/>
      <c r="AG698" s="8"/>
      <c r="AH698" s="8"/>
      <c r="AI698" s="8"/>
      <c r="AJ698" s="8"/>
      <c r="AK698" s="8"/>
      <c r="AL698" s="8"/>
      <c r="AM698" s="8"/>
      <c r="AN698" s="8"/>
      <c r="AO698" s="1"/>
    </row>
    <row r="699" spans="1:41" x14ac:dyDescent="0.35">
      <c r="A699" s="6"/>
      <c r="B699" s="81"/>
      <c r="C699" s="83"/>
      <c r="D699" s="8"/>
      <c r="E699" s="8"/>
      <c r="F699" s="8"/>
      <c r="G699" s="8"/>
      <c r="H699" s="8"/>
      <c r="I699" s="8"/>
      <c r="J699" s="8"/>
      <c r="K699" s="8"/>
      <c r="L699" s="8"/>
      <c r="M699" s="8"/>
      <c r="N699" s="8"/>
      <c r="O699" s="8"/>
      <c r="P699" s="8"/>
      <c r="Q699" s="8"/>
      <c r="R699" s="8"/>
      <c r="S699" s="8"/>
      <c r="T699" s="8"/>
      <c r="U699" s="8"/>
      <c r="V699" s="8"/>
      <c r="W699" s="8"/>
      <c r="X699" s="8"/>
      <c r="Y699" s="8"/>
      <c r="Z699" s="8"/>
      <c r="AA699" s="8"/>
      <c r="AB699" s="8"/>
      <c r="AC699" s="8"/>
      <c r="AD699" s="8"/>
      <c r="AE699" s="8"/>
      <c r="AF699" s="8"/>
      <c r="AG699" s="8"/>
      <c r="AH699" s="8"/>
      <c r="AI699" s="8"/>
      <c r="AJ699" s="8"/>
      <c r="AK699" s="8"/>
      <c r="AL699" s="8"/>
      <c r="AM699" s="8"/>
      <c r="AN699" s="8"/>
      <c r="AO699" s="1"/>
    </row>
    <row r="700" spans="1:41" x14ac:dyDescent="0.35">
      <c r="A700" s="6"/>
      <c r="B700" s="81"/>
      <c r="C700" s="83"/>
      <c r="D700" s="8"/>
      <c r="E700" s="8"/>
      <c r="F700" s="8"/>
      <c r="G700" s="8"/>
      <c r="H700" s="8"/>
      <c r="I700" s="8"/>
      <c r="J700" s="8"/>
      <c r="K700" s="8"/>
      <c r="L700" s="8"/>
      <c r="M700" s="8"/>
      <c r="N700" s="8"/>
      <c r="O700" s="8"/>
      <c r="P700" s="8"/>
      <c r="Q700" s="8"/>
      <c r="R700" s="8"/>
      <c r="S700" s="8"/>
      <c r="T700" s="8"/>
      <c r="U700" s="8"/>
      <c r="V700" s="8"/>
      <c r="W700" s="8"/>
      <c r="X700" s="8"/>
      <c r="Y700" s="8"/>
      <c r="Z700" s="8"/>
      <c r="AA700" s="8"/>
      <c r="AB700" s="8"/>
      <c r="AC700" s="8"/>
      <c r="AD700" s="8"/>
      <c r="AE700" s="8"/>
      <c r="AF700" s="8"/>
      <c r="AG700" s="8"/>
      <c r="AH700" s="8"/>
      <c r="AI700" s="8"/>
      <c r="AJ700" s="8"/>
      <c r="AK700" s="8"/>
      <c r="AL700" s="8"/>
      <c r="AM700" s="8"/>
      <c r="AN700" s="8"/>
      <c r="AO700" s="1"/>
    </row>
    <row r="701" spans="1:41" x14ac:dyDescent="0.35">
      <c r="A701" s="6"/>
      <c r="B701" s="81"/>
      <c r="C701" s="83"/>
      <c r="D701" s="8"/>
      <c r="E701" s="8"/>
      <c r="F701" s="8"/>
      <c r="G701" s="8"/>
      <c r="H701" s="8"/>
      <c r="I701" s="8"/>
      <c r="J701" s="8"/>
      <c r="K701" s="8"/>
      <c r="L701" s="8"/>
      <c r="M701" s="8"/>
      <c r="N701" s="8"/>
      <c r="O701" s="8"/>
      <c r="P701" s="8"/>
      <c r="Q701" s="8"/>
      <c r="R701" s="8"/>
      <c r="S701" s="8"/>
      <c r="T701" s="8"/>
      <c r="U701" s="8"/>
      <c r="V701" s="8"/>
      <c r="W701" s="8"/>
      <c r="X701" s="8"/>
      <c r="Y701" s="8"/>
      <c r="Z701" s="8"/>
      <c r="AA701" s="8"/>
      <c r="AB701" s="8"/>
      <c r="AC701" s="8"/>
      <c r="AD701" s="8"/>
      <c r="AE701" s="8"/>
      <c r="AF701" s="8"/>
      <c r="AG701" s="8"/>
      <c r="AH701" s="8"/>
      <c r="AI701" s="8"/>
      <c r="AJ701" s="8"/>
      <c r="AK701" s="8"/>
      <c r="AL701" s="8"/>
      <c r="AM701" s="8"/>
      <c r="AN701" s="8"/>
      <c r="AO701" s="1"/>
    </row>
    <row r="702" spans="1:41" x14ac:dyDescent="0.35">
      <c r="A702" s="6"/>
      <c r="B702" s="81"/>
      <c r="C702" s="83"/>
      <c r="D702" s="8"/>
      <c r="E702" s="8"/>
      <c r="F702" s="8"/>
      <c r="G702" s="8"/>
      <c r="H702" s="8"/>
      <c r="I702" s="8"/>
      <c r="J702" s="8"/>
      <c r="K702" s="8"/>
      <c r="L702" s="8"/>
      <c r="M702" s="8"/>
      <c r="N702" s="8"/>
      <c r="O702" s="8"/>
      <c r="P702" s="8"/>
      <c r="Q702" s="8"/>
      <c r="R702" s="8"/>
      <c r="S702" s="8"/>
      <c r="T702" s="8"/>
      <c r="U702" s="8"/>
      <c r="V702" s="8"/>
      <c r="W702" s="8"/>
      <c r="X702" s="8"/>
      <c r="Y702" s="8"/>
      <c r="Z702" s="8"/>
      <c r="AA702" s="8"/>
      <c r="AB702" s="8"/>
      <c r="AC702" s="8"/>
      <c r="AD702" s="8"/>
      <c r="AE702" s="8"/>
      <c r="AF702" s="8"/>
      <c r="AG702" s="8"/>
      <c r="AH702" s="8"/>
      <c r="AI702" s="8"/>
      <c r="AJ702" s="8"/>
      <c r="AK702" s="8"/>
      <c r="AL702" s="8"/>
      <c r="AM702" s="8"/>
      <c r="AN702" s="8"/>
      <c r="AO702" s="1"/>
    </row>
    <row r="703" spans="1:41" x14ac:dyDescent="0.35">
      <c r="A703" s="6"/>
      <c r="B703" s="81"/>
      <c r="C703" s="83"/>
      <c r="D703" s="8"/>
      <c r="E703" s="8"/>
      <c r="F703" s="8"/>
      <c r="G703" s="8"/>
      <c r="H703" s="8"/>
      <c r="I703" s="8"/>
      <c r="J703" s="8"/>
      <c r="K703" s="8"/>
      <c r="L703" s="8"/>
      <c r="M703" s="8"/>
      <c r="N703" s="8"/>
      <c r="O703" s="8"/>
      <c r="P703" s="8"/>
      <c r="Q703" s="8"/>
      <c r="R703" s="8"/>
      <c r="S703" s="8"/>
      <c r="T703" s="8"/>
      <c r="U703" s="8"/>
      <c r="V703" s="8"/>
      <c r="W703" s="8"/>
      <c r="X703" s="8"/>
      <c r="Y703" s="8"/>
      <c r="Z703" s="8"/>
      <c r="AA703" s="8"/>
      <c r="AB703" s="8"/>
      <c r="AC703" s="8"/>
      <c r="AD703" s="8"/>
      <c r="AE703" s="8"/>
      <c r="AF703" s="8"/>
      <c r="AG703" s="8"/>
      <c r="AH703" s="8"/>
      <c r="AI703" s="8"/>
      <c r="AJ703" s="8"/>
      <c r="AK703" s="8"/>
      <c r="AL703" s="8"/>
      <c r="AM703" s="8"/>
      <c r="AN703" s="8"/>
      <c r="AO703" s="1"/>
    </row>
    <row r="704" spans="1:41" x14ac:dyDescent="0.35">
      <c r="A704" s="6"/>
      <c r="B704" s="81"/>
      <c r="C704" s="83"/>
      <c r="D704" s="8"/>
      <c r="E704" s="8"/>
      <c r="F704" s="8"/>
      <c r="G704" s="8"/>
      <c r="H704" s="8"/>
      <c r="I704" s="8"/>
      <c r="J704" s="8"/>
      <c r="K704" s="8"/>
      <c r="L704" s="8"/>
      <c r="M704" s="8"/>
      <c r="N704" s="8"/>
      <c r="O704" s="8"/>
      <c r="P704" s="8"/>
      <c r="Q704" s="8"/>
      <c r="R704" s="8"/>
      <c r="S704" s="8"/>
      <c r="T704" s="8"/>
      <c r="U704" s="8"/>
      <c r="V704" s="8"/>
      <c r="W704" s="8"/>
      <c r="X704" s="8"/>
      <c r="Y704" s="8"/>
      <c r="Z704" s="8"/>
      <c r="AA704" s="8"/>
      <c r="AB704" s="8"/>
      <c r="AC704" s="8"/>
      <c r="AD704" s="8"/>
      <c r="AE704" s="8"/>
      <c r="AF704" s="8"/>
      <c r="AG704" s="8"/>
      <c r="AH704" s="8"/>
      <c r="AI704" s="8"/>
      <c r="AJ704" s="8"/>
      <c r="AK704" s="8"/>
      <c r="AL704" s="8"/>
      <c r="AM704" s="8"/>
      <c r="AN704" s="8"/>
      <c r="AO704" s="1"/>
    </row>
    <row r="705" spans="1:41" x14ac:dyDescent="0.35">
      <c r="A705" s="6"/>
      <c r="B705" s="81"/>
      <c r="C705" s="83"/>
      <c r="D705" s="8"/>
      <c r="E705" s="8"/>
      <c r="F705" s="8"/>
      <c r="G705" s="8"/>
      <c r="H705" s="8"/>
      <c r="I705" s="8"/>
      <c r="J705" s="8"/>
      <c r="K705" s="8"/>
      <c r="L705" s="8"/>
      <c r="M705" s="8"/>
      <c r="N705" s="8"/>
      <c r="O705" s="8"/>
      <c r="P705" s="8"/>
      <c r="Q705" s="8"/>
      <c r="R705" s="8"/>
      <c r="S705" s="8"/>
      <c r="T705" s="8"/>
      <c r="U705" s="8"/>
      <c r="V705" s="8"/>
      <c r="W705" s="8"/>
      <c r="X705" s="8"/>
      <c r="Y705" s="8"/>
      <c r="Z705" s="8"/>
      <c r="AA705" s="8"/>
      <c r="AB705" s="8"/>
      <c r="AC705" s="8"/>
      <c r="AD705" s="8"/>
      <c r="AE705" s="8"/>
      <c r="AF705" s="8"/>
      <c r="AG705" s="8"/>
      <c r="AH705" s="8"/>
      <c r="AI705" s="8"/>
      <c r="AJ705" s="8"/>
      <c r="AK705" s="8"/>
      <c r="AL705" s="8"/>
      <c r="AM705" s="8"/>
      <c r="AN705" s="8"/>
      <c r="AO705" s="1"/>
    </row>
    <row r="706" spans="1:41" x14ac:dyDescent="0.35">
      <c r="A706" s="6"/>
      <c r="B706" s="81"/>
      <c r="C706" s="83"/>
      <c r="D706" s="8"/>
      <c r="E706" s="8"/>
      <c r="F706" s="8"/>
      <c r="G706" s="8"/>
      <c r="H706" s="8"/>
      <c r="I706" s="8"/>
      <c r="J706" s="8"/>
      <c r="K706" s="8"/>
      <c r="L706" s="8"/>
      <c r="M706" s="8"/>
      <c r="N706" s="8"/>
      <c r="O706" s="8"/>
      <c r="P706" s="8"/>
      <c r="Q706" s="8"/>
      <c r="R706" s="8"/>
      <c r="S706" s="8"/>
      <c r="T706" s="8"/>
      <c r="U706" s="8"/>
      <c r="V706" s="8"/>
      <c r="W706" s="8"/>
      <c r="X706" s="8"/>
      <c r="Y706" s="8"/>
      <c r="Z706" s="8"/>
      <c r="AA706" s="8"/>
      <c r="AB706" s="8"/>
      <c r="AC706" s="8"/>
      <c r="AD706" s="8"/>
      <c r="AE706" s="8"/>
      <c r="AF706" s="8"/>
      <c r="AG706" s="8"/>
      <c r="AH706" s="8"/>
      <c r="AI706" s="8"/>
      <c r="AJ706" s="8"/>
      <c r="AK706" s="8"/>
      <c r="AL706" s="8"/>
      <c r="AM706" s="8"/>
      <c r="AN706" s="8"/>
      <c r="AO706" s="1"/>
    </row>
    <row r="707" spans="1:41" x14ac:dyDescent="0.35">
      <c r="A707" s="6"/>
      <c r="B707" s="81"/>
      <c r="C707" s="83"/>
      <c r="D707" s="8"/>
      <c r="E707" s="8"/>
      <c r="F707" s="8"/>
      <c r="G707" s="8"/>
      <c r="H707" s="8"/>
      <c r="I707" s="8"/>
      <c r="J707" s="8"/>
      <c r="K707" s="8"/>
      <c r="L707" s="8"/>
      <c r="M707" s="8"/>
      <c r="N707" s="8"/>
      <c r="O707" s="8"/>
      <c r="P707" s="8"/>
      <c r="Q707" s="8"/>
      <c r="R707" s="8"/>
      <c r="S707" s="8"/>
      <c r="T707" s="8"/>
      <c r="U707" s="8"/>
      <c r="V707" s="8"/>
      <c r="W707" s="8"/>
      <c r="X707" s="8"/>
      <c r="Y707" s="8"/>
      <c r="Z707" s="8"/>
      <c r="AA707" s="8"/>
      <c r="AB707" s="8"/>
      <c r="AC707" s="8"/>
      <c r="AD707" s="8"/>
      <c r="AE707" s="8"/>
      <c r="AF707" s="8"/>
      <c r="AG707" s="8"/>
      <c r="AH707" s="8"/>
      <c r="AI707" s="8"/>
      <c r="AJ707" s="8"/>
      <c r="AK707" s="8"/>
      <c r="AL707" s="8"/>
      <c r="AM707" s="8"/>
      <c r="AN707" s="8"/>
      <c r="AO707" s="1"/>
    </row>
    <row r="708" spans="1:41" x14ac:dyDescent="0.35">
      <c r="A708" s="6"/>
      <c r="B708" s="81"/>
      <c r="C708" s="83"/>
      <c r="D708" s="8"/>
      <c r="E708" s="8"/>
      <c r="F708" s="8"/>
      <c r="G708" s="8"/>
      <c r="H708" s="8"/>
      <c r="I708" s="8"/>
      <c r="J708" s="8"/>
      <c r="K708" s="8"/>
      <c r="L708" s="8"/>
      <c r="M708" s="8"/>
      <c r="N708" s="8"/>
      <c r="O708" s="8"/>
      <c r="P708" s="8"/>
      <c r="Q708" s="8"/>
      <c r="R708" s="8"/>
      <c r="S708" s="8"/>
      <c r="T708" s="8"/>
      <c r="U708" s="8"/>
      <c r="V708" s="8"/>
      <c r="W708" s="8"/>
      <c r="X708" s="8"/>
      <c r="Y708" s="8"/>
      <c r="Z708" s="8"/>
      <c r="AA708" s="8"/>
      <c r="AB708" s="8"/>
      <c r="AC708" s="8"/>
      <c r="AD708" s="8"/>
      <c r="AE708" s="8"/>
      <c r="AF708" s="8"/>
      <c r="AG708" s="8"/>
      <c r="AH708" s="8"/>
      <c r="AI708" s="8"/>
      <c r="AJ708" s="8"/>
      <c r="AK708" s="8"/>
      <c r="AL708" s="8"/>
      <c r="AM708" s="8"/>
      <c r="AN708" s="8"/>
      <c r="AO708" s="1"/>
    </row>
    <row r="709" spans="1:41" x14ac:dyDescent="0.35">
      <c r="A709" s="6"/>
      <c r="B709" s="81"/>
      <c r="C709" s="83"/>
      <c r="D709" s="8"/>
      <c r="E709" s="8"/>
      <c r="F709" s="8"/>
      <c r="G709" s="8"/>
      <c r="H709" s="8"/>
      <c r="I709" s="8"/>
      <c r="J709" s="8"/>
      <c r="K709" s="8"/>
      <c r="L709" s="8"/>
      <c r="M709" s="8"/>
      <c r="N709" s="8"/>
      <c r="O709" s="8"/>
      <c r="P709" s="8"/>
      <c r="Q709" s="8"/>
      <c r="R709" s="8"/>
      <c r="S709" s="8"/>
      <c r="T709" s="8"/>
      <c r="U709" s="8"/>
      <c r="V709" s="8"/>
      <c r="W709" s="8"/>
      <c r="X709" s="8"/>
      <c r="Y709" s="8"/>
      <c r="Z709" s="8"/>
      <c r="AA709" s="8"/>
      <c r="AB709" s="8"/>
      <c r="AC709" s="8"/>
      <c r="AD709" s="8"/>
      <c r="AE709" s="8"/>
      <c r="AF709" s="8"/>
      <c r="AG709" s="8"/>
      <c r="AH709" s="8"/>
      <c r="AI709" s="8"/>
      <c r="AJ709" s="8"/>
      <c r="AK709" s="8"/>
      <c r="AL709" s="8"/>
      <c r="AM709" s="8"/>
      <c r="AN709" s="8"/>
      <c r="AO709" s="1"/>
    </row>
    <row r="710" spans="1:41" x14ac:dyDescent="0.35">
      <c r="A710" s="6"/>
      <c r="B710" s="81"/>
      <c r="C710" s="83"/>
      <c r="D710" s="8"/>
      <c r="E710" s="8"/>
      <c r="F710" s="8"/>
      <c r="G710" s="8"/>
      <c r="H710" s="8"/>
      <c r="I710" s="8"/>
      <c r="J710" s="8"/>
      <c r="K710" s="8"/>
      <c r="L710" s="8"/>
      <c r="M710" s="8"/>
      <c r="N710" s="8"/>
      <c r="O710" s="8"/>
      <c r="P710" s="8"/>
      <c r="Q710" s="8"/>
      <c r="R710" s="8"/>
      <c r="S710" s="8"/>
      <c r="T710" s="8"/>
      <c r="U710" s="8"/>
      <c r="V710" s="8"/>
      <c r="W710" s="8"/>
      <c r="X710" s="8"/>
      <c r="Y710" s="8"/>
      <c r="Z710" s="8"/>
      <c r="AA710" s="8"/>
      <c r="AB710" s="8"/>
      <c r="AC710" s="8"/>
      <c r="AD710" s="8"/>
      <c r="AE710" s="8"/>
      <c r="AF710" s="8"/>
      <c r="AG710" s="8"/>
      <c r="AH710" s="8"/>
      <c r="AI710" s="8"/>
      <c r="AJ710" s="8"/>
      <c r="AK710" s="8"/>
      <c r="AL710" s="8"/>
      <c r="AM710" s="8"/>
      <c r="AN710" s="8"/>
      <c r="AO710" s="1"/>
    </row>
    <row r="711" spans="1:41" x14ac:dyDescent="0.35">
      <c r="A711" s="6"/>
      <c r="B711" s="81"/>
      <c r="C711" s="83"/>
      <c r="D711" s="8"/>
      <c r="E711" s="8"/>
      <c r="F711" s="8"/>
      <c r="G711" s="8"/>
      <c r="H711" s="8"/>
      <c r="I711" s="8"/>
      <c r="J711" s="8"/>
      <c r="K711" s="8"/>
      <c r="L711" s="8"/>
      <c r="M711" s="8"/>
      <c r="N711" s="8"/>
      <c r="O711" s="8"/>
      <c r="P711" s="8"/>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1"/>
    </row>
    <row r="712" spans="1:41" x14ac:dyDescent="0.35">
      <c r="A712" s="6"/>
      <c r="B712" s="81"/>
      <c r="C712" s="83"/>
      <c r="D712" s="8"/>
      <c r="E712" s="8"/>
      <c r="F712" s="8"/>
      <c r="G712" s="8"/>
      <c r="H712" s="8"/>
      <c r="I712" s="8"/>
      <c r="J712" s="8"/>
      <c r="K712" s="8"/>
      <c r="L712" s="8"/>
      <c r="M712" s="8"/>
      <c r="N712" s="8"/>
      <c r="O712" s="8"/>
      <c r="P712" s="8"/>
      <c r="Q712" s="8"/>
      <c r="R712" s="8"/>
      <c r="S712" s="8"/>
      <c r="T712" s="8"/>
      <c r="U712" s="8"/>
      <c r="V712" s="8"/>
      <c r="W712" s="8"/>
      <c r="X712" s="8"/>
      <c r="Y712" s="8"/>
      <c r="Z712" s="8"/>
      <c r="AA712" s="8"/>
      <c r="AB712" s="8"/>
      <c r="AC712" s="8"/>
      <c r="AD712" s="8"/>
      <c r="AE712" s="8"/>
      <c r="AF712" s="8"/>
      <c r="AG712" s="8"/>
      <c r="AH712" s="8"/>
      <c r="AI712" s="8"/>
      <c r="AJ712" s="8"/>
      <c r="AK712" s="8"/>
      <c r="AL712" s="8"/>
      <c r="AM712" s="8"/>
      <c r="AN712" s="8"/>
      <c r="AO712" s="1"/>
    </row>
    <row r="713" spans="1:41" x14ac:dyDescent="0.35">
      <c r="A713" s="6"/>
      <c r="B713" s="81"/>
      <c r="C713" s="83"/>
      <c r="D713" s="8"/>
      <c r="E713" s="8"/>
      <c r="F713" s="8"/>
      <c r="G713" s="8"/>
      <c r="H713" s="8"/>
      <c r="I713" s="8"/>
      <c r="J713" s="8"/>
      <c r="K713" s="8"/>
      <c r="L713" s="8"/>
      <c r="M713" s="8"/>
      <c r="N713" s="8"/>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1"/>
    </row>
    <row r="714" spans="1:41" x14ac:dyDescent="0.35">
      <c r="A714" s="6"/>
      <c r="B714" s="81"/>
      <c r="C714" s="83"/>
      <c r="D714" s="8"/>
      <c r="E714" s="8"/>
      <c r="F714" s="8"/>
      <c r="G714" s="8"/>
      <c r="H714" s="8"/>
      <c r="I714" s="8"/>
      <c r="J714" s="8"/>
      <c r="K714" s="8"/>
      <c r="L714" s="8"/>
      <c r="M714" s="8"/>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c r="AN714" s="8"/>
      <c r="AO714" s="1"/>
    </row>
    <row r="715" spans="1:41" x14ac:dyDescent="0.35">
      <c r="A715" s="6"/>
      <c r="B715" s="81"/>
      <c r="C715" s="83"/>
      <c r="D715" s="8"/>
      <c r="E715" s="8"/>
      <c r="F715" s="8"/>
      <c r="G715" s="8"/>
      <c r="H715" s="8"/>
      <c r="I715" s="8"/>
      <c r="J715" s="8"/>
      <c r="K715" s="8"/>
      <c r="L715" s="8"/>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1"/>
    </row>
    <row r="716" spans="1:41" x14ac:dyDescent="0.35">
      <c r="A716" s="6"/>
      <c r="B716" s="81"/>
      <c r="C716" s="83"/>
      <c r="D716" s="8"/>
      <c r="E716" s="8"/>
      <c r="F716" s="8"/>
      <c r="G716" s="8"/>
      <c r="H716" s="8"/>
      <c r="I716" s="8"/>
      <c r="J716" s="8"/>
      <c r="K716" s="8"/>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c r="AN716" s="8"/>
      <c r="AO716" s="1"/>
    </row>
    <row r="717" spans="1:41" x14ac:dyDescent="0.35">
      <c r="A717" s="6"/>
      <c r="B717" s="81"/>
      <c r="C717" s="83"/>
      <c r="D717" s="8"/>
      <c r="E717" s="8"/>
      <c r="F717" s="8"/>
      <c r="G717" s="8"/>
      <c r="H717" s="8"/>
      <c r="I717" s="8"/>
      <c r="J717" s="8"/>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1"/>
    </row>
    <row r="718" spans="1:41" x14ac:dyDescent="0.35">
      <c r="A718" s="6"/>
      <c r="B718" s="81"/>
      <c r="C718" s="83"/>
      <c r="D718" s="8"/>
      <c r="E718" s="8"/>
      <c r="F718" s="8"/>
      <c r="G718" s="8"/>
      <c r="H718" s="8"/>
      <c r="I718" s="8"/>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c r="AN718" s="8"/>
      <c r="AO718" s="1"/>
    </row>
    <row r="719" spans="1:41" x14ac:dyDescent="0.35">
      <c r="A719" s="6"/>
      <c r="B719" s="81"/>
      <c r="C719" s="83"/>
      <c r="D719" s="8"/>
      <c r="E719" s="8"/>
      <c r="F719" s="8"/>
      <c r="G719" s="8"/>
      <c r="H719" s="8"/>
      <c r="I719" s="8"/>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1"/>
    </row>
    <row r="720" spans="1:41" x14ac:dyDescent="0.35">
      <c r="A720" s="6"/>
      <c r="B720" s="81"/>
      <c r="C720" s="83"/>
      <c r="D720" s="8"/>
      <c r="E720" s="8"/>
      <c r="F720" s="8"/>
      <c r="G720" s="8"/>
      <c r="H720" s="8"/>
      <c r="I720" s="8"/>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c r="AN720" s="8"/>
      <c r="AO720" s="1"/>
    </row>
    <row r="721" spans="1:41" x14ac:dyDescent="0.35">
      <c r="A721" s="6"/>
      <c r="B721" s="81"/>
      <c r="C721" s="83"/>
      <c r="D721" s="8"/>
      <c r="E721" s="8"/>
      <c r="F721" s="8"/>
      <c r="G721" s="8"/>
      <c r="H721" s="8"/>
      <c r="I721" s="8"/>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1"/>
    </row>
    <row r="722" spans="1:41" x14ac:dyDescent="0.35">
      <c r="A722" s="6"/>
      <c r="B722" s="81"/>
      <c r="C722" s="83"/>
      <c r="D722" s="8"/>
      <c r="E722" s="8"/>
      <c r="F722" s="8"/>
      <c r="G722" s="8"/>
      <c r="H722" s="8"/>
      <c r="I722" s="8"/>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c r="AN722" s="8"/>
      <c r="AO722" s="1"/>
    </row>
    <row r="723" spans="1:41" x14ac:dyDescent="0.35">
      <c r="A723" s="6"/>
      <c r="B723" s="81"/>
      <c r="C723" s="83"/>
      <c r="D723" s="8"/>
      <c r="E723" s="8"/>
      <c r="F723" s="8"/>
      <c r="G723" s="8"/>
      <c r="H723" s="8"/>
      <c r="I723" s="8"/>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1"/>
    </row>
    <row r="724" spans="1:41" x14ac:dyDescent="0.35">
      <c r="A724" s="6"/>
      <c r="B724" s="81"/>
      <c r="C724" s="83"/>
      <c r="D724" s="8"/>
      <c r="E724" s="8"/>
      <c r="F724" s="8"/>
      <c r="G724" s="8"/>
      <c r="H724" s="8"/>
      <c r="I724" s="8"/>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c r="AN724" s="8"/>
      <c r="AO724" s="1"/>
    </row>
    <row r="725" spans="1:41" x14ac:dyDescent="0.35">
      <c r="A725" s="6"/>
      <c r="B725" s="81"/>
      <c r="C725" s="83"/>
      <c r="D725" s="8"/>
      <c r="E725" s="8"/>
      <c r="F725" s="8"/>
      <c r="G725" s="8"/>
      <c r="H725" s="8"/>
      <c r="I725" s="8"/>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1"/>
    </row>
    <row r="726" spans="1:41" x14ac:dyDescent="0.35">
      <c r="A726" s="6"/>
      <c r="B726" s="81"/>
      <c r="C726" s="83"/>
      <c r="D726" s="8"/>
      <c r="E726" s="8"/>
      <c r="F726" s="8"/>
      <c r="G726" s="8"/>
      <c r="H726" s="8"/>
      <c r="I726" s="8"/>
      <c r="J726" s="8"/>
      <c r="K726" s="8"/>
      <c r="L726" s="8"/>
      <c r="M726" s="8"/>
      <c r="N726" s="8"/>
      <c r="O726" s="8"/>
      <c r="P726" s="8"/>
      <c r="Q726" s="8"/>
      <c r="R726" s="8"/>
      <c r="S726" s="8"/>
      <c r="T726" s="8"/>
      <c r="U726" s="8"/>
      <c r="V726" s="8"/>
      <c r="W726" s="8"/>
      <c r="X726" s="8"/>
      <c r="Y726" s="8"/>
      <c r="Z726" s="8"/>
      <c r="AA726" s="8"/>
      <c r="AB726" s="8"/>
      <c r="AC726" s="8"/>
      <c r="AD726" s="8"/>
      <c r="AE726" s="8"/>
      <c r="AF726" s="8"/>
      <c r="AG726" s="8"/>
      <c r="AH726" s="8"/>
      <c r="AI726" s="8"/>
      <c r="AJ726" s="8"/>
      <c r="AK726" s="8"/>
      <c r="AL726" s="8"/>
      <c r="AM726" s="8"/>
      <c r="AN726" s="8"/>
      <c r="AO726" s="1"/>
    </row>
    <row r="727" spans="1:41" x14ac:dyDescent="0.35">
      <c r="A727" s="6"/>
      <c r="B727" s="81"/>
      <c r="C727" s="83"/>
      <c r="D727" s="8"/>
      <c r="E727" s="8"/>
      <c r="F727" s="8"/>
      <c r="G727" s="8"/>
      <c r="H727" s="8"/>
      <c r="I727" s="8"/>
      <c r="J727" s="8"/>
      <c r="K727" s="8"/>
      <c r="L727" s="8"/>
      <c r="M727" s="8"/>
      <c r="N727" s="8"/>
      <c r="O727" s="8"/>
      <c r="P727" s="8"/>
      <c r="Q727" s="8"/>
      <c r="R727" s="8"/>
      <c r="S727" s="8"/>
      <c r="T727" s="8"/>
      <c r="U727" s="8"/>
      <c r="V727" s="8"/>
      <c r="W727" s="8"/>
      <c r="X727" s="8"/>
      <c r="Y727" s="8"/>
      <c r="Z727" s="8"/>
      <c r="AA727" s="8"/>
      <c r="AB727" s="8"/>
      <c r="AC727" s="8"/>
      <c r="AD727" s="8"/>
      <c r="AE727" s="8"/>
      <c r="AF727" s="8"/>
      <c r="AG727" s="8"/>
      <c r="AH727" s="8"/>
      <c r="AI727" s="8"/>
      <c r="AJ727" s="8"/>
      <c r="AK727" s="8"/>
      <c r="AL727" s="8"/>
      <c r="AM727" s="8"/>
      <c r="AN727" s="8"/>
      <c r="AO727" s="1"/>
    </row>
    <row r="728" spans="1:41" x14ac:dyDescent="0.35">
      <c r="A728" s="6"/>
      <c r="B728" s="81"/>
      <c r="C728" s="83"/>
      <c r="D728" s="8"/>
      <c r="E728" s="8"/>
      <c r="F728" s="8"/>
      <c r="G728" s="8"/>
      <c r="H728" s="8"/>
      <c r="I728" s="8"/>
      <c r="J728" s="8"/>
      <c r="K728" s="8"/>
      <c r="L728" s="8"/>
      <c r="M728" s="8"/>
      <c r="N728" s="8"/>
      <c r="O728" s="8"/>
      <c r="P728" s="8"/>
      <c r="Q728" s="8"/>
      <c r="R728" s="8"/>
      <c r="S728" s="8"/>
      <c r="T728" s="8"/>
      <c r="U728" s="8"/>
      <c r="V728" s="8"/>
      <c r="W728" s="8"/>
      <c r="X728" s="8"/>
      <c r="Y728" s="8"/>
      <c r="Z728" s="8"/>
      <c r="AA728" s="8"/>
      <c r="AB728" s="8"/>
      <c r="AC728" s="8"/>
      <c r="AD728" s="8"/>
      <c r="AE728" s="8"/>
      <c r="AF728" s="8"/>
      <c r="AG728" s="8"/>
      <c r="AH728" s="8"/>
      <c r="AI728" s="8"/>
      <c r="AJ728" s="8"/>
      <c r="AK728" s="8"/>
      <c r="AL728" s="8"/>
      <c r="AM728" s="8"/>
      <c r="AN728" s="8"/>
      <c r="AO728" s="1"/>
    </row>
    <row r="729" spans="1:41" x14ac:dyDescent="0.35">
      <c r="A729" s="6"/>
      <c r="B729" s="81"/>
      <c r="C729" s="83"/>
      <c r="D729" s="8"/>
      <c r="E729" s="8"/>
      <c r="F729" s="8"/>
      <c r="G729" s="8"/>
      <c r="H729" s="8"/>
      <c r="I729" s="8"/>
      <c r="J729" s="8"/>
      <c r="K729" s="8"/>
      <c r="L729" s="8"/>
      <c r="M729" s="8"/>
      <c r="N729" s="8"/>
      <c r="O729" s="8"/>
      <c r="P729" s="8"/>
      <c r="Q729" s="8"/>
      <c r="R729" s="8"/>
      <c r="S729" s="8"/>
      <c r="T729" s="8"/>
      <c r="U729" s="8"/>
      <c r="V729" s="8"/>
      <c r="W729" s="8"/>
      <c r="X729" s="8"/>
      <c r="Y729" s="8"/>
      <c r="Z729" s="8"/>
      <c r="AA729" s="8"/>
      <c r="AB729" s="8"/>
      <c r="AC729" s="8"/>
      <c r="AD729" s="8"/>
      <c r="AE729" s="8"/>
      <c r="AF729" s="8"/>
      <c r="AG729" s="8"/>
      <c r="AH729" s="8"/>
      <c r="AI729" s="8"/>
      <c r="AJ729" s="8"/>
      <c r="AK729" s="8"/>
      <c r="AL729" s="8"/>
      <c r="AM729" s="8"/>
      <c r="AN729" s="8"/>
      <c r="AO729" s="1"/>
    </row>
    <row r="730" spans="1:41" x14ac:dyDescent="0.35">
      <c r="A730" s="6"/>
      <c r="B730" s="81"/>
      <c r="C730" s="83"/>
      <c r="D730" s="8"/>
      <c r="E730" s="8"/>
      <c r="F730" s="8"/>
      <c r="G730" s="8"/>
      <c r="H730" s="8"/>
      <c r="I730" s="8"/>
      <c r="J730" s="8"/>
      <c r="K730" s="8"/>
      <c r="L730" s="8"/>
      <c r="M730" s="8"/>
      <c r="N730" s="8"/>
      <c r="O730" s="8"/>
      <c r="P730" s="8"/>
      <c r="Q730" s="8"/>
      <c r="R730" s="8"/>
      <c r="S730" s="8"/>
      <c r="T730" s="8"/>
      <c r="U730" s="8"/>
      <c r="V730" s="8"/>
      <c r="W730" s="8"/>
      <c r="X730" s="8"/>
      <c r="Y730" s="8"/>
      <c r="Z730" s="8"/>
      <c r="AA730" s="8"/>
      <c r="AB730" s="8"/>
      <c r="AC730" s="8"/>
      <c r="AD730" s="8"/>
      <c r="AE730" s="8"/>
      <c r="AF730" s="8"/>
      <c r="AG730" s="8"/>
      <c r="AH730" s="8"/>
      <c r="AI730" s="8"/>
      <c r="AJ730" s="8"/>
      <c r="AK730" s="8"/>
      <c r="AL730" s="8"/>
      <c r="AM730" s="8"/>
      <c r="AN730" s="8"/>
      <c r="AO730" s="1"/>
    </row>
    <row r="731" spans="1:41" x14ac:dyDescent="0.35">
      <c r="A731" s="6"/>
      <c r="B731" s="81"/>
      <c r="C731" s="83"/>
      <c r="D731" s="8"/>
      <c r="E731" s="8"/>
      <c r="F731" s="8"/>
      <c r="G731" s="8"/>
      <c r="H731" s="8"/>
      <c r="I731" s="8"/>
      <c r="J731" s="8"/>
      <c r="K731" s="8"/>
      <c r="L731" s="8"/>
      <c r="M731" s="8"/>
      <c r="N731" s="8"/>
      <c r="O731" s="8"/>
      <c r="P731" s="8"/>
      <c r="Q731" s="8"/>
      <c r="R731" s="8"/>
      <c r="S731" s="8"/>
      <c r="T731" s="8"/>
      <c r="U731" s="8"/>
      <c r="V731" s="8"/>
      <c r="W731" s="8"/>
      <c r="X731" s="8"/>
      <c r="Y731" s="8"/>
      <c r="Z731" s="8"/>
      <c r="AA731" s="8"/>
      <c r="AB731" s="8"/>
      <c r="AC731" s="8"/>
      <c r="AD731" s="8"/>
      <c r="AE731" s="8"/>
      <c r="AF731" s="8"/>
      <c r="AG731" s="8"/>
      <c r="AH731" s="8"/>
      <c r="AI731" s="8"/>
      <c r="AJ731" s="8"/>
      <c r="AK731" s="8"/>
      <c r="AL731" s="8"/>
      <c r="AM731" s="8"/>
      <c r="AN731" s="8"/>
      <c r="AO731" s="1"/>
    </row>
    <row r="732" spans="1:41" x14ac:dyDescent="0.35">
      <c r="A732" s="6"/>
      <c r="B732" s="81"/>
      <c r="C732" s="83"/>
      <c r="D732" s="8"/>
      <c r="E732" s="8"/>
      <c r="F732" s="8"/>
      <c r="G732" s="8"/>
      <c r="H732" s="8"/>
      <c r="I732" s="8"/>
      <c r="J732" s="8"/>
      <c r="K732" s="8"/>
      <c r="L732" s="8"/>
      <c r="M732" s="8"/>
      <c r="N732" s="8"/>
      <c r="O732" s="8"/>
      <c r="P732" s="8"/>
      <c r="Q732" s="8"/>
      <c r="R732" s="8"/>
      <c r="S732" s="8"/>
      <c r="T732" s="8"/>
      <c r="U732" s="8"/>
      <c r="V732" s="8"/>
      <c r="W732" s="8"/>
      <c r="X732" s="8"/>
      <c r="Y732" s="8"/>
      <c r="Z732" s="8"/>
      <c r="AA732" s="8"/>
      <c r="AB732" s="8"/>
      <c r="AC732" s="8"/>
      <c r="AD732" s="8"/>
      <c r="AE732" s="8"/>
      <c r="AF732" s="8"/>
      <c r="AG732" s="8"/>
      <c r="AH732" s="8"/>
      <c r="AI732" s="8"/>
      <c r="AJ732" s="8"/>
      <c r="AK732" s="8"/>
      <c r="AL732" s="8"/>
      <c r="AM732" s="8"/>
      <c r="AN732" s="8"/>
      <c r="AO732" s="1"/>
    </row>
    <row r="733" spans="1:41" x14ac:dyDescent="0.35">
      <c r="A733" s="6"/>
      <c r="B733" s="81"/>
      <c r="C733" s="83"/>
      <c r="D733" s="8"/>
      <c r="E733" s="8"/>
      <c r="F733" s="8"/>
      <c r="G733" s="8"/>
      <c r="H733" s="8"/>
      <c r="I733" s="8"/>
      <c r="J733" s="8"/>
      <c r="K733" s="8"/>
      <c r="L733" s="8"/>
      <c r="M733" s="8"/>
      <c r="N733" s="8"/>
      <c r="O733" s="8"/>
      <c r="P733" s="8"/>
      <c r="Q733" s="8"/>
      <c r="R733" s="8"/>
      <c r="S733" s="8"/>
      <c r="T733" s="8"/>
      <c r="U733" s="8"/>
      <c r="V733" s="8"/>
      <c r="W733" s="8"/>
      <c r="X733" s="8"/>
      <c r="Y733" s="8"/>
      <c r="Z733" s="8"/>
      <c r="AA733" s="8"/>
      <c r="AB733" s="8"/>
      <c r="AC733" s="8"/>
      <c r="AD733" s="8"/>
      <c r="AE733" s="8"/>
      <c r="AF733" s="8"/>
      <c r="AG733" s="8"/>
      <c r="AH733" s="8"/>
      <c r="AI733" s="8"/>
      <c r="AJ733" s="8"/>
      <c r="AK733" s="8"/>
      <c r="AL733" s="8"/>
      <c r="AM733" s="8"/>
      <c r="AN733" s="8"/>
      <c r="AO733" s="1"/>
    </row>
    <row r="734" spans="1:41" x14ac:dyDescent="0.35">
      <c r="A734" s="6"/>
      <c r="B734" s="81"/>
      <c r="C734" s="83"/>
      <c r="D734" s="8"/>
      <c r="E734" s="8"/>
      <c r="F734" s="8"/>
      <c r="G734" s="8"/>
      <c r="H734" s="8"/>
      <c r="I734" s="8"/>
      <c r="J734" s="8"/>
      <c r="K734" s="8"/>
      <c r="L734" s="8"/>
      <c r="M734" s="8"/>
      <c r="N734" s="8"/>
      <c r="O734" s="8"/>
      <c r="P734" s="8"/>
      <c r="Q734" s="8"/>
      <c r="R734" s="8"/>
      <c r="S734" s="8"/>
      <c r="T734" s="8"/>
      <c r="U734" s="8"/>
      <c r="V734" s="8"/>
      <c r="W734" s="8"/>
      <c r="X734" s="8"/>
      <c r="Y734" s="8"/>
      <c r="Z734" s="8"/>
      <c r="AA734" s="8"/>
      <c r="AB734" s="8"/>
      <c r="AC734" s="8"/>
      <c r="AD734" s="8"/>
      <c r="AE734" s="8"/>
      <c r="AF734" s="8"/>
      <c r="AG734" s="8"/>
      <c r="AH734" s="8"/>
      <c r="AI734" s="8"/>
      <c r="AJ734" s="8"/>
      <c r="AK734" s="8"/>
      <c r="AL734" s="8"/>
      <c r="AM734" s="8"/>
      <c r="AN734" s="8"/>
      <c r="AO734" s="1"/>
    </row>
    <row r="735" spans="1:41" x14ac:dyDescent="0.35">
      <c r="A735" s="6"/>
      <c r="B735" s="81"/>
      <c r="C735" s="83"/>
      <c r="D735" s="8"/>
      <c r="E735" s="8"/>
      <c r="F735" s="8"/>
      <c r="G735" s="8"/>
      <c r="H735" s="8"/>
      <c r="I735" s="8"/>
      <c r="J735" s="8"/>
      <c r="K735" s="8"/>
      <c r="L735" s="8"/>
      <c r="M735" s="8"/>
      <c r="N735" s="8"/>
      <c r="O735" s="8"/>
      <c r="P735" s="8"/>
      <c r="Q735" s="8"/>
      <c r="R735" s="8"/>
      <c r="S735" s="8"/>
      <c r="T735" s="8"/>
      <c r="U735" s="8"/>
      <c r="V735" s="8"/>
      <c r="W735" s="8"/>
      <c r="X735" s="8"/>
      <c r="Y735" s="8"/>
      <c r="Z735" s="8"/>
      <c r="AA735" s="8"/>
      <c r="AB735" s="8"/>
      <c r="AC735" s="8"/>
      <c r="AD735" s="8"/>
      <c r="AE735" s="8"/>
      <c r="AF735" s="8"/>
      <c r="AG735" s="8"/>
      <c r="AH735" s="8"/>
      <c r="AI735" s="8"/>
      <c r="AJ735" s="8"/>
      <c r="AK735" s="8"/>
      <c r="AL735" s="8"/>
      <c r="AM735" s="8"/>
      <c r="AN735" s="8"/>
      <c r="AO735" s="1"/>
    </row>
    <row r="736" spans="1:41" x14ac:dyDescent="0.35">
      <c r="A736" s="6"/>
      <c r="B736" s="81"/>
      <c r="C736" s="83"/>
      <c r="D736" s="8"/>
      <c r="E736" s="8"/>
      <c r="F736" s="8"/>
      <c r="G736" s="8"/>
      <c r="H736" s="8"/>
      <c r="I736" s="8"/>
      <c r="J736" s="8"/>
      <c r="K736" s="8"/>
      <c r="L736" s="8"/>
      <c r="M736" s="8"/>
      <c r="N736" s="8"/>
      <c r="O736" s="8"/>
      <c r="P736" s="8"/>
      <c r="Q736" s="8"/>
      <c r="R736" s="8"/>
      <c r="S736" s="8"/>
      <c r="T736" s="8"/>
      <c r="U736" s="8"/>
      <c r="V736" s="8"/>
      <c r="W736" s="8"/>
      <c r="X736" s="8"/>
      <c r="Y736" s="8"/>
      <c r="Z736" s="8"/>
      <c r="AA736" s="8"/>
      <c r="AB736" s="8"/>
      <c r="AC736" s="8"/>
      <c r="AD736" s="8"/>
      <c r="AE736" s="8"/>
      <c r="AF736" s="8"/>
      <c r="AG736" s="8"/>
      <c r="AH736" s="8"/>
      <c r="AI736" s="8"/>
      <c r="AJ736" s="8"/>
      <c r="AK736" s="8"/>
      <c r="AL736" s="8"/>
      <c r="AM736" s="8"/>
      <c r="AN736" s="8"/>
      <c r="AO736" s="1"/>
    </row>
    <row r="737" spans="1:41" x14ac:dyDescent="0.35">
      <c r="A737" s="6"/>
      <c r="B737" s="81"/>
      <c r="C737" s="83"/>
      <c r="D737" s="8"/>
      <c r="E737" s="8"/>
      <c r="F737" s="8"/>
      <c r="G737" s="8"/>
      <c r="H737" s="8"/>
      <c r="I737" s="8"/>
      <c r="J737" s="8"/>
      <c r="K737" s="8"/>
      <c r="L737" s="8"/>
      <c r="M737" s="8"/>
      <c r="N737" s="8"/>
      <c r="O737" s="8"/>
      <c r="P737" s="8"/>
      <c r="Q737" s="8"/>
      <c r="R737" s="8"/>
      <c r="S737" s="8"/>
      <c r="T737" s="8"/>
      <c r="U737" s="8"/>
      <c r="V737" s="8"/>
      <c r="W737" s="8"/>
      <c r="X737" s="8"/>
      <c r="Y737" s="8"/>
      <c r="Z737" s="8"/>
      <c r="AA737" s="8"/>
      <c r="AB737" s="8"/>
      <c r="AC737" s="8"/>
      <c r="AD737" s="8"/>
      <c r="AE737" s="8"/>
      <c r="AF737" s="8"/>
      <c r="AG737" s="8"/>
      <c r="AH737" s="8"/>
      <c r="AI737" s="8"/>
      <c r="AJ737" s="8"/>
      <c r="AK737" s="8"/>
      <c r="AL737" s="8"/>
      <c r="AM737" s="8"/>
      <c r="AN737" s="8"/>
      <c r="AO737" s="1"/>
    </row>
    <row r="738" spans="1:41" x14ac:dyDescent="0.35">
      <c r="A738" s="6"/>
      <c r="B738" s="81"/>
      <c r="C738" s="83"/>
      <c r="D738" s="8"/>
      <c r="E738" s="8"/>
      <c r="F738" s="8"/>
      <c r="G738" s="8"/>
      <c r="H738" s="8"/>
      <c r="I738" s="8"/>
      <c r="J738" s="8"/>
      <c r="K738" s="8"/>
      <c r="L738" s="8"/>
      <c r="M738" s="8"/>
      <c r="N738" s="8"/>
      <c r="O738" s="8"/>
      <c r="P738" s="8"/>
      <c r="Q738" s="8"/>
      <c r="R738" s="8"/>
      <c r="S738" s="8"/>
      <c r="T738" s="8"/>
      <c r="U738" s="8"/>
      <c r="V738" s="8"/>
      <c r="W738" s="8"/>
      <c r="X738" s="8"/>
      <c r="Y738" s="8"/>
      <c r="Z738" s="8"/>
      <c r="AA738" s="8"/>
      <c r="AB738" s="8"/>
      <c r="AC738" s="8"/>
      <c r="AD738" s="8"/>
      <c r="AE738" s="8"/>
      <c r="AF738" s="8"/>
      <c r="AG738" s="8"/>
      <c r="AH738" s="8"/>
      <c r="AI738" s="8"/>
      <c r="AJ738" s="8"/>
      <c r="AK738" s="8"/>
      <c r="AL738" s="8"/>
      <c r="AM738" s="8"/>
      <c r="AN738" s="8"/>
      <c r="AO738" s="1"/>
    </row>
    <row r="739" spans="1:41" x14ac:dyDescent="0.35">
      <c r="A739" s="6"/>
      <c r="B739" s="81"/>
      <c r="C739" s="83"/>
      <c r="D739" s="8"/>
      <c r="E739" s="8"/>
      <c r="F739" s="8"/>
      <c r="G739" s="8"/>
      <c r="H739" s="8"/>
      <c r="I739" s="8"/>
      <c r="J739" s="8"/>
      <c r="K739" s="8"/>
      <c r="L739" s="8"/>
      <c r="M739" s="8"/>
      <c r="N739" s="8"/>
      <c r="O739" s="8"/>
      <c r="P739" s="8"/>
      <c r="Q739" s="8"/>
      <c r="R739" s="8"/>
      <c r="S739" s="8"/>
      <c r="T739" s="8"/>
      <c r="U739" s="8"/>
      <c r="V739" s="8"/>
      <c r="W739" s="8"/>
      <c r="X739" s="8"/>
      <c r="Y739" s="8"/>
      <c r="Z739" s="8"/>
      <c r="AA739" s="8"/>
      <c r="AB739" s="8"/>
      <c r="AC739" s="8"/>
      <c r="AD739" s="8"/>
      <c r="AE739" s="8"/>
      <c r="AF739" s="8"/>
      <c r="AG739" s="8"/>
      <c r="AH739" s="8"/>
      <c r="AI739" s="8"/>
      <c r="AJ739" s="8"/>
      <c r="AK739" s="8"/>
      <c r="AL739" s="8"/>
      <c r="AM739" s="8"/>
      <c r="AN739" s="8"/>
      <c r="AO739" s="1"/>
    </row>
    <row r="740" spans="1:41" x14ac:dyDescent="0.35">
      <c r="A740" s="6"/>
      <c r="B740" s="81"/>
      <c r="C740" s="83"/>
      <c r="D740" s="8"/>
      <c r="E740" s="8"/>
      <c r="F740" s="8"/>
      <c r="G740" s="8"/>
      <c r="H740" s="8"/>
      <c r="I740" s="8"/>
      <c r="J740" s="8"/>
      <c r="K740" s="8"/>
      <c r="L740" s="8"/>
      <c r="M740" s="8"/>
      <c r="N740" s="8"/>
      <c r="O740" s="8"/>
      <c r="P740" s="8"/>
      <c r="Q740" s="8"/>
      <c r="R740" s="8"/>
      <c r="S740" s="8"/>
      <c r="T740" s="8"/>
      <c r="U740" s="8"/>
      <c r="V740" s="8"/>
      <c r="W740" s="8"/>
      <c r="X740" s="8"/>
      <c r="Y740" s="8"/>
      <c r="Z740" s="8"/>
      <c r="AA740" s="8"/>
      <c r="AB740" s="8"/>
      <c r="AC740" s="8"/>
      <c r="AD740" s="8"/>
      <c r="AE740" s="8"/>
      <c r="AF740" s="8"/>
      <c r="AG740" s="8"/>
      <c r="AH740" s="8"/>
      <c r="AI740" s="8"/>
      <c r="AJ740" s="8"/>
      <c r="AK740" s="8"/>
      <c r="AL740" s="8"/>
      <c r="AM740" s="8"/>
      <c r="AN740" s="8"/>
      <c r="AO740" s="1"/>
    </row>
    <row r="741" spans="1:41" x14ac:dyDescent="0.35">
      <c r="A741" s="6"/>
      <c r="B741" s="81"/>
      <c r="C741" s="83"/>
      <c r="D741" s="8"/>
      <c r="E741" s="8"/>
      <c r="F741" s="8"/>
      <c r="G741" s="8"/>
      <c r="H741" s="8"/>
      <c r="I741" s="8"/>
      <c r="J741" s="8"/>
      <c r="K741" s="8"/>
      <c r="L741" s="8"/>
      <c r="M741" s="8"/>
      <c r="N741" s="8"/>
      <c r="O741" s="8"/>
      <c r="P741" s="8"/>
      <c r="Q741" s="8"/>
      <c r="R741" s="8"/>
      <c r="S741" s="8"/>
      <c r="T741" s="8"/>
      <c r="U741" s="8"/>
      <c r="V741" s="8"/>
      <c r="W741" s="8"/>
      <c r="X741" s="8"/>
      <c r="Y741" s="8"/>
      <c r="Z741" s="8"/>
      <c r="AA741" s="8"/>
      <c r="AB741" s="8"/>
      <c r="AC741" s="8"/>
      <c r="AD741" s="8"/>
      <c r="AE741" s="8"/>
      <c r="AF741" s="8"/>
      <c r="AG741" s="8"/>
      <c r="AH741" s="8"/>
      <c r="AI741" s="8"/>
      <c r="AJ741" s="8"/>
      <c r="AK741" s="8"/>
      <c r="AL741" s="8"/>
      <c r="AM741" s="8"/>
      <c r="AN741" s="8"/>
      <c r="AO741" s="1"/>
    </row>
    <row r="742" spans="1:41" x14ac:dyDescent="0.35">
      <c r="A742" s="6"/>
      <c r="B742" s="81"/>
      <c r="C742" s="83"/>
      <c r="D742" s="8"/>
      <c r="E742" s="8"/>
      <c r="F742" s="8"/>
      <c r="G742" s="8"/>
      <c r="H742" s="8"/>
      <c r="I742" s="8"/>
      <c r="J742" s="8"/>
      <c r="K742" s="8"/>
      <c r="L742" s="8"/>
      <c r="M742" s="8"/>
      <c r="N742" s="8"/>
      <c r="O742" s="8"/>
      <c r="P742" s="8"/>
      <c r="Q742" s="8"/>
      <c r="R742" s="8"/>
      <c r="S742" s="8"/>
      <c r="T742" s="8"/>
      <c r="U742" s="8"/>
      <c r="V742" s="8"/>
      <c r="W742" s="8"/>
      <c r="X742" s="8"/>
      <c r="Y742" s="8"/>
      <c r="Z742" s="8"/>
      <c r="AA742" s="8"/>
      <c r="AB742" s="8"/>
      <c r="AC742" s="8"/>
      <c r="AD742" s="8"/>
      <c r="AE742" s="8"/>
      <c r="AF742" s="8"/>
      <c r="AG742" s="8"/>
      <c r="AH742" s="8"/>
      <c r="AI742" s="8"/>
      <c r="AJ742" s="8"/>
      <c r="AK742" s="8"/>
      <c r="AL742" s="8"/>
      <c r="AM742" s="8"/>
      <c r="AN742" s="8"/>
      <c r="AO742" s="1"/>
    </row>
    <row r="743" spans="1:41" x14ac:dyDescent="0.35">
      <c r="A743" s="6"/>
      <c r="B743" s="81"/>
      <c r="C743" s="83"/>
      <c r="D743" s="8"/>
      <c r="E743" s="8"/>
      <c r="F743" s="8"/>
      <c r="G743" s="8"/>
      <c r="H743" s="8"/>
      <c r="I743" s="8"/>
      <c r="J743" s="8"/>
      <c r="K743" s="8"/>
      <c r="L743" s="8"/>
      <c r="M743" s="8"/>
      <c r="N743" s="8"/>
      <c r="O743" s="8"/>
      <c r="P743" s="8"/>
      <c r="Q743" s="8"/>
      <c r="R743" s="8"/>
      <c r="S743" s="8"/>
      <c r="T743" s="8"/>
      <c r="U743" s="8"/>
      <c r="V743" s="8"/>
      <c r="W743" s="8"/>
      <c r="X743" s="8"/>
      <c r="Y743" s="8"/>
      <c r="Z743" s="8"/>
      <c r="AA743" s="8"/>
      <c r="AB743" s="8"/>
      <c r="AC743" s="8"/>
      <c r="AD743" s="8"/>
      <c r="AE743" s="8"/>
      <c r="AF743" s="8"/>
      <c r="AG743" s="8"/>
      <c r="AH743" s="8"/>
      <c r="AI743" s="8"/>
      <c r="AJ743" s="8"/>
      <c r="AK743" s="8"/>
      <c r="AL743" s="8"/>
      <c r="AM743" s="8"/>
      <c r="AN743" s="8"/>
      <c r="AO743" s="1"/>
    </row>
    <row r="744" spans="1:41" x14ac:dyDescent="0.35">
      <c r="A744" s="6"/>
      <c r="B744" s="81"/>
      <c r="C744" s="83"/>
      <c r="D744" s="8"/>
      <c r="E744" s="8"/>
      <c r="F744" s="8"/>
      <c r="G744" s="8"/>
      <c r="H744" s="8"/>
      <c r="I744" s="8"/>
      <c r="J744" s="8"/>
      <c r="K744" s="8"/>
      <c r="L744" s="8"/>
      <c r="M744" s="8"/>
      <c r="N744" s="8"/>
      <c r="O744" s="8"/>
      <c r="P744" s="8"/>
      <c r="Q744" s="8"/>
      <c r="R744" s="8"/>
      <c r="S744" s="8"/>
      <c r="T744" s="8"/>
      <c r="U744" s="8"/>
      <c r="V744" s="8"/>
      <c r="W744" s="8"/>
      <c r="X744" s="8"/>
      <c r="Y744" s="8"/>
      <c r="Z744" s="8"/>
      <c r="AA744" s="8"/>
      <c r="AB744" s="8"/>
      <c r="AC744" s="8"/>
      <c r="AD744" s="8"/>
      <c r="AE744" s="8"/>
      <c r="AF744" s="8"/>
      <c r="AG744" s="8"/>
      <c r="AH744" s="8"/>
      <c r="AI744" s="8"/>
      <c r="AJ744" s="8"/>
      <c r="AK744" s="8"/>
      <c r="AL744" s="8"/>
      <c r="AM744" s="8"/>
      <c r="AN744" s="8"/>
      <c r="AO744" s="1"/>
    </row>
    <row r="745" spans="1:41" x14ac:dyDescent="0.35">
      <c r="A745" s="6"/>
      <c r="B745" s="81"/>
      <c r="C745" s="83"/>
      <c r="D745" s="8"/>
      <c r="E745" s="8"/>
      <c r="F745" s="8"/>
      <c r="G745" s="8"/>
      <c r="H745" s="8"/>
      <c r="I745" s="8"/>
      <c r="J745" s="8"/>
      <c r="K745" s="8"/>
      <c r="L745" s="8"/>
      <c r="M745" s="8"/>
      <c r="N745" s="8"/>
      <c r="O745" s="8"/>
      <c r="P745" s="8"/>
      <c r="Q745" s="8"/>
      <c r="R745" s="8"/>
      <c r="S745" s="8"/>
      <c r="T745" s="8"/>
      <c r="U745" s="8"/>
      <c r="V745" s="8"/>
      <c r="W745" s="8"/>
      <c r="X745" s="8"/>
      <c r="Y745" s="8"/>
      <c r="Z745" s="8"/>
      <c r="AA745" s="8"/>
      <c r="AB745" s="8"/>
      <c r="AC745" s="8"/>
      <c r="AD745" s="8"/>
      <c r="AE745" s="8"/>
      <c r="AF745" s="8"/>
      <c r="AG745" s="8"/>
      <c r="AH745" s="8"/>
      <c r="AI745" s="8"/>
      <c r="AJ745" s="8"/>
      <c r="AK745" s="8"/>
      <c r="AL745" s="8"/>
      <c r="AM745" s="8"/>
      <c r="AN745" s="8"/>
      <c r="AO745" s="1"/>
    </row>
    <row r="746" spans="1:41" x14ac:dyDescent="0.35">
      <c r="A746" s="6"/>
      <c r="B746" s="81"/>
      <c r="C746" s="83"/>
      <c r="D746" s="8"/>
      <c r="E746" s="8"/>
      <c r="F746" s="8"/>
      <c r="G746" s="8"/>
      <c r="H746" s="8"/>
      <c r="I746" s="8"/>
      <c r="J746" s="8"/>
      <c r="K746" s="8"/>
      <c r="L746" s="8"/>
      <c r="M746" s="8"/>
      <c r="N746" s="8"/>
      <c r="O746" s="8"/>
      <c r="P746" s="8"/>
      <c r="Q746" s="8"/>
      <c r="R746" s="8"/>
      <c r="S746" s="8"/>
      <c r="T746" s="8"/>
      <c r="U746" s="8"/>
      <c r="V746" s="8"/>
      <c r="W746" s="8"/>
      <c r="X746" s="8"/>
      <c r="Y746" s="8"/>
      <c r="Z746" s="8"/>
      <c r="AA746" s="8"/>
      <c r="AB746" s="8"/>
      <c r="AC746" s="8"/>
      <c r="AD746" s="8"/>
      <c r="AE746" s="8"/>
      <c r="AF746" s="8"/>
      <c r="AG746" s="8"/>
      <c r="AH746" s="8"/>
      <c r="AI746" s="8"/>
      <c r="AJ746" s="8"/>
      <c r="AK746" s="8"/>
      <c r="AL746" s="8"/>
      <c r="AM746" s="8"/>
      <c r="AN746" s="8"/>
      <c r="AO746" s="1"/>
    </row>
    <row r="747" spans="1:41" x14ac:dyDescent="0.35">
      <c r="A747" s="6"/>
      <c r="B747" s="81"/>
      <c r="C747" s="83"/>
      <c r="D747" s="8"/>
      <c r="E747" s="8"/>
      <c r="F747" s="8"/>
      <c r="G747" s="8"/>
      <c r="H747" s="8"/>
      <c r="I747" s="8"/>
      <c r="J747" s="8"/>
      <c r="K747" s="8"/>
      <c r="L747" s="8"/>
      <c r="M747" s="8"/>
      <c r="N747" s="8"/>
      <c r="O747" s="8"/>
      <c r="P747" s="8"/>
      <c r="Q747" s="8"/>
      <c r="R747" s="8"/>
      <c r="S747" s="8"/>
      <c r="T747" s="8"/>
      <c r="U747" s="8"/>
      <c r="V747" s="8"/>
      <c r="W747" s="8"/>
      <c r="X747" s="8"/>
      <c r="Y747" s="8"/>
      <c r="Z747" s="8"/>
      <c r="AA747" s="8"/>
      <c r="AB747" s="8"/>
      <c r="AC747" s="8"/>
      <c r="AD747" s="8"/>
      <c r="AE747" s="8"/>
      <c r="AF747" s="8"/>
      <c r="AG747" s="8"/>
      <c r="AH747" s="8"/>
      <c r="AI747" s="8"/>
      <c r="AJ747" s="8"/>
      <c r="AK747" s="8"/>
      <c r="AL747" s="8"/>
      <c r="AM747" s="8"/>
      <c r="AN747" s="8"/>
      <c r="AO747" s="1"/>
    </row>
    <row r="748" spans="1:41" x14ac:dyDescent="0.35">
      <c r="A748" s="6"/>
      <c r="B748" s="81"/>
      <c r="C748" s="83"/>
      <c r="D748" s="8"/>
      <c r="E748" s="8"/>
      <c r="F748" s="8"/>
      <c r="G748" s="8"/>
      <c r="H748" s="8"/>
      <c r="I748" s="8"/>
      <c r="J748" s="8"/>
      <c r="K748" s="8"/>
      <c r="L748" s="8"/>
      <c r="M748" s="8"/>
      <c r="N748" s="8"/>
      <c r="O748" s="8"/>
      <c r="P748" s="8"/>
      <c r="Q748" s="8"/>
      <c r="R748" s="8"/>
      <c r="S748" s="8"/>
      <c r="T748" s="8"/>
      <c r="U748" s="8"/>
      <c r="V748" s="8"/>
      <c r="W748" s="8"/>
      <c r="X748" s="8"/>
      <c r="Y748" s="8"/>
      <c r="Z748" s="8"/>
      <c r="AA748" s="8"/>
      <c r="AB748" s="8"/>
      <c r="AC748" s="8"/>
      <c r="AD748" s="8"/>
      <c r="AE748" s="8"/>
      <c r="AF748" s="8"/>
      <c r="AG748" s="8"/>
      <c r="AH748" s="8"/>
      <c r="AI748" s="8"/>
      <c r="AJ748" s="8"/>
      <c r="AK748" s="8"/>
      <c r="AL748" s="8"/>
      <c r="AM748" s="8"/>
      <c r="AN748" s="8"/>
      <c r="AO748" s="1"/>
    </row>
    <row r="749" spans="1:41" x14ac:dyDescent="0.35">
      <c r="A749" s="6"/>
      <c r="B749" s="81"/>
      <c r="C749" s="83"/>
      <c r="D749" s="8"/>
      <c r="E749" s="8"/>
      <c r="F749" s="8"/>
      <c r="G749" s="8"/>
      <c r="H749" s="8"/>
      <c r="I749" s="8"/>
      <c r="J749" s="8"/>
      <c r="K749" s="8"/>
      <c r="L749" s="8"/>
      <c r="M749" s="8"/>
      <c r="N749" s="8"/>
      <c r="O749" s="8"/>
      <c r="P749" s="8"/>
      <c r="Q749" s="8"/>
      <c r="R749" s="8"/>
      <c r="S749" s="8"/>
      <c r="T749" s="8"/>
      <c r="U749" s="8"/>
      <c r="V749" s="8"/>
      <c r="W749" s="8"/>
      <c r="X749" s="8"/>
      <c r="Y749" s="8"/>
      <c r="Z749" s="8"/>
      <c r="AA749" s="8"/>
      <c r="AB749" s="8"/>
      <c r="AC749" s="8"/>
      <c r="AD749" s="8"/>
      <c r="AE749" s="8"/>
      <c r="AF749" s="8"/>
      <c r="AG749" s="8"/>
      <c r="AH749" s="8"/>
      <c r="AI749" s="8"/>
      <c r="AJ749" s="8"/>
      <c r="AK749" s="8"/>
      <c r="AL749" s="8"/>
      <c r="AM749" s="8"/>
      <c r="AN749" s="8"/>
      <c r="AO749" s="1"/>
    </row>
    <row r="750" spans="1:41" x14ac:dyDescent="0.35">
      <c r="A750" s="6"/>
      <c r="B750" s="81"/>
      <c r="C750" s="83"/>
      <c r="D750" s="8"/>
      <c r="E750" s="8"/>
      <c r="F750" s="8"/>
      <c r="G750" s="8"/>
      <c r="H750" s="8"/>
      <c r="I750" s="8"/>
      <c r="J750" s="8"/>
      <c r="K750" s="8"/>
      <c r="L750" s="8"/>
      <c r="M750" s="8"/>
      <c r="N750" s="8"/>
      <c r="O750" s="8"/>
      <c r="P750" s="8"/>
      <c r="Q750" s="8"/>
      <c r="R750" s="8"/>
      <c r="S750" s="8"/>
      <c r="T750" s="8"/>
      <c r="U750" s="8"/>
      <c r="V750" s="8"/>
      <c r="W750" s="8"/>
      <c r="X750" s="8"/>
      <c r="Y750" s="8"/>
      <c r="Z750" s="8"/>
      <c r="AA750" s="8"/>
      <c r="AB750" s="8"/>
      <c r="AC750" s="8"/>
      <c r="AD750" s="8"/>
      <c r="AE750" s="8"/>
      <c r="AF750" s="8"/>
      <c r="AG750" s="8"/>
      <c r="AH750" s="8"/>
      <c r="AI750" s="8"/>
      <c r="AJ750" s="8"/>
      <c r="AK750" s="8"/>
      <c r="AL750" s="8"/>
      <c r="AM750" s="8"/>
      <c r="AN750" s="8"/>
      <c r="AO750" s="1"/>
    </row>
    <row r="751" spans="1:41" x14ac:dyDescent="0.35">
      <c r="A751" s="6"/>
      <c r="B751" s="81"/>
      <c r="C751" s="83"/>
      <c r="D751" s="8"/>
      <c r="E751" s="8"/>
      <c r="F751" s="8"/>
      <c r="G751" s="8"/>
      <c r="H751" s="8"/>
      <c r="I751" s="8"/>
      <c r="J751" s="8"/>
      <c r="K751" s="8"/>
      <c r="L751" s="8"/>
      <c r="M751" s="8"/>
      <c r="N751" s="8"/>
      <c r="O751" s="8"/>
      <c r="P751" s="8"/>
      <c r="Q751" s="8"/>
      <c r="R751" s="8"/>
      <c r="S751" s="8"/>
      <c r="T751" s="8"/>
      <c r="U751" s="8"/>
      <c r="V751" s="8"/>
      <c r="W751" s="8"/>
      <c r="X751" s="8"/>
      <c r="Y751" s="8"/>
      <c r="Z751" s="8"/>
      <c r="AA751" s="8"/>
      <c r="AB751" s="8"/>
      <c r="AC751" s="8"/>
      <c r="AD751" s="8"/>
      <c r="AE751" s="8"/>
      <c r="AF751" s="8"/>
      <c r="AG751" s="8"/>
      <c r="AH751" s="8"/>
      <c r="AI751" s="8"/>
      <c r="AJ751" s="8"/>
      <c r="AK751" s="8"/>
      <c r="AL751" s="8"/>
      <c r="AM751" s="8"/>
      <c r="AN751" s="8"/>
      <c r="AO751" s="1"/>
    </row>
    <row r="752" spans="1:41" x14ac:dyDescent="0.35">
      <c r="A752" s="6"/>
      <c r="B752" s="81"/>
      <c r="C752" s="83"/>
      <c r="D752" s="8"/>
      <c r="E752" s="8"/>
      <c r="F752" s="8"/>
      <c r="G752" s="8"/>
      <c r="H752" s="8"/>
      <c r="I752" s="8"/>
      <c r="J752" s="8"/>
      <c r="K752" s="8"/>
      <c r="L752" s="8"/>
      <c r="M752" s="8"/>
      <c r="N752" s="8"/>
      <c r="O752" s="8"/>
      <c r="P752" s="8"/>
      <c r="Q752" s="8"/>
      <c r="R752" s="8"/>
      <c r="S752" s="8"/>
      <c r="T752" s="8"/>
      <c r="U752" s="8"/>
      <c r="V752" s="8"/>
      <c r="W752" s="8"/>
      <c r="X752" s="8"/>
      <c r="Y752" s="8"/>
      <c r="Z752" s="8"/>
      <c r="AA752" s="8"/>
      <c r="AB752" s="8"/>
      <c r="AC752" s="8"/>
      <c r="AD752" s="8"/>
      <c r="AE752" s="8"/>
      <c r="AF752" s="8"/>
      <c r="AG752" s="8"/>
      <c r="AH752" s="8"/>
      <c r="AI752" s="8"/>
      <c r="AJ752" s="8"/>
      <c r="AK752" s="8"/>
      <c r="AL752" s="8"/>
      <c r="AM752" s="8"/>
      <c r="AN752" s="8"/>
      <c r="AO752" s="1"/>
    </row>
    <row r="753" spans="1:41" x14ac:dyDescent="0.35">
      <c r="A753" s="6"/>
      <c r="B753" s="81"/>
      <c r="C753" s="83"/>
      <c r="D753" s="8"/>
      <c r="E753" s="8"/>
      <c r="F753" s="8"/>
      <c r="G753" s="8"/>
      <c r="H753" s="8"/>
      <c r="I753" s="8"/>
      <c r="J753" s="8"/>
      <c r="K753" s="8"/>
      <c r="L753" s="8"/>
      <c r="M753" s="8"/>
      <c r="N753" s="8"/>
      <c r="O753" s="8"/>
      <c r="P753" s="8"/>
      <c r="Q753" s="8"/>
      <c r="R753" s="8"/>
      <c r="S753" s="8"/>
      <c r="T753" s="8"/>
      <c r="U753" s="8"/>
      <c r="V753" s="8"/>
      <c r="W753" s="8"/>
      <c r="X753" s="8"/>
      <c r="Y753" s="8"/>
      <c r="Z753" s="8"/>
      <c r="AA753" s="8"/>
      <c r="AB753" s="8"/>
      <c r="AC753" s="8"/>
      <c r="AD753" s="8"/>
      <c r="AE753" s="8"/>
      <c r="AF753" s="8"/>
      <c r="AG753" s="8"/>
      <c r="AH753" s="8"/>
      <c r="AI753" s="8"/>
      <c r="AJ753" s="8"/>
      <c r="AK753" s="8"/>
      <c r="AL753" s="8"/>
      <c r="AM753" s="8"/>
      <c r="AN753" s="8"/>
      <c r="AO753" s="1"/>
    </row>
    <row r="754" spans="1:41" x14ac:dyDescent="0.35">
      <c r="A754" s="6"/>
      <c r="B754" s="81"/>
      <c r="C754" s="83"/>
      <c r="D754" s="8"/>
      <c r="E754" s="8"/>
      <c r="F754" s="8"/>
      <c r="G754" s="8"/>
      <c r="H754" s="8"/>
      <c r="I754" s="8"/>
      <c r="J754" s="8"/>
      <c r="K754" s="8"/>
      <c r="L754" s="8"/>
      <c r="M754" s="8"/>
      <c r="N754" s="8"/>
      <c r="O754" s="8"/>
      <c r="P754" s="8"/>
      <c r="Q754" s="8"/>
      <c r="R754" s="8"/>
      <c r="S754" s="8"/>
      <c r="T754" s="8"/>
      <c r="U754" s="8"/>
      <c r="V754" s="8"/>
      <c r="W754" s="8"/>
      <c r="X754" s="8"/>
      <c r="Y754" s="8"/>
      <c r="Z754" s="8"/>
      <c r="AA754" s="8"/>
      <c r="AB754" s="8"/>
      <c r="AC754" s="8"/>
      <c r="AD754" s="8"/>
      <c r="AE754" s="8"/>
      <c r="AF754" s="8"/>
      <c r="AG754" s="8"/>
      <c r="AH754" s="8"/>
      <c r="AI754" s="8"/>
      <c r="AJ754" s="8"/>
      <c r="AK754" s="8"/>
      <c r="AL754" s="8"/>
      <c r="AM754" s="8"/>
      <c r="AN754" s="8"/>
      <c r="AO754" s="1"/>
    </row>
    <row r="755" spans="1:41" x14ac:dyDescent="0.35">
      <c r="A755" s="6"/>
      <c r="B755" s="81"/>
      <c r="C755" s="83"/>
      <c r="D755" s="8"/>
      <c r="E755" s="8"/>
      <c r="F755" s="8"/>
      <c r="G755" s="8"/>
      <c r="H755" s="8"/>
      <c r="I755" s="8"/>
      <c r="J755" s="8"/>
      <c r="K755" s="8"/>
      <c r="L755" s="8"/>
      <c r="M755" s="8"/>
      <c r="N755" s="8"/>
      <c r="O755" s="8"/>
      <c r="P755" s="8"/>
      <c r="Q755" s="8"/>
      <c r="R755" s="8"/>
      <c r="S755" s="8"/>
      <c r="T755" s="8"/>
      <c r="U755" s="8"/>
      <c r="V755" s="8"/>
      <c r="W755" s="8"/>
      <c r="X755" s="8"/>
      <c r="Y755" s="8"/>
      <c r="Z755" s="8"/>
      <c r="AA755" s="8"/>
      <c r="AB755" s="8"/>
      <c r="AC755" s="8"/>
      <c r="AD755" s="8"/>
      <c r="AE755" s="8"/>
      <c r="AF755" s="8"/>
      <c r="AG755" s="8"/>
      <c r="AH755" s="8"/>
      <c r="AI755" s="8"/>
      <c r="AJ755" s="8"/>
      <c r="AK755" s="8"/>
      <c r="AL755" s="8"/>
      <c r="AM755" s="8"/>
      <c r="AN755" s="8"/>
      <c r="AO755" s="1"/>
    </row>
    <row r="756" spans="1:41" x14ac:dyDescent="0.35">
      <c r="A756" s="6"/>
      <c r="B756" s="81"/>
      <c r="C756" s="83"/>
      <c r="D756" s="8"/>
      <c r="E756" s="8"/>
      <c r="F756" s="8"/>
      <c r="G756" s="8"/>
      <c r="H756" s="8"/>
      <c r="I756" s="8"/>
      <c r="J756" s="8"/>
      <c r="K756" s="8"/>
      <c r="L756" s="8"/>
      <c r="M756" s="8"/>
      <c r="N756" s="8"/>
      <c r="O756" s="8"/>
      <c r="P756" s="8"/>
      <c r="Q756" s="8"/>
      <c r="R756" s="8"/>
      <c r="S756" s="8"/>
      <c r="T756" s="8"/>
      <c r="U756" s="8"/>
      <c r="V756" s="8"/>
      <c r="W756" s="8"/>
      <c r="X756" s="8"/>
      <c r="Y756" s="8"/>
      <c r="Z756" s="8"/>
      <c r="AA756" s="8"/>
      <c r="AB756" s="8"/>
      <c r="AC756" s="8"/>
      <c r="AD756" s="8"/>
      <c r="AE756" s="8"/>
      <c r="AF756" s="8"/>
      <c r="AG756" s="8"/>
      <c r="AH756" s="8"/>
      <c r="AI756" s="8"/>
      <c r="AJ756" s="8"/>
      <c r="AK756" s="8"/>
      <c r="AL756" s="8"/>
      <c r="AM756" s="8"/>
      <c r="AN756" s="8"/>
      <c r="AO756" s="1"/>
    </row>
    <row r="757" spans="1:41" x14ac:dyDescent="0.35">
      <c r="A757" s="6"/>
      <c r="B757" s="81"/>
      <c r="C757" s="83"/>
      <c r="D757" s="8"/>
      <c r="E757" s="8"/>
      <c r="F757" s="8"/>
      <c r="G757" s="8"/>
      <c r="H757" s="8"/>
      <c r="I757" s="8"/>
      <c r="J757" s="8"/>
      <c r="K757" s="8"/>
      <c r="L757" s="8"/>
      <c r="M757" s="8"/>
      <c r="N757" s="8"/>
      <c r="O757" s="8"/>
      <c r="P757" s="8"/>
      <c r="Q757" s="8"/>
      <c r="R757" s="8"/>
      <c r="S757" s="8"/>
      <c r="T757" s="8"/>
      <c r="U757" s="8"/>
      <c r="V757" s="8"/>
      <c r="W757" s="8"/>
      <c r="X757" s="8"/>
      <c r="Y757" s="8"/>
      <c r="Z757" s="8"/>
      <c r="AA757" s="8"/>
      <c r="AB757" s="8"/>
      <c r="AC757" s="8"/>
      <c r="AD757" s="8"/>
      <c r="AE757" s="8"/>
      <c r="AF757" s="8"/>
      <c r="AG757" s="8"/>
      <c r="AH757" s="8"/>
      <c r="AI757" s="8"/>
      <c r="AJ757" s="8"/>
      <c r="AK757" s="8"/>
      <c r="AL757" s="8"/>
      <c r="AM757" s="8"/>
      <c r="AN757" s="8"/>
      <c r="AO757" s="1"/>
    </row>
    <row r="758" spans="1:41" x14ac:dyDescent="0.35">
      <c r="A758" s="6"/>
      <c r="B758" s="81"/>
      <c r="C758" s="83"/>
      <c r="D758" s="8"/>
      <c r="E758" s="8"/>
      <c r="F758" s="8"/>
      <c r="G758" s="8"/>
      <c r="H758" s="8"/>
      <c r="I758" s="8"/>
      <c r="J758" s="8"/>
      <c r="K758" s="8"/>
      <c r="L758" s="8"/>
      <c r="M758" s="8"/>
      <c r="N758" s="8"/>
      <c r="O758" s="8"/>
      <c r="P758" s="8"/>
      <c r="Q758" s="8"/>
      <c r="R758" s="8"/>
      <c r="S758" s="8"/>
      <c r="T758" s="8"/>
      <c r="U758" s="8"/>
      <c r="V758" s="8"/>
      <c r="W758" s="8"/>
      <c r="X758" s="8"/>
      <c r="Y758" s="8"/>
      <c r="Z758" s="8"/>
      <c r="AA758" s="8"/>
      <c r="AB758" s="8"/>
      <c r="AC758" s="8"/>
      <c r="AD758" s="8"/>
      <c r="AE758" s="8"/>
      <c r="AF758" s="8"/>
      <c r="AG758" s="8"/>
      <c r="AH758" s="8"/>
      <c r="AI758" s="8"/>
      <c r="AJ758" s="8"/>
      <c r="AK758" s="8"/>
      <c r="AL758" s="8"/>
      <c r="AM758" s="8"/>
      <c r="AN758" s="8"/>
      <c r="AO758" s="1"/>
    </row>
    <row r="759" spans="1:41" x14ac:dyDescent="0.35">
      <c r="A759" s="6"/>
      <c r="B759" s="81"/>
      <c r="C759" s="83"/>
      <c r="D759" s="8"/>
      <c r="E759" s="8"/>
      <c r="F759" s="8"/>
      <c r="G759" s="8"/>
      <c r="H759" s="8"/>
      <c r="I759" s="8"/>
      <c r="J759" s="8"/>
      <c r="K759" s="8"/>
      <c r="L759" s="8"/>
      <c r="M759" s="8"/>
      <c r="N759" s="8"/>
      <c r="O759" s="8"/>
      <c r="P759" s="8"/>
      <c r="Q759" s="8"/>
      <c r="R759" s="8"/>
      <c r="S759" s="8"/>
      <c r="T759" s="8"/>
      <c r="U759" s="8"/>
      <c r="V759" s="8"/>
      <c r="W759" s="8"/>
      <c r="X759" s="8"/>
      <c r="Y759" s="8"/>
      <c r="Z759" s="8"/>
      <c r="AA759" s="8"/>
      <c r="AB759" s="8"/>
      <c r="AC759" s="8"/>
      <c r="AD759" s="8"/>
      <c r="AE759" s="8"/>
      <c r="AF759" s="8"/>
      <c r="AG759" s="8"/>
      <c r="AH759" s="8"/>
      <c r="AI759" s="8"/>
      <c r="AJ759" s="8"/>
      <c r="AK759" s="8"/>
      <c r="AL759" s="8"/>
      <c r="AM759" s="8"/>
      <c r="AN759" s="8"/>
      <c r="AO759" s="1"/>
    </row>
    <row r="760" spans="1:41" x14ac:dyDescent="0.35">
      <c r="A760" s="6"/>
      <c r="B760" s="81"/>
      <c r="C760" s="83"/>
      <c r="D760" s="8"/>
      <c r="E760" s="8"/>
      <c r="F760" s="8"/>
      <c r="G760" s="8"/>
      <c r="H760" s="8"/>
      <c r="I760" s="8"/>
      <c r="J760" s="8"/>
      <c r="K760" s="8"/>
      <c r="L760" s="8"/>
      <c r="M760" s="8"/>
      <c r="N760" s="8"/>
      <c r="O760" s="8"/>
      <c r="P760" s="8"/>
      <c r="Q760" s="8"/>
      <c r="R760" s="8"/>
      <c r="S760" s="8"/>
      <c r="T760" s="8"/>
      <c r="U760" s="8"/>
      <c r="V760" s="8"/>
      <c r="W760" s="8"/>
      <c r="X760" s="8"/>
      <c r="Y760" s="8"/>
      <c r="Z760" s="8"/>
      <c r="AA760" s="8"/>
      <c r="AB760" s="8"/>
      <c r="AC760" s="8"/>
      <c r="AD760" s="8"/>
      <c r="AE760" s="8"/>
      <c r="AF760" s="8"/>
      <c r="AG760" s="8"/>
      <c r="AH760" s="8"/>
      <c r="AI760" s="8"/>
      <c r="AJ760" s="8"/>
      <c r="AK760" s="8"/>
      <c r="AL760" s="8"/>
      <c r="AM760" s="8"/>
      <c r="AN760" s="8"/>
      <c r="AO760" s="1"/>
    </row>
    <row r="761" spans="1:41" x14ac:dyDescent="0.35">
      <c r="A761" s="6"/>
      <c r="B761" s="81"/>
      <c r="C761" s="83"/>
      <c r="D761" s="8"/>
      <c r="E761" s="8"/>
      <c r="F761" s="8"/>
      <c r="G761" s="8"/>
      <c r="H761" s="8"/>
      <c r="I761" s="8"/>
      <c r="J761" s="8"/>
      <c r="K761" s="8"/>
      <c r="L761" s="8"/>
      <c r="M761" s="8"/>
      <c r="N761" s="8"/>
      <c r="O761" s="8"/>
      <c r="P761" s="8"/>
      <c r="Q761" s="8"/>
      <c r="R761" s="8"/>
      <c r="S761" s="8"/>
      <c r="T761" s="8"/>
      <c r="U761" s="8"/>
      <c r="V761" s="8"/>
      <c r="W761" s="8"/>
      <c r="X761" s="8"/>
      <c r="Y761" s="8"/>
      <c r="Z761" s="8"/>
      <c r="AA761" s="8"/>
      <c r="AB761" s="8"/>
      <c r="AC761" s="8"/>
      <c r="AD761" s="8"/>
      <c r="AE761" s="8"/>
      <c r="AF761" s="8"/>
      <c r="AG761" s="8"/>
      <c r="AH761" s="8"/>
      <c r="AI761" s="8"/>
      <c r="AJ761" s="8"/>
      <c r="AK761" s="8"/>
      <c r="AL761" s="8"/>
      <c r="AM761" s="8"/>
      <c r="AN761" s="8"/>
      <c r="AO761" s="1"/>
    </row>
    <row r="762" spans="1:41" x14ac:dyDescent="0.35">
      <c r="A762" s="6"/>
      <c r="B762" s="81"/>
      <c r="C762" s="83"/>
      <c r="D762" s="8"/>
      <c r="E762" s="8"/>
      <c r="F762" s="8"/>
      <c r="G762" s="8"/>
      <c r="H762" s="8"/>
      <c r="I762" s="8"/>
      <c r="J762" s="8"/>
      <c r="K762" s="8"/>
      <c r="L762" s="8"/>
      <c r="M762" s="8"/>
      <c r="N762" s="8"/>
      <c r="O762" s="8"/>
      <c r="P762" s="8"/>
      <c r="Q762" s="8"/>
      <c r="R762" s="8"/>
      <c r="S762" s="8"/>
      <c r="T762" s="8"/>
      <c r="U762" s="8"/>
      <c r="V762" s="8"/>
      <c r="W762" s="8"/>
      <c r="X762" s="8"/>
      <c r="Y762" s="8"/>
      <c r="Z762" s="8"/>
      <c r="AA762" s="8"/>
      <c r="AB762" s="8"/>
      <c r="AC762" s="8"/>
      <c r="AD762" s="8"/>
      <c r="AE762" s="8"/>
      <c r="AF762" s="8"/>
      <c r="AG762" s="8"/>
      <c r="AH762" s="8"/>
      <c r="AI762" s="8"/>
      <c r="AJ762" s="8"/>
      <c r="AK762" s="8"/>
      <c r="AL762" s="8"/>
      <c r="AM762" s="8"/>
      <c r="AN762" s="8"/>
      <c r="AO762" s="1"/>
    </row>
    <row r="763" spans="1:41" x14ac:dyDescent="0.35">
      <c r="A763" s="6"/>
      <c r="B763" s="81"/>
      <c r="C763" s="83"/>
      <c r="D763" s="8"/>
      <c r="E763" s="8"/>
      <c r="F763" s="8"/>
      <c r="G763" s="8"/>
      <c r="H763" s="8"/>
      <c r="I763" s="8"/>
      <c r="J763" s="8"/>
      <c r="K763" s="8"/>
      <c r="L763" s="8"/>
      <c r="M763" s="8"/>
      <c r="N763" s="8"/>
      <c r="O763" s="8"/>
      <c r="P763" s="8"/>
      <c r="Q763" s="8"/>
      <c r="R763" s="8"/>
      <c r="S763" s="8"/>
      <c r="T763" s="8"/>
      <c r="U763" s="8"/>
      <c r="V763" s="8"/>
      <c r="W763" s="8"/>
      <c r="X763" s="8"/>
      <c r="Y763" s="8"/>
      <c r="Z763" s="8"/>
      <c r="AA763" s="8"/>
      <c r="AB763" s="8"/>
      <c r="AC763" s="8"/>
      <c r="AD763" s="8"/>
      <c r="AE763" s="8"/>
      <c r="AF763" s="8"/>
      <c r="AG763" s="8"/>
      <c r="AH763" s="8"/>
      <c r="AI763" s="8"/>
      <c r="AJ763" s="8"/>
      <c r="AK763" s="8"/>
      <c r="AL763" s="8"/>
      <c r="AM763" s="8"/>
      <c r="AN763" s="8"/>
      <c r="AO763" s="1"/>
    </row>
    <row r="764" spans="1:41" x14ac:dyDescent="0.35">
      <c r="A764" s="6"/>
      <c r="B764" s="81"/>
      <c r="C764" s="83"/>
      <c r="D764" s="8"/>
      <c r="E764" s="8"/>
      <c r="F764" s="8"/>
      <c r="G764" s="8"/>
      <c r="H764" s="8"/>
      <c r="I764" s="8"/>
      <c r="J764" s="8"/>
      <c r="K764" s="8"/>
      <c r="L764" s="8"/>
      <c r="M764" s="8"/>
      <c r="N764" s="8"/>
      <c r="O764" s="8"/>
      <c r="P764" s="8"/>
      <c r="Q764" s="8"/>
      <c r="R764" s="8"/>
      <c r="S764" s="8"/>
      <c r="T764" s="8"/>
      <c r="U764" s="8"/>
      <c r="V764" s="8"/>
      <c r="W764" s="8"/>
      <c r="X764" s="8"/>
      <c r="Y764" s="8"/>
      <c r="Z764" s="8"/>
      <c r="AA764" s="8"/>
      <c r="AB764" s="8"/>
      <c r="AC764" s="8"/>
      <c r="AD764" s="8"/>
      <c r="AE764" s="8"/>
      <c r="AF764" s="8"/>
      <c r="AG764" s="8"/>
      <c r="AH764" s="8"/>
      <c r="AI764" s="8"/>
      <c r="AJ764" s="8"/>
      <c r="AK764" s="8"/>
      <c r="AL764" s="8"/>
      <c r="AM764" s="8"/>
      <c r="AN764" s="8"/>
      <c r="AO764" s="1"/>
    </row>
    <row r="765" spans="1:41" x14ac:dyDescent="0.35">
      <c r="A765" s="6"/>
      <c r="B765" s="81"/>
      <c r="C765" s="83"/>
      <c r="D765" s="8"/>
      <c r="E765" s="8"/>
      <c r="F765" s="8"/>
      <c r="G765" s="8"/>
      <c r="H765" s="8"/>
      <c r="I765" s="8"/>
      <c r="J765" s="8"/>
      <c r="K765" s="8"/>
      <c r="L765" s="8"/>
      <c r="M765" s="8"/>
      <c r="N765" s="8"/>
      <c r="O765" s="8"/>
      <c r="P765" s="8"/>
      <c r="Q765" s="8"/>
      <c r="R765" s="8"/>
      <c r="S765" s="8"/>
      <c r="T765" s="8"/>
      <c r="U765" s="8"/>
      <c r="V765" s="8"/>
      <c r="W765" s="8"/>
      <c r="X765" s="8"/>
      <c r="Y765" s="8"/>
      <c r="Z765" s="8"/>
      <c r="AA765" s="8"/>
      <c r="AB765" s="8"/>
      <c r="AC765" s="8"/>
      <c r="AD765" s="8"/>
      <c r="AE765" s="8"/>
      <c r="AF765" s="8"/>
      <c r="AG765" s="8"/>
      <c r="AH765" s="8"/>
      <c r="AI765" s="8"/>
      <c r="AJ765" s="8"/>
      <c r="AK765" s="8"/>
      <c r="AL765" s="8"/>
      <c r="AM765" s="8"/>
      <c r="AN765" s="8"/>
      <c r="AO765" s="1"/>
    </row>
    <row r="766" spans="1:41" x14ac:dyDescent="0.35">
      <c r="A766" s="6"/>
      <c r="B766" s="81"/>
      <c r="C766" s="83"/>
      <c r="D766" s="8"/>
      <c r="E766" s="8"/>
      <c r="F766" s="8"/>
      <c r="G766" s="8"/>
      <c r="H766" s="8"/>
      <c r="I766" s="8"/>
      <c r="J766" s="8"/>
      <c r="K766" s="8"/>
      <c r="L766" s="8"/>
      <c r="M766" s="8"/>
      <c r="N766" s="8"/>
      <c r="O766" s="8"/>
      <c r="P766" s="8"/>
      <c r="Q766" s="8"/>
      <c r="R766" s="8"/>
      <c r="S766" s="8"/>
      <c r="T766" s="8"/>
      <c r="U766" s="8"/>
      <c r="V766" s="8"/>
      <c r="W766" s="8"/>
      <c r="X766" s="8"/>
      <c r="Y766" s="8"/>
      <c r="Z766" s="8"/>
      <c r="AA766" s="8"/>
      <c r="AB766" s="8"/>
      <c r="AC766" s="8"/>
      <c r="AD766" s="8"/>
      <c r="AE766" s="8"/>
      <c r="AF766" s="8"/>
      <c r="AG766" s="8"/>
      <c r="AH766" s="8"/>
      <c r="AI766" s="8"/>
      <c r="AJ766" s="8"/>
      <c r="AK766" s="8"/>
      <c r="AL766" s="8"/>
      <c r="AM766" s="8"/>
      <c r="AN766" s="8"/>
      <c r="AO766" s="1"/>
    </row>
    <row r="767" spans="1:41" x14ac:dyDescent="0.35">
      <c r="A767" s="6"/>
      <c r="B767" s="81"/>
      <c r="C767" s="83"/>
      <c r="D767" s="8"/>
      <c r="E767" s="8"/>
      <c r="F767" s="8"/>
      <c r="G767" s="8"/>
      <c r="H767" s="8"/>
      <c r="I767" s="8"/>
      <c r="J767" s="8"/>
      <c r="K767" s="8"/>
      <c r="L767" s="8"/>
      <c r="M767" s="8"/>
      <c r="N767" s="8"/>
      <c r="O767" s="8"/>
      <c r="P767" s="8"/>
      <c r="Q767" s="8"/>
      <c r="R767" s="8"/>
      <c r="S767" s="8"/>
      <c r="T767" s="8"/>
      <c r="U767" s="8"/>
      <c r="V767" s="8"/>
      <c r="W767" s="8"/>
      <c r="X767" s="8"/>
      <c r="Y767" s="8"/>
      <c r="Z767" s="8"/>
      <c r="AA767" s="8"/>
      <c r="AB767" s="8"/>
      <c r="AC767" s="8"/>
      <c r="AD767" s="8"/>
      <c r="AE767" s="8"/>
      <c r="AF767" s="8"/>
      <c r="AG767" s="8"/>
      <c r="AH767" s="8"/>
      <c r="AI767" s="8"/>
      <c r="AJ767" s="8"/>
      <c r="AK767" s="8"/>
      <c r="AL767" s="8"/>
      <c r="AM767" s="8"/>
      <c r="AN767" s="8"/>
      <c r="AO767" s="1"/>
    </row>
    <row r="768" spans="1:41" x14ac:dyDescent="0.35">
      <c r="A768" s="6"/>
      <c r="B768" s="81"/>
      <c r="C768" s="83"/>
      <c r="D768" s="8"/>
      <c r="E768" s="8"/>
      <c r="F768" s="8"/>
      <c r="G768" s="8"/>
      <c r="H768" s="8"/>
      <c r="I768" s="8"/>
      <c r="J768" s="8"/>
      <c r="K768" s="8"/>
      <c r="L768" s="8"/>
      <c r="M768" s="8"/>
      <c r="N768" s="8"/>
      <c r="O768" s="8"/>
      <c r="P768" s="8"/>
      <c r="Q768" s="8"/>
      <c r="R768" s="8"/>
      <c r="S768" s="8"/>
      <c r="T768" s="8"/>
      <c r="U768" s="8"/>
      <c r="V768" s="8"/>
      <c r="W768" s="8"/>
      <c r="X768" s="8"/>
      <c r="Y768" s="8"/>
      <c r="Z768" s="8"/>
      <c r="AA768" s="8"/>
      <c r="AB768" s="8"/>
      <c r="AC768" s="8"/>
      <c r="AD768" s="8"/>
      <c r="AE768" s="8"/>
      <c r="AF768" s="8"/>
      <c r="AG768" s="8"/>
      <c r="AH768" s="8"/>
      <c r="AI768" s="8"/>
      <c r="AJ768" s="8"/>
      <c r="AK768" s="8"/>
      <c r="AL768" s="8"/>
      <c r="AM768" s="8"/>
      <c r="AN768" s="8"/>
      <c r="AO768" s="1"/>
    </row>
    <row r="769" spans="1:41" x14ac:dyDescent="0.35">
      <c r="A769" s="6"/>
      <c r="B769" s="81"/>
      <c r="C769" s="83"/>
      <c r="D769" s="8"/>
      <c r="E769" s="8"/>
      <c r="F769" s="8"/>
      <c r="G769" s="8"/>
      <c r="H769" s="8"/>
      <c r="I769" s="8"/>
      <c r="J769" s="8"/>
      <c r="K769" s="8"/>
      <c r="L769" s="8"/>
      <c r="M769" s="8"/>
      <c r="N769" s="8"/>
      <c r="O769" s="8"/>
      <c r="P769" s="8"/>
      <c r="Q769" s="8"/>
      <c r="R769" s="8"/>
      <c r="S769" s="8"/>
      <c r="T769" s="8"/>
      <c r="U769" s="8"/>
      <c r="V769" s="8"/>
      <c r="W769" s="8"/>
      <c r="X769" s="8"/>
      <c r="Y769" s="8"/>
      <c r="Z769" s="8"/>
      <c r="AA769" s="8"/>
      <c r="AB769" s="8"/>
      <c r="AC769" s="8"/>
      <c r="AD769" s="8"/>
      <c r="AE769" s="8"/>
      <c r="AF769" s="8"/>
      <c r="AG769" s="8"/>
      <c r="AH769" s="8"/>
      <c r="AI769" s="8"/>
      <c r="AJ769" s="8"/>
      <c r="AK769" s="8"/>
      <c r="AL769" s="8"/>
      <c r="AM769" s="8"/>
      <c r="AN769" s="8"/>
      <c r="AO769" s="1"/>
    </row>
    <row r="770" spans="1:41" x14ac:dyDescent="0.35">
      <c r="A770" s="6"/>
      <c r="B770" s="81"/>
      <c r="C770" s="83"/>
      <c r="D770" s="8"/>
      <c r="E770" s="8"/>
      <c r="F770" s="8"/>
      <c r="G770" s="8"/>
      <c r="H770" s="8"/>
      <c r="I770" s="8"/>
      <c r="J770" s="8"/>
      <c r="K770" s="8"/>
      <c r="L770" s="8"/>
      <c r="M770" s="8"/>
      <c r="N770" s="8"/>
      <c r="O770" s="8"/>
      <c r="P770" s="8"/>
      <c r="Q770" s="8"/>
      <c r="R770" s="8"/>
      <c r="S770" s="8"/>
      <c r="T770" s="8"/>
      <c r="U770" s="8"/>
      <c r="V770" s="8"/>
      <c r="W770" s="8"/>
      <c r="X770" s="8"/>
      <c r="Y770" s="8"/>
      <c r="Z770" s="8"/>
      <c r="AA770" s="8"/>
      <c r="AB770" s="8"/>
      <c r="AC770" s="8"/>
      <c r="AD770" s="8"/>
      <c r="AE770" s="8"/>
      <c r="AF770" s="8"/>
      <c r="AG770" s="8"/>
      <c r="AH770" s="8"/>
      <c r="AI770" s="8"/>
      <c r="AJ770" s="8"/>
      <c r="AK770" s="8"/>
      <c r="AL770" s="8"/>
      <c r="AM770" s="8"/>
      <c r="AN770" s="8"/>
      <c r="AO770" s="1"/>
    </row>
    <row r="771" spans="1:41" x14ac:dyDescent="0.35">
      <c r="A771" s="6"/>
      <c r="B771" s="81"/>
      <c r="C771" s="83"/>
      <c r="D771" s="8"/>
      <c r="E771" s="8"/>
      <c r="F771" s="8"/>
      <c r="G771" s="8"/>
      <c r="H771" s="8"/>
      <c r="I771" s="8"/>
      <c r="J771" s="8"/>
      <c r="K771" s="8"/>
      <c r="L771" s="8"/>
      <c r="M771" s="8"/>
      <c r="N771" s="8"/>
      <c r="O771" s="8"/>
      <c r="P771" s="8"/>
      <c r="Q771" s="8"/>
      <c r="R771" s="8"/>
      <c r="S771" s="8"/>
      <c r="T771" s="8"/>
      <c r="U771" s="8"/>
      <c r="V771" s="8"/>
      <c r="W771" s="8"/>
      <c r="X771" s="8"/>
      <c r="Y771" s="8"/>
      <c r="Z771" s="8"/>
      <c r="AA771" s="8"/>
      <c r="AB771" s="8"/>
      <c r="AC771" s="8"/>
      <c r="AD771" s="8"/>
      <c r="AE771" s="8"/>
      <c r="AF771" s="8"/>
      <c r="AG771" s="8"/>
      <c r="AH771" s="8"/>
      <c r="AI771" s="8"/>
      <c r="AJ771" s="8"/>
      <c r="AK771" s="8"/>
      <c r="AL771" s="8"/>
      <c r="AM771" s="8"/>
      <c r="AN771" s="8"/>
      <c r="AO771" s="1"/>
    </row>
    <row r="772" spans="1:41" x14ac:dyDescent="0.35">
      <c r="A772" s="6"/>
      <c r="B772" s="81"/>
      <c r="C772" s="83"/>
      <c r="D772" s="8"/>
      <c r="E772" s="8"/>
      <c r="F772" s="8"/>
      <c r="G772" s="8"/>
      <c r="H772" s="8"/>
      <c r="I772" s="8"/>
      <c r="J772" s="8"/>
      <c r="K772" s="8"/>
      <c r="L772" s="8"/>
      <c r="M772" s="8"/>
      <c r="N772" s="8"/>
      <c r="O772" s="8"/>
      <c r="P772" s="8"/>
      <c r="Q772" s="8"/>
      <c r="R772" s="8"/>
      <c r="S772" s="8"/>
      <c r="T772" s="8"/>
      <c r="U772" s="8"/>
      <c r="V772" s="8"/>
      <c r="W772" s="8"/>
      <c r="X772" s="8"/>
      <c r="Y772" s="8"/>
      <c r="Z772" s="8"/>
      <c r="AA772" s="8"/>
      <c r="AB772" s="8"/>
      <c r="AC772" s="8"/>
      <c r="AD772" s="8"/>
      <c r="AE772" s="8"/>
      <c r="AF772" s="8"/>
      <c r="AG772" s="8"/>
      <c r="AH772" s="8"/>
      <c r="AI772" s="8"/>
      <c r="AJ772" s="8"/>
      <c r="AK772" s="8"/>
      <c r="AL772" s="8"/>
      <c r="AM772" s="8"/>
      <c r="AN772" s="8"/>
      <c r="AO772" s="1"/>
    </row>
    <row r="773" spans="1:41" x14ac:dyDescent="0.35">
      <c r="A773" s="6"/>
      <c r="B773" s="81"/>
      <c r="C773" s="83"/>
      <c r="D773" s="8"/>
      <c r="E773" s="8"/>
      <c r="F773" s="8"/>
      <c r="G773" s="8"/>
      <c r="H773" s="8"/>
      <c r="I773" s="8"/>
      <c r="J773" s="8"/>
      <c r="K773" s="8"/>
      <c r="L773" s="8"/>
      <c r="M773" s="8"/>
      <c r="N773" s="8"/>
      <c r="O773" s="8"/>
      <c r="P773" s="8"/>
      <c r="Q773" s="8"/>
      <c r="R773" s="8"/>
      <c r="S773" s="8"/>
      <c r="T773" s="8"/>
      <c r="U773" s="8"/>
      <c r="V773" s="8"/>
      <c r="W773" s="8"/>
      <c r="X773" s="8"/>
      <c r="Y773" s="8"/>
      <c r="Z773" s="8"/>
      <c r="AA773" s="8"/>
      <c r="AB773" s="8"/>
      <c r="AC773" s="8"/>
      <c r="AD773" s="8"/>
      <c r="AE773" s="8"/>
      <c r="AF773" s="8"/>
      <c r="AG773" s="8"/>
      <c r="AH773" s="8"/>
      <c r="AI773" s="8"/>
      <c r="AJ773" s="8"/>
      <c r="AK773" s="8"/>
      <c r="AL773" s="8"/>
      <c r="AM773" s="8"/>
      <c r="AN773" s="8"/>
      <c r="AO773" s="1"/>
    </row>
    <row r="774" spans="1:41" x14ac:dyDescent="0.35">
      <c r="A774" s="6"/>
      <c r="B774" s="81"/>
      <c r="C774" s="83"/>
      <c r="D774" s="8"/>
      <c r="E774" s="8"/>
      <c r="F774" s="8"/>
      <c r="G774" s="8"/>
      <c r="H774" s="8"/>
      <c r="I774" s="8"/>
      <c r="J774" s="8"/>
      <c r="K774" s="8"/>
      <c r="L774" s="8"/>
      <c r="M774" s="8"/>
      <c r="N774" s="8"/>
      <c r="O774" s="8"/>
      <c r="P774" s="8"/>
      <c r="Q774" s="8"/>
      <c r="R774" s="8"/>
      <c r="S774" s="8"/>
      <c r="T774" s="8"/>
      <c r="U774" s="8"/>
      <c r="V774" s="8"/>
      <c r="W774" s="8"/>
      <c r="X774" s="8"/>
      <c r="Y774" s="8"/>
      <c r="Z774" s="8"/>
      <c r="AA774" s="8"/>
      <c r="AB774" s="8"/>
      <c r="AC774" s="8"/>
      <c r="AD774" s="8"/>
      <c r="AE774" s="8"/>
      <c r="AF774" s="8"/>
      <c r="AG774" s="8"/>
      <c r="AH774" s="8"/>
      <c r="AI774" s="8"/>
      <c r="AJ774" s="8"/>
      <c r="AK774" s="8"/>
      <c r="AL774" s="8"/>
      <c r="AM774" s="8"/>
      <c r="AN774" s="8"/>
      <c r="AO774" s="1"/>
    </row>
    <row r="775" spans="1:41" x14ac:dyDescent="0.35">
      <c r="A775" s="6"/>
      <c r="B775" s="81"/>
      <c r="C775" s="83"/>
      <c r="D775" s="8"/>
      <c r="E775" s="8"/>
      <c r="F775" s="8"/>
      <c r="G775" s="8"/>
      <c r="H775" s="8"/>
      <c r="I775" s="8"/>
      <c r="J775" s="8"/>
      <c r="K775" s="8"/>
      <c r="L775" s="8"/>
      <c r="M775" s="8"/>
      <c r="N775" s="8"/>
      <c r="O775" s="8"/>
      <c r="P775" s="8"/>
      <c r="Q775" s="8"/>
      <c r="R775" s="8"/>
      <c r="S775" s="8"/>
      <c r="T775" s="8"/>
      <c r="U775" s="8"/>
      <c r="V775" s="8"/>
      <c r="W775" s="8"/>
      <c r="X775" s="8"/>
      <c r="Y775" s="8"/>
      <c r="Z775" s="8"/>
      <c r="AA775" s="8"/>
      <c r="AB775" s="8"/>
      <c r="AC775" s="8"/>
      <c r="AD775" s="8"/>
      <c r="AE775" s="8"/>
      <c r="AF775" s="8"/>
      <c r="AG775" s="8"/>
      <c r="AH775" s="8"/>
      <c r="AI775" s="8"/>
      <c r="AJ775" s="8"/>
      <c r="AK775" s="8"/>
      <c r="AL775" s="8"/>
      <c r="AM775" s="8"/>
      <c r="AN775" s="8"/>
      <c r="AO775" s="1"/>
    </row>
    <row r="776" spans="1:41" x14ac:dyDescent="0.35">
      <c r="A776" s="6"/>
      <c r="B776" s="81"/>
      <c r="C776" s="83"/>
      <c r="D776" s="8"/>
      <c r="E776" s="8"/>
      <c r="F776" s="8"/>
      <c r="G776" s="8"/>
      <c r="H776" s="8"/>
      <c r="I776" s="8"/>
      <c r="J776" s="8"/>
      <c r="K776" s="8"/>
      <c r="L776" s="8"/>
      <c r="M776" s="8"/>
      <c r="N776" s="8"/>
      <c r="O776" s="8"/>
      <c r="P776" s="8"/>
      <c r="Q776" s="8"/>
      <c r="R776" s="8"/>
      <c r="S776" s="8"/>
      <c r="T776" s="8"/>
      <c r="U776" s="8"/>
      <c r="V776" s="8"/>
      <c r="W776" s="8"/>
      <c r="X776" s="8"/>
      <c r="Y776" s="8"/>
      <c r="Z776" s="8"/>
      <c r="AA776" s="8"/>
      <c r="AB776" s="8"/>
      <c r="AC776" s="8"/>
      <c r="AD776" s="8"/>
      <c r="AE776" s="8"/>
      <c r="AF776" s="8"/>
      <c r="AG776" s="8"/>
      <c r="AH776" s="8"/>
      <c r="AI776" s="8"/>
      <c r="AJ776" s="8"/>
      <c r="AK776" s="8"/>
      <c r="AL776" s="8"/>
      <c r="AM776" s="8"/>
      <c r="AN776" s="8"/>
      <c r="AO776" s="1"/>
    </row>
    <row r="777" spans="1:41" x14ac:dyDescent="0.35">
      <c r="A777" s="6"/>
      <c r="B777" s="81"/>
      <c r="C777" s="83"/>
      <c r="D777" s="8"/>
      <c r="E777" s="8"/>
      <c r="F777" s="8"/>
      <c r="G777" s="8"/>
      <c r="H777" s="8"/>
      <c r="I777" s="8"/>
      <c r="J777" s="8"/>
      <c r="K777" s="8"/>
      <c r="L777" s="8"/>
      <c r="M777" s="8"/>
      <c r="N777" s="8"/>
      <c r="O777" s="8"/>
      <c r="P777" s="8"/>
      <c r="Q777" s="8"/>
      <c r="R777" s="8"/>
      <c r="S777" s="8"/>
      <c r="T777" s="8"/>
      <c r="U777" s="8"/>
      <c r="V777" s="8"/>
      <c r="W777" s="8"/>
      <c r="X777" s="8"/>
      <c r="Y777" s="8"/>
      <c r="Z777" s="8"/>
      <c r="AA777" s="8"/>
      <c r="AB777" s="8"/>
      <c r="AC777" s="8"/>
      <c r="AD777" s="8"/>
      <c r="AE777" s="8"/>
      <c r="AF777" s="8"/>
      <c r="AG777" s="8"/>
      <c r="AH777" s="8"/>
      <c r="AI777" s="8"/>
      <c r="AJ777" s="8"/>
      <c r="AK777" s="8"/>
      <c r="AL777" s="8"/>
      <c r="AM777" s="8"/>
      <c r="AN777" s="8"/>
      <c r="AO777" s="1"/>
    </row>
    <row r="778" spans="1:41" x14ac:dyDescent="0.35">
      <c r="A778" s="6"/>
      <c r="B778" s="81"/>
      <c r="C778" s="83"/>
      <c r="D778" s="8"/>
      <c r="E778" s="8"/>
      <c r="F778" s="8"/>
      <c r="G778" s="8"/>
      <c r="H778" s="8"/>
      <c r="I778" s="8"/>
      <c r="J778" s="8"/>
      <c r="K778" s="8"/>
      <c r="L778" s="8"/>
      <c r="M778" s="8"/>
      <c r="N778" s="8"/>
      <c r="O778" s="8"/>
      <c r="P778" s="8"/>
      <c r="Q778" s="8"/>
      <c r="R778" s="8"/>
      <c r="S778" s="8"/>
      <c r="T778" s="8"/>
      <c r="U778" s="8"/>
      <c r="V778" s="8"/>
      <c r="W778" s="8"/>
      <c r="X778" s="8"/>
      <c r="Y778" s="8"/>
      <c r="Z778" s="8"/>
      <c r="AA778" s="8"/>
      <c r="AB778" s="8"/>
      <c r="AC778" s="8"/>
      <c r="AD778" s="8"/>
      <c r="AE778" s="8"/>
      <c r="AF778" s="8"/>
      <c r="AG778" s="8"/>
      <c r="AH778" s="8"/>
      <c r="AI778" s="8"/>
      <c r="AJ778" s="8"/>
      <c r="AK778" s="8"/>
      <c r="AL778" s="8"/>
      <c r="AM778" s="8"/>
      <c r="AN778" s="8"/>
      <c r="AO778" s="1"/>
    </row>
    <row r="779" spans="1:41" x14ac:dyDescent="0.35">
      <c r="A779" s="6"/>
      <c r="B779" s="81"/>
      <c r="C779" s="83"/>
      <c r="D779" s="8"/>
      <c r="E779" s="8"/>
      <c r="F779" s="8"/>
      <c r="G779" s="8"/>
      <c r="H779" s="8"/>
      <c r="I779" s="8"/>
      <c r="J779" s="8"/>
      <c r="K779" s="8"/>
      <c r="L779" s="8"/>
      <c r="M779" s="8"/>
      <c r="N779" s="8"/>
      <c r="O779" s="8"/>
      <c r="P779" s="8"/>
      <c r="Q779" s="8"/>
      <c r="R779" s="8"/>
      <c r="S779" s="8"/>
      <c r="T779" s="8"/>
      <c r="U779" s="8"/>
      <c r="V779" s="8"/>
      <c r="W779" s="8"/>
      <c r="X779" s="8"/>
      <c r="Y779" s="8"/>
      <c r="Z779" s="8"/>
      <c r="AA779" s="8"/>
      <c r="AB779" s="8"/>
      <c r="AC779" s="8"/>
      <c r="AD779" s="8"/>
      <c r="AE779" s="8"/>
      <c r="AF779" s="8"/>
      <c r="AG779" s="8"/>
      <c r="AH779" s="8"/>
      <c r="AI779" s="8"/>
      <c r="AJ779" s="8"/>
      <c r="AK779" s="8"/>
      <c r="AL779" s="8"/>
      <c r="AM779" s="8"/>
      <c r="AN779" s="8"/>
      <c r="AO779" s="1"/>
    </row>
    <row r="780" spans="1:41" x14ac:dyDescent="0.35">
      <c r="A780" s="6"/>
      <c r="B780" s="81"/>
      <c r="C780" s="83"/>
      <c r="D780" s="8"/>
      <c r="E780" s="8"/>
      <c r="F780" s="8"/>
      <c r="G780" s="8"/>
      <c r="H780" s="8"/>
      <c r="I780" s="8"/>
      <c r="J780" s="8"/>
      <c r="K780" s="8"/>
      <c r="L780" s="8"/>
      <c r="M780" s="8"/>
      <c r="N780" s="8"/>
      <c r="O780" s="8"/>
      <c r="P780" s="8"/>
      <c r="Q780" s="8"/>
      <c r="R780" s="8"/>
      <c r="S780" s="8"/>
      <c r="T780" s="8"/>
      <c r="U780" s="8"/>
      <c r="V780" s="8"/>
      <c r="W780" s="8"/>
      <c r="X780" s="8"/>
      <c r="Y780" s="8"/>
      <c r="Z780" s="8"/>
      <c r="AA780" s="8"/>
      <c r="AB780" s="8"/>
      <c r="AC780" s="8"/>
      <c r="AD780" s="8"/>
      <c r="AE780" s="8"/>
      <c r="AF780" s="8"/>
      <c r="AG780" s="8"/>
      <c r="AH780" s="8"/>
      <c r="AI780" s="8"/>
      <c r="AJ780" s="8"/>
      <c r="AK780" s="8"/>
      <c r="AL780" s="8"/>
      <c r="AM780" s="8"/>
      <c r="AN780" s="8"/>
      <c r="AO780" s="1"/>
    </row>
    <row r="781" spans="1:41" x14ac:dyDescent="0.35">
      <c r="A781" s="6"/>
      <c r="B781" s="81"/>
      <c r="C781" s="83"/>
      <c r="D781" s="8"/>
      <c r="E781" s="8"/>
      <c r="F781" s="8"/>
      <c r="G781" s="8"/>
      <c r="H781" s="8"/>
      <c r="I781" s="8"/>
      <c r="J781" s="8"/>
      <c r="K781" s="8"/>
      <c r="L781" s="8"/>
      <c r="M781" s="8"/>
      <c r="N781" s="8"/>
      <c r="O781" s="8"/>
      <c r="P781" s="8"/>
      <c r="Q781" s="8"/>
      <c r="R781" s="8"/>
      <c r="S781" s="8"/>
      <c r="T781" s="8"/>
      <c r="U781" s="8"/>
      <c r="V781" s="8"/>
      <c r="W781" s="8"/>
      <c r="X781" s="8"/>
      <c r="Y781" s="8"/>
      <c r="Z781" s="8"/>
      <c r="AA781" s="8"/>
      <c r="AB781" s="8"/>
      <c r="AC781" s="8"/>
      <c r="AD781" s="8"/>
      <c r="AE781" s="8"/>
      <c r="AF781" s="8"/>
      <c r="AG781" s="8"/>
      <c r="AH781" s="8"/>
      <c r="AI781" s="8"/>
      <c r="AJ781" s="8"/>
      <c r="AK781" s="8"/>
      <c r="AL781" s="8"/>
      <c r="AM781" s="8"/>
      <c r="AN781" s="8"/>
      <c r="AO781" s="1"/>
    </row>
    <row r="782" spans="1:41" x14ac:dyDescent="0.35">
      <c r="A782" s="6"/>
      <c r="B782" s="81"/>
      <c r="C782" s="83"/>
      <c r="D782" s="8"/>
      <c r="E782" s="8"/>
      <c r="F782" s="8"/>
      <c r="G782" s="8"/>
      <c r="H782" s="8"/>
      <c r="I782" s="8"/>
      <c r="J782" s="8"/>
      <c r="K782" s="8"/>
      <c r="L782" s="8"/>
      <c r="M782" s="8"/>
      <c r="N782" s="8"/>
      <c r="O782" s="8"/>
      <c r="P782" s="8"/>
      <c r="Q782" s="8"/>
      <c r="R782" s="8"/>
      <c r="S782" s="8"/>
      <c r="T782" s="8"/>
      <c r="U782" s="8"/>
      <c r="V782" s="8"/>
      <c r="W782" s="8"/>
      <c r="X782" s="8"/>
      <c r="Y782" s="8"/>
      <c r="Z782" s="8"/>
      <c r="AA782" s="8"/>
      <c r="AB782" s="8"/>
      <c r="AC782" s="8"/>
      <c r="AD782" s="8"/>
      <c r="AE782" s="8"/>
      <c r="AF782" s="8"/>
      <c r="AG782" s="8"/>
      <c r="AH782" s="8"/>
      <c r="AI782" s="8"/>
      <c r="AJ782" s="8"/>
      <c r="AK782" s="8"/>
      <c r="AL782" s="8"/>
      <c r="AM782" s="8"/>
      <c r="AN782" s="8"/>
      <c r="AO782" s="1"/>
    </row>
    <row r="783" spans="1:41" x14ac:dyDescent="0.35">
      <c r="A783" s="6"/>
      <c r="B783" s="81"/>
      <c r="C783" s="83"/>
      <c r="D783" s="8"/>
      <c r="E783" s="8"/>
      <c r="F783" s="8"/>
      <c r="G783" s="8"/>
      <c r="H783" s="8"/>
      <c r="I783" s="8"/>
      <c r="J783" s="8"/>
      <c r="K783" s="8"/>
      <c r="L783" s="8"/>
      <c r="M783" s="8"/>
      <c r="N783" s="8"/>
      <c r="O783" s="8"/>
      <c r="P783" s="8"/>
      <c r="Q783" s="8"/>
      <c r="R783" s="8"/>
      <c r="S783" s="8"/>
      <c r="T783" s="8"/>
      <c r="U783" s="8"/>
      <c r="V783" s="8"/>
      <c r="W783" s="8"/>
      <c r="X783" s="8"/>
      <c r="Y783" s="8"/>
      <c r="Z783" s="8"/>
      <c r="AA783" s="8"/>
      <c r="AB783" s="8"/>
      <c r="AC783" s="8"/>
      <c r="AD783" s="8"/>
      <c r="AE783" s="8"/>
      <c r="AF783" s="8"/>
      <c r="AG783" s="8"/>
      <c r="AH783" s="8"/>
      <c r="AI783" s="8"/>
      <c r="AJ783" s="8"/>
      <c r="AK783" s="8"/>
      <c r="AL783" s="8"/>
      <c r="AM783" s="8"/>
      <c r="AN783" s="8"/>
      <c r="AO783" s="1"/>
    </row>
    <row r="784" spans="1:41" x14ac:dyDescent="0.35">
      <c r="A784" s="6"/>
      <c r="B784" s="81"/>
      <c r="C784" s="83"/>
      <c r="D784" s="8"/>
      <c r="E784" s="8"/>
      <c r="F784" s="8"/>
      <c r="G784" s="8"/>
      <c r="H784" s="8"/>
      <c r="I784" s="8"/>
      <c r="J784" s="8"/>
      <c r="K784" s="8"/>
      <c r="L784" s="8"/>
      <c r="M784" s="8"/>
      <c r="N784" s="8"/>
      <c r="O784" s="8"/>
      <c r="P784" s="8"/>
      <c r="Q784" s="8"/>
      <c r="R784" s="8"/>
      <c r="S784" s="8"/>
      <c r="T784" s="8"/>
      <c r="U784" s="8"/>
      <c r="V784" s="8"/>
      <c r="W784" s="8"/>
      <c r="X784" s="8"/>
      <c r="Y784" s="8"/>
      <c r="Z784" s="8"/>
      <c r="AA784" s="8"/>
      <c r="AB784" s="8"/>
      <c r="AC784" s="8"/>
      <c r="AD784" s="8"/>
      <c r="AE784" s="8"/>
      <c r="AF784" s="8"/>
      <c r="AG784" s="8"/>
      <c r="AH784" s="8"/>
      <c r="AI784" s="8"/>
      <c r="AJ784" s="8"/>
      <c r="AK784" s="8"/>
      <c r="AL784" s="8"/>
      <c r="AM784" s="8"/>
      <c r="AN784" s="8"/>
      <c r="AO784" s="1"/>
    </row>
    <row r="785" spans="1:41" x14ac:dyDescent="0.35">
      <c r="A785" s="6"/>
      <c r="B785" s="81"/>
      <c r="C785" s="83"/>
      <c r="D785" s="8"/>
      <c r="E785" s="8"/>
      <c r="F785" s="8"/>
      <c r="G785" s="8"/>
      <c r="H785" s="8"/>
      <c r="I785" s="8"/>
      <c r="J785" s="8"/>
      <c r="K785" s="8"/>
      <c r="L785" s="8"/>
      <c r="M785" s="8"/>
      <c r="N785" s="8"/>
      <c r="O785" s="8"/>
      <c r="P785" s="8"/>
      <c r="Q785" s="8"/>
      <c r="R785" s="8"/>
      <c r="S785" s="8"/>
      <c r="T785" s="8"/>
      <c r="U785" s="8"/>
      <c r="V785" s="8"/>
      <c r="W785" s="8"/>
      <c r="X785" s="8"/>
      <c r="Y785" s="8"/>
      <c r="Z785" s="8"/>
      <c r="AA785" s="8"/>
      <c r="AB785" s="8"/>
      <c r="AC785" s="8"/>
      <c r="AD785" s="8"/>
      <c r="AE785" s="8"/>
      <c r="AF785" s="8"/>
      <c r="AG785" s="8"/>
      <c r="AH785" s="8"/>
      <c r="AI785" s="8"/>
      <c r="AJ785" s="8"/>
      <c r="AK785" s="8"/>
      <c r="AL785" s="8"/>
      <c r="AM785" s="8"/>
      <c r="AN785" s="8"/>
      <c r="AO785" s="1"/>
    </row>
    <row r="786" spans="1:41" x14ac:dyDescent="0.35">
      <c r="A786" s="6"/>
      <c r="B786" s="81"/>
      <c r="C786" s="83"/>
      <c r="D786" s="8"/>
      <c r="E786" s="8"/>
      <c r="F786" s="8"/>
      <c r="G786" s="8"/>
      <c r="H786" s="8"/>
      <c r="I786" s="8"/>
      <c r="J786" s="8"/>
      <c r="K786" s="8"/>
      <c r="L786" s="8"/>
      <c r="M786" s="8"/>
      <c r="N786" s="8"/>
      <c r="O786" s="8"/>
      <c r="P786" s="8"/>
      <c r="Q786" s="8"/>
      <c r="R786" s="8"/>
      <c r="S786" s="8"/>
      <c r="T786" s="8"/>
      <c r="U786" s="8"/>
      <c r="V786" s="8"/>
      <c r="W786" s="8"/>
      <c r="X786" s="8"/>
      <c r="Y786" s="8"/>
      <c r="Z786" s="8"/>
      <c r="AA786" s="8"/>
      <c r="AB786" s="8"/>
      <c r="AC786" s="8"/>
      <c r="AD786" s="8"/>
      <c r="AE786" s="8"/>
      <c r="AF786" s="8"/>
      <c r="AG786" s="8"/>
      <c r="AH786" s="8"/>
      <c r="AI786" s="8"/>
      <c r="AJ786" s="8"/>
      <c r="AK786" s="8"/>
      <c r="AL786" s="8"/>
      <c r="AM786" s="8"/>
      <c r="AN786" s="8"/>
      <c r="AO786" s="1"/>
    </row>
    <row r="787" spans="1:41" x14ac:dyDescent="0.35">
      <c r="A787" s="6"/>
      <c r="B787" s="81"/>
      <c r="C787" s="83"/>
      <c r="D787" s="8"/>
      <c r="E787" s="8"/>
      <c r="F787" s="8"/>
      <c r="G787" s="8"/>
      <c r="H787" s="8"/>
      <c r="I787" s="8"/>
      <c r="J787" s="8"/>
      <c r="K787" s="8"/>
      <c r="L787" s="8"/>
      <c r="M787" s="8"/>
      <c r="N787" s="8"/>
      <c r="O787" s="8"/>
      <c r="P787" s="8"/>
      <c r="Q787" s="8"/>
      <c r="R787" s="8"/>
      <c r="S787" s="8"/>
      <c r="T787" s="8"/>
      <c r="U787" s="8"/>
      <c r="V787" s="8"/>
      <c r="W787" s="8"/>
      <c r="X787" s="8"/>
      <c r="Y787" s="8"/>
      <c r="Z787" s="8"/>
      <c r="AA787" s="8"/>
      <c r="AB787" s="8"/>
      <c r="AC787" s="8"/>
      <c r="AD787" s="8"/>
      <c r="AE787" s="8"/>
      <c r="AF787" s="8"/>
      <c r="AG787" s="8"/>
      <c r="AH787" s="8"/>
      <c r="AI787" s="8"/>
      <c r="AJ787" s="8"/>
      <c r="AK787" s="8"/>
      <c r="AL787" s="8"/>
      <c r="AM787" s="8"/>
      <c r="AN787" s="8"/>
      <c r="AO787" s="1"/>
    </row>
    <row r="788" spans="1:41" x14ac:dyDescent="0.35">
      <c r="A788" s="6"/>
      <c r="B788" s="81"/>
      <c r="C788" s="83"/>
      <c r="D788" s="8"/>
      <c r="E788" s="8"/>
      <c r="F788" s="8"/>
      <c r="G788" s="8"/>
      <c r="H788" s="8"/>
      <c r="I788" s="8"/>
      <c r="J788" s="8"/>
      <c r="K788" s="8"/>
      <c r="L788" s="8"/>
      <c r="M788" s="8"/>
      <c r="N788" s="8"/>
      <c r="O788" s="8"/>
      <c r="P788" s="8"/>
      <c r="Q788" s="8"/>
      <c r="R788" s="8"/>
      <c r="S788" s="8"/>
      <c r="T788" s="8"/>
      <c r="U788" s="8"/>
      <c r="V788" s="8"/>
      <c r="W788" s="8"/>
      <c r="X788" s="8"/>
      <c r="Y788" s="8"/>
      <c r="Z788" s="8"/>
      <c r="AA788" s="8"/>
      <c r="AB788" s="8"/>
      <c r="AC788" s="8"/>
      <c r="AD788" s="8"/>
      <c r="AE788" s="8"/>
      <c r="AF788" s="8"/>
      <c r="AG788" s="8"/>
      <c r="AH788" s="8"/>
      <c r="AI788" s="8"/>
      <c r="AJ788" s="8"/>
      <c r="AK788" s="8"/>
      <c r="AL788" s="8"/>
      <c r="AM788" s="8"/>
      <c r="AN788" s="8"/>
      <c r="AO788" s="1"/>
    </row>
    <row r="789" spans="1:41" x14ac:dyDescent="0.35">
      <c r="A789" s="6"/>
      <c r="B789" s="81"/>
      <c r="C789" s="83"/>
      <c r="D789" s="8"/>
      <c r="E789" s="8"/>
      <c r="F789" s="8"/>
      <c r="G789" s="8"/>
      <c r="H789" s="8"/>
      <c r="I789" s="8"/>
      <c r="J789" s="8"/>
      <c r="K789" s="8"/>
      <c r="L789" s="8"/>
      <c r="M789" s="8"/>
      <c r="N789" s="8"/>
      <c r="O789" s="8"/>
      <c r="P789" s="8"/>
      <c r="Q789" s="8"/>
      <c r="R789" s="8"/>
      <c r="S789" s="8"/>
      <c r="T789" s="8"/>
      <c r="U789" s="8"/>
      <c r="V789" s="8"/>
      <c r="W789" s="8"/>
      <c r="X789" s="8"/>
      <c r="Y789" s="8"/>
      <c r="Z789" s="8"/>
      <c r="AA789" s="8"/>
      <c r="AB789" s="8"/>
      <c r="AC789" s="8"/>
      <c r="AD789" s="8"/>
      <c r="AE789" s="8"/>
      <c r="AF789" s="8"/>
      <c r="AG789" s="8"/>
      <c r="AH789" s="8"/>
      <c r="AI789" s="8"/>
      <c r="AJ789" s="8"/>
      <c r="AK789" s="8"/>
      <c r="AL789" s="8"/>
      <c r="AM789" s="8"/>
      <c r="AN789" s="8"/>
      <c r="AO789" s="1"/>
    </row>
    <row r="790" spans="1:41" x14ac:dyDescent="0.35">
      <c r="A790" s="6"/>
      <c r="B790" s="81"/>
      <c r="C790" s="83"/>
      <c r="D790" s="8"/>
      <c r="E790" s="8"/>
      <c r="F790" s="8"/>
      <c r="G790" s="8"/>
      <c r="H790" s="8"/>
      <c r="I790" s="8"/>
      <c r="J790" s="8"/>
      <c r="K790" s="8"/>
      <c r="L790" s="8"/>
      <c r="M790" s="8"/>
      <c r="N790" s="8"/>
      <c r="O790" s="8"/>
      <c r="P790" s="8"/>
      <c r="Q790" s="8"/>
      <c r="R790" s="8"/>
      <c r="S790" s="8"/>
      <c r="T790" s="8"/>
      <c r="U790" s="8"/>
      <c r="V790" s="8"/>
      <c r="W790" s="8"/>
      <c r="X790" s="8"/>
      <c r="Y790" s="8"/>
      <c r="Z790" s="8"/>
      <c r="AA790" s="8"/>
      <c r="AB790" s="8"/>
      <c r="AC790" s="8"/>
      <c r="AD790" s="8"/>
      <c r="AE790" s="8"/>
      <c r="AF790" s="8"/>
      <c r="AG790" s="8"/>
      <c r="AH790" s="8"/>
      <c r="AI790" s="8"/>
      <c r="AJ790" s="8"/>
      <c r="AK790" s="8"/>
      <c r="AL790" s="8"/>
      <c r="AM790" s="8"/>
      <c r="AN790" s="8"/>
      <c r="AO790" s="1"/>
    </row>
    <row r="791" spans="1:41" x14ac:dyDescent="0.35">
      <c r="A791" s="6"/>
      <c r="B791" s="81"/>
      <c r="C791" s="83"/>
      <c r="D791" s="8"/>
      <c r="E791" s="8"/>
      <c r="F791" s="8"/>
      <c r="G791" s="8"/>
      <c r="H791" s="8"/>
      <c r="I791" s="8"/>
      <c r="J791" s="8"/>
      <c r="K791" s="8"/>
      <c r="L791" s="8"/>
      <c r="M791" s="8"/>
      <c r="N791" s="8"/>
      <c r="O791" s="8"/>
      <c r="P791" s="8"/>
      <c r="Q791" s="8"/>
      <c r="R791" s="8"/>
      <c r="S791" s="8"/>
      <c r="T791" s="8"/>
      <c r="U791" s="8"/>
      <c r="V791" s="8"/>
      <c r="W791" s="8"/>
      <c r="X791" s="8"/>
      <c r="Y791" s="8"/>
      <c r="Z791" s="8"/>
      <c r="AA791" s="8"/>
      <c r="AB791" s="8"/>
      <c r="AC791" s="8"/>
      <c r="AD791" s="8"/>
      <c r="AE791" s="8"/>
      <c r="AF791" s="8"/>
      <c r="AG791" s="8"/>
      <c r="AH791" s="8"/>
      <c r="AI791" s="8"/>
      <c r="AJ791" s="8"/>
      <c r="AK791" s="8"/>
      <c r="AL791" s="8"/>
      <c r="AM791" s="8"/>
      <c r="AN791" s="8"/>
      <c r="AO791" s="1"/>
    </row>
    <row r="792" spans="1:41" x14ac:dyDescent="0.35">
      <c r="A792" s="6"/>
      <c r="B792" s="81"/>
      <c r="C792" s="83"/>
      <c r="D792" s="8"/>
      <c r="E792" s="8"/>
      <c r="F792" s="8"/>
      <c r="G792" s="8"/>
      <c r="H792" s="8"/>
      <c r="I792" s="8"/>
      <c r="J792" s="8"/>
      <c r="K792" s="8"/>
      <c r="L792" s="8"/>
      <c r="M792" s="8"/>
      <c r="N792" s="8"/>
      <c r="O792" s="8"/>
      <c r="P792" s="8"/>
      <c r="Q792" s="8"/>
      <c r="R792" s="8"/>
      <c r="S792" s="8"/>
      <c r="T792" s="8"/>
      <c r="U792" s="8"/>
      <c r="V792" s="8"/>
      <c r="W792" s="8"/>
      <c r="X792" s="8"/>
      <c r="Y792" s="8"/>
      <c r="Z792" s="8"/>
      <c r="AA792" s="8"/>
      <c r="AB792" s="8"/>
      <c r="AC792" s="8"/>
      <c r="AD792" s="8"/>
      <c r="AE792" s="8"/>
      <c r="AF792" s="8"/>
      <c r="AG792" s="8"/>
      <c r="AH792" s="8"/>
      <c r="AI792" s="8"/>
      <c r="AJ792" s="8"/>
      <c r="AK792" s="8"/>
      <c r="AL792" s="8"/>
      <c r="AM792" s="8"/>
      <c r="AN792" s="8"/>
      <c r="AO792" s="1"/>
    </row>
    <row r="793" spans="1:41" x14ac:dyDescent="0.35">
      <c r="A793" s="6"/>
      <c r="B793" s="81"/>
      <c r="C793" s="83"/>
      <c r="D793" s="8"/>
      <c r="E793" s="8"/>
      <c r="F793" s="8"/>
      <c r="G793" s="8"/>
      <c r="H793" s="8"/>
      <c r="I793" s="8"/>
      <c r="J793" s="8"/>
      <c r="K793" s="8"/>
      <c r="L793" s="8"/>
      <c r="M793" s="8"/>
      <c r="N793" s="8"/>
      <c r="O793" s="8"/>
      <c r="P793" s="8"/>
      <c r="Q793" s="8"/>
      <c r="R793" s="8"/>
      <c r="S793" s="8"/>
      <c r="T793" s="8"/>
      <c r="U793" s="8"/>
      <c r="V793" s="8"/>
      <c r="W793" s="8"/>
      <c r="X793" s="8"/>
      <c r="Y793" s="8"/>
      <c r="Z793" s="8"/>
      <c r="AA793" s="8"/>
      <c r="AB793" s="8"/>
      <c r="AC793" s="8"/>
      <c r="AD793" s="8"/>
      <c r="AE793" s="8"/>
      <c r="AF793" s="8"/>
      <c r="AG793" s="8"/>
      <c r="AH793" s="8"/>
      <c r="AI793" s="8"/>
      <c r="AJ793" s="8"/>
      <c r="AK793" s="8"/>
      <c r="AL793" s="8"/>
      <c r="AM793" s="8"/>
      <c r="AN793" s="8"/>
      <c r="AO793" s="1"/>
    </row>
    <row r="794" spans="1:41" x14ac:dyDescent="0.35">
      <c r="A794" s="6"/>
      <c r="B794" s="81"/>
      <c r="C794" s="83"/>
      <c r="D794" s="8"/>
      <c r="E794" s="8"/>
      <c r="F794" s="8"/>
      <c r="G794" s="8"/>
      <c r="H794" s="8"/>
      <c r="I794" s="8"/>
      <c r="J794" s="8"/>
      <c r="K794" s="8"/>
      <c r="L794" s="8"/>
      <c r="M794" s="8"/>
      <c r="N794" s="8"/>
      <c r="O794" s="8"/>
      <c r="P794" s="8"/>
      <c r="Q794" s="8"/>
      <c r="R794" s="8"/>
      <c r="S794" s="8"/>
      <c r="T794" s="8"/>
      <c r="U794" s="8"/>
      <c r="V794" s="8"/>
      <c r="W794" s="8"/>
      <c r="X794" s="8"/>
      <c r="Y794" s="8"/>
      <c r="Z794" s="8"/>
      <c r="AA794" s="8"/>
      <c r="AB794" s="8"/>
      <c r="AC794" s="8"/>
      <c r="AD794" s="8"/>
      <c r="AE794" s="8"/>
      <c r="AF794" s="8"/>
      <c r="AG794" s="8"/>
      <c r="AH794" s="8"/>
      <c r="AI794" s="8"/>
      <c r="AJ794" s="8"/>
      <c r="AK794" s="8"/>
      <c r="AL794" s="8"/>
      <c r="AM794" s="8"/>
      <c r="AN794" s="8"/>
      <c r="AO794" s="1"/>
    </row>
    <row r="795" spans="1:41" x14ac:dyDescent="0.35">
      <c r="A795" s="6"/>
      <c r="B795" s="81"/>
      <c r="C795" s="83"/>
      <c r="D795" s="8"/>
      <c r="E795" s="8"/>
      <c r="F795" s="8"/>
      <c r="G795" s="8"/>
      <c r="H795" s="8"/>
      <c r="I795" s="8"/>
      <c r="J795" s="8"/>
      <c r="K795" s="8"/>
      <c r="L795" s="8"/>
      <c r="M795" s="8"/>
      <c r="N795" s="8"/>
      <c r="O795" s="8"/>
      <c r="P795" s="8"/>
      <c r="Q795" s="8"/>
      <c r="R795" s="8"/>
      <c r="S795" s="8"/>
      <c r="T795" s="8"/>
      <c r="U795" s="8"/>
      <c r="V795" s="8"/>
      <c r="W795" s="8"/>
      <c r="X795" s="8"/>
      <c r="Y795" s="8"/>
      <c r="Z795" s="8"/>
      <c r="AA795" s="8"/>
      <c r="AB795" s="8"/>
      <c r="AC795" s="8"/>
      <c r="AD795" s="8"/>
      <c r="AE795" s="8"/>
      <c r="AF795" s="8"/>
      <c r="AG795" s="8"/>
      <c r="AH795" s="8"/>
      <c r="AI795" s="8"/>
      <c r="AJ795" s="8"/>
      <c r="AK795" s="8"/>
      <c r="AL795" s="8"/>
      <c r="AM795" s="8"/>
      <c r="AN795" s="8"/>
      <c r="AO795" s="1"/>
    </row>
    <row r="796" spans="1:41" x14ac:dyDescent="0.35">
      <c r="A796" s="6"/>
      <c r="B796" s="81"/>
      <c r="C796" s="83"/>
      <c r="D796" s="8"/>
      <c r="E796" s="8"/>
      <c r="F796" s="8"/>
      <c r="G796" s="8"/>
      <c r="H796" s="8"/>
      <c r="I796" s="8"/>
      <c r="J796" s="8"/>
      <c r="K796" s="8"/>
      <c r="L796" s="8"/>
      <c r="M796" s="8"/>
      <c r="N796" s="8"/>
      <c r="O796" s="8"/>
      <c r="P796" s="8"/>
      <c r="Q796" s="8"/>
      <c r="R796" s="8"/>
      <c r="S796" s="8"/>
      <c r="T796" s="8"/>
      <c r="U796" s="8"/>
      <c r="V796" s="8"/>
      <c r="W796" s="8"/>
      <c r="X796" s="8"/>
      <c r="Y796" s="8"/>
      <c r="Z796" s="8"/>
      <c r="AA796" s="8"/>
      <c r="AB796" s="8"/>
      <c r="AC796" s="8"/>
      <c r="AD796" s="8"/>
      <c r="AE796" s="8"/>
      <c r="AF796" s="8"/>
      <c r="AG796" s="8"/>
      <c r="AH796" s="8"/>
      <c r="AI796" s="8"/>
      <c r="AJ796" s="8"/>
      <c r="AK796" s="8"/>
      <c r="AL796" s="8"/>
      <c r="AM796" s="8"/>
      <c r="AN796" s="8"/>
      <c r="AO796" s="1"/>
    </row>
    <row r="797" spans="1:41" x14ac:dyDescent="0.35">
      <c r="A797" s="6"/>
      <c r="B797" s="81"/>
      <c r="C797" s="83"/>
      <c r="D797" s="8"/>
      <c r="E797" s="8"/>
      <c r="F797" s="8"/>
      <c r="G797" s="8"/>
      <c r="H797" s="8"/>
      <c r="I797" s="8"/>
      <c r="J797" s="8"/>
      <c r="K797" s="8"/>
      <c r="L797" s="8"/>
      <c r="M797" s="8"/>
      <c r="N797" s="8"/>
      <c r="O797" s="8"/>
      <c r="P797" s="8"/>
      <c r="Q797" s="8"/>
      <c r="R797" s="8"/>
      <c r="S797" s="8"/>
      <c r="T797" s="8"/>
      <c r="U797" s="8"/>
      <c r="V797" s="8"/>
      <c r="W797" s="8"/>
      <c r="X797" s="8"/>
      <c r="Y797" s="8"/>
      <c r="Z797" s="8"/>
      <c r="AA797" s="8"/>
      <c r="AB797" s="8"/>
      <c r="AC797" s="8"/>
      <c r="AD797" s="8"/>
      <c r="AE797" s="8"/>
      <c r="AF797" s="8"/>
      <c r="AG797" s="8"/>
      <c r="AH797" s="8"/>
      <c r="AI797" s="8"/>
      <c r="AJ797" s="8"/>
      <c r="AK797" s="8"/>
      <c r="AL797" s="8"/>
      <c r="AM797" s="8"/>
      <c r="AN797" s="8"/>
      <c r="AO797" s="1"/>
    </row>
    <row r="798" spans="1:41" x14ac:dyDescent="0.35">
      <c r="A798" s="6"/>
      <c r="B798" s="81"/>
      <c r="C798" s="83"/>
      <c r="D798" s="8"/>
      <c r="E798" s="8"/>
      <c r="F798" s="8"/>
      <c r="G798" s="8"/>
      <c r="H798" s="8"/>
      <c r="I798" s="8"/>
      <c r="J798" s="8"/>
      <c r="K798" s="8"/>
      <c r="L798" s="8"/>
      <c r="M798" s="8"/>
      <c r="N798" s="8"/>
      <c r="O798" s="8"/>
      <c r="P798" s="8"/>
      <c r="Q798" s="8"/>
      <c r="R798" s="8"/>
      <c r="S798" s="8"/>
      <c r="T798" s="8"/>
      <c r="U798" s="8"/>
      <c r="V798" s="8"/>
      <c r="W798" s="8"/>
      <c r="X798" s="8"/>
      <c r="Y798" s="8"/>
      <c r="Z798" s="8"/>
      <c r="AA798" s="8"/>
      <c r="AB798" s="8"/>
      <c r="AC798" s="8"/>
      <c r="AD798" s="8"/>
      <c r="AE798" s="8"/>
      <c r="AF798" s="8"/>
      <c r="AG798" s="8"/>
      <c r="AH798" s="8"/>
      <c r="AI798" s="8"/>
      <c r="AJ798" s="8"/>
      <c r="AK798" s="8"/>
      <c r="AL798" s="8"/>
      <c r="AM798" s="8"/>
      <c r="AN798" s="8"/>
      <c r="AO798" s="1"/>
    </row>
    <row r="799" spans="1:41" x14ac:dyDescent="0.35">
      <c r="A799" s="6"/>
      <c r="B799" s="81"/>
      <c r="C799" s="83"/>
      <c r="D799" s="8"/>
      <c r="E799" s="8"/>
      <c r="F799" s="8"/>
      <c r="G799" s="8"/>
      <c r="H799" s="8"/>
      <c r="I799" s="8"/>
      <c r="J799" s="8"/>
      <c r="K799" s="8"/>
      <c r="L799" s="8"/>
      <c r="M799" s="8"/>
      <c r="N799" s="8"/>
      <c r="O799" s="8"/>
      <c r="P799" s="8"/>
      <c r="Q799" s="8"/>
      <c r="R799" s="8"/>
      <c r="S799" s="8"/>
      <c r="T799" s="8"/>
      <c r="U799" s="8"/>
      <c r="V799" s="8"/>
      <c r="W799" s="8"/>
      <c r="X799" s="8"/>
      <c r="Y799" s="8"/>
      <c r="Z799" s="8"/>
      <c r="AA799" s="8"/>
      <c r="AB799" s="8"/>
      <c r="AC799" s="8"/>
      <c r="AD799" s="8"/>
      <c r="AE799" s="8"/>
      <c r="AF799" s="8"/>
      <c r="AG799" s="8"/>
      <c r="AH799" s="8"/>
      <c r="AI799" s="8"/>
      <c r="AJ799" s="8"/>
      <c r="AK799" s="8"/>
      <c r="AL799" s="8"/>
      <c r="AM799" s="8"/>
      <c r="AN799" s="8"/>
      <c r="AO799" s="1"/>
    </row>
    <row r="800" spans="1:41" x14ac:dyDescent="0.35">
      <c r="A800" s="6"/>
      <c r="B800" s="81"/>
      <c r="C800" s="83"/>
      <c r="D800" s="8"/>
      <c r="E800" s="8"/>
      <c r="F800" s="8"/>
      <c r="G800" s="8"/>
      <c r="H800" s="8"/>
      <c r="I800" s="8"/>
      <c r="J800" s="8"/>
      <c r="K800" s="8"/>
      <c r="L800" s="8"/>
      <c r="M800" s="8"/>
      <c r="N800" s="8"/>
      <c r="O800" s="8"/>
      <c r="P800" s="8"/>
      <c r="Q800" s="8"/>
      <c r="R800" s="8"/>
      <c r="S800" s="8"/>
      <c r="T800" s="8"/>
      <c r="U800" s="8"/>
      <c r="V800" s="8"/>
      <c r="W800" s="8"/>
      <c r="X800" s="8"/>
      <c r="Y800" s="8"/>
      <c r="Z800" s="8"/>
      <c r="AA800" s="8"/>
      <c r="AB800" s="8"/>
      <c r="AC800" s="8"/>
      <c r="AD800" s="8"/>
      <c r="AE800" s="8"/>
      <c r="AF800" s="8"/>
      <c r="AG800" s="8"/>
      <c r="AH800" s="8"/>
      <c r="AI800" s="8"/>
      <c r="AJ800" s="8"/>
      <c r="AK800" s="8"/>
      <c r="AL800" s="8"/>
      <c r="AM800" s="8"/>
      <c r="AN800" s="8"/>
      <c r="AO800" s="1"/>
    </row>
    <row r="801" spans="1:41" x14ac:dyDescent="0.35">
      <c r="A801" s="6"/>
      <c r="B801" s="81"/>
      <c r="C801" s="83"/>
      <c r="D801" s="8"/>
      <c r="E801" s="8"/>
      <c r="F801" s="8"/>
      <c r="G801" s="8"/>
      <c r="H801" s="8"/>
      <c r="I801" s="8"/>
      <c r="J801" s="8"/>
      <c r="K801" s="8"/>
      <c r="L801" s="8"/>
      <c r="M801" s="8"/>
      <c r="N801" s="8"/>
      <c r="O801" s="8"/>
      <c r="P801" s="8"/>
      <c r="Q801" s="8"/>
      <c r="R801" s="8"/>
      <c r="S801" s="8"/>
      <c r="T801" s="8"/>
      <c r="U801" s="8"/>
      <c r="V801" s="8"/>
      <c r="W801" s="8"/>
      <c r="X801" s="8"/>
      <c r="Y801" s="8"/>
      <c r="Z801" s="8"/>
      <c r="AA801" s="8"/>
      <c r="AB801" s="8"/>
      <c r="AC801" s="8"/>
      <c r="AD801" s="8"/>
      <c r="AE801" s="8"/>
      <c r="AF801" s="8"/>
      <c r="AG801" s="8"/>
      <c r="AH801" s="8"/>
      <c r="AI801" s="8"/>
      <c r="AJ801" s="8"/>
      <c r="AK801" s="8"/>
      <c r="AL801" s="8"/>
      <c r="AM801" s="8"/>
      <c r="AN801" s="8"/>
      <c r="AO801" s="1"/>
    </row>
    <row r="802" spans="1:41" x14ac:dyDescent="0.35">
      <c r="A802" s="6"/>
      <c r="B802" s="81"/>
      <c r="C802" s="83"/>
      <c r="D802" s="8"/>
      <c r="E802" s="8"/>
      <c r="F802" s="8"/>
      <c r="G802" s="8"/>
      <c r="H802" s="8"/>
      <c r="I802" s="8"/>
      <c r="J802" s="8"/>
      <c r="K802" s="8"/>
      <c r="L802" s="8"/>
      <c r="M802" s="8"/>
      <c r="N802" s="8"/>
      <c r="O802" s="8"/>
      <c r="P802" s="8"/>
      <c r="Q802" s="8"/>
      <c r="R802" s="8"/>
      <c r="S802" s="8"/>
      <c r="T802" s="8"/>
      <c r="U802" s="8"/>
      <c r="V802" s="8"/>
      <c r="W802" s="8"/>
      <c r="X802" s="8"/>
      <c r="Y802" s="8"/>
      <c r="Z802" s="8"/>
      <c r="AA802" s="8"/>
      <c r="AB802" s="8"/>
      <c r="AC802" s="8"/>
      <c r="AD802" s="8"/>
      <c r="AE802" s="8"/>
      <c r="AF802" s="8"/>
      <c r="AG802" s="8"/>
      <c r="AH802" s="8"/>
      <c r="AI802" s="8"/>
      <c r="AJ802" s="8"/>
      <c r="AK802" s="8"/>
      <c r="AL802" s="8"/>
      <c r="AM802" s="8"/>
      <c r="AN802" s="8"/>
      <c r="AO802" s="1"/>
    </row>
    <row r="803" spans="1:41" x14ac:dyDescent="0.35">
      <c r="A803" s="6"/>
      <c r="B803" s="81"/>
      <c r="C803" s="83"/>
      <c r="D803" s="8"/>
      <c r="E803" s="8"/>
      <c r="F803" s="8"/>
      <c r="G803" s="8"/>
      <c r="H803" s="8"/>
      <c r="I803" s="8"/>
      <c r="J803" s="8"/>
      <c r="K803" s="8"/>
      <c r="L803" s="8"/>
      <c r="M803" s="8"/>
      <c r="N803" s="8"/>
      <c r="O803" s="8"/>
      <c r="P803" s="8"/>
      <c r="Q803" s="8"/>
      <c r="R803" s="8"/>
      <c r="S803" s="8"/>
      <c r="T803" s="8"/>
      <c r="U803" s="8"/>
      <c r="V803" s="8"/>
      <c r="W803" s="8"/>
      <c r="X803" s="8"/>
      <c r="Y803" s="8"/>
      <c r="Z803" s="8"/>
      <c r="AA803" s="8"/>
      <c r="AB803" s="8"/>
      <c r="AC803" s="8"/>
      <c r="AD803" s="8"/>
      <c r="AE803" s="8"/>
      <c r="AF803" s="8"/>
      <c r="AG803" s="8"/>
      <c r="AH803" s="8"/>
      <c r="AI803" s="8"/>
      <c r="AJ803" s="8"/>
      <c r="AK803" s="8"/>
      <c r="AL803" s="8"/>
      <c r="AM803" s="8"/>
      <c r="AN803" s="8"/>
      <c r="AO803" s="1"/>
    </row>
    <row r="804" spans="1:41" x14ac:dyDescent="0.35">
      <c r="A804" s="6"/>
      <c r="B804" s="81"/>
      <c r="C804" s="83"/>
      <c r="D804" s="8"/>
      <c r="E804" s="8"/>
      <c r="F804" s="8"/>
      <c r="G804" s="8"/>
      <c r="H804" s="8"/>
      <c r="I804" s="8"/>
      <c r="J804" s="8"/>
      <c r="K804" s="8"/>
      <c r="L804" s="8"/>
      <c r="M804" s="8"/>
      <c r="N804" s="8"/>
      <c r="O804" s="8"/>
      <c r="P804" s="8"/>
      <c r="Q804" s="8"/>
      <c r="R804" s="8"/>
      <c r="S804" s="8"/>
      <c r="T804" s="8"/>
      <c r="U804" s="8"/>
      <c r="V804" s="8"/>
      <c r="W804" s="8"/>
      <c r="X804" s="8"/>
      <c r="Y804" s="8"/>
      <c r="Z804" s="8"/>
      <c r="AA804" s="8"/>
      <c r="AB804" s="8"/>
      <c r="AC804" s="8"/>
      <c r="AD804" s="8"/>
      <c r="AE804" s="8"/>
      <c r="AF804" s="8"/>
      <c r="AG804" s="8"/>
      <c r="AH804" s="8"/>
      <c r="AI804" s="8"/>
      <c r="AJ804" s="8"/>
      <c r="AK804" s="8"/>
      <c r="AL804" s="8"/>
      <c r="AM804" s="8"/>
      <c r="AN804" s="8"/>
      <c r="AO804" s="1"/>
    </row>
    <row r="805" spans="1:41" x14ac:dyDescent="0.35">
      <c r="A805" s="6"/>
      <c r="B805" s="81"/>
      <c r="C805" s="83"/>
      <c r="D805" s="8"/>
      <c r="E805" s="8"/>
      <c r="F805" s="8"/>
      <c r="G805" s="8"/>
      <c r="H805" s="8"/>
      <c r="I805" s="8"/>
      <c r="J805" s="8"/>
      <c r="K805" s="8"/>
      <c r="L805" s="8"/>
      <c r="M805" s="8"/>
      <c r="N805" s="8"/>
      <c r="O805" s="8"/>
      <c r="P805" s="8"/>
      <c r="Q805" s="8"/>
      <c r="R805" s="8"/>
      <c r="S805" s="8"/>
      <c r="T805" s="8"/>
      <c r="U805" s="8"/>
      <c r="V805" s="8"/>
      <c r="W805" s="8"/>
      <c r="X805" s="8"/>
      <c r="Y805" s="8"/>
      <c r="Z805" s="8"/>
      <c r="AA805" s="8"/>
      <c r="AB805" s="8"/>
      <c r="AC805" s="8"/>
      <c r="AD805" s="8"/>
      <c r="AE805" s="8"/>
      <c r="AF805" s="8"/>
      <c r="AG805" s="8"/>
      <c r="AH805" s="8"/>
      <c r="AI805" s="8"/>
      <c r="AJ805" s="8"/>
      <c r="AK805" s="8"/>
      <c r="AL805" s="8"/>
      <c r="AM805" s="8"/>
      <c r="AN805" s="8"/>
      <c r="AO805" s="1"/>
    </row>
    <row r="806" spans="1:41" x14ac:dyDescent="0.35">
      <c r="A806" s="6"/>
      <c r="B806" s="81"/>
      <c r="C806" s="83"/>
      <c r="D806" s="8"/>
      <c r="E806" s="8"/>
      <c r="F806" s="8"/>
      <c r="G806" s="8"/>
      <c r="H806" s="8"/>
      <c r="I806" s="8"/>
      <c r="J806" s="8"/>
      <c r="K806" s="8"/>
      <c r="L806" s="8"/>
      <c r="M806" s="8"/>
      <c r="N806" s="8"/>
      <c r="O806" s="8"/>
      <c r="P806" s="8"/>
      <c r="Q806" s="8"/>
      <c r="R806" s="8"/>
      <c r="S806" s="8"/>
      <c r="T806" s="8"/>
      <c r="U806" s="8"/>
      <c r="V806" s="8"/>
      <c r="W806" s="8"/>
      <c r="X806" s="8"/>
      <c r="Y806" s="8"/>
      <c r="Z806" s="8"/>
      <c r="AA806" s="8"/>
      <c r="AB806" s="8"/>
      <c r="AC806" s="8"/>
      <c r="AD806" s="8"/>
      <c r="AE806" s="8"/>
      <c r="AF806" s="8"/>
      <c r="AG806" s="8"/>
      <c r="AH806" s="8"/>
      <c r="AI806" s="8"/>
      <c r="AJ806" s="8"/>
      <c r="AK806" s="8"/>
      <c r="AL806" s="8"/>
      <c r="AM806" s="8"/>
      <c r="AN806" s="8"/>
      <c r="AO806" s="1"/>
    </row>
    <row r="807" spans="1:41" x14ac:dyDescent="0.35">
      <c r="A807" s="6"/>
      <c r="B807" s="81"/>
      <c r="C807" s="83"/>
      <c r="D807" s="8"/>
      <c r="E807" s="8"/>
      <c r="F807" s="8"/>
      <c r="G807" s="8"/>
      <c r="H807" s="8"/>
      <c r="I807" s="8"/>
      <c r="J807" s="8"/>
      <c r="K807" s="8"/>
      <c r="L807" s="8"/>
      <c r="M807" s="8"/>
      <c r="N807" s="8"/>
      <c r="O807" s="8"/>
      <c r="P807" s="8"/>
      <c r="Q807" s="8"/>
      <c r="R807" s="8"/>
      <c r="S807" s="8"/>
      <c r="T807" s="8"/>
      <c r="U807" s="8"/>
      <c r="V807" s="8"/>
      <c r="W807" s="8"/>
      <c r="X807" s="8"/>
      <c r="Y807" s="8"/>
      <c r="Z807" s="8"/>
      <c r="AA807" s="8"/>
      <c r="AB807" s="8"/>
      <c r="AC807" s="8"/>
      <c r="AD807" s="8"/>
      <c r="AE807" s="8"/>
      <c r="AF807" s="8"/>
      <c r="AG807" s="8"/>
      <c r="AH807" s="8"/>
      <c r="AI807" s="8"/>
      <c r="AJ807" s="8"/>
      <c r="AK807" s="8"/>
      <c r="AL807" s="8"/>
      <c r="AM807" s="8"/>
      <c r="AN807" s="8"/>
      <c r="AO807" s="1"/>
    </row>
    <row r="808" spans="1:41" x14ac:dyDescent="0.35">
      <c r="A808" s="6"/>
      <c r="B808" s="81"/>
      <c r="C808" s="83"/>
      <c r="D808" s="8"/>
      <c r="E808" s="8"/>
      <c r="F808" s="8"/>
      <c r="G808" s="8"/>
      <c r="H808" s="8"/>
      <c r="I808" s="8"/>
      <c r="J808" s="8"/>
      <c r="K808" s="8"/>
      <c r="L808" s="8"/>
      <c r="M808" s="8"/>
      <c r="N808" s="8"/>
      <c r="O808" s="8"/>
      <c r="P808" s="8"/>
      <c r="Q808" s="8"/>
      <c r="R808" s="8"/>
      <c r="S808" s="8"/>
      <c r="T808" s="8"/>
      <c r="U808" s="8"/>
      <c r="V808" s="8"/>
      <c r="W808" s="8"/>
      <c r="X808" s="8"/>
      <c r="Y808" s="8"/>
      <c r="Z808" s="8"/>
      <c r="AA808" s="8"/>
      <c r="AB808" s="8"/>
      <c r="AC808" s="8"/>
      <c r="AD808" s="8"/>
      <c r="AE808" s="8"/>
      <c r="AF808" s="8"/>
      <c r="AG808" s="8"/>
      <c r="AH808" s="8"/>
      <c r="AI808" s="8"/>
      <c r="AJ808" s="8"/>
      <c r="AK808" s="8"/>
      <c r="AL808" s="8"/>
      <c r="AM808" s="8"/>
      <c r="AN808" s="8"/>
      <c r="AO808" s="1"/>
    </row>
    <row r="809" spans="1:41" x14ac:dyDescent="0.35">
      <c r="A809" s="6"/>
      <c r="B809" s="81"/>
      <c r="C809" s="83"/>
      <c r="D809" s="8"/>
      <c r="E809" s="8"/>
      <c r="F809" s="8"/>
      <c r="G809" s="8"/>
      <c r="H809" s="8"/>
      <c r="I809" s="8"/>
      <c r="J809" s="8"/>
      <c r="K809" s="8"/>
      <c r="L809" s="8"/>
      <c r="M809" s="8"/>
      <c r="N809" s="8"/>
      <c r="O809" s="8"/>
      <c r="P809" s="8"/>
      <c r="Q809" s="8"/>
      <c r="R809" s="8"/>
      <c r="S809" s="8"/>
      <c r="T809" s="8"/>
      <c r="U809" s="8"/>
      <c r="V809" s="8"/>
      <c r="W809" s="8"/>
      <c r="X809" s="8"/>
      <c r="Y809" s="8"/>
      <c r="Z809" s="8"/>
      <c r="AA809" s="8"/>
      <c r="AB809" s="8"/>
      <c r="AC809" s="8"/>
      <c r="AD809" s="8"/>
      <c r="AE809" s="8"/>
      <c r="AF809" s="8"/>
      <c r="AG809" s="8"/>
      <c r="AH809" s="8"/>
      <c r="AI809" s="8"/>
      <c r="AJ809" s="8"/>
      <c r="AK809" s="8"/>
      <c r="AL809" s="8"/>
      <c r="AM809" s="8"/>
      <c r="AN809" s="8"/>
      <c r="AO809" s="1"/>
    </row>
    <row r="810" spans="1:41" x14ac:dyDescent="0.35">
      <c r="A810" s="6"/>
      <c r="B810" s="81"/>
      <c r="C810" s="83"/>
      <c r="D810" s="8"/>
      <c r="E810" s="8"/>
      <c r="F810" s="8"/>
      <c r="G810" s="8"/>
      <c r="H810" s="8"/>
      <c r="I810" s="8"/>
      <c r="J810" s="8"/>
      <c r="K810" s="8"/>
      <c r="L810" s="8"/>
      <c r="M810" s="8"/>
      <c r="N810" s="8"/>
      <c r="O810" s="8"/>
      <c r="P810" s="8"/>
      <c r="Q810" s="8"/>
      <c r="R810" s="8"/>
      <c r="S810" s="8"/>
      <c r="T810" s="8"/>
      <c r="U810" s="8"/>
      <c r="V810" s="8"/>
      <c r="W810" s="8"/>
      <c r="X810" s="8"/>
      <c r="Y810" s="8"/>
      <c r="Z810" s="8"/>
      <c r="AA810" s="8"/>
      <c r="AB810" s="8"/>
      <c r="AC810" s="8"/>
      <c r="AD810" s="8"/>
      <c r="AE810" s="8"/>
      <c r="AF810" s="8"/>
      <c r="AG810" s="8"/>
      <c r="AH810" s="8"/>
      <c r="AI810" s="8"/>
      <c r="AJ810" s="8"/>
      <c r="AK810" s="8"/>
      <c r="AL810" s="8"/>
      <c r="AM810" s="8"/>
      <c r="AN810" s="8"/>
      <c r="AO810" s="1"/>
    </row>
    <row r="811" spans="1:41" x14ac:dyDescent="0.35">
      <c r="A811" s="6"/>
      <c r="B811" s="81"/>
      <c r="C811" s="83"/>
      <c r="D811" s="8"/>
      <c r="E811" s="8"/>
      <c r="F811" s="8"/>
      <c r="G811" s="8"/>
      <c r="H811" s="8"/>
      <c r="I811" s="8"/>
      <c r="J811" s="8"/>
      <c r="K811" s="8"/>
      <c r="L811" s="8"/>
      <c r="M811" s="8"/>
      <c r="N811" s="8"/>
      <c r="O811" s="8"/>
      <c r="P811" s="8"/>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1"/>
    </row>
    <row r="812" spans="1:41" x14ac:dyDescent="0.35">
      <c r="A812" s="6"/>
      <c r="B812" s="81"/>
      <c r="C812" s="83"/>
      <c r="D812" s="8"/>
      <c r="E812" s="8"/>
      <c r="F812" s="8"/>
      <c r="G812" s="8"/>
      <c r="H812" s="8"/>
      <c r="I812" s="8"/>
      <c r="J812" s="8"/>
      <c r="K812" s="8"/>
      <c r="L812" s="8"/>
      <c r="M812" s="8"/>
      <c r="N812" s="8"/>
      <c r="O812" s="8"/>
      <c r="P812" s="8"/>
      <c r="Q812" s="8"/>
      <c r="R812" s="8"/>
      <c r="S812" s="8"/>
      <c r="T812" s="8"/>
      <c r="U812" s="8"/>
      <c r="V812" s="8"/>
      <c r="W812" s="8"/>
      <c r="X812" s="8"/>
      <c r="Y812" s="8"/>
      <c r="Z812" s="8"/>
      <c r="AA812" s="8"/>
      <c r="AB812" s="8"/>
      <c r="AC812" s="8"/>
      <c r="AD812" s="8"/>
      <c r="AE812" s="8"/>
      <c r="AF812" s="8"/>
      <c r="AG812" s="8"/>
      <c r="AH812" s="8"/>
      <c r="AI812" s="8"/>
      <c r="AJ812" s="8"/>
      <c r="AK812" s="8"/>
      <c r="AL812" s="8"/>
      <c r="AM812" s="8"/>
      <c r="AN812" s="8"/>
      <c r="AO812" s="1"/>
    </row>
    <row r="813" spans="1:41" x14ac:dyDescent="0.35">
      <c r="A813" s="6"/>
      <c r="B813" s="81"/>
      <c r="C813" s="83"/>
      <c r="D813" s="8"/>
      <c r="E813" s="8"/>
      <c r="F813" s="8"/>
      <c r="G813" s="8"/>
      <c r="H813" s="8"/>
      <c r="I813" s="8"/>
      <c r="J813" s="8"/>
      <c r="K813" s="8"/>
      <c r="L813" s="8"/>
      <c r="M813" s="8"/>
      <c r="N813" s="8"/>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1"/>
    </row>
  </sheetData>
  <mergeCells count="151">
    <mergeCell ref="A1:AO1"/>
    <mergeCell ref="D6:AN6"/>
    <mergeCell ref="A3:A9"/>
    <mergeCell ref="B3:B9"/>
    <mergeCell ref="C3:C9"/>
    <mergeCell ref="D55:AN55"/>
    <mergeCell ref="D62:AN62"/>
    <mergeCell ref="D69:AN69"/>
    <mergeCell ref="AP59:AP65"/>
    <mergeCell ref="C17:C23"/>
    <mergeCell ref="AP17:AP23"/>
    <mergeCell ref="D41:AN41"/>
    <mergeCell ref="A45:A51"/>
    <mergeCell ref="B45:B51"/>
    <mergeCell ref="C45:C51"/>
    <mergeCell ref="AP45:AP51"/>
    <mergeCell ref="AP38:AP44"/>
    <mergeCell ref="AQ38:AQ44"/>
    <mergeCell ref="AP3:AP9"/>
    <mergeCell ref="AQ3:AQ9"/>
    <mergeCell ref="A66:A72"/>
    <mergeCell ref="B66:B72"/>
    <mergeCell ref="C66:C72"/>
    <mergeCell ref="A59:A65"/>
    <mergeCell ref="B59:B65"/>
    <mergeCell ref="C59:C65"/>
    <mergeCell ref="A38:A44"/>
    <mergeCell ref="B38:B44"/>
    <mergeCell ref="C38:C44"/>
    <mergeCell ref="D13:AN13"/>
    <mergeCell ref="A10:A16"/>
    <mergeCell ref="B10:B16"/>
    <mergeCell ref="C10:C16"/>
    <mergeCell ref="AP10:AP16"/>
    <mergeCell ref="AQ10:AQ16"/>
    <mergeCell ref="A17:A23"/>
    <mergeCell ref="B17:B23"/>
    <mergeCell ref="AQ73:AQ79"/>
    <mergeCell ref="D76:AN76"/>
    <mergeCell ref="A80:A86"/>
    <mergeCell ref="B80:B86"/>
    <mergeCell ref="C80:C86"/>
    <mergeCell ref="AP80:AP86"/>
    <mergeCell ref="AQ80:AQ86"/>
    <mergeCell ref="AQ17:AQ23"/>
    <mergeCell ref="D20:AN20"/>
    <mergeCell ref="A24:A30"/>
    <mergeCell ref="B24:B30"/>
    <mergeCell ref="C24:C30"/>
    <mergeCell ref="AP24:AP30"/>
    <mergeCell ref="AQ24:AQ30"/>
    <mergeCell ref="D27:AN27"/>
    <mergeCell ref="A31:A37"/>
    <mergeCell ref="B31:B37"/>
    <mergeCell ref="C31:C37"/>
    <mergeCell ref="AP31:AP37"/>
    <mergeCell ref="AQ31:AQ37"/>
    <mergeCell ref="D34:AN34"/>
    <mergeCell ref="AQ59:AQ65"/>
    <mergeCell ref="AP66:AP72"/>
    <mergeCell ref="AQ66:AQ72"/>
    <mergeCell ref="A101:A107"/>
    <mergeCell ref="B101:B107"/>
    <mergeCell ref="C101:C107"/>
    <mergeCell ref="AP101:AP107"/>
    <mergeCell ref="AQ101:AQ107"/>
    <mergeCell ref="D104:AN104"/>
    <mergeCell ref="A108:A114"/>
    <mergeCell ref="B108:B114"/>
    <mergeCell ref="C108:C114"/>
    <mergeCell ref="AP108:AP114"/>
    <mergeCell ref="AQ108:AQ114"/>
    <mergeCell ref="D111:AN111"/>
    <mergeCell ref="A115:A121"/>
    <mergeCell ref="B115:B121"/>
    <mergeCell ref="C115:C121"/>
    <mergeCell ref="AP115:AP121"/>
    <mergeCell ref="AQ115:AQ121"/>
    <mergeCell ref="D118:AN118"/>
    <mergeCell ref="A122:A128"/>
    <mergeCell ref="B122:B128"/>
    <mergeCell ref="C122:C128"/>
    <mergeCell ref="AP122:AP128"/>
    <mergeCell ref="AQ122:AQ128"/>
    <mergeCell ref="D125:AN125"/>
    <mergeCell ref="A129:A135"/>
    <mergeCell ref="B129:B135"/>
    <mergeCell ref="C129:C135"/>
    <mergeCell ref="AP129:AP135"/>
    <mergeCell ref="AQ129:AQ135"/>
    <mergeCell ref="D132:AN132"/>
    <mergeCell ref="A136:A142"/>
    <mergeCell ref="B136:B142"/>
    <mergeCell ref="C136:C142"/>
    <mergeCell ref="AP136:AP142"/>
    <mergeCell ref="AQ136:AQ142"/>
    <mergeCell ref="D139:AN139"/>
    <mergeCell ref="A143:A149"/>
    <mergeCell ref="B143:B149"/>
    <mergeCell ref="C143:C149"/>
    <mergeCell ref="AP143:AP149"/>
    <mergeCell ref="AQ143:AQ149"/>
    <mergeCell ref="D146:AN146"/>
    <mergeCell ref="A150:A156"/>
    <mergeCell ref="B150:B156"/>
    <mergeCell ref="C150:C156"/>
    <mergeCell ref="AP150:AP156"/>
    <mergeCell ref="AQ150:AQ156"/>
    <mergeCell ref="D153:AN153"/>
    <mergeCell ref="A171:A177"/>
    <mergeCell ref="B171:B177"/>
    <mergeCell ref="C171:C177"/>
    <mergeCell ref="AP171:AP177"/>
    <mergeCell ref="AQ171:AQ177"/>
    <mergeCell ref="D174:AN174"/>
    <mergeCell ref="A157:A163"/>
    <mergeCell ref="B157:B163"/>
    <mergeCell ref="C157:C163"/>
    <mergeCell ref="AP157:AP163"/>
    <mergeCell ref="AQ157:AQ163"/>
    <mergeCell ref="D160:AN160"/>
    <mergeCell ref="A164:A170"/>
    <mergeCell ref="B164:B170"/>
    <mergeCell ref="C164:C170"/>
    <mergeCell ref="AP164:AP170"/>
    <mergeCell ref="AQ164:AQ170"/>
    <mergeCell ref="D167:AN167"/>
    <mergeCell ref="A94:A100"/>
    <mergeCell ref="B94:B100"/>
    <mergeCell ref="C94:C100"/>
    <mergeCell ref="AP94:AP100"/>
    <mergeCell ref="AQ94:AQ100"/>
    <mergeCell ref="D97:AN97"/>
    <mergeCell ref="AQ45:AQ51"/>
    <mergeCell ref="D48:AN48"/>
    <mergeCell ref="A52:A58"/>
    <mergeCell ref="B52:B58"/>
    <mergeCell ref="C52:C58"/>
    <mergeCell ref="AP52:AP58"/>
    <mergeCell ref="AQ52:AQ58"/>
    <mergeCell ref="D83:AN83"/>
    <mergeCell ref="A87:A93"/>
    <mergeCell ref="B87:B93"/>
    <mergeCell ref="C87:C93"/>
    <mergeCell ref="AP87:AP93"/>
    <mergeCell ref="AQ87:AQ93"/>
    <mergeCell ref="D90:AN90"/>
    <mergeCell ref="A73:A79"/>
    <mergeCell ref="B73:B79"/>
    <mergeCell ref="C73:C79"/>
    <mergeCell ref="AP73:AP79"/>
  </mergeCell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5" tint="0.39997558519241921"/>
  </sheetPr>
  <dimension ref="A1:AS1201"/>
  <sheetViews>
    <sheetView zoomScaleNormal="100" workbookViewId="0">
      <pane xSplit="4" ySplit="2" topLeftCell="E3" activePane="bottomRight" state="frozen"/>
      <selection pane="topRight" activeCell="E1" sqref="E1"/>
      <selection pane="bottomLeft" activeCell="A3" sqref="A3"/>
      <selection pane="bottomRight" activeCell="G11" sqref="G11"/>
    </sheetView>
  </sheetViews>
  <sheetFormatPr defaultColWidth="14.453125" defaultRowHeight="14.5" x14ac:dyDescent="0.35"/>
  <cols>
    <col min="1" max="1" width="4" style="7" customWidth="1"/>
    <col min="2" max="2" width="9.26953125" style="14" customWidth="1"/>
    <col min="3" max="3" width="12.7265625" style="82" customWidth="1"/>
    <col min="4" max="4" width="32.26953125" style="7" customWidth="1"/>
    <col min="5" max="5" width="21.453125" style="5" bestFit="1" customWidth="1"/>
    <col min="6" max="9" width="7.7265625" style="18" customWidth="1"/>
    <col min="10" max="10" width="7" style="18" bestFit="1" customWidth="1"/>
    <col min="11" max="41" width="7.7265625" style="18" customWidth="1"/>
    <col min="42" max="42" width="10.26953125" customWidth="1"/>
    <col min="43" max="43" width="19.1796875" customWidth="1"/>
    <col min="44" max="45" width="19.453125" customWidth="1"/>
  </cols>
  <sheetData>
    <row r="1" spans="1:45" ht="19" thickBot="1" x14ac:dyDescent="0.5">
      <c r="A1" s="1203" t="s">
        <v>179</v>
      </c>
      <c r="B1" s="1203"/>
      <c r="C1" s="1203"/>
      <c r="D1" s="1203"/>
      <c r="E1" s="1203"/>
      <c r="F1" s="1203"/>
      <c r="G1" s="1203"/>
      <c r="H1" s="1203"/>
      <c r="I1" s="1203"/>
      <c r="J1" s="1203"/>
      <c r="K1" s="1203"/>
      <c r="L1" s="1203"/>
      <c r="M1" s="1203"/>
      <c r="N1" s="1203"/>
      <c r="O1" s="1203"/>
      <c r="P1" s="1203"/>
      <c r="Q1" s="1203"/>
      <c r="R1" s="1203"/>
      <c r="S1" s="1203"/>
      <c r="T1" s="1203"/>
      <c r="U1" s="1203"/>
      <c r="V1" s="1203"/>
      <c r="W1" s="1203"/>
      <c r="X1" s="1203"/>
      <c r="Y1" s="1203"/>
      <c r="Z1" s="1203"/>
      <c r="AA1" s="1203"/>
      <c r="AB1" s="1203"/>
      <c r="AC1" s="1203"/>
      <c r="AD1" s="1203"/>
      <c r="AE1" s="1203"/>
      <c r="AF1" s="1203"/>
      <c r="AG1" s="1203"/>
      <c r="AH1" s="1203"/>
      <c r="AI1" s="1203"/>
      <c r="AJ1" s="1203"/>
      <c r="AK1" s="1203"/>
      <c r="AL1" s="1203"/>
      <c r="AM1" s="1203"/>
      <c r="AN1" s="1203"/>
      <c r="AO1" s="1203"/>
      <c r="AP1" s="1189"/>
      <c r="AQ1" s="345"/>
    </row>
    <row r="2" spans="1:45" ht="29.5" thickBot="1" x14ac:dyDescent="0.4">
      <c r="A2" s="15" t="s">
        <v>166</v>
      </c>
      <c r="B2" s="143" t="s">
        <v>167</v>
      </c>
      <c r="C2" s="142" t="s">
        <v>180</v>
      </c>
      <c r="D2" s="294" t="s">
        <v>168</v>
      </c>
      <c r="E2" s="295" t="s">
        <v>169</v>
      </c>
      <c r="F2" s="12">
        <v>45292</v>
      </c>
      <c r="G2" s="493">
        <v>45323</v>
      </c>
      <c r="H2" s="493">
        <v>45352</v>
      </c>
      <c r="I2" s="493">
        <v>45383</v>
      </c>
      <c r="J2" s="493">
        <v>45413</v>
      </c>
      <c r="K2" s="493">
        <v>45444</v>
      </c>
      <c r="L2" s="493">
        <v>45474</v>
      </c>
      <c r="M2" s="493">
        <v>45505</v>
      </c>
      <c r="N2" s="493">
        <v>45536</v>
      </c>
      <c r="O2" s="493">
        <v>45566</v>
      </c>
      <c r="P2" s="493">
        <v>45597</v>
      </c>
      <c r="Q2" s="493">
        <v>45627</v>
      </c>
      <c r="R2" s="493">
        <v>45658</v>
      </c>
      <c r="S2" s="493">
        <v>45689</v>
      </c>
      <c r="T2" s="493">
        <v>45717</v>
      </c>
      <c r="U2" s="493">
        <v>45748</v>
      </c>
      <c r="V2" s="493">
        <v>45778</v>
      </c>
      <c r="W2" s="493">
        <v>45809</v>
      </c>
      <c r="X2" s="493">
        <v>45839</v>
      </c>
      <c r="Y2" s="493">
        <v>45870</v>
      </c>
      <c r="Z2" s="493">
        <v>45901</v>
      </c>
      <c r="AA2" s="493">
        <v>45931</v>
      </c>
      <c r="AB2" s="493">
        <v>45962</v>
      </c>
      <c r="AC2" s="493">
        <v>45992</v>
      </c>
      <c r="AD2" s="493">
        <v>46023</v>
      </c>
      <c r="AE2" s="493">
        <v>46054</v>
      </c>
      <c r="AF2" s="493">
        <v>46082</v>
      </c>
      <c r="AG2" s="493">
        <v>46113</v>
      </c>
      <c r="AH2" s="493">
        <v>46143</v>
      </c>
      <c r="AI2" s="493">
        <v>46174</v>
      </c>
      <c r="AJ2" s="493">
        <v>46204</v>
      </c>
      <c r="AK2" s="493">
        <v>46235</v>
      </c>
      <c r="AL2" s="493">
        <v>46266</v>
      </c>
      <c r="AM2" s="493">
        <v>46296</v>
      </c>
      <c r="AN2" s="493">
        <v>46327</v>
      </c>
      <c r="AO2" s="493">
        <v>46357</v>
      </c>
      <c r="AP2" s="1209" t="s">
        <v>170</v>
      </c>
      <c r="AQ2" s="1210"/>
      <c r="AR2" s="178" t="s">
        <v>121</v>
      </c>
      <c r="AS2" s="178" t="s">
        <v>171</v>
      </c>
    </row>
    <row r="3" spans="1:45" s="2" customFormat="1" x14ac:dyDescent="0.35">
      <c r="A3" s="1204">
        <v>1</v>
      </c>
      <c r="B3" s="1178" t="str">
        <f>IF(VLOOKUP(A:A,'Pivot Table'!Z:AE,6,FALSE)=0,"",VLOOKUP(A:A,'Pivot Table'!Z:AE,6,FALSE))</f>
        <v/>
      </c>
      <c r="C3" s="1200" t="str">
        <f>_xlfn.IFNA(VLOOKUP(B:B,'indicator lists'!L:R,3,FALSE),"")</f>
        <v/>
      </c>
      <c r="D3" s="1200" t="str">
        <f>_xlfn.IFNA(VLOOKUP(A:A,'Pivot Table'!P:X,9,FALSE),"")</f>
        <v/>
      </c>
      <c r="E3" s="59" t="s">
        <v>181</v>
      </c>
      <c r="F3" s="60">
        <f>SUM(F4:F7)</f>
        <v>0</v>
      </c>
      <c r="G3" s="61">
        <f>SUM(G4:G7)</f>
        <v>0</v>
      </c>
      <c r="H3" s="61">
        <f t="shared" ref="H3:M3" si="0">SUM(H4:H7)</f>
        <v>0</v>
      </c>
      <c r="I3" s="61">
        <f t="shared" si="0"/>
        <v>0</v>
      </c>
      <c r="J3" s="61">
        <f t="shared" si="0"/>
        <v>0</v>
      </c>
      <c r="K3" s="61">
        <f t="shared" si="0"/>
        <v>0</v>
      </c>
      <c r="L3" s="61">
        <f t="shared" si="0"/>
        <v>0</v>
      </c>
      <c r="M3" s="61">
        <f t="shared" si="0"/>
        <v>0</v>
      </c>
      <c r="N3" s="61">
        <f t="shared" ref="N3:AA3" si="1">SUM(N4:N7)</f>
        <v>0</v>
      </c>
      <c r="O3" s="61">
        <f t="shared" si="1"/>
        <v>0</v>
      </c>
      <c r="P3" s="61">
        <f t="shared" si="1"/>
        <v>0</v>
      </c>
      <c r="Q3" s="61">
        <f t="shared" si="1"/>
        <v>0</v>
      </c>
      <c r="R3" s="61">
        <f t="shared" si="1"/>
        <v>0</v>
      </c>
      <c r="S3" s="61">
        <f t="shared" si="1"/>
        <v>0</v>
      </c>
      <c r="T3" s="61">
        <f t="shared" si="1"/>
        <v>0</v>
      </c>
      <c r="U3" s="61">
        <f t="shared" si="1"/>
        <v>0</v>
      </c>
      <c r="V3" s="61">
        <f t="shared" si="1"/>
        <v>0</v>
      </c>
      <c r="W3" s="61">
        <f t="shared" si="1"/>
        <v>0</v>
      </c>
      <c r="X3" s="61">
        <f t="shared" si="1"/>
        <v>0</v>
      </c>
      <c r="Y3" s="61">
        <f t="shared" si="1"/>
        <v>0</v>
      </c>
      <c r="Z3" s="61">
        <f t="shared" si="1"/>
        <v>0</v>
      </c>
      <c r="AA3" s="61">
        <f t="shared" si="1"/>
        <v>0</v>
      </c>
      <c r="AB3" s="61">
        <f t="shared" ref="AB3:AO3" si="2">SUM(AB4:AB7)</f>
        <v>0</v>
      </c>
      <c r="AC3" s="61">
        <f t="shared" si="2"/>
        <v>0</v>
      </c>
      <c r="AD3" s="61">
        <f t="shared" si="2"/>
        <v>0</v>
      </c>
      <c r="AE3" s="61">
        <f t="shared" si="2"/>
        <v>0</v>
      </c>
      <c r="AF3" s="61">
        <f t="shared" si="2"/>
        <v>0</v>
      </c>
      <c r="AG3" s="61">
        <f t="shared" si="2"/>
        <v>0</v>
      </c>
      <c r="AH3" s="61">
        <f t="shared" si="2"/>
        <v>0</v>
      </c>
      <c r="AI3" s="61">
        <f t="shared" si="2"/>
        <v>0</v>
      </c>
      <c r="AJ3" s="61">
        <f t="shared" si="2"/>
        <v>0</v>
      </c>
      <c r="AK3" s="61">
        <f t="shared" si="2"/>
        <v>0</v>
      </c>
      <c r="AL3" s="61">
        <f t="shared" si="2"/>
        <v>0</v>
      </c>
      <c r="AM3" s="61">
        <f t="shared" si="2"/>
        <v>0</v>
      </c>
      <c r="AN3" s="61">
        <f t="shared" si="2"/>
        <v>0</v>
      </c>
      <c r="AO3" s="61">
        <f t="shared" si="2"/>
        <v>0</v>
      </c>
      <c r="AP3" s="347">
        <f>SUM(AP4:AP5)</f>
        <v>0</v>
      </c>
      <c r="AQ3" s="134"/>
      <c r="AR3" s="1184"/>
      <c r="AS3" s="1184"/>
    </row>
    <row r="4" spans="1:45" s="2" customFormat="1" x14ac:dyDescent="0.35">
      <c r="A4" s="1198"/>
      <c r="B4" s="1179"/>
      <c r="C4" s="1201"/>
      <c r="D4" s="1201"/>
      <c r="E4" s="63" t="s">
        <v>182</v>
      </c>
      <c r="F4" s="23"/>
      <c r="G4" s="26"/>
      <c r="H4" s="26"/>
      <c r="I4" s="26"/>
      <c r="J4" s="26"/>
      <c r="K4" s="26"/>
      <c r="L4" s="26"/>
      <c r="M4" s="26"/>
      <c r="N4" s="26"/>
      <c r="O4" s="26"/>
      <c r="P4" s="26"/>
      <c r="Q4" s="1086"/>
      <c r="R4" s="1082"/>
      <c r="S4" s="26"/>
      <c r="T4" s="26"/>
      <c r="U4" s="26"/>
      <c r="V4" s="26"/>
      <c r="W4" s="26"/>
      <c r="X4" s="26"/>
      <c r="Y4" s="26"/>
      <c r="Z4" s="26"/>
      <c r="AA4" s="26"/>
      <c r="AB4" s="26"/>
      <c r="AC4" s="1086"/>
      <c r="AD4" s="26"/>
      <c r="AE4" s="26"/>
      <c r="AF4" s="26"/>
      <c r="AG4" s="26"/>
      <c r="AH4" s="26"/>
      <c r="AI4" s="26"/>
      <c r="AJ4" s="26"/>
      <c r="AK4" s="26"/>
      <c r="AL4" s="26"/>
      <c r="AM4" s="26"/>
      <c r="AN4" s="26"/>
      <c r="AO4" s="26"/>
      <c r="AP4" s="344">
        <f>SUM(F4:AO4)</f>
        <v>0</v>
      </c>
      <c r="AQ4" s="135"/>
      <c r="AR4" s="1185"/>
      <c r="AS4" s="1185"/>
    </row>
    <row r="5" spans="1:45" s="2" customFormat="1" x14ac:dyDescent="0.35">
      <c r="A5" s="1198"/>
      <c r="B5" s="1179"/>
      <c r="C5" s="1201"/>
      <c r="D5" s="1201"/>
      <c r="E5" s="336" t="s">
        <v>183</v>
      </c>
      <c r="F5" s="337"/>
      <c r="G5" s="338"/>
      <c r="H5" s="338"/>
      <c r="I5" s="338"/>
      <c r="J5" s="338"/>
      <c r="K5" s="338"/>
      <c r="L5" s="338"/>
      <c r="M5" s="338"/>
      <c r="N5" s="338"/>
      <c r="O5" s="338"/>
      <c r="P5" s="338"/>
      <c r="Q5" s="1087"/>
      <c r="R5" s="1083"/>
      <c r="S5" s="338"/>
      <c r="T5" s="338"/>
      <c r="U5" s="338"/>
      <c r="V5" s="338"/>
      <c r="W5" s="338"/>
      <c r="X5" s="338"/>
      <c r="Y5" s="338"/>
      <c r="Z5" s="338"/>
      <c r="AA5" s="338"/>
      <c r="AB5" s="338"/>
      <c r="AC5" s="1087"/>
      <c r="AD5" s="338"/>
      <c r="AE5" s="338"/>
      <c r="AF5" s="338"/>
      <c r="AG5" s="338"/>
      <c r="AH5" s="338"/>
      <c r="AI5" s="338"/>
      <c r="AJ5" s="338"/>
      <c r="AK5" s="338"/>
      <c r="AL5" s="338"/>
      <c r="AM5" s="338"/>
      <c r="AN5" s="338"/>
      <c r="AO5" s="338"/>
      <c r="AP5" s="344">
        <f>SUM(F5:AO5)</f>
        <v>0</v>
      </c>
      <c r="AQ5" s="335"/>
      <c r="AR5" s="1185"/>
      <c r="AS5" s="1185"/>
    </row>
    <row r="6" spans="1:45" s="2" customFormat="1" x14ac:dyDescent="0.35">
      <c r="A6" s="1198"/>
      <c r="B6" s="1179"/>
      <c r="C6" s="1201"/>
      <c r="D6" s="1201"/>
      <c r="E6" s="36" t="s">
        <v>184</v>
      </c>
      <c r="F6" s="29"/>
      <c r="G6" s="30"/>
      <c r="H6" s="30"/>
      <c r="I6" s="30"/>
      <c r="J6" s="30"/>
      <c r="K6" s="30"/>
      <c r="L6" s="30"/>
      <c r="M6" s="30"/>
      <c r="N6" s="30"/>
      <c r="O6" s="30"/>
      <c r="P6" s="30"/>
      <c r="Q6" s="1088"/>
      <c r="R6" s="1084"/>
      <c r="S6" s="30"/>
      <c r="T6" s="30"/>
      <c r="U6" s="30"/>
      <c r="V6" s="30"/>
      <c r="W6" s="30"/>
      <c r="X6" s="30"/>
      <c r="Y6" s="30"/>
      <c r="Z6" s="30"/>
      <c r="AA6" s="30"/>
      <c r="AB6" s="30"/>
      <c r="AC6" s="1088"/>
      <c r="AD6" s="30"/>
      <c r="AE6" s="30"/>
      <c r="AF6" s="30"/>
      <c r="AG6" s="30"/>
      <c r="AH6" s="30"/>
      <c r="AI6" s="30"/>
      <c r="AJ6" s="30"/>
      <c r="AK6" s="30"/>
      <c r="AL6" s="30"/>
      <c r="AM6" s="30"/>
      <c r="AN6" s="30"/>
      <c r="AO6" s="30"/>
      <c r="AP6" s="344"/>
      <c r="AQ6" s="335"/>
      <c r="AR6" s="1185"/>
      <c r="AS6" s="1185"/>
    </row>
    <row r="7" spans="1:45" s="2" customFormat="1" ht="15" thickBot="1" x14ac:dyDescent="0.4">
      <c r="A7" s="1198"/>
      <c r="B7" s="1179"/>
      <c r="C7" s="1201"/>
      <c r="D7" s="1201"/>
      <c r="E7" s="340" t="s">
        <v>185</v>
      </c>
      <c r="F7" s="341"/>
      <c r="G7" s="342"/>
      <c r="H7" s="342"/>
      <c r="I7" s="342"/>
      <c r="J7" s="342"/>
      <c r="K7" s="342"/>
      <c r="L7" s="342"/>
      <c r="M7" s="342"/>
      <c r="N7" s="342"/>
      <c r="O7" s="342"/>
      <c r="P7" s="342"/>
      <c r="Q7" s="1089"/>
      <c r="R7" s="1085"/>
      <c r="S7" s="342"/>
      <c r="T7" s="342"/>
      <c r="U7" s="342"/>
      <c r="V7" s="342"/>
      <c r="W7" s="342"/>
      <c r="X7" s="342"/>
      <c r="Y7" s="342"/>
      <c r="Z7" s="342"/>
      <c r="AA7" s="342"/>
      <c r="AB7" s="342"/>
      <c r="AC7" s="1089"/>
      <c r="AD7" s="342"/>
      <c r="AE7" s="342"/>
      <c r="AF7" s="342"/>
      <c r="AG7" s="342"/>
      <c r="AH7" s="342"/>
      <c r="AI7" s="342"/>
      <c r="AJ7" s="342"/>
      <c r="AK7" s="342"/>
      <c r="AL7" s="342"/>
      <c r="AM7" s="342"/>
      <c r="AN7" s="342"/>
      <c r="AO7" s="342"/>
      <c r="AP7" s="344"/>
      <c r="AQ7" s="335"/>
      <c r="AR7" s="1185"/>
      <c r="AS7" s="1185"/>
    </row>
    <row r="8" spans="1:45" s="2" customFormat="1" ht="26.5" thickBot="1" x14ac:dyDescent="0.4">
      <c r="A8" s="1198"/>
      <c r="B8" s="1179"/>
      <c r="C8" s="1201"/>
      <c r="D8" s="1201"/>
      <c r="E8" s="1193" t="s">
        <v>175</v>
      </c>
      <c r="F8" s="1194"/>
      <c r="G8" s="1194"/>
      <c r="H8" s="1194"/>
      <c r="I8" s="1194"/>
      <c r="J8" s="1194"/>
      <c r="K8" s="1194"/>
      <c r="L8" s="1194"/>
      <c r="M8" s="1194"/>
      <c r="N8" s="1194"/>
      <c r="O8" s="1194"/>
      <c r="P8" s="1194"/>
      <c r="Q8" s="1194"/>
      <c r="R8" s="1194"/>
      <c r="S8" s="1194"/>
      <c r="T8" s="1194"/>
      <c r="U8" s="1194"/>
      <c r="V8" s="1194"/>
      <c r="W8" s="1194"/>
      <c r="X8" s="1194"/>
      <c r="Y8" s="1194"/>
      <c r="Z8" s="1194"/>
      <c r="AA8" s="1194"/>
      <c r="AB8" s="1194"/>
      <c r="AC8" s="1194"/>
      <c r="AD8" s="1194"/>
      <c r="AE8" s="1194"/>
      <c r="AF8" s="1194"/>
      <c r="AG8" s="1194"/>
      <c r="AH8" s="1194"/>
      <c r="AI8" s="1194"/>
      <c r="AJ8" s="1194"/>
      <c r="AK8" s="1194"/>
      <c r="AL8" s="1194"/>
      <c r="AM8" s="1194"/>
      <c r="AN8" s="1194"/>
      <c r="AO8" s="1194"/>
      <c r="AP8" s="348" t="e">
        <f>SUM(AP10:AP11)/AP3</f>
        <v>#DIV/0!</v>
      </c>
      <c r="AQ8" s="349" t="s">
        <v>186</v>
      </c>
      <c r="AR8" s="1185"/>
      <c r="AS8" s="1185"/>
    </row>
    <row r="9" spans="1:45" s="2" customFormat="1" x14ac:dyDescent="0.35">
      <c r="A9" s="1198"/>
      <c r="B9" s="1179"/>
      <c r="C9" s="1201"/>
      <c r="D9" s="1201"/>
      <c r="E9" s="62" t="s">
        <v>187</v>
      </c>
      <c r="F9" s="44">
        <f>SUM(F10:F13)</f>
        <v>0</v>
      </c>
      <c r="G9" s="43">
        <f>SUM(G10:G13)</f>
        <v>0</v>
      </c>
      <c r="H9" s="43">
        <f t="shared" ref="H9:M9" si="3">SUM(H10:H13)</f>
        <v>0</v>
      </c>
      <c r="I9" s="43">
        <f t="shared" si="3"/>
        <v>0</v>
      </c>
      <c r="J9" s="43">
        <f t="shared" si="3"/>
        <v>0</v>
      </c>
      <c r="K9" s="43">
        <f t="shared" si="3"/>
        <v>0</v>
      </c>
      <c r="L9" s="43">
        <f t="shared" si="3"/>
        <v>0</v>
      </c>
      <c r="M9" s="43">
        <f t="shared" si="3"/>
        <v>0</v>
      </c>
      <c r="N9" s="43">
        <f t="shared" ref="N9:AA9" si="4">SUM(N10:N13)</f>
        <v>0</v>
      </c>
      <c r="O9" s="43">
        <f t="shared" si="4"/>
        <v>0</v>
      </c>
      <c r="P9" s="43">
        <f t="shared" si="4"/>
        <v>0</v>
      </c>
      <c r="Q9" s="43">
        <f t="shared" si="4"/>
        <v>0</v>
      </c>
      <c r="R9" s="43">
        <f t="shared" si="4"/>
        <v>0</v>
      </c>
      <c r="S9" s="43">
        <f t="shared" si="4"/>
        <v>0</v>
      </c>
      <c r="T9" s="43">
        <f t="shared" si="4"/>
        <v>0</v>
      </c>
      <c r="U9" s="43">
        <f t="shared" si="4"/>
        <v>0</v>
      </c>
      <c r="V9" s="43">
        <f t="shared" si="4"/>
        <v>0</v>
      </c>
      <c r="W9" s="43">
        <f t="shared" si="4"/>
        <v>0</v>
      </c>
      <c r="X9" s="43">
        <f t="shared" si="4"/>
        <v>0</v>
      </c>
      <c r="Y9" s="43">
        <f t="shared" si="4"/>
        <v>0</v>
      </c>
      <c r="Z9" s="43">
        <f t="shared" si="4"/>
        <v>0</v>
      </c>
      <c r="AA9" s="43">
        <f t="shared" si="4"/>
        <v>0</v>
      </c>
      <c r="AB9" s="43">
        <f t="shared" ref="AB9:AO9" si="5">SUM(AB10:AB13)</f>
        <v>0</v>
      </c>
      <c r="AC9" s="43">
        <f t="shared" si="5"/>
        <v>0</v>
      </c>
      <c r="AD9" s="43">
        <f t="shared" si="5"/>
        <v>0</v>
      </c>
      <c r="AE9" s="43">
        <f t="shared" si="5"/>
        <v>0</v>
      </c>
      <c r="AF9" s="43">
        <f t="shared" si="5"/>
        <v>0</v>
      </c>
      <c r="AG9" s="43">
        <f t="shared" si="5"/>
        <v>0</v>
      </c>
      <c r="AH9" s="43">
        <f t="shared" si="5"/>
        <v>0</v>
      </c>
      <c r="AI9" s="43">
        <f t="shared" si="5"/>
        <v>0</v>
      </c>
      <c r="AJ9" s="43">
        <f t="shared" si="5"/>
        <v>0</v>
      </c>
      <c r="AK9" s="43">
        <f t="shared" si="5"/>
        <v>0</v>
      </c>
      <c r="AL9" s="43">
        <f t="shared" si="5"/>
        <v>0</v>
      </c>
      <c r="AM9" s="43">
        <f t="shared" si="5"/>
        <v>0</v>
      </c>
      <c r="AN9" s="43">
        <f t="shared" si="5"/>
        <v>0</v>
      </c>
      <c r="AO9" s="43">
        <f t="shared" si="5"/>
        <v>0</v>
      </c>
      <c r="AP9" s="65"/>
      <c r="AQ9" s="65"/>
      <c r="AR9" s="1185"/>
      <c r="AS9" s="1185"/>
    </row>
    <row r="10" spans="1:45" s="2" customFormat="1" x14ac:dyDescent="0.35">
      <c r="A10" s="1198"/>
      <c r="B10" s="1179"/>
      <c r="C10" s="1201"/>
      <c r="D10" s="1201"/>
      <c r="E10" s="63" t="s">
        <v>188</v>
      </c>
      <c r="F10" s="23"/>
      <c r="G10" s="26"/>
      <c r="H10" s="26"/>
      <c r="I10" s="26"/>
      <c r="J10" s="26"/>
      <c r="K10" s="26"/>
      <c r="L10" s="26"/>
      <c r="M10" s="26"/>
      <c r="N10" s="26"/>
      <c r="O10" s="26"/>
      <c r="P10" s="26"/>
      <c r="Q10" s="1086"/>
      <c r="R10" s="1082"/>
      <c r="S10" s="26"/>
      <c r="T10" s="26"/>
      <c r="U10" s="26"/>
      <c r="V10" s="26"/>
      <c r="W10" s="26"/>
      <c r="X10" s="26"/>
      <c r="Y10" s="26"/>
      <c r="Z10" s="26"/>
      <c r="AA10" s="26"/>
      <c r="AB10" s="26"/>
      <c r="AC10" s="1086"/>
      <c r="AD10" s="26"/>
      <c r="AE10" s="26"/>
      <c r="AF10" s="26"/>
      <c r="AG10" s="26"/>
      <c r="AH10" s="26"/>
      <c r="AI10" s="26"/>
      <c r="AJ10" s="26"/>
      <c r="AK10" s="26"/>
      <c r="AL10" s="26"/>
      <c r="AM10" s="26"/>
      <c r="AN10" s="26"/>
      <c r="AO10" s="26"/>
      <c r="AP10" s="65">
        <f>SUM(F10:AO10)</f>
        <v>0</v>
      </c>
      <c r="AQ10" s="346" t="e">
        <f>AP10/AP4</f>
        <v>#DIV/0!</v>
      </c>
      <c r="AR10" s="1185"/>
      <c r="AS10" s="1185"/>
    </row>
    <row r="11" spans="1:45" x14ac:dyDescent="0.35">
      <c r="A11" s="1198"/>
      <c r="B11" s="1179"/>
      <c r="C11" s="1201"/>
      <c r="D11" s="1201"/>
      <c r="E11" s="37" t="s">
        <v>189</v>
      </c>
      <c r="F11" s="33"/>
      <c r="G11" s="32"/>
      <c r="H11" s="32"/>
      <c r="I11" s="32"/>
      <c r="J11" s="32"/>
      <c r="K11" s="32"/>
      <c r="L11" s="32"/>
      <c r="M11" s="32"/>
      <c r="N11" s="32"/>
      <c r="O11" s="32"/>
      <c r="P11" s="32"/>
      <c r="Q11" s="1092"/>
      <c r="R11" s="1090"/>
      <c r="S11" s="32"/>
      <c r="T11" s="32"/>
      <c r="U11" s="32"/>
      <c r="V11" s="32"/>
      <c r="W11" s="32"/>
      <c r="X11" s="32"/>
      <c r="Y11" s="32"/>
      <c r="Z11" s="32"/>
      <c r="AA11" s="32"/>
      <c r="AB11" s="32"/>
      <c r="AC11" s="1092"/>
      <c r="AD11" s="32"/>
      <c r="AE11" s="32"/>
      <c r="AF11" s="32"/>
      <c r="AG11" s="32"/>
      <c r="AH11" s="32"/>
      <c r="AI11" s="32"/>
      <c r="AJ11" s="32"/>
      <c r="AK11" s="32"/>
      <c r="AL11" s="32"/>
      <c r="AM11" s="32"/>
      <c r="AN11" s="32"/>
      <c r="AO11" s="32"/>
      <c r="AP11" s="65">
        <f>SUM(F11:AO11)</f>
        <v>0</v>
      </c>
      <c r="AQ11" s="346" t="e">
        <f>AP11/AP5</f>
        <v>#DIV/0!</v>
      </c>
      <c r="AR11" s="1185"/>
      <c r="AS11" s="1185"/>
    </row>
    <row r="12" spans="1:45" x14ac:dyDescent="0.35">
      <c r="A12" s="1198"/>
      <c r="B12" s="1179"/>
      <c r="C12" s="1201"/>
      <c r="D12" s="1201"/>
      <c r="E12" s="36" t="s">
        <v>190</v>
      </c>
      <c r="F12" s="29"/>
      <c r="G12" s="30"/>
      <c r="H12" s="30"/>
      <c r="I12" s="30"/>
      <c r="J12" s="30"/>
      <c r="K12" s="30"/>
      <c r="L12" s="30"/>
      <c r="M12" s="30"/>
      <c r="N12" s="30"/>
      <c r="O12" s="30"/>
      <c r="P12" s="30"/>
      <c r="Q12" s="1088"/>
      <c r="R12" s="1084"/>
      <c r="S12" s="30"/>
      <c r="T12" s="30"/>
      <c r="U12" s="30"/>
      <c r="V12" s="30"/>
      <c r="W12" s="30"/>
      <c r="X12" s="30"/>
      <c r="Y12" s="30"/>
      <c r="Z12" s="30"/>
      <c r="AA12" s="30"/>
      <c r="AB12" s="30"/>
      <c r="AC12" s="1088"/>
      <c r="AD12" s="30"/>
      <c r="AE12" s="30"/>
      <c r="AF12" s="30"/>
      <c r="AG12" s="30"/>
      <c r="AH12" s="30"/>
      <c r="AI12" s="30"/>
      <c r="AJ12" s="30"/>
      <c r="AK12" s="30"/>
      <c r="AL12" s="30"/>
      <c r="AM12" s="30"/>
      <c r="AN12" s="30"/>
      <c r="AO12" s="30"/>
      <c r="AP12" s="65"/>
      <c r="AQ12" s="65"/>
      <c r="AR12" s="1185"/>
      <c r="AS12" s="1185"/>
    </row>
    <row r="13" spans="1:45" s="2" customFormat="1" ht="15" thickBot="1" x14ac:dyDescent="0.4">
      <c r="A13" s="1199"/>
      <c r="B13" s="1180"/>
      <c r="C13" s="1202"/>
      <c r="D13" s="1202"/>
      <c r="E13" s="64" t="s">
        <v>191</v>
      </c>
      <c r="F13" s="25"/>
      <c r="G13" s="28"/>
      <c r="H13" s="28"/>
      <c r="I13" s="28"/>
      <c r="J13" s="28"/>
      <c r="K13" s="28"/>
      <c r="L13" s="28"/>
      <c r="M13" s="28"/>
      <c r="N13" s="28"/>
      <c r="O13" s="28"/>
      <c r="P13" s="28"/>
      <c r="Q13" s="1093"/>
      <c r="R13" s="1091"/>
      <c r="S13" s="28"/>
      <c r="T13" s="28"/>
      <c r="U13" s="28"/>
      <c r="V13" s="28"/>
      <c r="W13" s="28"/>
      <c r="X13" s="28"/>
      <c r="Y13" s="28"/>
      <c r="Z13" s="28"/>
      <c r="AA13" s="28"/>
      <c r="AB13" s="28"/>
      <c r="AC13" s="1093"/>
      <c r="AD13" s="28"/>
      <c r="AE13" s="28"/>
      <c r="AF13" s="28"/>
      <c r="AG13" s="28"/>
      <c r="AH13" s="28"/>
      <c r="AI13" s="28"/>
      <c r="AJ13" s="28"/>
      <c r="AK13" s="28"/>
      <c r="AL13" s="28"/>
      <c r="AM13" s="28"/>
      <c r="AN13" s="28"/>
      <c r="AO13" s="28"/>
      <c r="AP13" s="137"/>
      <c r="AQ13" s="137"/>
      <c r="AR13" s="1186"/>
      <c r="AS13" s="1186"/>
    </row>
    <row r="14" spans="1:45" s="2" customFormat="1" x14ac:dyDescent="0.35">
      <c r="A14" s="1198">
        <v>2</v>
      </c>
      <c r="B14" s="1178" t="str">
        <f>IF(VLOOKUP(A:A,'Pivot Table'!Z:AE,6,FALSE)=0,"",VLOOKUP(A:A,'Pivot Table'!Z:AE,6,FALSE))</f>
        <v/>
      </c>
      <c r="C14" s="1196" t="str">
        <f>_xlfn.IFNA(VLOOKUP(B:B,'indicator lists'!L:R,3,FALSE),"")</f>
        <v/>
      </c>
      <c r="D14" s="1200" t="str">
        <f>_xlfn.IFNA(VLOOKUP(A:A,'Pivot Table'!P:X,9,FALSE),"")</f>
        <v/>
      </c>
      <c r="E14" s="59" t="s">
        <v>181</v>
      </c>
      <c r="F14" s="60">
        <f>SUM(F15:F18)</f>
        <v>0</v>
      </c>
      <c r="G14" s="61">
        <f>SUM(G15:G18)</f>
        <v>0</v>
      </c>
      <c r="H14" s="61">
        <f t="shared" ref="H14:AO14" si="6">SUM(H15:H18)</f>
        <v>0</v>
      </c>
      <c r="I14" s="61">
        <f t="shared" si="6"/>
        <v>0</v>
      </c>
      <c r="J14" s="61">
        <f t="shared" si="6"/>
        <v>0</v>
      </c>
      <c r="K14" s="61">
        <f t="shared" si="6"/>
        <v>0</v>
      </c>
      <c r="L14" s="61">
        <f t="shared" si="6"/>
        <v>0</v>
      </c>
      <c r="M14" s="61">
        <f t="shared" si="6"/>
        <v>0</v>
      </c>
      <c r="N14" s="61">
        <f t="shared" si="6"/>
        <v>0</v>
      </c>
      <c r="O14" s="61">
        <f t="shared" si="6"/>
        <v>0</v>
      </c>
      <c r="P14" s="61">
        <f t="shared" si="6"/>
        <v>0</v>
      </c>
      <c r="Q14" s="61">
        <f t="shared" si="6"/>
        <v>0</v>
      </c>
      <c r="R14" s="61">
        <f t="shared" si="6"/>
        <v>0</v>
      </c>
      <c r="S14" s="61">
        <f t="shared" si="6"/>
        <v>0</v>
      </c>
      <c r="T14" s="61">
        <f t="shared" si="6"/>
        <v>0</v>
      </c>
      <c r="U14" s="61">
        <f t="shared" si="6"/>
        <v>0</v>
      </c>
      <c r="V14" s="61">
        <f t="shared" si="6"/>
        <v>0</v>
      </c>
      <c r="W14" s="61">
        <f t="shared" si="6"/>
        <v>0</v>
      </c>
      <c r="X14" s="61">
        <f t="shared" si="6"/>
        <v>0</v>
      </c>
      <c r="Y14" s="61">
        <f t="shared" si="6"/>
        <v>0</v>
      </c>
      <c r="Z14" s="61">
        <f t="shared" si="6"/>
        <v>0</v>
      </c>
      <c r="AA14" s="61">
        <f t="shared" si="6"/>
        <v>0</v>
      </c>
      <c r="AB14" s="61">
        <f t="shared" si="6"/>
        <v>0</v>
      </c>
      <c r="AC14" s="61">
        <f t="shared" si="6"/>
        <v>0</v>
      </c>
      <c r="AD14" s="61">
        <f t="shared" si="6"/>
        <v>0</v>
      </c>
      <c r="AE14" s="61">
        <f t="shared" si="6"/>
        <v>0</v>
      </c>
      <c r="AF14" s="61">
        <f t="shared" si="6"/>
        <v>0</v>
      </c>
      <c r="AG14" s="61">
        <f t="shared" si="6"/>
        <v>0</v>
      </c>
      <c r="AH14" s="61">
        <f t="shared" si="6"/>
        <v>0</v>
      </c>
      <c r="AI14" s="61">
        <f t="shared" si="6"/>
        <v>0</v>
      </c>
      <c r="AJ14" s="61">
        <f t="shared" si="6"/>
        <v>0</v>
      </c>
      <c r="AK14" s="61">
        <f t="shared" si="6"/>
        <v>0</v>
      </c>
      <c r="AL14" s="61">
        <f t="shared" si="6"/>
        <v>0</v>
      </c>
      <c r="AM14" s="61">
        <f t="shared" si="6"/>
        <v>0</v>
      </c>
      <c r="AN14" s="61">
        <f t="shared" si="6"/>
        <v>0</v>
      </c>
      <c r="AO14" s="61">
        <f t="shared" si="6"/>
        <v>0</v>
      </c>
      <c r="AP14" s="347">
        <f>SUM(AP15:AP16)</f>
        <v>0</v>
      </c>
      <c r="AQ14" s="134"/>
      <c r="AR14" s="1184"/>
      <c r="AS14" s="1184"/>
    </row>
    <row r="15" spans="1:45" s="2" customFormat="1" x14ac:dyDescent="0.35">
      <c r="A15" s="1198"/>
      <c r="B15" s="1179"/>
      <c r="C15" s="1196"/>
      <c r="D15" s="1201"/>
      <c r="E15" s="63" t="s">
        <v>182</v>
      </c>
      <c r="F15" s="23"/>
      <c r="G15" s="26"/>
      <c r="H15" s="26"/>
      <c r="I15" s="26"/>
      <c r="J15" s="26"/>
      <c r="K15" s="26"/>
      <c r="L15" s="26"/>
      <c r="M15" s="26"/>
      <c r="N15" s="26"/>
      <c r="O15" s="26"/>
      <c r="P15" s="26"/>
      <c r="Q15" s="1086"/>
      <c r="R15" s="1082"/>
      <c r="S15" s="26"/>
      <c r="T15" s="26"/>
      <c r="U15" s="26"/>
      <c r="V15" s="26"/>
      <c r="W15" s="26"/>
      <c r="X15" s="26"/>
      <c r="Y15" s="26"/>
      <c r="Z15" s="26"/>
      <c r="AA15" s="26"/>
      <c r="AB15" s="26"/>
      <c r="AC15" s="1086"/>
      <c r="AD15" s="26"/>
      <c r="AE15" s="26"/>
      <c r="AF15" s="26"/>
      <c r="AG15" s="26"/>
      <c r="AH15" s="26"/>
      <c r="AI15" s="26"/>
      <c r="AJ15" s="26"/>
      <c r="AK15" s="26"/>
      <c r="AL15" s="26"/>
      <c r="AM15" s="26"/>
      <c r="AN15" s="26"/>
      <c r="AO15" s="26"/>
      <c r="AP15" s="344">
        <f>SUM(F15:AO15)</f>
        <v>0</v>
      </c>
      <c r="AQ15" s="135"/>
      <c r="AR15" s="1185"/>
      <c r="AS15" s="1185"/>
    </row>
    <row r="16" spans="1:45" s="2" customFormat="1" x14ac:dyDescent="0.35">
      <c r="A16" s="1198"/>
      <c r="B16" s="1179"/>
      <c r="C16" s="1196"/>
      <c r="D16" s="1201"/>
      <c r="E16" s="336" t="s">
        <v>183</v>
      </c>
      <c r="F16" s="337"/>
      <c r="G16" s="338"/>
      <c r="H16" s="338"/>
      <c r="I16" s="338"/>
      <c r="J16" s="338"/>
      <c r="K16" s="338"/>
      <c r="L16" s="338"/>
      <c r="M16" s="338"/>
      <c r="N16" s="338"/>
      <c r="O16" s="338"/>
      <c r="P16" s="338"/>
      <c r="Q16" s="1087"/>
      <c r="R16" s="1083"/>
      <c r="S16" s="338"/>
      <c r="T16" s="338"/>
      <c r="U16" s="338"/>
      <c r="V16" s="338"/>
      <c r="W16" s="338"/>
      <c r="X16" s="338"/>
      <c r="Y16" s="338"/>
      <c r="Z16" s="338"/>
      <c r="AA16" s="338"/>
      <c r="AB16" s="338"/>
      <c r="AC16" s="1087"/>
      <c r="AD16" s="338"/>
      <c r="AE16" s="338"/>
      <c r="AF16" s="338"/>
      <c r="AG16" s="338"/>
      <c r="AH16" s="338"/>
      <c r="AI16" s="338"/>
      <c r="AJ16" s="338"/>
      <c r="AK16" s="338"/>
      <c r="AL16" s="338"/>
      <c r="AM16" s="338"/>
      <c r="AN16" s="338"/>
      <c r="AO16" s="338"/>
      <c r="AP16" s="344">
        <f>SUM(F16:AO16)</f>
        <v>0</v>
      </c>
      <c r="AQ16" s="335"/>
      <c r="AR16" s="1185"/>
      <c r="AS16" s="1185"/>
    </row>
    <row r="17" spans="1:45" s="2" customFormat="1" x14ac:dyDescent="0.35">
      <c r="A17" s="1198"/>
      <c r="B17" s="1179"/>
      <c r="C17" s="1196"/>
      <c r="D17" s="1201"/>
      <c r="E17" s="36" t="s">
        <v>184</v>
      </c>
      <c r="F17" s="29"/>
      <c r="G17" s="30"/>
      <c r="H17" s="30"/>
      <c r="I17" s="30"/>
      <c r="J17" s="30"/>
      <c r="K17" s="30"/>
      <c r="L17" s="30"/>
      <c r="M17" s="30"/>
      <c r="N17" s="30"/>
      <c r="O17" s="30"/>
      <c r="P17" s="30"/>
      <c r="Q17" s="1088"/>
      <c r="R17" s="1084"/>
      <c r="S17" s="30"/>
      <c r="T17" s="30"/>
      <c r="U17" s="30"/>
      <c r="V17" s="30"/>
      <c r="W17" s="30"/>
      <c r="X17" s="30"/>
      <c r="Y17" s="30"/>
      <c r="Z17" s="30"/>
      <c r="AA17" s="30"/>
      <c r="AB17" s="30"/>
      <c r="AC17" s="1088"/>
      <c r="AD17" s="30"/>
      <c r="AE17" s="30"/>
      <c r="AF17" s="30"/>
      <c r="AG17" s="30"/>
      <c r="AH17" s="30"/>
      <c r="AI17" s="30"/>
      <c r="AJ17" s="30"/>
      <c r="AK17" s="30"/>
      <c r="AL17" s="30"/>
      <c r="AM17" s="30"/>
      <c r="AN17" s="30"/>
      <c r="AO17" s="30"/>
      <c r="AP17" s="344"/>
      <c r="AQ17" s="335"/>
      <c r="AR17" s="1185"/>
      <c r="AS17" s="1185"/>
    </row>
    <row r="18" spans="1:45" s="2" customFormat="1" ht="15" thickBot="1" x14ac:dyDescent="0.4">
      <c r="A18" s="1198"/>
      <c r="B18" s="1179"/>
      <c r="C18" s="1196"/>
      <c r="D18" s="1201"/>
      <c r="E18" s="340" t="s">
        <v>185</v>
      </c>
      <c r="F18" s="341"/>
      <c r="G18" s="342"/>
      <c r="H18" s="342"/>
      <c r="I18" s="342"/>
      <c r="J18" s="342"/>
      <c r="K18" s="342"/>
      <c r="L18" s="342"/>
      <c r="M18" s="342"/>
      <c r="N18" s="342"/>
      <c r="O18" s="342"/>
      <c r="P18" s="342"/>
      <c r="Q18" s="1089"/>
      <c r="R18" s="1085"/>
      <c r="S18" s="342"/>
      <c r="T18" s="342"/>
      <c r="U18" s="342"/>
      <c r="V18" s="342"/>
      <c r="W18" s="342"/>
      <c r="X18" s="342"/>
      <c r="Y18" s="342"/>
      <c r="Z18" s="342"/>
      <c r="AA18" s="342"/>
      <c r="AB18" s="342"/>
      <c r="AC18" s="1089"/>
      <c r="AD18" s="342"/>
      <c r="AE18" s="342"/>
      <c r="AF18" s="342"/>
      <c r="AG18" s="342"/>
      <c r="AH18" s="342"/>
      <c r="AI18" s="342"/>
      <c r="AJ18" s="342"/>
      <c r="AK18" s="342"/>
      <c r="AL18" s="342"/>
      <c r="AM18" s="342"/>
      <c r="AN18" s="342"/>
      <c r="AO18" s="342"/>
      <c r="AP18" s="344"/>
      <c r="AQ18" s="335"/>
      <c r="AR18" s="1185"/>
      <c r="AS18" s="1185"/>
    </row>
    <row r="19" spans="1:45" s="2" customFormat="1" ht="26.5" thickBot="1" x14ac:dyDescent="0.4">
      <c r="A19" s="1198"/>
      <c r="B19" s="1179"/>
      <c r="C19" s="1196"/>
      <c r="D19" s="1201"/>
      <c r="E19" s="1193" t="s">
        <v>175</v>
      </c>
      <c r="F19" s="1194"/>
      <c r="G19" s="1194"/>
      <c r="H19" s="1194"/>
      <c r="I19" s="1194"/>
      <c r="J19" s="1194"/>
      <c r="K19" s="1194"/>
      <c r="L19" s="1194"/>
      <c r="M19" s="1194"/>
      <c r="N19" s="1194"/>
      <c r="O19" s="1194"/>
      <c r="P19" s="1194"/>
      <c r="Q19" s="1194"/>
      <c r="R19" s="1194"/>
      <c r="S19" s="1194"/>
      <c r="T19" s="1194"/>
      <c r="U19" s="1194"/>
      <c r="V19" s="1194"/>
      <c r="W19" s="1194"/>
      <c r="X19" s="1194"/>
      <c r="Y19" s="1194"/>
      <c r="Z19" s="1194"/>
      <c r="AA19" s="1194"/>
      <c r="AB19" s="1194"/>
      <c r="AC19" s="1194"/>
      <c r="AD19" s="1194"/>
      <c r="AE19" s="1194"/>
      <c r="AF19" s="1194"/>
      <c r="AG19" s="1194"/>
      <c r="AH19" s="1194"/>
      <c r="AI19" s="1194"/>
      <c r="AJ19" s="1194"/>
      <c r="AK19" s="1194"/>
      <c r="AL19" s="1194"/>
      <c r="AM19" s="1194"/>
      <c r="AN19" s="1194"/>
      <c r="AO19" s="1194"/>
      <c r="AP19" s="348" t="e">
        <f>SUM(AP21:AP22)/AP14</f>
        <v>#DIV/0!</v>
      </c>
      <c r="AQ19" s="349" t="s">
        <v>186</v>
      </c>
      <c r="AR19" s="1185"/>
      <c r="AS19" s="1185"/>
    </row>
    <row r="20" spans="1:45" s="2" customFormat="1" x14ac:dyDescent="0.35">
      <c r="A20" s="1198"/>
      <c r="B20" s="1179"/>
      <c r="C20" s="1196"/>
      <c r="D20" s="1201"/>
      <c r="E20" s="62" t="s">
        <v>187</v>
      </c>
      <c r="F20" s="44">
        <f>SUM(F21:F24)</f>
        <v>0</v>
      </c>
      <c r="G20" s="43">
        <f>SUM(G21:G24)</f>
        <v>0</v>
      </c>
      <c r="H20" s="43">
        <f t="shared" ref="H20:AO20" si="7">SUM(H21:H24)</f>
        <v>0</v>
      </c>
      <c r="I20" s="43">
        <f t="shared" si="7"/>
        <v>0</v>
      </c>
      <c r="J20" s="43">
        <f t="shared" si="7"/>
        <v>0</v>
      </c>
      <c r="K20" s="43">
        <f t="shared" si="7"/>
        <v>0</v>
      </c>
      <c r="L20" s="43">
        <f t="shared" si="7"/>
        <v>0</v>
      </c>
      <c r="M20" s="43">
        <f t="shared" si="7"/>
        <v>0</v>
      </c>
      <c r="N20" s="43">
        <f t="shared" si="7"/>
        <v>0</v>
      </c>
      <c r="O20" s="43">
        <f t="shared" si="7"/>
        <v>0</v>
      </c>
      <c r="P20" s="43">
        <f t="shared" si="7"/>
        <v>0</v>
      </c>
      <c r="Q20" s="43">
        <f t="shared" si="7"/>
        <v>0</v>
      </c>
      <c r="R20" s="43">
        <f t="shared" si="7"/>
        <v>0</v>
      </c>
      <c r="S20" s="43">
        <f t="shared" si="7"/>
        <v>0</v>
      </c>
      <c r="T20" s="43">
        <f t="shared" si="7"/>
        <v>0</v>
      </c>
      <c r="U20" s="43">
        <f t="shared" si="7"/>
        <v>0</v>
      </c>
      <c r="V20" s="43">
        <f t="shared" si="7"/>
        <v>0</v>
      </c>
      <c r="W20" s="43">
        <f t="shared" si="7"/>
        <v>0</v>
      </c>
      <c r="X20" s="43">
        <f t="shared" si="7"/>
        <v>0</v>
      </c>
      <c r="Y20" s="43">
        <f t="shared" si="7"/>
        <v>0</v>
      </c>
      <c r="Z20" s="43">
        <f t="shared" si="7"/>
        <v>0</v>
      </c>
      <c r="AA20" s="43">
        <f t="shared" si="7"/>
        <v>0</v>
      </c>
      <c r="AB20" s="43">
        <f t="shared" si="7"/>
        <v>0</v>
      </c>
      <c r="AC20" s="43">
        <f t="shared" si="7"/>
        <v>0</v>
      </c>
      <c r="AD20" s="43">
        <f t="shared" si="7"/>
        <v>0</v>
      </c>
      <c r="AE20" s="43">
        <f t="shared" si="7"/>
        <v>0</v>
      </c>
      <c r="AF20" s="43">
        <f t="shared" si="7"/>
        <v>0</v>
      </c>
      <c r="AG20" s="43">
        <f t="shared" si="7"/>
        <v>0</v>
      </c>
      <c r="AH20" s="43">
        <f t="shared" si="7"/>
        <v>0</v>
      </c>
      <c r="AI20" s="43">
        <f t="shared" si="7"/>
        <v>0</v>
      </c>
      <c r="AJ20" s="43">
        <f t="shared" si="7"/>
        <v>0</v>
      </c>
      <c r="AK20" s="43">
        <f t="shared" si="7"/>
        <v>0</v>
      </c>
      <c r="AL20" s="43">
        <f t="shared" si="7"/>
        <v>0</v>
      </c>
      <c r="AM20" s="43">
        <f t="shared" si="7"/>
        <v>0</v>
      </c>
      <c r="AN20" s="43">
        <f t="shared" si="7"/>
        <v>0</v>
      </c>
      <c r="AO20" s="43">
        <f t="shared" si="7"/>
        <v>0</v>
      </c>
      <c r="AP20" s="65"/>
      <c r="AQ20" s="65"/>
      <c r="AR20" s="1185"/>
      <c r="AS20" s="1185"/>
    </row>
    <row r="21" spans="1:45" s="2" customFormat="1" x14ac:dyDescent="0.35">
      <c r="A21" s="1198"/>
      <c r="B21" s="1179"/>
      <c r="C21" s="1196"/>
      <c r="D21" s="1201"/>
      <c r="E21" s="63" t="s">
        <v>188</v>
      </c>
      <c r="F21" s="23"/>
      <c r="G21" s="26"/>
      <c r="H21" s="26"/>
      <c r="I21" s="26"/>
      <c r="J21" s="26"/>
      <c r="K21" s="26"/>
      <c r="L21" s="26"/>
      <c r="M21" s="26"/>
      <c r="N21" s="26"/>
      <c r="O21" s="26"/>
      <c r="P21" s="26"/>
      <c r="Q21" s="1086"/>
      <c r="R21" s="1082"/>
      <c r="S21" s="26"/>
      <c r="T21" s="26"/>
      <c r="U21" s="26"/>
      <c r="V21" s="26"/>
      <c r="W21" s="26"/>
      <c r="X21" s="26"/>
      <c r="Y21" s="26"/>
      <c r="Z21" s="26"/>
      <c r="AA21" s="26"/>
      <c r="AB21" s="26"/>
      <c r="AC21" s="1086"/>
      <c r="AD21" s="26"/>
      <c r="AE21" s="26"/>
      <c r="AF21" s="26"/>
      <c r="AG21" s="26"/>
      <c r="AH21" s="26"/>
      <c r="AI21" s="26"/>
      <c r="AJ21" s="26"/>
      <c r="AK21" s="26"/>
      <c r="AL21" s="26"/>
      <c r="AM21" s="26"/>
      <c r="AN21" s="26"/>
      <c r="AO21" s="26"/>
      <c r="AP21" s="65">
        <f>SUM(F21:AO21)</f>
        <v>0</v>
      </c>
      <c r="AQ21" s="346" t="e">
        <f>AP21/AP15</f>
        <v>#DIV/0!</v>
      </c>
      <c r="AR21" s="1185"/>
      <c r="AS21" s="1185"/>
    </row>
    <row r="22" spans="1:45" s="2" customFormat="1" x14ac:dyDescent="0.35">
      <c r="A22" s="1198"/>
      <c r="B22" s="1179"/>
      <c r="C22" s="1196"/>
      <c r="D22" s="1201"/>
      <c r="E22" s="37" t="s">
        <v>189</v>
      </c>
      <c r="F22" s="33"/>
      <c r="G22" s="32"/>
      <c r="H22" s="32"/>
      <c r="I22" s="32"/>
      <c r="J22" s="32"/>
      <c r="K22" s="32"/>
      <c r="L22" s="32"/>
      <c r="M22" s="32"/>
      <c r="N22" s="32"/>
      <c r="O22" s="32"/>
      <c r="P22" s="32"/>
      <c r="Q22" s="1092"/>
      <c r="R22" s="1090"/>
      <c r="S22" s="32"/>
      <c r="T22" s="32"/>
      <c r="U22" s="32"/>
      <c r="V22" s="32"/>
      <c r="W22" s="32"/>
      <c r="X22" s="32"/>
      <c r="Y22" s="32"/>
      <c r="Z22" s="32"/>
      <c r="AA22" s="32"/>
      <c r="AB22" s="32"/>
      <c r="AC22" s="1092"/>
      <c r="AD22" s="32"/>
      <c r="AE22" s="32"/>
      <c r="AF22" s="32"/>
      <c r="AG22" s="32"/>
      <c r="AH22" s="32"/>
      <c r="AI22" s="32"/>
      <c r="AJ22" s="32"/>
      <c r="AK22" s="32"/>
      <c r="AL22" s="32"/>
      <c r="AM22" s="32"/>
      <c r="AN22" s="32"/>
      <c r="AO22" s="32"/>
      <c r="AP22" s="65">
        <f>SUM(F22:AO22)</f>
        <v>0</v>
      </c>
      <c r="AQ22" s="346" t="e">
        <f>AP22/AP16</f>
        <v>#DIV/0!</v>
      </c>
      <c r="AR22" s="1185"/>
      <c r="AS22" s="1185"/>
    </row>
    <row r="23" spans="1:45" s="2" customFormat="1" x14ac:dyDescent="0.35">
      <c r="A23" s="1198"/>
      <c r="B23" s="1179"/>
      <c r="C23" s="1196"/>
      <c r="D23" s="1201"/>
      <c r="E23" s="36" t="s">
        <v>190</v>
      </c>
      <c r="F23" s="29"/>
      <c r="G23" s="30"/>
      <c r="H23" s="30"/>
      <c r="I23" s="30"/>
      <c r="J23" s="30"/>
      <c r="K23" s="30"/>
      <c r="L23" s="30"/>
      <c r="M23" s="30"/>
      <c r="N23" s="30"/>
      <c r="O23" s="30"/>
      <c r="P23" s="30"/>
      <c r="Q23" s="1088"/>
      <c r="R23" s="1084"/>
      <c r="S23" s="30"/>
      <c r="T23" s="30"/>
      <c r="U23" s="30"/>
      <c r="V23" s="30"/>
      <c r="W23" s="30"/>
      <c r="X23" s="30"/>
      <c r="Y23" s="30"/>
      <c r="Z23" s="30"/>
      <c r="AA23" s="30"/>
      <c r="AB23" s="30"/>
      <c r="AC23" s="1088"/>
      <c r="AD23" s="30"/>
      <c r="AE23" s="30"/>
      <c r="AF23" s="30"/>
      <c r="AG23" s="30"/>
      <c r="AH23" s="30"/>
      <c r="AI23" s="30"/>
      <c r="AJ23" s="30"/>
      <c r="AK23" s="30"/>
      <c r="AL23" s="30"/>
      <c r="AM23" s="30"/>
      <c r="AN23" s="30"/>
      <c r="AO23" s="30"/>
      <c r="AP23" s="65"/>
      <c r="AQ23" s="65"/>
      <c r="AR23" s="1185"/>
      <c r="AS23" s="1185"/>
    </row>
    <row r="24" spans="1:45" s="2" customFormat="1" ht="15" thickBot="1" x14ac:dyDescent="0.4">
      <c r="A24" s="1199"/>
      <c r="B24" s="1180"/>
      <c r="C24" s="1197"/>
      <c r="D24" s="1202"/>
      <c r="E24" s="64" t="s">
        <v>191</v>
      </c>
      <c r="F24" s="25"/>
      <c r="G24" s="28"/>
      <c r="H24" s="28"/>
      <c r="I24" s="28"/>
      <c r="J24" s="28"/>
      <c r="K24" s="28"/>
      <c r="L24" s="28"/>
      <c r="M24" s="28"/>
      <c r="N24" s="28"/>
      <c r="O24" s="28"/>
      <c r="P24" s="28"/>
      <c r="Q24" s="1093"/>
      <c r="R24" s="1091"/>
      <c r="S24" s="28"/>
      <c r="T24" s="28"/>
      <c r="U24" s="28"/>
      <c r="V24" s="28"/>
      <c r="W24" s="28"/>
      <c r="X24" s="28"/>
      <c r="Y24" s="28"/>
      <c r="Z24" s="28"/>
      <c r="AA24" s="28"/>
      <c r="AB24" s="28"/>
      <c r="AC24" s="1093"/>
      <c r="AD24" s="28"/>
      <c r="AE24" s="28"/>
      <c r="AF24" s="28"/>
      <c r="AG24" s="28"/>
      <c r="AH24" s="28"/>
      <c r="AI24" s="28"/>
      <c r="AJ24" s="28"/>
      <c r="AK24" s="28"/>
      <c r="AL24" s="28"/>
      <c r="AM24" s="28"/>
      <c r="AN24" s="28"/>
      <c r="AO24" s="28"/>
      <c r="AP24" s="137"/>
      <c r="AQ24" s="137"/>
      <c r="AR24" s="1186"/>
      <c r="AS24" s="1186"/>
    </row>
    <row r="25" spans="1:45" s="2" customFormat="1" x14ac:dyDescent="0.35">
      <c r="A25" s="1198">
        <v>3</v>
      </c>
      <c r="B25" s="1178" t="str">
        <f>IF(VLOOKUP(A:A,'Pivot Table'!Z:AE,6,FALSE)=0,"",VLOOKUP(A:A,'Pivot Table'!Z:AE,6,FALSE))</f>
        <v/>
      </c>
      <c r="C25" s="1195" t="str">
        <f>_xlfn.IFNA(VLOOKUP(B:B,'indicator lists'!L:R,3,FALSE),"")</f>
        <v/>
      </c>
      <c r="D25" s="1200" t="str">
        <f>_xlfn.IFNA(VLOOKUP(A:A,'Pivot Table'!P:X,9,FALSE),"")</f>
        <v/>
      </c>
      <c r="E25" s="59" t="s">
        <v>181</v>
      </c>
      <c r="F25" s="60">
        <f>SUM(F26:F29)</f>
        <v>0</v>
      </c>
      <c r="G25" s="61">
        <f>SUM(G26:G29)</f>
        <v>0</v>
      </c>
      <c r="H25" s="61">
        <f t="shared" ref="H25:AO25" si="8">SUM(H26:H29)</f>
        <v>0</v>
      </c>
      <c r="I25" s="61">
        <f t="shared" si="8"/>
        <v>0</v>
      </c>
      <c r="J25" s="61">
        <f t="shared" si="8"/>
        <v>0</v>
      </c>
      <c r="K25" s="61">
        <f t="shared" si="8"/>
        <v>0</v>
      </c>
      <c r="L25" s="61">
        <f t="shared" si="8"/>
        <v>0</v>
      </c>
      <c r="M25" s="61">
        <f t="shared" si="8"/>
        <v>0</v>
      </c>
      <c r="N25" s="61">
        <f t="shared" si="8"/>
        <v>0</v>
      </c>
      <c r="O25" s="61">
        <f t="shared" si="8"/>
        <v>0</v>
      </c>
      <c r="P25" s="61">
        <f t="shared" si="8"/>
        <v>0</v>
      </c>
      <c r="Q25" s="61">
        <f t="shared" si="8"/>
        <v>0</v>
      </c>
      <c r="R25" s="61">
        <f t="shared" si="8"/>
        <v>0</v>
      </c>
      <c r="S25" s="61">
        <f t="shared" si="8"/>
        <v>0</v>
      </c>
      <c r="T25" s="61">
        <f t="shared" si="8"/>
        <v>0</v>
      </c>
      <c r="U25" s="61">
        <f t="shared" si="8"/>
        <v>0</v>
      </c>
      <c r="V25" s="61">
        <f t="shared" si="8"/>
        <v>0</v>
      </c>
      <c r="W25" s="61">
        <f t="shared" si="8"/>
        <v>0</v>
      </c>
      <c r="X25" s="61">
        <f t="shared" si="8"/>
        <v>0</v>
      </c>
      <c r="Y25" s="61">
        <f t="shared" si="8"/>
        <v>0</v>
      </c>
      <c r="Z25" s="61">
        <f t="shared" si="8"/>
        <v>0</v>
      </c>
      <c r="AA25" s="61">
        <f t="shared" si="8"/>
        <v>0</v>
      </c>
      <c r="AB25" s="61">
        <f t="shared" si="8"/>
        <v>0</v>
      </c>
      <c r="AC25" s="61">
        <f t="shared" si="8"/>
        <v>0</v>
      </c>
      <c r="AD25" s="61">
        <f t="shared" si="8"/>
        <v>0</v>
      </c>
      <c r="AE25" s="61">
        <f t="shared" si="8"/>
        <v>0</v>
      </c>
      <c r="AF25" s="61">
        <f t="shared" si="8"/>
        <v>0</v>
      </c>
      <c r="AG25" s="61">
        <f t="shared" si="8"/>
        <v>0</v>
      </c>
      <c r="AH25" s="61">
        <f t="shared" si="8"/>
        <v>0</v>
      </c>
      <c r="AI25" s="61">
        <f t="shared" si="8"/>
        <v>0</v>
      </c>
      <c r="AJ25" s="61">
        <f t="shared" si="8"/>
        <v>0</v>
      </c>
      <c r="AK25" s="61">
        <f t="shared" si="8"/>
        <v>0</v>
      </c>
      <c r="AL25" s="61">
        <f t="shared" si="8"/>
        <v>0</v>
      </c>
      <c r="AM25" s="61">
        <f t="shared" si="8"/>
        <v>0</v>
      </c>
      <c r="AN25" s="61">
        <f t="shared" si="8"/>
        <v>0</v>
      </c>
      <c r="AO25" s="61">
        <f t="shared" si="8"/>
        <v>0</v>
      </c>
      <c r="AP25" s="347">
        <f>SUM(AP26:AP27)</f>
        <v>0</v>
      </c>
      <c r="AQ25" s="134"/>
      <c r="AR25" s="1184"/>
      <c r="AS25" s="1184"/>
    </row>
    <row r="26" spans="1:45" s="2" customFormat="1" x14ac:dyDescent="0.35">
      <c r="A26" s="1198"/>
      <c r="B26" s="1179"/>
      <c r="C26" s="1196"/>
      <c r="D26" s="1201"/>
      <c r="E26" s="63" t="s">
        <v>182</v>
      </c>
      <c r="F26" s="23"/>
      <c r="G26" s="26"/>
      <c r="H26" s="26"/>
      <c r="I26" s="26"/>
      <c r="J26" s="26"/>
      <c r="K26" s="26"/>
      <c r="L26" s="26"/>
      <c r="M26" s="26"/>
      <c r="N26" s="26"/>
      <c r="O26" s="26"/>
      <c r="P26" s="26"/>
      <c r="Q26" s="1086"/>
      <c r="R26" s="1082"/>
      <c r="S26" s="26"/>
      <c r="T26" s="26"/>
      <c r="U26" s="26"/>
      <c r="V26" s="26"/>
      <c r="W26" s="26"/>
      <c r="X26" s="26"/>
      <c r="Y26" s="26"/>
      <c r="Z26" s="26"/>
      <c r="AA26" s="26"/>
      <c r="AB26" s="26"/>
      <c r="AC26" s="1086"/>
      <c r="AD26" s="26"/>
      <c r="AE26" s="26"/>
      <c r="AF26" s="26"/>
      <c r="AG26" s="26"/>
      <c r="AH26" s="26"/>
      <c r="AI26" s="26"/>
      <c r="AJ26" s="26"/>
      <c r="AK26" s="26"/>
      <c r="AL26" s="26"/>
      <c r="AM26" s="26"/>
      <c r="AN26" s="26"/>
      <c r="AO26" s="26"/>
      <c r="AP26" s="344">
        <f>SUM(F26:AO26)</f>
        <v>0</v>
      </c>
      <c r="AQ26" s="135"/>
      <c r="AR26" s="1185"/>
      <c r="AS26" s="1185"/>
    </row>
    <row r="27" spans="1:45" s="2" customFormat="1" x14ac:dyDescent="0.35">
      <c r="A27" s="1198"/>
      <c r="B27" s="1179"/>
      <c r="C27" s="1196"/>
      <c r="D27" s="1201"/>
      <c r="E27" s="336" t="s">
        <v>183</v>
      </c>
      <c r="F27" s="337"/>
      <c r="G27" s="338"/>
      <c r="H27" s="338"/>
      <c r="I27" s="338"/>
      <c r="J27" s="338"/>
      <c r="K27" s="338"/>
      <c r="L27" s="338"/>
      <c r="M27" s="338"/>
      <c r="N27" s="338"/>
      <c r="O27" s="338"/>
      <c r="P27" s="338"/>
      <c r="Q27" s="1087"/>
      <c r="R27" s="1083"/>
      <c r="S27" s="338"/>
      <c r="T27" s="338"/>
      <c r="U27" s="338"/>
      <c r="V27" s="338"/>
      <c r="W27" s="338"/>
      <c r="X27" s="338"/>
      <c r="Y27" s="338"/>
      <c r="Z27" s="338"/>
      <c r="AA27" s="338"/>
      <c r="AB27" s="338"/>
      <c r="AC27" s="1087"/>
      <c r="AD27" s="338"/>
      <c r="AE27" s="338"/>
      <c r="AF27" s="338"/>
      <c r="AG27" s="338"/>
      <c r="AH27" s="338"/>
      <c r="AI27" s="338"/>
      <c r="AJ27" s="338"/>
      <c r="AK27" s="338"/>
      <c r="AL27" s="338"/>
      <c r="AM27" s="338"/>
      <c r="AN27" s="338"/>
      <c r="AO27" s="338"/>
      <c r="AP27" s="344">
        <f>SUM(F27:AO27)</f>
        <v>0</v>
      </c>
      <c r="AQ27" s="335"/>
      <c r="AR27" s="1185"/>
      <c r="AS27" s="1185"/>
    </row>
    <row r="28" spans="1:45" s="2" customFormat="1" x14ac:dyDescent="0.35">
      <c r="A28" s="1198"/>
      <c r="B28" s="1179"/>
      <c r="C28" s="1196"/>
      <c r="D28" s="1201"/>
      <c r="E28" s="36" t="s">
        <v>184</v>
      </c>
      <c r="F28" s="29"/>
      <c r="G28" s="30"/>
      <c r="H28" s="30"/>
      <c r="I28" s="30"/>
      <c r="J28" s="30"/>
      <c r="K28" s="30"/>
      <c r="L28" s="30"/>
      <c r="M28" s="30"/>
      <c r="N28" s="30"/>
      <c r="O28" s="30"/>
      <c r="P28" s="30"/>
      <c r="Q28" s="1088"/>
      <c r="R28" s="1084"/>
      <c r="S28" s="30"/>
      <c r="T28" s="30"/>
      <c r="U28" s="30"/>
      <c r="V28" s="30"/>
      <c r="W28" s="30"/>
      <c r="X28" s="30"/>
      <c r="Y28" s="30"/>
      <c r="Z28" s="30"/>
      <c r="AA28" s="30"/>
      <c r="AB28" s="30"/>
      <c r="AC28" s="1088"/>
      <c r="AD28" s="30"/>
      <c r="AE28" s="30"/>
      <c r="AF28" s="30"/>
      <c r="AG28" s="30"/>
      <c r="AH28" s="30"/>
      <c r="AI28" s="30"/>
      <c r="AJ28" s="30"/>
      <c r="AK28" s="30"/>
      <c r="AL28" s="30"/>
      <c r="AM28" s="30"/>
      <c r="AN28" s="30"/>
      <c r="AO28" s="30"/>
      <c r="AP28" s="344"/>
      <c r="AQ28" s="335"/>
      <c r="AR28" s="1185"/>
      <c r="AS28" s="1185"/>
    </row>
    <row r="29" spans="1:45" s="2" customFormat="1" ht="15" thickBot="1" x14ac:dyDescent="0.4">
      <c r="A29" s="1198"/>
      <c r="B29" s="1179"/>
      <c r="C29" s="1196"/>
      <c r="D29" s="1201"/>
      <c r="E29" s="340" t="s">
        <v>185</v>
      </c>
      <c r="F29" s="341"/>
      <c r="G29" s="342"/>
      <c r="H29" s="342"/>
      <c r="I29" s="342"/>
      <c r="J29" s="342"/>
      <c r="K29" s="342"/>
      <c r="L29" s="342"/>
      <c r="M29" s="342"/>
      <c r="N29" s="342"/>
      <c r="O29" s="342"/>
      <c r="P29" s="342"/>
      <c r="Q29" s="1089"/>
      <c r="R29" s="1085"/>
      <c r="S29" s="342"/>
      <c r="T29" s="342"/>
      <c r="U29" s="342"/>
      <c r="V29" s="342"/>
      <c r="W29" s="342"/>
      <c r="X29" s="342"/>
      <c r="Y29" s="342"/>
      <c r="Z29" s="342"/>
      <c r="AA29" s="342"/>
      <c r="AB29" s="342"/>
      <c r="AC29" s="1089"/>
      <c r="AD29" s="342"/>
      <c r="AE29" s="342"/>
      <c r="AF29" s="342"/>
      <c r="AG29" s="342"/>
      <c r="AH29" s="342"/>
      <c r="AI29" s="342"/>
      <c r="AJ29" s="342"/>
      <c r="AK29" s="342"/>
      <c r="AL29" s="342"/>
      <c r="AM29" s="342"/>
      <c r="AN29" s="342"/>
      <c r="AO29" s="342"/>
      <c r="AP29" s="344"/>
      <c r="AQ29" s="335"/>
      <c r="AR29" s="1185"/>
      <c r="AS29" s="1185"/>
    </row>
    <row r="30" spans="1:45" s="2" customFormat="1" ht="26.5" thickBot="1" x14ac:dyDescent="0.4">
      <c r="A30" s="1198"/>
      <c r="B30" s="1179"/>
      <c r="C30" s="1196"/>
      <c r="D30" s="1201"/>
      <c r="E30" s="1193" t="s">
        <v>175</v>
      </c>
      <c r="F30" s="1194"/>
      <c r="G30" s="1194"/>
      <c r="H30" s="1194"/>
      <c r="I30" s="1194"/>
      <c r="J30" s="1194"/>
      <c r="K30" s="1194"/>
      <c r="L30" s="1194"/>
      <c r="M30" s="1194"/>
      <c r="N30" s="1194"/>
      <c r="O30" s="1194"/>
      <c r="P30" s="1194"/>
      <c r="Q30" s="1194"/>
      <c r="R30" s="1194"/>
      <c r="S30" s="1194"/>
      <c r="T30" s="1194"/>
      <c r="U30" s="1194"/>
      <c r="V30" s="1194"/>
      <c r="W30" s="1194"/>
      <c r="X30" s="1194"/>
      <c r="Y30" s="1194"/>
      <c r="Z30" s="1194"/>
      <c r="AA30" s="1194"/>
      <c r="AB30" s="1194"/>
      <c r="AC30" s="1194"/>
      <c r="AD30" s="1194"/>
      <c r="AE30" s="1194"/>
      <c r="AF30" s="1194"/>
      <c r="AG30" s="1194"/>
      <c r="AH30" s="1194"/>
      <c r="AI30" s="1194"/>
      <c r="AJ30" s="1194"/>
      <c r="AK30" s="1194"/>
      <c r="AL30" s="1194"/>
      <c r="AM30" s="1194"/>
      <c r="AN30" s="1194"/>
      <c r="AO30" s="1194"/>
      <c r="AP30" s="348" t="e">
        <f>SUM(AP32:AP33)/AP25</f>
        <v>#DIV/0!</v>
      </c>
      <c r="AQ30" s="349" t="s">
        <v>186</v>
      </c>
      <c r="AR30" s="1185"/>
      <c r="AS30" s="1185"/>
    </row>
    <row r="31" spans="1:45" s="2" customFormat="1" x14ac:dyDescent="0.35">
      <c r="A31" s="1198"/>
      <c r="B31" s="1179"/>
      <c r="C31" s="1196"/>
      <c r="D31" s="1201"/>
      <c r="E31" s="62" t="s">
        <v>187</v>
      </c>
      <c r="F31" s="44">
        <f>SUM(F32:F35)</f>
        <v>0</v>
      </c>
      <c r="G31" s="43">
        <f>SUM(G32:G35)</f>
        <v>0</v>
      </c>
      <c r="H31" s="43">
        <f t="shared" ref="H31:AO31" si="9">SUM(H32:H35)</f>
        <v>0</v>
      </c>
      <c r="I31" s="43">
        <f t="shared" si="9"/>
        <v>0</v>
      </c>
      <c r="J31" s="43">
        <f t="shared" si="9"/>
        <v>0</v>
      </c>
      <c r="K31" s="43">
        <f t="shared" si="9"/>
        <v>0</v>
      </c>
      <c r="L31" s="43">
        <f t="shared" si="9"/>
        <v>0</v>
      </c>
      <c r="M31" s="43">
        <f t="shared" si="9"/>
        <v>0</v>
      </c>
      <c r="N31" s="43">
        <f t="shared" si="9"/>
        <v>0</v>
      </c>
      <c r="O31" s="43">
        <f t="shared" si="9"/>
        <v>0</v>
      </c>
      <c r="P31" s="43">
        <f t="shared" si="9"/>
        <v>0</v>
      </c>
      <c r="Q31" s="43">
        <f t="shared" si="9"/>
        <v>0</v>
      </c>
      <c r="R31" s="43">
        <f t="shared" si="9"/>
        <v>0</v>
      </c>
      <c r="S31" s="43">
        <f t="shared" si="9"/>
        <v>0</v>
      </c>
      <c r="T31" s="43">
        <f t="shared" si="9"/>
        <v>0</v>
      </c>
      <c r="U31" s="43">
        <f t="shared" si="9"/>
        <v>0</v>
      </c>
      <c r="V31" s="43">
        <f t="shared" si="9"/>
        <v>0</v>
      </c>
      <c r="W31" s="43">
        <f t="shared" si="9"/>
        <v>0</v>
      </c>
      <c r="X31" s="43">
        <f t="shared" si="9"/>
        <v>0</v>
      </c>
      <c r="Y31" s="43">
        <f t="shared" si="9"/>
        <v>0</v>
      </c>
      <c r="Z31" s="43">
        <f t="shared" si="9"/>
        <v>0</v>
      </c>
      <c r="AA31" s="43">
        <f t="shared" si="9"/>
        <v>0</v>
      </c>
      <c r="AB31" s="43">
        <f t="shared" si="9"/>
        <v>0</v>
      </c>
      <c r="AC31" s="43">
        <f t="shared" si="9"/>
        <v>0</v>
      </c>
      <c r="AD31" s="43">
        <f t="shared" si="9"/>
        <v>0</v>
      </c>
      <c r="AE31" s="43">
        <f t="shared" si="9"/>
        <v>0</v>
      </c>
      <c r="AF31" s="43">
        <f t="shared" si="9"/>
        <v>0</v>
      </c>
      <c r="AG31" s="43">
        <f t="shared" si="9"/>
        <v>0</v>
      </c>
      <c r="AH31" s="43">
        <f t="shared" si="9"/>
        <v>0</v>
      </c>
      <c r="AI31" s="43">
        <f t="shared" si="9"/>
        <v>0</v>
      </c>
      <c r="AJ31" s="43">
        <f t="shared" si="9"/>
        <v>0</v>
      </c>
      <c r="AK31" s="43">
        <f t="shared" si="9"/>
        <v>0</v>
      </c>
      <c r="AL31" s="43">
        <f t="shared" si="9"/>
        <v>0</v>
      </c>
      <c r="AM31" s="43">
        <f t="shared" si="9"/>
        <v>0</v>
      </c>
      <c r="AN31" s="43">
        <f t="shared" si="9"/>
        <v>0</v>
      </c>
      <c r="AO31" s="43">
        <f t="shared" si="9"/>
        <v>0</v>
      </c>
      <c r="AP31" s="65"/>
      <c r="AQ31" s="65"/>
      <c r="AR31" s="1185"/>
      <c r="AS31" s="1185"/>
    </row>
    <row r="32" spans="1:45" s="2" customFormat="1" x14ac:dyDescent="0.35">
      <c r="A32" s="1198"/>
      <c r="B32" s="1179"/>
      <c r="C32" s="1196"/>
      <c r="D32" s="1201"/>
      <c r="E32" s="63" t="s">
        <v>188</v>
      </c>
      <c r="F32" s="23"/>
      <c r="G32" s="26"/>
      <c r="H32" s="26"/>
      <c r="I32" s="26"/>
      <c r="J32" s="26"/>
      <c r="K32" s="26"/>
      <c r="L32" s="26"/>
      <c r="M32" s="26"/>
      <c r="N32" s="26"/>
      <c r="O32" s="26"/>
      <c r="P32" s="26"/>
      <c r="Q32" s="1086"/>
      <c r="R32" s="1082"/>
      <c r="S32" s="26"/>
      <c r="T32" s="26"/>
      <c r="U32" s="26"/>
      <c r="V32" s="26"/>
      <c r="W32" s="26"/>
      <c r="X32" s="26"/>
      <c r="Y32" s="26"/>
      <c r="Z32" s="26"/>
      <c r="AA32" s="26"/>
      <c r="AB32" s="26"/>
      <c r="AC32" s="1086"/>
      <c r="AD32" s="26"/>
      <c r="AE32" s="26"/>
      <c r="AF32" s="26"/>
      <c r="AG32" s="26"/>
      <c r="AH32" s="26"/>
      <c r="AI32" s="26"/>
      <c r="AJ32" s="26"/>
      <c r="AK32" s="26"/>
      <c r="AL32" s="26"/>
      <c r="AM32" s="26"/>
      <c r="AN32" s="26"/>
      <c r="AO32" s="26"/>
      <c r="AP32" s="65">
        <f>SUM(F32:AO32)</f>
        <v>0</v>
      </c>
      <c r="AQ32" s="346" t="e">
        <f>AP32/AP26</f>
        <v>#DIV/0!</v>
      </c>
      <c r="AR32" s="1185"/>
      <c r="AS32" s="1185"/>
    </row>
    <row r="33" spans="1:45" s="2" customFormat="1" x14ac:dyDescent="0.35">
      <c r="A33" s="1198"/>
      <c r="B33" s="1179"/>
      <c r="C33" s="1196"/>
      <c r="D33" s="1201"/>
      <c r="E33" s="37" t="s">
        <v>189</v>
      </c>
      <c r="F33" s="33"/>
      <c r="G33" s="32"/>
      <c r="H33" s="32"/>
      <c r="I33" s="32"/>
      <c r="J33" s="32"/>
      <c r="K33" s="32"/>
      <c r="L33" s="32"/>
      <c r="M33" s="32"/>
      <c r="N33" s="32"/>
      <c r="O33" s="32"/>
      <c r="P33" s="32"/>
      <c r="Q33" s="1092"/>
      <c r="R33" s="1090"/>
      <c r="S33" s="32"/>
      <c r="T33" s="32"/>
      <c r="U33" s="32"/>
      <c r="V33" s="32"/>
      <c r="W33" s="32"/>
      <c r="X33" s="32"/>
      <c r="Y33" s="32"/>
      <c r="Z33" s="32"/>
      <c r="AA33" s="32"/>
      <c r="AB33" s="32"/>
      <c r="AC33" s="1092"/>
      <c r="AD33" s="32"/>
      <c r="AE33" s="32"/>
      <c r="AF33" s="32"/>
      <c r="AG33" s="32"/>
      <c r="AH33" s="32"/>
      <c r="AI33" s="32"/>
      <c r="AJ33" s="32"/>
      <c r="AK33" s="32"/>
      <c r="AL33" s="32"/>
      <c r="AM33" s="32"/>
      <c r="AN33" s="32"/>
      <c r="AO33" s="32"/>
      <c r="AP33" s="65">
        <f>SUM(F33:AO33)</f>
        <v>0</v>
      </c>
      <c r="AQ33" s="346" t="e">
        <f>AP33/AP27</f>
        <v>#DIV/0!</v>
      </c>
      <c r="AR33" s="1185"/>
      <c r="AS33" s="1185"/>
    </row>
    <row r="34" spans="1:45" s="2" customFormat="1" x14ac:dyDescent="0.35">
      <c r="A34" s="1198"/>
      <c r="B34" s="1179"/>
      <c r="C34" s="1196"/>
      <c r="D34" s="1201"/>
      <c r="E34" s="36" t="s">
        <v>190</v>
      </c>
      <c r="F34" s="29"/>
      <c r="G34" s="30"/>
      <c r="H34" s="30"/>
      <c r="I34" s="30"/>
      <c r="J34" s="30"/>
      <c r="K34" s="30"/>
      <c r="L34" s="30"/>
      <c r="M34" s="30"/>
      <c r="N34" s="30"/>
      <c r="O34" s="30"/>
      <c r="P34" s="30"/>
      <c r="Q34" s="1088"/>
      <c r="R34" s="1084"/>
      <c r="S34" s="30"/>
      <c r="T34" s="30"/>
      <c r="U34" s="30"/>
      <c r="V34" s="30"/>
      <c r="W34" s="30"/>
      <c r="X34" s="30"/>
      <c r="Y34" s="30"/>
      <c r="Z34" s="30"/>
      <c r="AA34" s="30"/>
      <c r="AB34" s="30"/>
      <c r="AC34" s="1088"/>
      <c r="AD34" s="30"/>
      <c r="AE34" s="30"/>
      <c r="AF34" s="30"/>
      <c r="AG34" s="30"/>
      <c r="AH34" s="30"/>
      <c r="AI34" s="30"/>
      <c r="AJ34" s="30"/>
      <c r="AK34" s="30"/>
      <c r="AL34" s="30"/>
      <c r="AM34" s="30"/>
      <c r="AN34" s="30"/>
      <c r="AO34" s="30"/>
      <c r="AP34" s="65"/>
      <c r="AQ34" s="65"/>
      <c r="AR34" s="1185"/>
      <c r="AS34" s="1185"/>
    </row>
    <row r="35" spans="1:45" s="2" customFormat="1" ht="15" thickBot="1" x14ac:dyDescent="0.4">
      <c r="A35" s="1199"/>
      <c r="B35" s="1180"/>
      <c r="C35" s="1197"/>
      <c r="D35" s="1202"/>
      <c r="E35" s="64" t="s">
        <v>191</v>
      </c>
      <c r="F35" s="25"/>
      <c r="G35" s="28"/>
      <c r="H35" s="28"/>
      <c r="I35" s="28"/>
      <c r="J35" s="28"/>
      <c r="K35" s="28"/>
      <c r="L35" s="28"/>
      <c r="M35" s="28"/>
      <c r="N35" s="28"/>
      <c r="O35" s="28"/>
      <c r="P35" s="28"/>
      <c r="Q35" s="1093"/>
      <c r="R35" s="1091"/>
      <c r="S35" s="28"/>
      <c r="T35" s="28"/>
      <c r="U35" s="28"/>
      <c r="V35" s="28"/>
      <c r="W35" s="28"/>
      <c r="X35" s="28"/>
      <c r="Y35" s="28"/>
      <c r="Z35" s="28"/>
      <c r="AA35" s="28"/>
      <c r="AB35" s="28"/>
      <c r="AC35" s="1093"/>
      <c r="AD35" s="28"/>
      <c r="AE35" s="28"/>
      <c r="AF35" s="28"/>
      <c r="AG35" s="28"/>
      <c r="AH35" s="28"/>
      <c r="AI35" s="28"/>
      <c r="AJ35" s="28"/>
      <c r="AK35" s="28"/>
      <c r="AL35" s="28"/>
      <c r="AM35" s="28"/>
      <c r="AN35" s="28"/>
      <c r="AO35" s="28"/>
      <c r="AP35" s="137"/>
      <c r="AQ35" s="137"/>
      <c r="AR35" s="1186"/>
      <c r="AS35" s="1186"/>
    </row>
    <row r="36" spans="1:45" s="2" customFormat="1" x14ac:dyDescent="0.35">
      <c r="A36" s="1198">
        <v>4</v>
      </c>
      <c r="B36" s="1178" t="str">
        <f>IF(VLOOKUP(A:A,'Pivot Table'!Z:AE,6,FALSE)=0,"",VLOOKUP(A:A,'Pivot Table'!Z:AE,6,FALSE))</f>
        <v/>
      </c>
      <c r="C36" s="1195" t="str">
        <f>_xlfn.IFNA(VLOOKUP(B:B,'indicator lists'!L:R,3,FALSE),"")</f>
        <v/>
      </c>
      <c r="D36" s="1200" t="str">
        <f>_xlfn.IFNA(VLOOKUP(A:A,'Pivot Table'!P:X,9,FALSE),"")</f>
        <v/>
      </c>
      <c r="E36" s="59" t="s">
        <v>181</v>
      </c>
      <c r="F36" s="60">
        <f>SUM(F37:F40)</f>
        <v>0</v>
      </c>
      <c r="G36" s="61">
        <f>SUM(G37:G40)</f>
        <v>0</v>
      </c>
      <c r="H36" s="61">
        <f t="shared" ref="H36:AO36" si="10">SUM(H37:H40)</f>
        <v>0</v>
      </c>
      <c r="I36" s="61">
        <f t="shared" si="10"/>
        <v>0</v>
      </c>
      <c r="J36" s="61">
        <f t="shared" si="10"/>
        <v>0</v>
      </c>
      <c r="K36" s="61">
        <f t="shared" si="10"/>
        <v>0</v>
      </c>
      <c r="L36" s="61">
        <f t="shared" si="10"/>
        <v>0</v>
      </c>
      <c r="M36" s="61">
        <f t="shared" si="10"/>
        <v>0</v>
      </c>
      <c r="N36" s="61">
        <f t="shared" si="10"/>
        <v>0</v>
      </c>
      <c r="O36" s="61">
        <f t="shared" si="10"/>
        <v>0</v>
      </c>
      <c r="P36" s="61">
        <f t="shared" si="10"/>
        <v>0</v>
      </c>
      <c r="Q36" s="61">
        <f t="shared" si="10"/>
        <v>0</v>
      </c>
      <c r="R36" s="61">
        <f t="shared" si="10"/>
        <v>0</v>
      </c>
      <c r="S36" s="61">
        <f t="shared" si="10"/>
        <v>0</v>
      </c>
      <c r="T36" s="61">
        <f t="shared" si="10"/>
        <v>0</v>
      </c>
      <c r="U36" s="61">
        <f t="shared" si="10"/>
        <v>0</v>
      </c>
      <c r="V36" s="61">
        <f t="shared" si="10"/>
        <v>0</v>
      </c>
      <c r="W36" s="61">
        <f t="shared" si="10"/>
        <v>0</v>
      </c>
      <c r="X36" s="61">
        <f t="shared" si="10"/>
        <v>0</v>
      </c>
      <c r="Y36" s="61">
        <f t="shared" si="10"/>
        <v>0</v>
      </c>
      <c r="Z36" s="61">
        <f t="shared" si="10"/>
        <v>0</v>
      </c>
      <c r="AA36" s="61">
        <f t="shared" si="10"/>
        <v>0</v>
      </c>
      <c r="AB36" s="61">
        <f t="shared" si="10"/>
        <v>0</v>
      </c>
      <c r="AC36" s="61">
        <f t="shared" si="10"/>
        <v>0</v>
      </c>
      <c r="AD36" s="61">
        <f t="shared" si="10"/>
        <v>0</v>
      </c>
      <c r="AE36" s="61">
        <f t="shared" si="10"/>
        <v>0</v>
      </c>
      <c r="AF36" s="61">
        <f t="shared" si="10"/>
        <v>0</v>
      </c>
      <c r="AG36" s="61">
        <f t="shared" si="10"/>
        <v>0</v>
      </c>
      <c r="AH36" s="61">
        <f t="shared" si="10"/>
        <v>0</v>
      </c>
      <c r="AI36" s="61">
        <f t="shared" si="10"/>
        <v>0</v>
      </c>
      <c r="AJ36" s="61">
        <f t="shared" si="10"/>
        <v>0</v>
      </c>
      <c r="AK36" s="61">
        <f t="shared" si="10"/>
        <v>0</v>
      </c>
      <c r="AL36" s="61">
        <f t="shared" si="10"/>
        <v>0</v>
      </c>
      <c r="AM36" s="61">
        <f t="shared" si="10"/>
        <v>0</v>
      </c>
      <c r="AN36" s="61">
        <f t="shared" si="10"/>
        <v>0</v>
      </c>
      <c r="AO36" s="61">
        <f t="shared" si="10"/>
        <v>0</v>
      </c>
      <c r="AP36" s="347">
        <f>SUM(AP37:AP38)</f>
        <v>0</v>
      </c>
      <c r="AQ36" s="134"/>
      <c r="AR36" s="1184"/>
      <c r="AS36" s="1184"/>
    </row>
    <row r="37" spans="1:45" s="2" customFormat="1" x14ac:dyDescent="0.35">
      <c r="A37" s="1198"/>
      <c r="B37" s="1179"/>
      <c r="C37" s="1196"/>
      <c r="D37" s="1201"/>
      <c r="E37" s="63" t="s">
        <v>182</v>
      </c>
      <c r="F37" s="23"/>
      <c r="G37" s="26"/>
      <c r="H37" s="26"/>
      <c r="I37" s="26"/>
      <c r="J37" s="26"/>
      <c r="K37" s="26"/>
      <c r="L37" s="26"/>
      <c r="M37" s="26"/>
      <c r="N37" s="26"/>
      <c r="O37" s="26"/>
      <c r="P37" s="26"/>
      <c r="Q37" s="1086"/>
      <c r="R37" s="1082"/>
      <c r="S37" s="26"/>
      <c r="T37" s="26"/>
      <c r="U37" s="26"/>
      <c r="V37" s="26"/>
      <c r="W37" s="26"/>
      <c r="X37" s="26"/>
      <c r="Y37" s="26"/>
      <c r="Z37" s="26"/>
      <c r="AA37" s="26"/>
      <c r="AB37" s="26"/>
      <c r="AC37" s="1086"/>
      <c r="AD37" s="26"/>
      <c r="AE37" s="26"/>
      <c r="AF37" s="26"/>
      <c r="AG37" s="26"/>
      <c r="AH37" s="26"/>
      <c r="AI37" s="26"/>
      <c r="AJ37" s="26"/>
      <c r="AK37" s="26"/>
      <c r="AL37" s="26"/>
      <c r="AM37" s="26"/>
      <c r="AN37" s="26"/>
      <c r="AO37" s="26"/>
      <c r="AP37" s="344">
        <f>SUM(F37:AO37)</f>
        <v>0</v>
      </c>
      <c r="AQ37" s="135"/>
      <c r="AR37" s="1185"/>
      <c r="AS37" s="1185"/>
    </row>
    <row r="38" spans="1:45" s="2" customFormat="1" x14ac:dyDescent="0.35">
      <c r="A38" s="1198"/>
      <c r="B38" s="1179"/>
      <c r="C38" s="1196"/>
      <c r="D38" s="1201"/>
      <c r="E38" s="336" t="s">
        <v>183</v>
      </c>
      <c r="F38" s="337"/>
      <c r="G38" s="338"/>
      <c r="H38" s="338"/>
      <c r="I38" s="338"/>
      <c r="J38" s="338"/>
      <c r="K38" s="338"/>
      <c r="L38" s="338"/>
      <c r="M38" s="338"/>
      <c r="N38" s="338"/>
      <c r="O38" s="338"/>
      <c r="P38" s="338"/>
      <c r="Q38" s="1087"/>
      <c r="R38" s="1083"/>
      <c r="S38" s="338"/>
      <c r="T38" s="338"/>
      <c r="U38" s="338"/>
      <c r="V38" s="338"/>
      <c r="W38" s="338"/>
      <c r="X38" s="338"/>
      <c r="Y38" s="338"/>
      <c r="Z38" s="338"/>
      <c r="AA38" s="338"/>
      <c r="AB38" s="338"/>
      <c r="AC38" s="1087"/>
      <c r="AD38" s="338"/>
      <c r="AE38" s="338"/>
      <c r="AF38" s="338"/>
      <c r="AG38" s="338"/>
      <c r="AH38" s="338"/>
      <c r="AI38" s="338"/>
      <c r="AJ38" s="338"/>
      <c r="AK38" s="338"/>
      <c r="AL38" s="338"/>
      <c r="AM38" s="338"/>
      <c r="AN38" s="338"/>
      <c r="AO38" s="338"/>
      <c r="AP38" s="344">
        <f>SUM(F38:AO38)</f>
        <v>0</v>
      </c>
      <c r="AQ38" s="335"/>
      <c r="AR38" s="1185"/>
      <c r="AS38" s="1185"/>
    </row>
    <row r="39" spans="1:45" s="2" customFormat="1" x14ac:dyDescent="0.35">
      <c r="A39" s="1198"/>
      <c r="B39" s="1179"/>
      <c r="C39" s="1196"/>
      <c r="D39" s="1201"/>
      <c r="E39" s="36" t="s">
        <v>184</v>
      </c>
      <c r="F39" s="29"/>
      <c r="G39" s="30"/>
      <c r="H39" s="30"/>
      <c r="I39" s="30"/>
      <c r="J39" s="30"/>
      <c r="K39" s="30"/>
      <c r="L39" s="30"/>
      <c r="M39" s="30"/>
      <c r="N39" s="30"/>
      <c r="O39" s="30"/>
      <c r="P39" s="30"/>
      <c r="Q39" s="1088"/>
      <c r="R39" s="1084"/>
      <c r="S39" s="30"/>
      <c r="T39" s="30"/>
      <c r="U39" s="30"/>
      <c r="V39" s="30"/>
      <c r="W39" s="30"/>
      <c r="X39" s="30"/>
      <c r="Y39" s="30"/>
      <c r="Z39" s="30"/>
      <c r="AA39" s="30"/>
      <c r="AB39" s="30"/>
      <c r="AC39" s="1088"/>
      <c r="AD39" s="30"/>
      <c r="AE39" s="30"/>
      <c r="AF39" s="30"/>
      <c r="AG39" s="30"/>
      <c r="AH39" s="30"/>
      <c r="AI39" s="30"/>
      <c r="AJ39" s="30"/>
      <c r="AK39" s="30"/>
      <c r="AL39" s="30"/>
      <c r="AM39" s="30"/>
      <c r="AN39" s="30"/>
      <c r="AO39" s="30"/>
      <c r="AP39" s="344"/>
      <c r="AQ39" s="335"/>
      <c r="AR39" s="1185"/>
      <c r="AS39" s="1185"/>
    </row>
    <row r="40" spans="1:45" s="2" customFormat="1" ht="15" thickBot="1" x14ac:dyDescent="0.4">
      <c r="A40" s="1198"/>
      <c r="B40" s="1179"/>
      <c r="C40" s="1196"/>
      <c r="D40" s="1201"/>
      <c r="E40" s="340" t="s">
        <v>185</v>
      </c>
      <c r="F40" s="341"/>
      <c r="G40" s="342"/>
      <c r="H40" s="342"/>
      <c r="I40" s="342"/>
      <c r="J40" s="342"/>
      <c r="K40" s="342"/>
      <c r="L40" s="342"/>
      <c r="M40" s="342"/>
      <c r="N40" s="342"/>
      <c r="O40" s="342"/>
      <c r="P40" s="342"/>
      <c r="Q40" s="1089"/>
      <c r="R40" s="1085"/>
      <c r="S40" s="342"/>
      <c r="T40" s="342"/>
      <c r="U40" s="342"/>
      <c r="V40" s="342"/>
      <c r="W40" s="342"/>
      <c r="X40" s="342"/>
      <c r="Y40" s="342"/>
      <c r="Z40" s="342"/>
      <c r="AA40" s="342"/>
      <c r="AB40" s="342"/>
      <c r="AC40" s="1089"/>
      <c r="AD40" s="342"/>
      <c r="AE40" s="342"/>
      <c r="AF40" s="342"/>
      <c r="AG40" s="342"/>
      <c r="AH40" s="342"/>
      <c r="AI40" s="342"/>
      <c r="AJ40" s="342"/>
      <c r="AK40" s="342"/>
      <c r="AL40" s="342"/>
      <c r="AM40" s="342"/>
      <c r="AN40" s="342"/>
      <c r="AO40" s="342"/>
      <c r="AP40" s="344"/>
      <c r="AQ40" s="335"/>
      <c r="AR40" s="1185"/>
      <c r="AS40" s="1185"/>
    </row>
    <row r="41" spans="1:45" s="2" customFormat="1" ht="26.5" thickBot="1" x14ac:dyDescent="0.4">
      <c r="A41" s="1198"/>
      <c r="B41" s="1179"/>
      <c r="C41" s="1196"/>
      <c r="D41" s="1201"/>
      <c r="E41" s="1193" t="s">
        <v>175</v>
      </c>
      <c r="F41" s="1194"/>
      <c r="G41" s="1194"/>
      <c r="H41" s="1194"/>
      <c r="I41" s="1194"/>
      <c r="J41" s="1194"/>
      <c r="K41" s="1194"/>
      <c r="L41" s="1194"/>
      <c r="M41" s="1194"/>
      <c r="N41" s="1194"/>
      <c r="O41" s="1194"/>
      <c r="P41" s="1194"/>
      <c r="Q41" s="1194"/>
      <c r="R41" s="1194"/>
      <c r="S41" s="1194"/>
      <c r="T41" s="1194"/>
      <c r="U41" s="1194"/>
      <c r="V41" s="1194"/>
      <c r="W41" s="1194"/>
      <c r="X41" s="1194"/>
      <c r="Y41" s="1194"/>
      <c r="Z41" s="1194"/>
      <c r="AA41" s="1194"/>
      <c r="AB41" s="1194"/>
      <c r="AC41" s="1194"/>
      <c r="AD41" s="1194"/>
      <c r="AE41" s="1194"/>
      <c r="AF41" s="1194"/>
      <c r="AG41" s="1194"/>
      <c r="AH41" s="1194"/>
      <c r="AI41" s="1194"/>
      <c r="AJ41" s="1194"/>
      <c r="AK41" s="1194"/>
      <c r="AL41" s="1194"/>
      <c r="AM41" s="1194"/>
      <c r="AN41" s="1194"/>
      <c r="AO41" s="1194"/>
      <c r="AP41" s="348" t="e">
        <f>SUM(AP43:AP44)/AP36</f>
        <v>#DIV/0!</v>
      </c>
      <c r="AQ41" s="349" t="s">
        <v>186</v>
      </c>
      <c r="AR41" s="1185"/>
      <c r="AS41" s="1185"/>
    </row>
    <row r="42" spans="1:45" s="2" customFormat="1" x14ac:dyDescent="0.35">
      <c r="A42" s="1198"/>
      <c r="B42" s="1179"/>
      <c r="C42" s="1196"/>
      <c r="D42" s="1201"/>
      <c r="E42" s="62" t="s">
        <v>187</v>
      </c>
      <c r="F42" s="44">
        <f>SUM(F43:F46)</f>
        <v>0</v>
      </c>
      <c r="G42" s="43">
        <f>SUM(G43:G46)</f>
        <v>0</v>
      </c>
      <c r="H42" s="43">
        <f t="shared" ref="H42:AO42" si="11">SUM(H43:H46)</f>
        <v>0</v>
      </c>
      <c r="I42" s="43">
        <f t="shared" si="11"/>
        <v>0</v>
      </c>
      <c r="J42" s="43">
        <f t="shared" si="11"/>
        <v>0</v>
      </c>
      <c r="K42" s="43">
        <f t="shared" si="11"/>
        <v>0</v>
      </c>
      <c r="L42" s="43">
        <f t="shared" si="11"/>
        <v>0</v>
      </c>
      <c r="M42" s="43">
        <f t="shared" si="11"/>
        <v>0</v>
      </c>
      <c r="N42" s="43">
        <f t="shared" si="11"/>
        <v>0</v>
      </c>
      <c r="O42" s="43">
        <f t="shared" si="11"/>
        <v>0</v>
      </c>
      <c r="P42" s="43">
        <f t="shared" si="11"/>
        <v>0</v>
      </c>
      <c r="Q42" s="43">
        <f t="shared" si="11"/>
        <v>0</v>
      </c>
      <c r="R42" s="43">
        <f t="shared" si="11"/>
        <v>0</v>
      </c>
      <c r="S42" s="43">
        <f t="shared" si="11"/>
        <v>0</v>
      </c>
      <c r="T42" s="43">
        <f t="shared" si="11"/>
        <v>0</v>
      </c>
      <c r="U42" s="43">
        <f t="shared" si="11"/>
        <v>0</v>
      </c>
      <c r="V42" s="43">
        <f t="shared" si="11"/>
        <v>0</v>
      </c>
      <c r="W42" s="43">
        <f t="shared" si="11"/>
        <v>0</v>
      </c>
      <c r="X42" s="43">
        <f t="shared" si="11"/>
        <v>0</v>
      </c>
      <c r="Y42" s="43">
        <f t="shared" si="11"/>
        <v>0</v>
      </c>
      <c r="Z42" s="43">
        <f t="shared" si="11"/>
        <v>0</v>
      </c>
      <c r="AA42" s="43">
        <f t="shared" si="11"/>
        <v>0</v>
      </c>
      <c r="AB42" s="43">
        <f t="shared" si="11"/>
        <v>0</v>
      </c>
      <c r="AC42" s="43">
        <f t="shared" si="11"/>
        <v>0</v>
      </c>
      <c r="AD42" s="43">
        <f t="shared" si="11"/>
        <v>0</v>
      </c>
      <c r="AE42" s="43">
        <f t="shared" si="11"/>
        <v>0</v>
      </c>
      <c r="AF42" s="43">
        <f t="shared" si="11"/>
        <v>0</v>
      </c>
      <c r="AG42" s="43">
        <f t="shared" si="11"/>
        <v>0</v>
      </c>
      <c r="AH42" s="43">
        <f t="shared" si="11"/>
        <v>0</v>
      </c>
      <c r="AI42" s="43">
        <f t="shared" si="11"/>
        <v>0</v>
      </c>
      <c r="AJ42" s="43">
        <f t="shared" si="11"/>
        <v>0</v>
      </c>
      <c r="AK42" s="43">
        <f t="shared" si="11"/>
        <v>0</v>
      </c>
      <c r="AL42" s="43">
        <f t="shared" si="11"/>
        <v>0</v>
      </c>
      <c r="AM42" s="43">
        <f t="shared" si="11"/>
        <v>0</v>
      </c>
      <c r="AN42" s="43">
        <f t="shared" si="11"/>
        <v>0</v>
      </c>
      <c r="AO42" s="43">
        <f t="shared" si="11"/>
        <v>0</v>
      </c>
      <c r="AP42" s="65"/>
      <c r="AQ42" s="65"/>
      <c r="AR42" s="1185"/>
      <c r="AS42" s="1185"/>
    </row>
    <row r="43" spans="1:45" s="2" customFormat="1" x14ac:dyDescent="0.35">
      <c r="A43" s="1198"/>
      <c r="B43" s="1179"/>
      <c r="C43" s="1196"/>
      <c r="D43" s="1201"/>
      <c r="E43" s="63" t="s">
        <v>188</v>
      </c>
      <c r="F43" s="23"/>
      <c r="G43" s="26"/>
      <c r="H43" s="26"/>
      <c r="I43" s="26"/>
      <c r="J43" s="26"/>
      <c r="K43" s="26"/>
      <c r="L43" s="26"/>
      <c r="M43" s="26"/>
      <c r="N43" s="26"/>
      <c r="O43" s="26"/>
      <c r="P43" s="26"/>
      <c r="Q43" s="1086"/>
      <c r="R43" s="1082"/>
      <c r="S43" s="26"/>
      <c r="T43" s="26"/>
      <c r="U43" s="26"/>
      <c r="V43" s="26"/>
      <c r="W43" s="26"/>
      <c r="X43" s="26"/>
      <c r="Y43" s="26"/>
      <c r="Z43" s="26"/>
      <c r="AA43" s="26"/>
      <c r="AB43" s="26"/>
      <c r="AC43" s="1086"/>
      <c r="AD43" s="26"/>
      <c r="AE43" s="26"/>
      <c r="AF43" s="26"/>
      <c r="AG43" s="26"/>
      <c r="AH43" s="26"/>
      <c r="AI43" s="26"/>
      <c r="AJ43" s="26"/>
      <c r="AK43" s="26"/>
      <c r="AL43" s="26"/>
      <c r="AM43" s="26"/>
      <c r="AN43" s="26"/>
      <c r="AO43" s="26"/>
      <c r="AP43" s="65">
        <f>SUM(F43:AO43)</f>
        <v>0</v>
      </c>
      <c r="AQ43" s="346" t="e">
        <f>AP43/AP37</f>
        <v>#DIV/0!</v>
      </c>
      <c r="AR43" s="1185"/>
      <c r="AS43" s="1185"/>
    </row>
    <row r="44" spans="1:45" s="2" customFormat="1" x14ac:dyDescent="0.35">
      <c r="A44" s="1198"/>
      <c r="B44" s="1179"/>
      <c r="C44" s="1196"/>
      <c r="D44" s="1201"/>
      <c r="E44" s="37" t="s">
        <v>189</v>
      </c>
      <c r="F44" s="33"/>
      <c r="G44" s="32"/>
      <c r="H44" s="32"/>
      <c r="I44" s="32"/>
      <c r="J44" s="32"/>
      <c r="K44" s="32"/>
      <c r="L44" s="32"/>
      <c r="M44" s="32"/>
      <c r="N44" s="32"/>
      <c r="O44" s="32"/>
      <c r="P44" s="32"/>
      <c r="Q44" s="1092"/>
      <c r="R44" s="1090"/>
      <c r="S44" s="32"/>
      <c r="T44" s="32"/>
      <c r="U44" s="32"/>
      <c r="V44" s="32"/>
      <c r="W44" s="32"/>
      <c r="X44" s="32"/>
      <c r="Y44" s="32"/>
      <c r="Z44" s="32"/>
      <c r="AA44" s="32"/>
      <c r="AB44" s="32"/>
      <c r="AC44" s="1092"/>
      <c r="AD44" s="32"/>
      <c r="AE44" s="32"/>
      <c r="AF44" s="32"/>
      <c r="AG44" s="32"/>
      <c r="AH44" s="32"/>
      <c r="AI44" s="32"/>
      <c r="AJ44" s="32"/>
      <c r="AK44" s="32"/>
      <c r="AL44" s="32"/>
      <c r="AM44" s="32"/>
      <c r="AN44" s="32"/>
      <c r="AO44" s="32"/>
      <c r="AP44" s="65">
        <f>SUM(F44:AO44)</f>
        <v>0</v>
      </c>
      <c r="AQ44" s="346" t="e">
        <f>AP44/AP38</f>
        <v>#DIV/0!</v>
      </c>
      <c r="AR44" s="1185"/>
      <c r="AS44" s="1185"/>
    </row>
    <row r="45" spans="1:45" s="2" customFormat="1" x14ac:dyDescent="0.35">
      <c r="A45" s="1198"/>
      <c r="B45" s="1179"/>
      <c r="C45" s="1196"/>
      <c r="D45" s="1201"/>
      <c r="E45" s="36" t="s">
        <v>190</v>
      </c>
      <c r="F45" s="29"/>
      <c r="G45" s="30"/>
      <c r="H45" s="30"/>
      <c r="I45" s="30"/>
      <c r="J45" s="30"/>
      <c r="K45" s="30"/>
      <c r="L45" s="30"/>
      <c r="M45" s="30"/>
      <c r="N45" s="30"/>
      <c r="O45" s="30"/>
      <c r="P45" s="30"/>
      <c r="Q45" s="1088"/>
      <c r="R45" s="1084"/>
      <c r="S45" s="30"/>
      <c r="T45" s="30"/>
      <c r="U45" s="30"/>
      <c r="V45" s="30"/>
      <c r="W45" s="30"/>
      <c r="X45" s="30"/>
      <c r="Y45" s="30"/>
      <c r="Z45" s="30"/>
      <c r="AA45" s="30"/>
      <c r="AB45" s="30"/>
      <c r="AC45" s="1088"/>
      <c r="AD45" s="30"/>
      <c r="AE45" s="30"/>
      <c r="AF45" s="30"/>
      <c r="AG45" s="30"/>
      <c r="AH45" s="30"/>
      <c r="AI45" s="30"/>
      <c r="AJ45" s="30"/>
      <c r="AK45" s="30"/>
      <c r="AL45" s="30"/>
      <c r="AM45" s="30"/>
      <c r="AN45" s="30"/>
      <c r="AO45" s="30"/>
      <c r="AP45" s="65"/>
      <c r="AQ45" s="65"/>
      <c r="AR45" s="1185"/>
      <c r="AS45" s="1185"/>
    </row>
    <row r="46" spans="1:45" s="2" customFormat="1" ht="15" thickBot="1" x14ac:dyDescent="0.4">
      <c r="A46" s="1199"/>
      <c r="B46" s="1180"/>
      <c r="C46" s="1197"/>
      <c r="D46" s="1202"/>
      <c r="E46" s="64" t="s">
        <v>191</v>
      </c>
      <c r="F46" s="25"/>
      <c r="G46" s="28"/>
      <c r="H46" s="28"/>
      <c r="I46" s="28"/>
      <c r="J46" s="28"/>
      <c r="K46" s="28"/>
      <c r="L46" s="28"/>
      <c r="M46" s="28"/>
      <c r="N46" s="28"/>
      <c r="O46" s="28"/>
      <c r="P46" s="28"/>
      <c r="Q46" s="1093"/>
      <c r="R46" s="1091"/>
      <c r="S46" s="28"/>
      <c r="T46" s="28"/>
      <c r="U46" s="28"/>
      <c r="V46" s="28"/>
      <c r="W46" s="28"/>
      <c r="X46" s="28"/>
      <c r="Y46" s="28"/>
      <c r="Z46" s="28"/>
      <c r="AA46" s="28"/>
      <c r="AB46" s="28"/>
      <c r="AC46" s="1093"/>
      <c r="AD46" s="28"/>
      <c r="AE46" s="28"/>
      <c r="AF46" s="28"/>
      <c r="AG46" s="28"/>
      <c r="AH46" s="28"/>
      <c r="AI46" s="28"/>
      <c r="AJ46" s="28"/>
      <c r="AK46" s="28"/>
      <c r="AL46" s="28"/>
      <c r="AM46" s="28"/>
      <c r="AN46" s="28"/>
      <c r="AO46" s="28"/>
      <c r="AP46" s="137"/>
      <c r="AQ46" s="137"/>
      <c r="AR46" s="1186"/>
      <c r="AS46" s="1186"/>
    </row>
    <row r="47" spans="1:45" s="2" customFormat="1" x14ac:dyDescent="0.35">
      <c r="A47" s="1198">
        <v>5</v>
      </c>
      <c r="B47" s="1178" t="str">
        <f>IF(VLOOKUP(A:A,'Pivot Table'!Z:AE,6,FALSE)=0,"",VLOOKUP(A:A,'Pivot Table'!Z:AE,6,FALSE))</f>
        <v/>
      </c>
      <c r="C47" s="1195" t="str">
        <f>_xlfn.IFNA(VLOOKUP(B:B,'indicator lists'!L:R,3,FALSE),"")</f>
        <v/>
      </c>
      <c r="D47" s="1200" t="str">
        <f>_xlfn.IFNA(VLOOKUP(A:A,'Pivot Table'!P:X,9,FALSE),"")</f>
        <v/>
      </c>
      <c r="E47" s="59" t="s">
        <v>181</v>
      </c>
      <c r="F47" s="60">
        <f>SUM(F48:F51)</f>
        <v>0</v>
      </c>
      <c r="G47" s="61">
        <f>SUM(G48:G51)</f>
        <v>0</v>
      </c>
      <c r="H47" s="61">
        <f t="shared" ref="H47:AO47" si="12">SUM(H48:H51)</f>
        <v>0</v>
      </c>
      <c r="I47" s="61">
        <f t="shared" si="12"/>
        <v>0</v>
      </c>
      <c r="J47" s="61">
        <f t="shared" si="12"/>
        <v>0</v>
      </c>
      <c r="K47" s="61">
        <f t="shared" si="12"/>
        <v>0</v>
      </c>
      <c r="L47" s="61">
        <f t="shared" si="12"/>
        <v>0</v>
      </c>
      <c r="M47" s="61">
        <f t="shared" si="12"/>
        <v>0</v>
      </c>
      <c r="N47" s="61">
        <f t="shared" si="12"/>
        <v>0</v>
      </c>
      <c r="O47" s="61">
        <f t="shared" si="12"/>
        <v>0</v>
      </c>
      <c r="P47" s="61">
        <f t="shared" si="12"/>
        <v>0</v>
      </c>
      <c r="Q47" s="61">
        <f t="shared" si="12"/>
        <v>0</v>
      </c>
      <c r="R47" s="61">
        <f t="shared" si="12"/>
        <v>0</v>
      </c>
      <c r="S47" s="61">
        <f t="shared" si="12"/>
        <v>0</v>
      </c>
      <c r="T47" s="61">
        <f t="shared" si="12"/>
        <v>0</v>
      </c>
      <c r="U47" s="61">
        <f t="shared" si="12"/>
        <v>0</v>
      </c>
      <c r="V47" s="61">
        <f t="shared" si="12"/>
        <v>0</v>
      </c>
      <c r="W47" s="61">
        <f t="shared" si="12"/>
        <v>0</v>
      </c>
      <c r="X47" s="61">
        <f t="shared" si="12"/>
        <v>0</v>
      </c>
      <c r="Y47" s="61">
        <f t="shared" si="12"/>
        <v>0</v>
      </c>
      <c r="Z47" s="61">
        <f t="shared" si="12"/>
        <v>0</v>
      </c>
      <c r="AA47" s="61">
        <f t="shared" si="12"/>
        <v>0</v>
      </c>
      <c r="AB47" s="61">
        <f t="shared" si="12"/>
        <v>0</v>
      </c>
      <c r="AC47" s="61">
        <f t="shared" si="12"/>
        <v>0</v>
      </c>
      <c r="AD47" s="61">
        <f t="shared" si="12"/>
        <v>0</v>
      </c>
      <c r="AE47" s="61">
        <f t="shared" si="12"/>
        <v>0</v>
      </c>
      <c r="AF47" s="61">
        <f t="shared" si="12"/>
        <v>0</v>
      </c>
      <c r="AG47" s="61">
        <f t="shared" si="12"/>
        <v>0</v>
      </c>
      <c r="AH47" s="61">
        <f t="shared" si="12"/>
        <v>0</v>
      </c>
      <c r="AI47" s="61">
        <f t="shared" si="12"/>
        <v>0</v>
      </c>
      <c r="AJ47" s="61">
        <f t="shared" si="12"/>
        <v>0</v>
      </c>
      <c r="AK47" s="61">
        <f t="shared" si="12"/>
        <v>0</v>
      </c>
      <c r="AL47" s="61">
        <f t="shared" si="12"/>
        <v>0</v>
      </c>
      <c r="AM47" s="61">
        <f t="shared" si="12"/>
        <v>0</v>
      </c>
      <c r="AN47" s="61">
        <f t="shared" si="12"/>
        <v>0</v>
      </c>
      <c r="AO47" s="61">
        <f t="shared" si="12"/>
        <v>0</v>
      </c>
      <c r="AP47" s="347">
        <f>SUM(AP48:AP49)</f>
        <v>0</v>
      </c>
      <c r="AQ47" s="134"/>
      <c r="AR47" s="1184"/>
      <c r="AS47" s="1184"/>
    </row>
    <row r="48" spans="1:45" s="2" customFormat="1" x14ac:dyDescent="0.35">
      <c r="A48" s="1198"/>
      <c r="B48" s="1179"/>
      <c r="C48" s="1196"/>
      <c r="D48" s="1201"/>
      <c r="E48" s="63" t="s">
        <v>182</v>
      </c>
      <c r="F48" s="23"/>
      <c r="G48" s="26"/>
      <c r="H48" s="26"/>
      <c r="I48" s="26"/>
      <c r="J48" s="26"/>
      <c r="K48" s="26"/>
      <c r="L48" s="26"/>
      <c r="M48" s="26"/>
      <c r="N48" s="26"/>
      <c r="O48" s="26"/>
      <c r="P48" s="26"/>
      <c r="Q48" s="1086"/>
      <c r="R48" s="1082"/>
      <c r="S48" s="26"/>
      <c r="T48" s="26"/>
      <c r="U48" s="26"/>
      <c r="V48" s="26"/>
      <c r="W48" s="26"/>
      <c r="X48" s="26"/>
      <c r="Y48" s="26"/>
      <c r="Z48" s="26"/>
      <c r="AA48" s="26"/>
      <c r="AB48" s="26"/>
      <c r="AC48" s="1086"/>
      <c r="AD48" s="26"/>
      <c r="AE48" s="26"/>
      <c r="AF48" s="26"/>
      <c r="AG48" s="26"/>
      <c r="AH48" s="26"/>
      <c r="AI48" s="26"/>
      <c r="AJ48" s="26"/>
      <c r="AK48" s="26"/>
      <c r="AL48" s="26"/>
      <c r="AM48" s="26"/>
      <c r="AN48" s="26"/>
      <c r="AO48" s="26"/>
      <c r="AP48" s="344">
        <f>SUM(F48:AO48)</f>
        <v>0</v>
      </c>
      <c r="AQ48" s="135"/>
      <c r="AR48" s="1185"/>
      <c r="AS48" s="1185"/>
    </row>
    <row r="49" spans="1:45" s="2" customFormat="1" x14ac:dyDescent="0.35">
      <c r="A49" s="1198"/>
      <c r="B49" s="1179"/>
      <c r="C49" s="1196"/>
      <c r="D49" s="1201"/>
      <c r="E49" s="336" t="s">
        <v>183</v>
      </c>
      <c r="F49" s="337"/>
      <c r="G49" s="338"/>
      <c r="H49" s="338"/>
      <c r="I49" s="338"/>
      <c r="J49" s="338"/>
      <c r="K49" s="338"/>
      <c r="L49" s="338"/>
      <c r="M49" s="338"/>
      <c r="N49" s="338"/>
      <c r="O49" s="338"/>
      <c r="P49" s="338"/>
      <c r="Q49" s="1087"/>
      <c r="R49" s="1083"/>
      <c r="S49" s="338"/>
      <c r="T49" s="338"/>
      <c r="U49" s="338"/>
      <c r="V49" s="338"/>
      <c r="W49" s="338"/>
      <c r="X49" s="338"/>
      <c r="Y49" s="338"/>
      <c r="Z49" s="338"/>
      <c r="AA49" s="338"/>
      <c r="AB49" s="338"/>
      <c r="AC49" s="1087"/>
      <c r="AD49" s="338"/>
      <c r="AE49" s="338"/>
      <c r="AF49" s="338"/>
      <c r="AG49" s="338"/>
      <c r="AH49" s="338"/>
      <c r="AI49" s="338"/>
      <c r="AJ49" s="338"/>
      <c r="AK49" s="338"/>
      <c r="AL49" s="338"/>
      <c r="AM49" s="338"/>
      <c r="AN49" s="338"/>
      <c r="AO49" s="338"/>
      <c r="AP49" s="344">
        <f>SUM(F49:AO49)</f>
        <v>0</v>
      </c>
      <c r="AQ49" s="335"/>
      <c r="AR49" s="1185"/>
      <c r="AS49" s="1185"/>
    </row>
    <row r="50" spans="1:45" s="2" customFormat="1" x14ac:dyDescent="0.35">
      <c r="A50" s="1198"/>
      <c r="B50" s="1179"/>
      <c r="C50" s="1196"/>
      <c r="D50" s="1201"/>
      <c r="E50" s="36" t="s">
        <v>184</v>
      </c>
      <c r="F50" s="29"/>
      <c r="G50" s="30"/>
      <c r="H50" s="30"/>
      <c r="I50" s="30"/>
      <c r="J50" s="30"/>
      <c r="K50" s="30"/>
      <c r="L50" s="30"/>
      <c r="M50" s="30"/>
      <c r="N50" s="30"/>
      <c r="O50" s="30"/>
      <c r="P50" s="30"/>
      <c r="Q50" s="1088"/>
      <c r="R50" s="1084"/>
      <c r="S50" s="30"/>
      <c r="T50" s="30"/>
      <c r="U50" s="30"/>
      <c r="V50" s="30"/>
      <c r="W50" s="30"/>
      <c r="X50" s="30"/>
      <c r="Y50" s="30"/>
      <c r="Z50" s="30"/>
      <c r="AA50" s="30"/>
      <c r="AB50" s="30"/>
      <c r="AC50" s="1088"/>
      <c r="AD50" s="30"/>
      <c r="AE50" s="30"/>
      <c r="AF50" s="30"/>
      <c r="AG50" s="30"/>
      <c r="AH50" s="30"/>
      <c r="AI50" s="30"/>
      <c r="AJ50" s="30"/>
      <c r="AK50" s="30"/>
      <c r="AL50" s="30"/>
      <c r="AM50" s="30"/>
      <c r="AN50" s="30"/>
      <c r="AO50" s="30"/>
      <c r="AP50" s="344"/>
      <c r="AQ50" s="335"/>
      <c r="AR50" s="1185"/>
      <c r="AS50" s="1185"/>
    </row>
    <row r="51" spans="1:45" s="2" customFormat="1" ht="15" thickBot="1" x14ac:dyDescent="0.4">
      <c r="A51" s="1198"/>
      <c r="B51" s="1179"/>
      <c r="C51" s="1196"/>
      <c r="D51" s="1201"/>
      <c r="E51" s="340" t="s">
        <v>185</v>
      </c>
      <c r="F51" s="341"/>
      <c r="G51" s="342"/>
      <c r="H51" s="342"/>
      <c r="I51" s="342"/>
      <c r="J51" s="342"/>
      <c r="K51" s="342"/>
      <c r="L51" s="342"/>
      <c r="M51" s="342"/>
      <c r="N51" s="342"/>
      <c r="O51" s="342"/>
      <c r="P51" s="342"/>
      <c r="Q51" s="1089"/>
      <c r="R51" s="1085"/>
      <c r="S51" s="342"/>
      <c r="T51" s="342"/>
      <c r="U51" s="342"/>
      <c r="V51" s="342"/>
      <c r="W51" s="342"/>
      <c r="X51" s="342"/>
      <c r="Y51" s="342"/>
      <c r="Z51" s="342"/>
      <c r="AA51" s="342"/>
      <c r="AB51" s="342"/>
      <c r="AC51" s="1089"/>
      <c r="AD51" s="342"/>
      <c r="AE51" s="342"/>
      <c r="AF51" s="342"/>
      <c r="AG51" s="342"/>
      <c r="AH51" s="342"/>
      <c r="AI51" s="342"/>
      <c r="AJ51" s="342"/>
      <c r="AK51" s="342"/>
      <c r="AL51" s="342"/>
      <c r="AM51" s="342"/>
      <c r="AN51" s="342"/>
      <c r="AO51" s="342"/>
      <c r="AP51" s="344"/>
      <c r="AQ51" s="335"/>
      <c r="AR51" s="1185"/>
      <c r="AS51" s="1185"/>
    </row>
    <row r="52" spans="1:45" s="2" customFormat="1" ht="26.5" thickBot="1" x14ac:dyDescent="0.4">
      <c r="A52" s="1198"/>
      <c r="B52" s="1179"/>
      <c r="C52" s="1196"/>
      <c r="D52" s="1201"/>
      <c r="E52" s="1193" t="s">
        <v>175</v>
      </c>
      <c r="F52" s="1194"/>
      <c r="G52" s="1194"/>
      <c r="H52" s="1194"/>
      <c r="I52" s="1194"/>
      <c r="J52" s="1194"/>
      <c r="K52" s="1194"/>
      <c r="L52" s="1194"/>
      <c r="M52" s="1194"/>
      <c r="N52" s="1194"/>
      <c r="O52" s="1194"/>
      <c r="P52" s="1194"/>
      <c r="Q52" s="1194"/>
      <c r="R52" s="1194"/>
      <c r="S52" s="1194"/>
      <c r="T52" s="1194"/>
      <c r="U52" s="1194"/>
      <c r="V52" s="1194"/>
      <c r="W52" s="1194"/>
      <c r="X52" s="1194"/>
      <c r="Y52" s="1194"/>
      <c r="Z52" s="1194"/>
      <c r="AA52" s="1194"/>
      <c r="AB52" s="1194"/>
      <c r="AC52" s="1194"/>
      <c r="AD52" s="1194"/>
      <c r="AE52" s="1194"/>
      <c r="AF52" s="1194"/>
      <c r="AG52" s="1194"/>
      <c r="AH52" s="1194"/>
      <c r="AI52" s="1194"/>
      <c r="AJ52" s="1194"/>
      <c r="AK52" s="1194"/>
      <c r="AL52" s="1194"/>
      <c r="AM52" s="1194"/>
      <c r="AN52" s="1194"/>
      <c r="AO52" s="1194"/>
      <c r="AP52" s="348" t="e">
        <f>SUM(AP54:AP55)/AP47</f>
        <v>#DIV/0!</v>
      </c>
      <c r="AQ52" s="349" t="s">
        <v>186</v>
      </c>
      <c r="AR52" s="1185"/>
      <c r="AS52" s="1185"/>
    </row>
    <row r="53" spans="1:45" s="2" customFormat="1" x14ac:dyDescent="0.35">
      <c r="A53" s="1198"/>
      <c r="B53" s="1179"/>
      <c r="C53" s="1196"/>
      <c r="D53" s="1201"/>
      <c r="E53" s="62" t="s">
        <v>187</v>
      </c>
      <c r="F53" s="44">
        <f>SUM(F54:F57)</f>
        <v>0</v>
      </c>
      <c r="G53" s="43">
        <f>SUM(G54:G57)</f>
        <v>0</v>
      </c>
      <c r="H53" s="43">
        <f t="shared" ref="H53:AO53" si="13">SUM(H54:H57)</f>
        <v>0</v>
      </c>
      <c r="I53" s="43">
        <f t="shared" si="13"/>
        <v>0</v>
      </c>
      <c r="J53" s="43">
        <f t="shared" si="13"/>
        <v>0</v>
      </c>
      <c r="K53" s="43">
        <f t="shared" si="13"/>
        <v>0</v>
      </c>
      <c r="L53" s="43">
        <f t="shared" si="13"/>
        <v>0</v>
      </c>
      <c r="M53" s="43">
        <f t="shared" si="13"/>
        <v>0</v>
      </c>
      <c r="N53" s="43">
        <f t="shared" si="13"/>
        <v>0</v>
      </c>
      <c r="O53" s="43">
        <f t="shared" si="13"/>
        <v>0</v>
      </c>
      <c r="P53" s="43">
        <f t="shared" si="13"/>
        <v>0</v>
      </c>
      <c r="Q53" s="43">
        <f t="shared" si="13"/>
        <v>0</v>
      </c>
      <c r="R53" s="43">
        <f t="shared" si="13"/>
        <v>0</v>
      </c>
      <c r="S53" s="43">
        <f t="shared" si="13"/>
        <v>0</v>
      </c>
      <c r="T53" s="43">
        <f t="shared" si="13"/>
        <v>0</v>
      </c>
      <c r="U53" s="43">
        <f t="shared" si="13"/>
        <v>0</v>
      </c>
      <c r="V53" s="43">
        <f t="shared" si="13"/>
        <v>0</v>
      </c>
      <c r="W53" s="43">
        <f t="shared" si="13"/>
        <v>0</v>
      </c>
      <c r="X53" s="43">
        <f t="shared" si="13"/>
        <v>0</v>
      </c>
      <c r="Y53" s="43">
        <f t="shared" si="13"/>
        <v>0</v>
      </c>
      <c r="Z53" s="43">
        <f t="shared" si="13"/>
        <v>0</v>
      </c>
      <c r="AA53" s="43">
        <f t="shared" si="13"/>
        <v>0</v>
      </c>
      <c r="AB53" s="43">
        <f t="shared" si="13"/>
        <v>0</v>
      </c>
      <c r="AC53" s="43">
        <f t="shared" si="13"/>
        <v>0</v>
      </c>
      <c r="AD53" s="43">
        <f t="shared" si="13"/>
        <v>0</v>
      </c>
      <c r="AE53" s="43">
        <f t="shared" si="13"/>
        <v>0</v>
      </c>
      <c r="AF53" s="43">
        <f t="shared" si="13"/>
        <v>0</v>
      </c>
      <c r="AG53" s="43">
        <f t="shared" si="13"/>
        <v>0</v>
      </c>
      <c r="AH53" s="43">
        <f t="shared" si="13"/>
        <v>0</v>
      </c>
      <c r="AI53" s="43">
        <f t="shared" si="13"/>
        <v>0</v>
      </c>
      <c r="AJ53" s="43">
        <f t="shared" si="13"/>
        <v>0</v>
      </c>
      <c r="AK53" s="43">
        <f t="shared" si="13"/>
        <v>0</v>
      </c>
      <c r="AL53" s="43">
        <f t="shared" si="13"/>
        <v>0</v>
      </c>
      <c r="AM53" s="43">
        <f t="shared" si="13"/>
        <v>0</v>
      </c>
      <c r="AN53" s="43">
        <f t="shared" si="13"/>
        <v>0</v>
      </c>
      <c r="AO53" s="43">
        <f t="shared" si="13"/>
        <v>0</v>
      </c>
      <c r="AP53" s="65"/>
      <c r="AQ53" s="65"/>
      <c r="AR53" s="1185"/>
      <c r="AS53" s="1185"/>
    </row>
    <row r="54" spans="1:45" s="2" customFormat="1" x14ac:dyDescent="0.35">
      <c r="A54" s="1198"/>
      <c r="B54" s="1179"/>
      <c r="C54" s="1196"/>
      <c r="D54" s="1201"/>
      <c r="E54" s="63" t="s">
        <v>188</v>
      </c>
      <c r="F54" s="23"/>
      <c r="G54" s="26"/>
      <c r="H54" s="26"/>
      <c r="I54" s="26"/>
      <c r="J54" s="26"/>
      <c r="K54" s="26"/>
      <c r="L54" s="26"/>
      <c r="M54" s="26"/>
      <c r="N54" s="26"/>
      <c r="O54" s="26"/>
      <c r="P54" s="26"/>
      <c r="Q54" s="1086"/>
      <c r="R54" s="1082"/>
      <c r="S54" s="26"/>
      <c r="T54" s="26"/>
      <c r="U54" s="26"/>
      <c r="V54" s="26"/>
      <c r="W54" s="26"/>
      <c r="X54" s="26"/>
      <c r="Y54" s="26"/>
      <c r="Z54" s="26"/>
      <c r="AA54" s="26"/>
      <c r="AB54" s="26"/>
      <c r="AC54" s="1086"/>
      <c r="AD54" s="26"/>
      <c r="AE54" s="26"/>
      <c r="AF54" s="26"/>
      <c r="AG54" s="26"/>
      <c r="AH54" s="26"/>
      <c r="AI54" s="26"/>
      <c r="AJ54" s="26"/>
      <c r="AK54" s="26"/>
      <c r="AL54" s="26"/>
      <c r="AM54" s="26"/>
      <c r="AN54" s="26"/>
      <c r="AO54" s="26"/>
      <c r="AP54" s="65">
        <f>SUM(F54:AO54)</f>
        <v>0</v>
      </c>
      <c r="AQ54" s="346" t="e">
        <f>AP54/AP48</f>
        <v>#DIV/0!</v>
      </c>
      <c r="AR54" s="1185"/>
      <c r="AS54" s="1185"/>
    </row>
    <row r="55" spans="1:45" s="2" customFormat="1" x14ac:dyDescent="0.35">
      <c r="A55" s="1198"/>
      <c r="B55" s="1179"/>
      <c r="C55" s="1196"/>
      <c r="D55" s="1201"/>
      <c r="E55" s="37" t="s">
        <v>189</v>
      </c>
      <c r="F55" s="33"/>
      <c r="G55" s="32"/>
      <c r="H55" s="32"/>
      <c r="I55" s="32"/>
      <c r="J55" s="32"/>
      <c r="K55" s="32"/>
      <c r="L55" s="32"/>
      <c r="M55" s="32"/>
      <c r="N55" s="32"/>
      <c r="O55" s="32"/>
      <c r="P55" s="32"/>
      <c r="Q55" s="1092"/>
      <c r="R55" s="1090"/>
      <c r="S55" s="32"/>
      <c r="T55" s="32"/>
      <c r="U55" s="32"/>
      <c r="V55" s="32"/>
      <c r="W55" s="32"/>
      <c r="X55" s="32"/>
      <c r="Y55" s="32"/>
      <c r="Z55" s="32"/>
      <c r="AA55" s="32"/>
      <c r="AB55" s="32"/>
      <c r="AC55" s="1092"/>
      <c r="AD55" s="32"/>
      <c r="AE55" s="32"/>
      <c r="AF55" s="32"/>
      <c r="AG55" s="32"/>
      <c r="AH55" s="32"/>
      <c r="AI55" s="32"/>
      <c r="AJ55" s="32"/>
      <c r="AK55" s="32"/>
      <c r="AL55" s="32"/>
      <c r="AM55" s="32"/>
      <c r="AN55" s="32"/>
      <c r="AO55" s="32"/>
      <c r="AP55" s="65">
        <f>SUM(F55:AO55)</f>
        <v>0</v>
      </c>
      <c r="AQ55" s="346" t="e">
        <f>AP55/AP49</f>
        <v>#DIV/0!</v>
      </c>
      <c r="AR55" s="1185"/>
      <c r="AS55" s="1185"/>
    </row>
    <row r="56" spans="1:45" s="2" customFormat="1" x14ac:dyDescent="0.35">
      <c r="A56" s="1198"/>
      <c r="B56" s="1179"/>
      <c r="C56" s="1196"/>
      <c r="D56" s="1201"/>
      <c r="E56" s="36" t="s">
        <v>190</v>
      </c>
      <c r="F56" s="29"/>
      <c r="G56" s="30"/>
      <c r="H56" s="30"/>
      <c r="I56" s="30"/>
      <c r="J56" s="30"/>
      <c r="K56" s="30"/>
      <c r="L56" s="30"/>
      <c r="M56" s="30"/>
      <c r="N56" s="30"/>
      <c r="O56" s="30"/>
      <c r="P56" s="30"/>
      <c r="Q56" s="1088"/>
      <c r="R56" s="1084"/>
      <c r="S56" s="30"/>
      <c r="T56" s="30"/>
      <c r="U56" s="30"/>
      <c r="V56" s="30"/>
      <c r="W56" s="30"/>
      <c r="X56" s="30"/>
      <c r="Y56" s="30"/>
      <c r="Z56" s="30"/>
      <c r="AA56" s="30"/>
      <c r="AB56" s="30"/>
      <c r="AC56" s="1088"/>
      <c r="AD56" s="30"/>
      <c r="AE56" s="30"/>
      <c r="AF56" s="30"/>
      <c r="AG56" s="30"/>
      <c r="AH56" s="30"/>
      <c r="AI56" s="30"/>
      <c r="AJ56" s="30"/>
      <c r="AK56" s="30"/>
      <c r="AL56" s="30"/>
      <c r="AM56" s="30"/>
      <c r="AN56" s="30"/>
      <c r="AO56" s="30"/>
      <c r="AP56" s="65"/>
      <c r="AQ56" s="65"/>
      <c r="AR56" s="1185"/>
      <c r="AS56" s="1185"/>
    </row>
    <row r="57" spans="1:45" s="2" customFormat="1" ht="15" thickBot="1" x14ac:dyDescent="0.4">
      <c r="A57" s="1199"/>
      <c r="B57" s="1180"/>
      <c r="C57" s="1197"/>
      <c r="D57" s="1202"/>
      <c r="E57" s="64" t="s">
        <v>191</v>
      </c>
      <c r="F57" s="25"/>
      <c r="G57" s="28"/>
      <c r="H57" s="28"/>
      <c r="I57" s="28"/>
      <c r="J57" s="28"/>
      <c r="K57" s="28"/>
      <c r="L57" s="28"/>
      <c r="M57" s="28"/>
      <c r="N57" s="28"/>
      <c r="O57" s="28"/>
      <c r="P57" s="28"/>
      <c r="Q57" s="1093"/>
      <c r="R57" s="1091"/>
      <c r="S57" s="28"/>
      <c r="T57" s="28"/>
      <c r="U57" s="28"/>
      <c r="V57" s="28"/>
      <c r="W57" s="28"/>
      <c r="X57" s="28"/>
      <c r="Y57" s="28"/>
      <c r="Z57" s="28"/>
      <c r="AA57" s="28"/>
      <c r="AB57" s="28"/>
      <c r="AC57" s="1093"/>
      <c r="AD57" s="28"/>
      <c r="AE57" s="28"/>
      <c r="AF57" s="28"/>
      <c r="AG57" s="28"/>
      <c r="AH57" s="28"/>
      <c r="AI57" s="28"/>
      <c r="AJ57" s="28"/>
      <c r="AK57" s="28"/>
      <c r="AL57" s="28"/>
      <c r="AM57" s="28"/>
      <c r="AN57" s="28"/>
      <c r="AO57" s="28"/>
      <c r="AP57" s="137"/>
      <c r="AQ57" s="137"/>
      <c r="AR57" s="1186"/>
      <c r="AS57" s="1186"/>
    </row>
    <row r="58" spans="1:45" s="2" customFormat="1" x14ac:dyDescent="0.35">
      <c r="A58" s="1198">
        <v>6</v>
      </c>
      <c r="B58" s="1178" t="str">
        <f>IF(VLOOKUP(A:A,'Pivot Table'!Z:AE,6,FALSE)=0,"",VLOOKUP(A:A,'Pivot Table'!Z:AE,6,FALSE))</f>
        <v/>
      </c>
      <c r="C58" s="1195" t="str">
        <f>_xlfn.IFNA(VLOOKUP(B:B,'indicator lists'!L:R,3,FALSE),"")</f>
        <v/>
      </c>
      <c r="D58" s="1200" t="str">
        <f>_xlfn.IFNA(VLOOKUP(A:A,'Pivot Table'!P:X,9,FALSE),"")</f>
        <v/>
      </c>
      <c r="E58" s="59" t="s">
        <v>181</v>
      </c>
      <c r="F58" s="60">
        <f>SUM(F59:F62)</f>
        <v>0</v>
      </c>
      <c r="G58" s="61">
        <f>SUM(G59:G62)</f>
        <v>0</v>
      </c>
      <c r="H58" s="61">
        <f t="shared" ref="H58:AO58" si="14">SUM(H59:H62)</f>
        <v>0</v>
      </c>
      <c r="I58" s="61">
        <f t="shared" si="14"/>
        <v>0</v>
      </c>
      <c r="J58" s="61">
        <f t="shared" si="14"/>
        <v>0</v>
      </c>
      <c r="K58" s="61">
        <f t="shared" si="14"/>
        <v>0</v>
      </c>
      <c r="L58" s="61">
        <f t="shared" si="14"/>
        <v>0</v>
      </c>
      <c r="M58" s="61">
        <f t="shared" si="14"/>
        <v>0</v>
      </c>
      <c r="N58" s="61">
        <f t="shared" si="14"/>
        <v>0</v>
      </c>
      <c r="O58" s="61">
        <f t="shared" si="14"/>
        <v>0</v>
      </c>
      <c r="P58" s="61">
        <f t="shared" si="14"/>
        <v>0</v>
      </c>
      <c r="Q58" s="61">
        <f t="shared" si="14"/>
        <v>0</v>
      </c>
      <c r="R58" s="61">
        <f t="shared" si="14"/>
        <v>0</v>
      </c>
      <c r="S58" s="61">
        <f t="shared" si="14"/>
        <v>0</v>
      </c>
      <c r="T58" s="61">
        <f t="shared" si="14"/>
        <v>0</v>
      </c>
      <c r="U58" s="61">
        <f t="shared" si="14"/>
        <v>0</v>
      </c>
      <c r="V58" s="61">
        <f t="shared" si="14"/>
        <v>0</v>
      </c>
      <c r="W58" s="61">
        <f t="shared" si="14"/>
        <v>0</v>
      </c>
      <c r="X58" s="61">
        <f t="shared" si="14"/>
        <v>0</v>
      </c>
      <c r="Y58" s="61">
        <f t="shared" si="14"/>
        <v>0</v>
      </c>
      <c r="Z58" s="61">
        <f t="shared" si="14"/>
        <v>0</v>
      </c>
      <c r="AA58" s="61">
        <f t="shared" si="14"/>
        <v>0</v>
      </c>
      <c r="AB58" s="61">
        <f t="shared" si="14"/>
        <v>0</v>
      </c>
      <c r="AC58" s="61">
        <f t="shared" si="14"/>
        <v>0</v>
      </c>
      <c r="AD58" s="61">
        <f t="shared" si="14"/>
        <v>0</v>
      </c>
      <c r="AE58" s="61">
        <f t="shared" si="14"/>
        <v>0</v>
      </c>
      <c r="AF58" s="61">
        <f t="shared" si="14"/>
        <v>0</v>
      </c>
      <c r="AG58" s="61">
        <f t="shared" si="14"/>
        <v>0</v>
      </c>
      <c r="AH58" s="61">
        <f t="shared" si="14"/>
        <v>0</v>
      </c>
      <c r="AI58" s="61">
        <f t="shared" si="14"/>
        <v>0</v>
      </c>
      <c r="AJ58" s="61">
        <f t="shared" si="14"/>
        <v>0</v>
      </c>
      <c r="AK58" s="61">
        <f t="shared" si="14"/>
        <v>0</v>
      </c>
      <c r="AL58" s="61">
        <f t="shared" si="14"/>
        <v>0</v>
      </c>
      <c r="AM58" s="61">
        <f t="shared" si="14"/>
        <v>0</v>
      </c>
      <c r="AN58" s="61">
        <f t="shared" si="14"/>
        <v>0</v>
      </c>
      <c r="AO58" s="61">
        <f t="shared" si="14"/>
        <v>0</v>
      </c>
      <c r="AP58" s="347">
        <f>SUM(AP59:AP60)</f>
        <v>0</v>
      </c>
      <c r="AQ58" s="134"/>
      <c r="AR58" s="1184"/>
      <c r="AS58" s="1184"/>
    </row>
    <row r="59" spans="1:45" s="2" customFormat="1" x14ac:dyDescent="0.35">
      <c r="A59" s="1198"/>
      <c r="B59" s="1179"/>
      <c r="C59" s="1196"/>
      <c r="D59" s="1201"/>
      <c r="E59" s="63" t="s">
        <v>182</v>
      </c>
      <c r="F59" s="23"/>
      <c r="G59" s="26"/>
      <c r="H59" s="26"/>
      <c r="I59" s="26"/>
      <c r="J59" s="26"/>
      <c r="K59" s="26"/>
      <c r="L59" s="26"/>
      <c r="M59" s="26"/>
      <c r="N59" s="26"/>
      <c r="O59" s="26"/>
      <c r="P59" s="26"/>
      <c r="Q59" s="1086"/>
      <c r="R59" s="1082"/>
      <c r="S59" s="26"/>
      <c r="T59" s="26"/>
      <c r="U59" s="26"/>
      <c r="V59" s="26"/>
      <c r="W59" s="26"/>
      <c r="X59" s="26"/>
      <c r="Y59" s="26"/>
      <c r="Z59" s="26"/>
      <c r="AA59" s="26"/>
      <c r="AB59" s="26"/>
      <c r="AC59" s="1086"/>
      <c r="AD59" s="26"/>
      <c r="AE59" s="26"/>
      <c r="AF59" s="26"/>
      <c r="AG59" s="26"/>
      <c r="AH59" s="26"/>
      <c r="AI59" s="26"/>
      <c r="AJ59" s="26"/>
      <c r="AK59" s="26"/>
      <c r="AL59" s="26"/>
      <c r="AM59" s="26"/>
      <c r="AN59" s="26"/>
      <c r="AO59" s="26"/>
      <c r="AP59" s="344">
        <f>SUM(F59:AO59)</f>
        <v>0</v>
      </c>
      <c r="AQ59" s="135"/>
      <c r="AR59" s="1185"/>
      <c r="AS59" s="1185"/>
    </row>
    <row r="60" spans="1:45" s="2" customFormat="1" x14ac:dyDescent="0.35">
      <c r="A60" s="1198"/>
      <c r="B60" s="1179"/>
      <c r="C60" s="1196"/>
      <c r="D60" s="1201"/>
      <c r="E60" s="336" t="s">
        <v>183</v>
      </c>
      <c r="F60" s="337"/>
      <c r="G60" s="338"/>
      <c r="H60" s="338"/>
      <c r="I60" s="338"/>
      <c r="J60" s="338"/>
      <c r="K60" s="338"/>
      <c r="L60" s="338"/>
      <c r="M60" s="338"/>
      <c r="N60" s="338"/>
      <c r="O60" s="338"/>
      <c r="P60" s="338"/>
      <c r="Q60" s="1087"/>
      <c r="R60" s="1083"/>
      <c r="S60" s="338"/>
      <c r="T60" s="338"/>
      <c r="U60" s="338"/>
      <c r="V60" s="338"/>
      <c r="W60" s="338"/>
      <c r="X60" s="338"/>
      <c r="Y60" s="338"/>
      <c r="Z60" s="338"/>
      <c r="AA60" s="338"/>
      <c r="AB60" s="338"/>
      <c r="AC60" s="1087"/>
      <c r="AD60" s="338"/>
      <c r="AE60" s="338"/>
      <c r="AF60" s="338"/>
      <c r="AG60" s="338"/>
      <c r="AH60" s="338"/>
      <c r="AI60" s="338"/>
      <c r="AJ60" s="338"/>
      <c r="AK60" s="338"/>
      <c r="AL60" s="338"/>
      <c r="AM60" s="338"/>
      <c r="AN60" s="338"/>
      <c r="AO60" s="338"/>
      <c r="AP60" s="344">
        <f>SUM(F60:AO60)</f>
        <v>0</v>
      </c>
      <c r="AQ60" s="335"/>
      <c r="AR60" s="1185"/>
      <c r="AS60" s="1185"/>
    </row>
    <row r="61" spans="1:45" s="2" customFormat="1" x14ac:dyDescent="0.35">
      <c r="A61" s="1198"/>
      <c r="B61" s="1179"/>
      <c r="C61" s="1196"/>
      <c r="D61" s="1201"/>
      <c r="E61" s="36" t="s">
        <v>184</v>
      </c>
      <c r="F61" s="29"/>
      <c r="G61" s="30"/>
      <c r="H61" s="30"/>
      <c r="I61" s="30"/>
      <c r="J61" s="30"/>
      <c r="K61" s="30"/>
      <c r="L61" s="30"/>
      <c r="M61" s="30"/>
      <c r="N61" s="30"/>
      <c r="O61" s="30"/>
      <c r="P61" s="30"/>
      <c r="Q61" s="1088"/>
      <c r="R61" s="1084"/>
      <c r="S61" s="30"/>
      <c r="T61" s="30"/>
      <c r="U61" s="30"/>
      <c r="V61" s="30"/>
      <c r="W61" s="30"/>
      <c r="X61" s="30"/>
      <c r="Y61" s="30"/>
      <c r="Z61" s="30"/>
      <c r="AA61" s="30"/>
      <c r="AB61" s="30"/>
      <c r="AC61" s="1088"/>
      <c r="AD61" s="30"/>
      <c r="AE61" s="30"/>
      <c r="AF61" s="30"/>
      <c r="AG61" s="30"/>
      <c r="AH61" s="30"/>
      <c r="AI61" s="30"/>
      <c r="AJ61" s="30"/>
      <c r="AK61" s="30"/>
      <c r="AL61" s="30"/>
      <c r="AM61" s="30"/>
      <c r="AN61" s="30"/>
      <c r="AO61" s="30"/>
      <c r="AP61" s="344"/>
      <c r="AQ61" s="335"/>
      <c r="AR61" s="1185"/>
      <c r="AS61" s="1185"/>
    </row>
    <row r="62" spans="1:45" s="2" customFormat="1" ht="15" thickBot="1" x14ac:dyDescent="0.4">
      <c r="A62" s="1198"/>
      <c r="B62" s="1179"/>
      <c r="C62" s="1196"/>
      <c r="D62" s="1201"/>
      <c r="E62" s="340" t="s">
        <v>185</v>
      </c>
      <c r="F62" s="341"/>
      <c r="G62" s="342"/>
      <c r="H62" s="342"/>
      <c r="I62" s="342"/>
      <c r="J62" s="342"/>
      <c r="K62" s="342"/>
      <c r="L62" s="342"/>
      <c r="M62" s="342"/>
      <c r="N62" s="342"/>
      <c r="O62" s="342"/>
      <c r="P62" s="342"/>
      <c r="Q62" s="1089"/>
      <c r="R62" s="1085"/>
      <c r="S62" s="342"/>
      <c r="T62" s="342"/>
      <c r="U62" s="342"/>
      <c r="V62" s="342"/>
      <c r="W62" s="342"/>
      <c r="X62" s="342"/>
      <c r="Y62" s="342"/>
      <c r="Z62" s="342"/>
      <c r="AA62" s="342"/>
      <c r="AB62" s="342"/>
      <c r="AC62" s="1089"/>
      <c r="AD62" s="342"/>
      <c r="AE62" s="342"/>
      <c r="AF62" s="342"/>
      <c r="AG62" s="342"/>
      <c r="AH62" s="342"/>
      <c r="AI62" s="342"/>
      <c r="AJ62" s="342"/>
      <c r="AK62" s="342"/>
      <c r="AL62" s="342"/>
      <c r="AM62" s="342"/>
      <c r="AN62" s="342"/>
      <c r="AO62" s="342"/>
      <c r="AP62" s="344"/>
      <c r="AQ62" s="335"/>
      <c r="AR62" s="1185"/>
      <c r="AS62" s="1185"/>
    </row>
    <row r="63" spans="1:45" s="2" customFormat="1" ht="26.5" thickBot="1" x14ac:dyDescent="0.4">
      <c r="A63" s="1198"/>
      <c r="B63" s="1179"/>
      <c r="C63" s="1196"/>
      <c r="D63" s="1201"/>
      <c r="E63" s="1193" t="s">
        <v>175</v>
      </c>
      <c r="F63" s="1194"/>
      <c r="G63" s="1194"/>
      <c r="H63" s="1194"/>
      <c r="I63" s="1194"/>
      <c r="J63" s="1194"/>
      <c r="K63" s="1194"/>
      <c r="L63" s="1194"/>
      <c r="M63" s="1194"/>
      <c r="N63" s="1194"/>
      <c r="O63" s="1194"/>
      <c r="P63" s="1194"/>
      <c r="Q63" s="1194"/>
      <c r="R63" s="1194"/>
      <c r="S63" s="1194"/>
      <c r="T63" s="1194"/>
      <c r="U63" s="1194"/>
      <c r="V63" s="1194"/>
      <c r="W63" s="1194"/>
      <c r="X63" s="1194"/>
      <c r="Y63" s="1194"/>
      <c r="Z63" s="1194"/>
      <c r="AA63" s="1194"/>
      <c r="AB63" s="1194"/>
      <c r="AC63" s="1194"/>
      <c r="AD63" s="1194"/>
      <c r="AE63" s="1194"/>
      <c r="AF63" s="1194"/>
      <c r="AG63" s="1194"/>
      <c r="AH63" s="1194"/>
      <c r="AI63" s="1194"/>
      <c r="AJ63" s="1194"/>
      <c r="AK63" s="1194"/>
      <c r="AL63" s="1194"/>
      <c r="AM63" s="1194"/>
      <c r="AN63" s="1194"/>
      <c r="AO63" s="1194"/>
      <c r="AP63" s="348" t="e">
        <f>SUM(AP65:AP66)/AP58</f>
        <v>#DIV/0!</v>
      </c>
      <c r="AQ63" s="349" t="s">
        <v>186</v>
      </c>
      <c r="AR63" s="1185"/>
      <c r="AS63" s="1185"/>
    </row>
    <row r="64" spans="1:45" s="2" customFormat="1" x14ac:dyDescent="0.35">
      <c r="A64" s="1198"/>
      <c r="B64" s="1179"/>
      <c r="C64" s="1196"/>
      <c r="D64" s="1201"/>
      <c r="E64" s="62" t="s">
        <v>187</v>
      </c>
      <c r="F64" s="44">
        <f>SUM(F65:F68)</f>
        <v>0</v>
      </c>
      <c r="G64" s="43">
        <f>SUM(G65:G68)</f>
        <v>0</v>
      </c>
      <c r="H64" s="43">
        <f t="shared" ref="H64:AO64" si="15">SUM(H65:H68)</f>
        <v>0</v>
      </c>
      <c r="I64" s="43">
        <f t="shared" si="15"/>
        <v>0</v>
      </c>
      <c r="J64" s="43">
        <f t="shared" si="15"/>
        <v>0</v>
      </c>
      <c r="K64" s="43">
        <f t="shared" si="15"/>
        <v>0</v>
      </c>
      <c r="L64" s="43">
        <f t="shared" si="15"/>
        <v>0</v>
      </c>
      <c r="M64" s="43">
        <f t="shared" si="15"/>
        <v>0</v>
      </c>
      <c r="N64" s="43">
        <f t="shared" si="15"/>
        <v>0</v>
      </c>
      <c r="O64" s="43">
        <f t="shared" si="15"/>
        <v>0</v>
      </c>
      <c r="P64" s="43">
        <f t="shared" si="15"/>
        <v>0</v>
      </c>
      <c r="Q64" s="43">
        <f t="shared" si="15"/>
        <v>0</v>
      </c>
      <c r="R64" s="43">
        <f t="shared" si="15"/>
        <v>0</v>
      </c>
      <c r="S64" s="43">
        <f t="shared" si="15"/>
        <v>0</v>
      </c>
      <c r="T64" s="43">
        <f t="shared" si="15"/>
        <v>0</v>
      </c>
      <c r="U64" s="43">
        <f t="shared" si="15"/>
        <v>0</v>
      </c>
      <c r="V64" s="43">
        <f t="shared" si="15"/>
        <v>0</v>
      </c>
      <c r="W64" s="43">
        <f t="shared" si="15"/>
        <v>0</v>
      </c>
      <c r="X64" s="43">
        <f t="shared" si="15"/>
        <v>0</v>
      </c>
      <c r="Y64" s="43">
        <f t="shared" si="15"/>
        <v>0</v>
      </c>
      <c r="Z64" s="43">
        <f t="shared" si="15"/>
        <v>0</v>
      </c>
      <c r="AA64" s="43">
        <f t="shared" si="15"/>
        <v>0</v>
      </c>
      <c r="AB64" s="43">
        <f t="shared" si="15"/>
        <v>0</v>
      </c>
      <c r="AC64" s="43">
        <f t="shared" si="15"/>
        <v>0</v>
      </c>
      <c r="AD64" s="43">
        <f t="shared" si="15"/>
        <v>0</v>
      </c>
      <c r="AE64" s="43">
        <f t="shared" si="15"/>
        <v>0</v>
      </c>
      <c r="AF64" s="43">
        <f t="shared" si="15"/>
        <v>0</v>
      </c>
      <c r="AG64" s="43">
        <f t="shared" si="15"/>
        <v>0</v>
      </c>
      <c r="AH64" s="43">
        <f t="shared" si="15"/>
        <v>0</v>
      </c>
      <c r="AI64" s="43">
        <f t="shared" si="15"/>
        <v>0</v>
      </c>
      <c r="AJ64" s="43">
        <f t="shared" si="15"/>
        <v>0</v>
      </c>
      <c r="AK64" s="43">
        <f t="shared" si="15"/>
        <v>0</v>
      </c>
      <c r="AL64" s="43">
        <f t="shared" si="15"/>
        <v>0</v>
      </c>
      <c r="AM64" s="43">
        <f t="shared" si="15"/>
        <v>0</v>
      </c>
      <c r="AN64" s="43">
        <f t="shared" si="15"/>
        <v>0</v>
      </c>
      <c r="AO64" s="43">
        <f t="shared" si="15"/>
        <v>0</v>
      </c>
      <c r="AP64" s="65"/>
      <c r="AQ64" s="65"/>
      <c r="AR64" s="1185"/>
      <c r="AS64" s="1185"/>
    </row>
    <row r="65" spans="1:45" s="2" customFormat="1" x14ac:dyDescent="0.35">
      <c r="A65" s="1198"/>
      <c r="B65" s="1179"/>
      <c r="C65" s="1196"/>
      <c r="D65" s="1201"/>
      <c r="E65" s="63" t="s">
        <v>188</v>
      </c>
      <c r="F65" s="23"/>
      <c r="G65" s="26"/>
      <c r="H65" s="26"/>
      <c r="I65" s="26"/>
      <c r="J65" s="26"/>
      <c r="K65" s="26"/>
      <c r="L65" s="26"/>
      <c r="M65" s="26"/>
      <c r="N65" s="26"/>
      <c r="O65" s="26"/>
      <c r="P65" s="26"/>
      <c r="Q65" s="1086"/>
      <c r="R65" s="1082"/>
      <c r="S65" s="26"/>
      <c r="T65" s="26"/>
      <c r="U65" s="26"/>
      <c r="V65" s="26"/>
      <c r="W65" s="26"/>
      <c r="X65" s="26"/>
      <c r="Y65" s="26"/>
      <c r="Z65" s="26"/>
      <c r="AA65" s="26"/>
      <c r="AB65" s="26"/>
      <c r="AC65" s="1086"/>
      <c r="AD65" s="26"/>
      <c r="AE65" s="26"/>
      <c r="AF65" s="26"/>
      <c r="AG65" s="26"/>
      <c r="AH65" s="26"/>
      <c r="AI65" s="26"/>
      <c r="AJ65" s="26"/>
      <c r="AK65" s="26"/>
      <c r="AL65" s="26"/>
      <c r="AM65" s="26"/>
      <c r="AN65" s="26"/>
      <c r="AO65" s="26"/>
      <c r="AP65" s="65">
        <f>SUM(F65:AO65)</f>
        <v>0</v>
      </c>
      <c r="AQ65" s="346" t="e">
        <f>AP65/AP59</f>
        <v>#DIV/0!</v>
      </c>
      <c r="AR65" s="1185"/>
      <c r="AS65" s="1185"/>
    </row>
    <row r="66" spans="1:45" s="2" customFormat="1" x14ac:dyDescent="0.35">
      <c r="A66" s="1198"/>
      <c r="B66" s="1179"/>
      <c r="C66" s="1196"/>
      <c r="D66" s="1201"/>
      <c r="E66" s="37" t="s">
        <v>189</v>
      </c>
      <c r="F66" s="33"/>
      <c r="G66" s="32"/>
      <c r="H66" s="32"/>
      <c r="I66" s="32"/>
      <c r="J66" s="32"/>
      <c r="K66" s="32"/>
      <c r="L66" s="32"/>
      <c r="M66" s="32"/>
      <c r="N66" s="32"/>
      <c r="O66" s="32"/>
      <c r="P66" s="32"/>
      <c r="Q66" s="1092"/>
      <c r="R66" s="1090"/>
      <c r="S66" s="32"/>
      <c r="T66" s="32"/>
      <c r="U66" s="32"/>
      <c r="V66" s="32"/>
      <c r="W66" s="32"/>
      <c r="X66" s="32"/>
      <c r="Y66" s="32"/>
      <c r="Z66" s="32"/>
      <c r="AA66" s="32"/>
      <c r="AB66" s="32"/>
      <c r="AC66" s="1092"/>
      <c r="AD66" s="32"/>
      <c r="AE66" s="32"/>
      <c r="AF66" s="32"/>
      <c r="AG66" s="32"/>
      <c r="AH66" s="32"/>
      <c r="AI66" s="32"/>
      <c r="AJ66" s="32"/>
      <c r="AK66" s="32"/>
      <c r="AL66" s="32"/>
      <c r="AM66" s="32"/>
      <c r="AN66" s="32"/>
      <c r="AO66" s="32"/>
      <c r="AP66" s="65">
        <f>SUM(F66:AO66)</f>
        <v>0</v>
      </c>
      <c r="AQ66" s="346" t="e">
        <f>AP66/AP60</f>
        <v>#DIV/0!</v>
      </c>
      <c r="AR66" s="1185"/>
      <c r="AS66" s="1185"/>
    </row>
    <row r="67" spans="1:45" s="2" customFormat="1" x14ac:dyDescent="0.35">
      <c r="A67" s="1198"/>
      <c r="B67" s="1179"/>
      <c r="C67" s="1196"/>
      <c r="D67" s="1201"/>
      <c r="E67" s="36" t="s">
        <v>190</v>
      </c>
      <c r="F67" s="29"/>
      <c r="G67" s="30"/>
      <c r="H67" s="30"/>
      <c r="I67" s="30"/>
      <c r="J67" s="30"/>
      <c r="K67" s="30"/>
      <c r="L67" s="30"/>
      <c r="M67" s="30"/>
      <c r="N67" s="30"/>
      <c r="O67" s="30"/>
      <c r="P67" s="30"/>
      <c r="Q67" s="1088"/>
      <c r="R67" s="1084"/>
      <c r="S67" s="30"/>
      <c r="T67" s="30"/>
      <c r="U67" s="30"/>
      <c r="V67" s="30"/>
      <c r="W67" s="30"/>
      <c r="X67" s="30"/>
      <c r="Y67" s="30"/>
      <c r="Z67" s="30"/>
      <c r="AA67" s="30"/>
      <c r="AB67" s="30"/>
      <c r="AC67" s="1088"/>
      <c r="AD67" s="30"/>
      <c r="AE67" s="30"/>
      <c r="AF67" s="30"/>
      <c r="AG67" s="30"/>
      <c r="AH67" s="30"/>
      <c r="AI67" s="30"/>
      <c r="AJ67" s="30"/>
      <c r="AK67" s="30"/>
      <c r="AL67" s="30"/>
      <c r="AM67" s="30"/>
      <c r="AN67" s="30"/>
      <c r="AO67" s="30"/>
      <c r="AP67" s="65"/>
      <c r="AQ67" s="65"/>
      <c r="AR67" s="1185"/>
      <c r="AS67" s="1185"/>
    </row>
    <row r="68" spans="1:45" s="2" customFormat="1" ht="15" thickBot="1" x14ac:dyDescent="0.4">
      <c r="A68" s="1199"/>
      <c r="B68" s="1180"/>
      <c r="C68" s="1197"/>
      <c r="D68" s="1202"/>
      <c r="E68" s="64" t="s">
        <v>191</v>
      </c>
      <c r="F68" s="25"/>
      <c r="G68" s="28"/>
      <c r="H68" s="28"/>
      <c r="I68" s="28"/>
      <c r="J68" s="28"/>
      <c r="K68" s="28"/>
      <c r="L68" s="28"/>
      <c r="M68" s="28"/>
      <c r="N68" s="28"/>
      <c r="O68" s="28"/>
      <c r="P68" s="28"/>
      <c r="Q68" s="1093"/>
      <c r="R68" s="1091"/>
      <c r="S68" s="28"/>
      <c r="T68" s="28"/>
      <c r="U68" s="28"/>
      <c r="V68" s="28"/>
      <c r="W68" s="28"/>
      <c r="X68" s="28"/>
      <c r="Y68" s="28"/>
      <c r="Z68" s="28"/>
      <c r="AA68" s="28"/>
      <c r="AB68" s="28"/>
      <c r="AC68" s="1093"/>
      <c r="AD68" s="28"/>
      <c r="AE68" s="28"/>
      <c r="AF68" s="28"/>
      <c r="AG68" s="28"/>
      <c r="AH68" s="28"/>
      <c r="AI68" s="28"/>
      <c r="AJ68" s="28"/>
      <c r="AK68" s="28"/>
      <c r="AL68" s="28"/>
      <c r="AM68" s="28"/>
      <c r="AN68" s="28"/>
      <c r="AO68" s="28"/>
      <c r="AP68" s="137"/>
      <c r="AQ68" s="137"/>
      <c r="AR68" s="1186"/>
      <c r="AS68" s="1186"/>
    </row>
    <row r="69" spans="1:45" s="2" customFormat="1" x14ac:dyDescent="0.35">
      <c r="A69" s="1198">
        <v>7</v>
      </c>
      <c r="B69" s="1178" t="str">
        <f>IF(VLOOKUP(A:A,'Pivot Table'!Z:AE,6,FALSE)=0,"",VLOOKUP(A:A,'Pivot Table'!Z:AE,6,FALSE))</f>
        <v/>
      </c>
      <c r="C69" s="1195" t="str">
        <f>_xlfn.IFNA(VLOOKUP(B:B,'indicator lists'!L:R,3,FALSE),"")</f>
        <v/>
      </c>
      <c r="D69" s="1200" t="str">
        <f>_xlfn.IFNA(VLOOKUP(A:A,'Pivot Table'!P:X,9,FALSE),"")</f>
        <v/>
      </c>
      <c r="E69" s="59" t="s">
        <v>181</v>
      </c>
      <c r="F69" s="60">
        <f>SUM(F70:F73)</f>
        <v>0</v>
      </c>
      <c r="G69" s="61">
        <f>SUM(G70:G73)</f>
        <v>0</v>
      </c>
      <c r="H69" s="61">
        <f t="shared" ref="H69:AO69" si="16">SUM(H70:H73)</f>
        <v>0</v>
      </c>
      <c r="I69" s="61">
        <f t="shared" si="16"/>
        <v>0</v>
      </c>
      <c r="J69" s="61">
        <f t="shared" si="16"/>
        <v>0</v>
      </c>
      <c r="K69" s="61">
        <f t="shared" si="16"/>
        <v>0</v>
      </c>
      <c r="L69" s="61">
        <f t="shared" si="16"/>
        <v>0</v>
      </c>
      <c r="M69" s="61">
        <f t="shared" si="16"/>
        <v>0</v>
      </c>
      <c r="N69" s="61">
        <f t="shared" si="16"/>
        <v>0</v>
      </c>
      <c r="O69" s="61">
        <f t="shared" si="16"/>
        <v>0</v>
      </c>
      <c r="P69" s="61">
        <f t="shared" si="16"/>
        <v>0</v>
      </c>
      <c r="Q69" s="61">
        <f t="shared" si="16"/>
        <v>0</v>
      </c>
      <c r="R69" s="61">
        <f t="shared" si="16"/>
        <v>0</v>
      </c>
      <c r="S69" s="61">
        <f t="shared" si="16"/>
        <v>0</v>
      </c>
      <c r="T69" s="61">
        <f t="shared" si="16"/>
        <v>0</v>
      </c>
      <c r="U69" s="61">
        <f t="shared" si="16"/>
        <v>0</v>
      </c>
      <c r="V69" s="61">
        <f t="shared" si="16"/>
        <v>0</v>
      </c>
      <c r="W69" s="61">
        <f t="shared" si="16"/>
        <v>0</v>
      </c>
      <c r="X69" s="61">
        <f t="shared" si="16"/>
        <v>0</v>
      </c>
      <c r="Y69" s="61">
        <f t="shared" si="16"/>
        <v>0</v>
      </c>
      <c r="Z69" s="61">
        <f t="shared" si="16"/>
        <v>0</v>
      </c>
      <c r="AA69" s="61">
        <f t="shared" si="16"/>
        <v>0</v>
      </c>
      <c r="AB69" s="61">
        <f t="shared" si="16"/>
        <v>0</v>
      </c>
      <c r="AC69" s="61">
        <f t="shared" si="16"/>
        <v>0</v>
      </c>
      <c r="AD69" s="61">
        <f t="shared" si="16"/>
        <v>0</v>
      </c>
      <c r="AE69" s="61">
        <f t="shared" si="16"/>
        <v>0</v>
      </c>
      <c r="AF69" s="61">
        <f t="shared" si="16"/>
        <v>0</v>
      </c>
      <c r="AG69" s="61">
        <f t="shared" si="16"/>
        <v>0</v>
      </c>
      <c r="AH69" s="61">
        <f t="shared" si="16"/>
        <v>0</v>
      </c>
      <c r="AI69" s="61">
        <f t="shared" si="16"/>
        <v>0</v>
      </c>
      <c r="AJ69" s="61">
        <f t="shared" si="16"/>
        <v>0</v>
      </c>
      <c r="AK69" s="61">
        <f t="shared" si="16"/>
        <v>0</v>
      </c>
      <c r="AL69" s="61">
        <f t="shared" si="16"/>
        <v>0</v>
      </c>
      <c r="AM69" s="61">
        <f t="shared" si="16"/>
        <v>0</v>
      </c>
      <c r="AN69" s="61">
        <f t="shared" si="16"/>
        <v>0</v>
      </c>
      <c r="AO69" s="61">
        <f t="shared" si="16"/>
        <v>0</v>
      </c>
      <c r="AP69" s="347">
        <f>SUM(AP70:AP71)</f>
        <v>0</v>
      </c>
      <c r="AQ69" s="134"/>
      <c r="AR69" s="1184"/>
      <c r="AS69" s="1184"/>
    </row>
    <row r="70" spans="1:45" s="2" customFormat="1" x14ac:dyDescent="0.35">
      <c r="A70" s="1198"/>
      <c r="B70" s="1179"/>
      <c r="C70" s="1196"/>
      <c r="D70" s="1201"/>
      <c r="E70" s="63" t="s">
        <v>182</v>
      </c>
      <c r="F70" s="23"/>
      <c r="G70" s="26"/>
      <c r="H70" s="26"/>
      <c r="I70" s="26"/>
      <c r="J70" s="26"/>
      <c r="K70" s="26"/>
      <c r="L70" s="26"/>
      <c r="M70" s="26"/>
      <c r="N70" s="26"/>
      <c r="O70" s="26"/>
      <c r="P70" s="26"/>
      <c r="Q70" s="1086"/>
      <c r="R70" s="1082"/>
      <c r="S70" s="26"/>
      <c r="T70" s="26"/>
      <c r="U70" s="26"/>
      <c r="V70" s="26"/>
      <c r="W70" s="26"/>
      <c r="X70" s="26"/>
      <c r="Y70" s="26"/>
      <c r="Z70" s="26"/>
      <c r="AA70" s="26"/>
      <c r="AB70" s="26"/>
      <c r="AC70" s="1086"/>
      <c r="AD70" s="26"/>
      <c r="AE70" s="26"/>
      <c r="AF70" s="26"/>
      <c r="AG70" s="26"/>
      <c r="AH70" s="26"/>
      <c r="AI70" s="26"/>
      <c r="AJ70" s="26"/>
      <c r="AK70" s="26"/>
      <c r="AL70" s="26"/>
      <c r="AM70" s="26"/>
      <c r="AN70" s="26"/>
      <c r="AO70" s="26"/>
      <c r="AP70" s="344">
        <f>SUM(F70:AO70)</f>
        <v>0</v>
      </c>
      <c r="AQ70" s="135"/>
      <c r="AR70" s="1185"/>
      <c r="AS70" s="1185"/>
    </row>
    <row r="71" spans="1:45" s="2" customFormat="1" x14ac:dyDescent="0.35">
      <c r="A71" s="1198"/>
      <c r="B71" s="1179"/>
      <c r="C71" s="1196"/>
      <c r="D71" s="1201"/>
      <c r="E71" s="336" t="s">
        <v>183</v>
      </c>
      <c r="F71" s="337"/>
      <c r="G71" s="338"/>
      <c r="H71" s="338"/>
      <c r="I71" s="338"/>
      <c r="J71" s="338"/>
      <c r="K71" s="338"/>
      <c r="L71" s="338"/>
      <c r="M71" s="338"/>
      <c r="N71" s="338"/>
      <c r="O71" s="338"/>
      <c r="P71" s="338"/>
      <c r="Q71" s="1087"/>
      <c r="R71" s="1083"/>
      <c r="S71" s="338"/>
      <c r="T71" s="338"/>
      <c r="U71" s="338"/>
      <c r="V71" s="338"/>
      <c r="W71" s="338"/>
      <c r="X71" s="338"/>
      <c r="Y71" s="338"/>
      <c r="Z71" s="338"/>
      <c r="AA71" s="338"/>
      <c r="AB71" s="338"/>
      <c r="AC71" s="1087"/>
      <c r="AD71" s="338"/>
      <c r="AE71" s="338"/>
      <c r="AF71" s="338"/>
      <c r="AG71" s="338"/>
      <c r="AH71" s="338"/>
      <c r="AI71" s="338"/>
      <c r="AJ71" s="338"/>
      <c r="AK71" s="338"/>
      <c r="AL71" s="338"/>
      <c r="AM71" s="338"/>
      <c r="AN71" s="338"/>
      <c r="AO71" s="338"/>
      <c r="AP71" s="344">
        <f>SUM(F71:AO71)</f>
        <v>0</v>
      </c>
      <c r="AQ71" s="335"/>
      <c r="AR71" s="1185"/>
      <c r="AS71" s="1185"/>
    </row>
    <row r="72" spans="1:45" s="2" customFormat="1" x14ac:dyDescent="0.35">
      <c r="A72" s="1198"/>
      <c r="B72" s="1179"/>
      <c r="C72" s="1196"/>
      <c r="D72" s="1201"/>
      <c r="E72" s="36" t="s">
        <v>184</v>
      </c>
      <c r="F72" s="29"/>
      <c r="G72" s="30"/>
      <c r="H72" s="30"/>
      <c r="I72" s="30"/>
      <c r="J72" s="30"/>
      <c r="K72" s="30"/>
      <c r="L72" s="30"/>
      <c r="M72" s="30"/>
      <c r="N72" s="30"/>
      <c r="O72" s="30"/>
      <c r="P72" s="30"/>
      <c r="Q72" s="1088"/>
      <c r="R72" s="1084"/>
      <c r="S72" s="30"/>
      <c r="T72" s="30"/>
      <c r="U72" s="30"/>
      <c r="V72" s="30"/>
      <c r="W72" s="30"/>
      <c r="X72" s="30"/>
      <c r="Y72" s="30"/>
      <c r="Z72" s="30"/>
      <c r="AA72" s="30"/>
      <c r="AB72" s="30"/>
      <c r="AC72" s="1088"/>
      <c r="AD72" s="30"/>
      <c r="AE72" s="30"/>
      <c r="AF72" s="30"/>
      <c r="AG72" s="30"/>
      <c r="AH72" s="30"/>
      <c r="AI72" s="30"/>
      <c r="AJ72" s="30"/>
      <c r="AK72" s="30"/>
      <c r="AL72" s="30"/>
      <c r="AM72" s="30"/>
      <c r="AN72" s="30"/>
      <c r="AO72" s="30"/>
      <c r="AP72" s="344"/>
      <c r="AQ72" s="335"/>
      <c r="AR72" s="1185"/>
      <c r="AS72" s="1185"/>
    </row>
    <row r="73" spans="1:45" s="2" customFormat="1" ht="15" thickBot="1" x14ac:dyDescent="0.4">
      <c r="A73" s="1198"/>
      <c r="B73" s="1179"/>
      <c r="C73" s="1196"/>
      <c r="D73" s="1201"/>
      <c r="E73" s="340" t="s">
        <v>185</v>
      </c>
      <c r="F73" s="341"/>
      <c r="G73" s="342"/>
      <c r="H73" s="342"/>
      <c r="I73" s="342"/>
      <c r="J73" s="342"/>
      <c r="K73" s="342"/>
      <c r="L73" s="342"/>
      <c r="M73" s="342"/>
      <c r="N73" s="342"/>
      <c r="O73" s="342"/>
      <c r="P73" s="342"/>
      <c r="Q73" s="1089"/>
      <c r="R73" s="1085"/>
      <c r="S73" s="342"/>
      <c r="T73" s="342"/>
      <c r="U73" s="342"/>
      <c r="V73" s="342"/>
      <c r="W73" s="342"/>
      <c r="X73" s="342"/>
      <c r="Y73" s="342"/>
      <c r="Z73" s="342"/>
      <c r="AA73" s="342"/>
      <c r="AB73" s="342"/>
      <c r="AC73" s="1089"/>
      <c r="AD73" s="342"/>
      <c r="AE73" s="342"/>
      <c r="AF73" s="342"/>
      <c r="AG73" s="342"/>
      <c r="AH73" s="342"/>
      <c r="AI73" s="342"/>
      <c r="AJ73" s="342"/>
      <c r="AK73" s="342"/>
      <c r="AL73" s="342"/>
      <c r="AM73" s="342"/>
      <c r="AN73" s="342"/>
      <c r="AO73" s="342"/>
      <c r="AP73" s="344"/>
      <c r="AQ73" s="335"/>
      <c r="AR73" s="1185"/>
      <c r="AS73" s="1185"/>
    </row>
    <row r="74" spans="1:45" s="2" customFormat="1" ht="26.5" thickBot="1" x14ac:dyDescent="0.4">
      <c r="A74" s="1198"/>
      <c r="B74" s="1179"/>
      <c r="C74" s="1196"/>
      <c r="D74" s="1201"/>
      <c r="E74" s="1193" t="s">
        <v>175</v>
      </c>
      <c r="F74" s="1194"/>
      <c r="G74" s="1194"/>
      <c r="H74" s="1194"/>
      <c r="I74" s="1194"/>
      <c r="J74" s="1194"/>
      <c r="K74" s="1194"/>
      <c r="L74" s="1194"/>
      <c r="M74" s="1194"/>
      <c r="N74" s="1194"/>
      <c r="O74" s="1194"/>
      <c r="P74" s="1194"/>
      <c r="Q74" s="1194"/>
      <c r="R74" s="1194"/>
      <c r="S74" s="1194"/>
      <c r="T74" s="1194"/>
      <c r="U74" s="1194"/>
      <c r="V74" s="1194"/>
      <c r="W74" s="1194"/>
      <c r="X74" s="1194"/>
      <c r="Y74" s="1194"/>
      <c r="Z74" s="1194"/>
      <c r="AA74" s="1194"/>
      <c r="AB74" s="1194"/>
      <c r="AC74" s="1194"/>
      <c r="AD74" s="1194"/>
      <c r="AE74" s="1194"/>
      <c r="AF74" s="1194"/>
      <c r="AG74" s="1194"/>
      <c r="AH74" s="1194"/>
      <c r="AI74" s="1194"/>
      <c r="AJ74" s="1194"/>
      <c r="AK74" s="1194"/>
      <c r="AL74" s="1194"/>
      <c r="AM74" s="1194"/>
      <c r="AN74" s="1194"/>
      <c r="AO74" s="1194"/>
      <c r="AP74" s="348" t="e">
        <f>SUM(AP76:AP77)/AP69</f>
        <v>#DIV/0!</v>
      </c>
      <c r="AQ74" s="349" t="s">
        <v>186</v>
      </c>
      <c r="AR74" s="1185"/>
      <c r="AS74" s="1185"/>
    </row>
    <row r="75" spans="1:45" s="2" customFormat="1" x14ac:dyDescent="0.35">
      <c r="A75" s="1198"/>
      <c r="B75" s="1179"/>
      <c r="C75" s="1196"/>
      <c r="D75" s="1201"/>
      <c r="E75" s="62" t="s">
        <v>187</v>
      </c>
      <c r="F75" s="44">
        <f>SUM(F76:F79)</f>
        <v>0</v>
      </c>
      <c r="G75" s="43">
        <f>SUM(G76:G79)</f>
        <v>0</v>
      </c>
      <c r="H75" s="43">
        <f t="shared" ref="H75:AO75" si="17">SUM(H76:H79)</f>
        <v>0</v>
      </c>
      <c r="I75" s="43">
        <f t="shared" si="17"/>
        <v>0</v>
      </c>
      <c r="J75" s="43">
        <f t="shared" si="17"/>
        <v>0</v>
      </c>
      <c r="K75" s="43">
        <f t="shared" si="17"/>
        <v>0</v>
      </c>
      <c r="L75" s="43">
        <f t="shared" si="17"/>
        <v>0</v>
      </c>
      <c r="M75" s="43">
        <f t="shared" si="17"/>
        <v>0</v>
      </c>
      <c r="N75" s="43">
        <f t="shared" si="17"/>
        <v>0</v>
      </c>
      <c r="O75" s="43">
        <f t="shared" si="17"/>
        <v>0</v>
      </c>
      <c r="P75" s="43">
        <f t="shared" si="17"/>
        <v>0</v>
      </c>
      <c r="Q75" s="43">
        <f t="shared" si="17"/>
        <v>0</v>
      </c>
      <c r="R75" s="43">
        <f t="shared" si="17"/>
        <v>0</v>
      </c>
      <c r="S75" s="43">
        <f t="shared" si="17"/>
        <v>0</v>
      </c>
      <c r="T75" s="43">
        <f t="shared" si="17"/>
        <v>0</v>
      </c>
      <c r="U75" s="43">
        <f t="shared" si="17"/>
        <v>0</v>
      </c>
      <c r="V75" s="43">
        <f t="shared" si="17"/>
        <v>0</v>
      </c>
      <c r="W75" s="43">
        <f t="shared" si="17"/>
        <v>0</v>
      </c>
      <c r="X75" s="43">
        <f t="shared" si="17"/>
        <v>0</v>
      </c>
      <c r="Y75" s="43">
        <f t="shared" si="17"/>
        <v>0</v>
      </c>
      <c r="Z75" s="43">
        <f t="shared" si="17"/>
        <v>0</v>
      </c>
      <c r="AA75" s="43">
        <f t="shared" si="17"/>
        <v>0</v>
      </c>
      <c r="AB75" s="43">
        <f t="shared" si="17"/>
        <v>0</v>
      </c>
      <c r="AC75" s="43">
        <f t="shared" si="17"/>
        <v>0</v>
      </c>
      <c r="AD75" s="43">
        <f t="shared" si="17"/>
        <v>0</v>
      </c>
      <c r="AE75" s="43">
        <f t="shared" si="17"/>
        <v>0</v>
      </c>
      <c r="AF75" s="43">
        <f t="shared" si="17"/>
        <v>0</v>
      </c>
      <c r="AG75" s="43">
        <f t="shared" si="17"/>
        <v>0</v>
      </c>
      <c r="AH75" s="43">
        <f t="shared" si="17"/>
        <v>0</v>
      </c>
      <c r="AI75" s="43">
        <f t="shared" si="17"/>
        <v>0</v>
      </c>
      <c r="AJ75" s="43">
        <f t="shared" si="17"/>
        <v>0</v>
      </c>
      <c r="AK75" s="43">
        <f t="shared" si="17"/>
        <v>0</v>
      </c>
      <c r="AL75" s="43">
        <f t="shared" si="17"/>
        <v>0</v>
      </c>
      <c r="AM75" s="43">
        <f t="shared" si="17"/>
        <v>0</v>
      </c>
      <c r="AN75" s="43">
        <f t="shared" si="17"/>
        <v>0</v>
      </c>
      <c r="AO75" s="43">
        <f t="shared" si="17"/>
        <v>0</v>
      </c>
      <c r="AP75" s="65"/>
      <c r="AQ75" s="65"/>
      <c r="AR75" s="1185"/>
      <c r="AS75" s="1185"/>
    </row>
    <row r="76" spans="1:45" s="2" customFormat="1" x14ac:dyDescent="0.35">
      <c r="A76" s="1198"/>
      <c r="B76" s="1179"/>
      <c r="C76" s="1196"/>
      <c r="D76" s="1201"/>
      <c r="E76" s="63" t="s">
        <v>188</v>
      </c>
      <c r="F76" s="23"/>
      <c r="G76" s="26"/>
      <c r="H76" s="26"/>
      <c r="I76" s="26"/>
      <c r="J76" s="26"/>
      <c r="K76" s="26"/>
      <c r="L76" s="26"/>
      <c r="M76" s="26"/>
      <c r="N76" s="26"/>
      <c r="O76" s="26"/>
      <c r="P76" s="26"/>
      <c r="Q76" s="1086"/>
      <c r="R76" s="1082"/>
      <c r="S76" s="26"/>
      <c r="T76" s="26"/>
      <c r="U76" s="26"/>
      <c r="V76" s="26"/>
      <c r="W76" s="26"/>
      <c r="X76" s="26"/>
      <c r="Y76" s="26"/>
      <c r="Z76" s="26"/>
      <c r="AA76" s="26"/>
      <c r="AB76" s="26"/>
      <c r="AC76" s="1086"/>
      <c r="AD76" s="26"/>
      <c r="AE76" s="26"/>
      <c r="AF76" s="26"/>
      <c r="AG76" s="26"/>
      <c r="AH76" s="26"/>
      <c r="AI76" s="26"/>
      <c r="AJ76" s="26"/>
      <c r="AK76" s="26"/>
      <c r="AL76" s="26"/>
      <c r="AM76" s="26"/>
      <c r="AN76" s="26"/>
      <c r="AO76" s="26"/>
      <c r="AP76" s="65">
        <f>SUM(F76:AO76)</f>
        <v>0</v>
      </c>
      <c r="AQ76" s="346" t="e">
        <f>AP76/AP70</f>
        <v>#DIV/0!</v>
      </c>
      <c r="AR76" s="1185"/>
      <c r="AS76" s="1185"/>
    </row>
    <row r="77" spans="1:45" s="2" customFormat="1" x14ac:dyDescent="0.35">
      <c r="A77" s="1198"/>
      <c r="B77" s="1179"/>
      <c r="C77" s="1196"/>
      <c r="D77" s="1201"/>
      <c r="E77" s="37" t="s">
        <v>189</v>
      </c>
      <c r="F77" s="33"/>
      <c r="G77" s="32"/>
      <c r="H77" s="32"/>
      <c r="I77" s="32"/>
      <c r="J77" s="32"/>
      <c r="K77" s="32"/>
      <c r="L77" s="32"/>
      <c r="M77" s="32"/>
      <c r="N77" s="32"/>
      <c r="O77" s="32"/>
      <c r="P77" s="32"/>
      <c r="Q77" s="1092"/>
      <c r="R77" s="1090"/>
      <c r="S77" s="32"/>
      <c r="T77" s="32"/>
      <c r="U77" s="32"/>
      <c r="V77" s="32"/>
      <c r="W77" s="32"/>
      <c r="X77" s="32"/>
      <c r="Y77" s="32"/>
      <c r="Z77" s="32"/>
      <c r="AA77" s="32"/>
      <c r="AB77" s="32"/>
      <c r="AC77" s="1092"/>
      <c r="AD77" s="32"/>
      <c r="AE77" s="32"/>
      <c r="AF77" s="32"/>
      <c r="AG77" s="32"/>
      <c r="AH77" s="32"/>
      <c r="AI77" s="32"/>
      <c r="AJ77" s="32"/>
      <c r="AK77" s="32"/>
      <c r="AL77" s="32"/>
      <c r="AM77" s="32"/>
      <c r="AN77" s="32"/>
      <c r="AO77" s="32"/>
      <c r="AP77" s="65">
        <f>SUM(F77:AO77)</f>
        <v>0</v>
      </c>
      <c r="AQ77" s="346" t="e">
        <f>AP77/AP71</f>
        <v>#DIV/0!</v>
      </c>
      <c r="AR77" s="1185"/>
      <c r="AS77" s="1185"/>
    </row>
    <row r="78" spans="1:45" s="2" customFormat="1" x14ac:dyDescent="0.35">
      <c r="A78" s="1198"/>
      <c r="B78" s="1179"/>
      <c r="C78" s="1196"/>
      <c r="D78" s="1201"/>
      <c r="E78" s="36" t="s">
        <v>190</v>
      </c>
      <c r="F78" s="29"/>
      <c r="G78" s="30"/>
      <c r="H78" s="30"/>
      <c r="I78" s="30"/>
      <c r="J78" s="30"/>
      <c r="K78" s="30"/>
      <c r="L78" s="30"/>
      <c r="M78" s="30"/>
      <c r="N78" s="30"/>
      <c r="O78" s="30"/>
      <c r="P78" s="30"/>
      <c r="Q78" s="1088"/>
      <c r="R78" s="1084"/>
      <c r="S78" s="30"/>
      <c r="T78" s="30"/>
      <c r="U78" s="30"/>
      <c r="V78" s="30"/>
      <c r="W78" s="30"/>
      <c r="X78" s="30"/>
      <c r="Y78" s="30"/>
      <c r="Z78" s="30"/>
      <c r="AA78" s="30"/>
      <c r="AB78" s="30"/>
      <c r="AC78" s="1088"/>
      <c r="AD78" s="30"/>
      <c r="AE78" s="30"/>
      <c r="AF78" s="30"/>
      <c r="AG78" s="30"/>
      <c r="AH78" s="30"/>
      <c r="AI78" s="30"/>
      <c r="AJ78" s="30"/>
      <c r="AK78" s="30"/>
      <c r="AL78" s="30"/>
      <c r="AM78" s="30"/>
      <c r="AN78" s="30"/>
      <c r="AO78" s="30"/>
      <c r="AP78" s="65"/>
      <c r="AQ78" s="65"/>
      <c r="AR78" s="1185"/>
      <c r="AS78" s="1185"/>
    </row>
    <row r="79" spans="1:45" s="2" customFormat="1" ht="15" thickBot="1" x14ac:dyDescent="0.4">
      <c r="A79" s="1199"/>
      <c r="B79" s="1180"/>
      <c r="C79" s="1197"/>
      <c r="D79" s="1202"/>
      <c r="E79" s="64" t="s">
        <v>191</v>
      </c>
      <c r="F79" s="25"/>
      <c r="G79" s="28"/>
      <c r="H79" s="28"/>
      <c r="I79" s="28"/>
      <c r="J79" s="28"/>
      <c r="K79" s="28"/>
      <c r="L79" s="28"/>
      <c r="M79" s="28"/>
      <c r="N79" s="28"/>
      <c r="O79" s="28"/>
      <c r="P79" s="28"/>
      <c r="Q79" s="1093"/>
      <c r="R79" s="1091"/>
      <c r="S79" s="28"/>
      <c r="T79" s="28"/>
      <c r="U79" s="28"/>
      <c r="V79" s="28"/>
      <c r="W79" s="28"/>
      <c r="X79" s="28"/>
      <c r="Y79" s="28"/>
      <c r="Z79" s="28"/>
      <c r="AA79" s="28"/>
      <c r="AB79" s="28"/>
      <c r="AC79" s="1093"/>
      <c r="AD79" s="28"/>
      <c r="AE79" s="28"/>
      <c r="AF79" s="28"/>
      <c r="AG79" s="28"/>
      <c r="AH79" s="28"/>
      <c r="AI79" s="28"/>
      <c r="AJ79" s="28"/>
      <c r="AK79" s="28"/>
      <c r="AL79" s="28"/>
      <c r="AM79" s="28"/>
      <c r="AN79" s="28"/>
      <c r="AO79" s="28"/>
      <c r="AP79" s="137"/>
      <c r="AQ79" s="137"/>
      <c r="AR79" s="1186"/>
      <c r="AS79" s="1186"/>
    </row>
    <row r="80" spans="1:45" s="2" customFormat="1" x14ac:dyDescent="0.35">
      <c r="A80" s="1204">
        <v>8</v>
      </c>
      <c r="B80" s="1178" t="str">
        <f>IF(VLOOKUP(A:A,'Pivot Table'!Z:AE,6,FALSE)=0,"",VLOOKUP(A:A,'Pivot Table'!Z:AE,6,FALSE))</f>
        <v/>
      </c>
      <c r="C80" s="1195" t="str">
        <f>_xlfn.IFNA(VLOOKUP(B:B,'indicator lists'!L:R,3,FALSE),"")</f>
        <v/>
      </c>
      <c r="D80" s="1200" t="str">
        <f>_xlfn.IFNA(VLOOKUP(A:A,'Pivot Table'!P:X,9,FALSE),"")</f>
        <v/>
      </c>
      <c r="E80" s="59" t="s">
        <v>181</v>
      </c>
      <c r="F80" s="60">
        <f>SUM(F81:F84)</f>
        <v>0</v>
      </c>
      <c r="G80" s="61">
        <f>SUM(G81:G84)</f>
        <v>0</v>
      </c>
      <c r="H80" s="61">
        <f t="shared" ref="H80:AO80" si="18">SUM(H81:H84)</f>
        <v>0</v>
      </c>
      <c r="I80" s="61">
        <f t="shared" si="18"/>
        <v>0</v>
      </c>
      <c r="J80" s="61">
        <f t="shared" si="18"/>
        <v>0</v>
      </c>
      <c r="K80" s="61">
        <f t="shared" si="18"/>
        <v>0</v>
      </c>
      <c r="L80" s="61">
        <f t="shared" si="18"/>
        <v>0</v>
      </c>
      <c r="M80" s="61">
        <f t="shared" si="18"/>
        <v>0</v>
      </c>
      <c r="N80" s="61">
        <f t="shared" si="18"/>
        <v>0</v>
      </c>
      <c r="O80" s="61">
        <f t="shared" si="18"/>
        <v>0</v>
      </c>
      <c r="P80" s="61">
        <f t="shared" si="18"/>
        <v>0</v>
      </c>
      <c r="Q80" s="61">
        <f t="shared" si="18"/>
        <v>0</v>
      </c>
      <c r="R80" s="61">
        <f t="shared" si="18"/>
        <v>0</v>
      </c>
      <c r="S80" s="61">
        <f t="shared" si="18"/>
        <v>0</v>
      </c>
      <c r="T80" s="61">
        <f t="shared" si="18"/>
        <v>0</v>
      </c>
      <c r="U80" s="61">
        <f t="shared" si="18"/>
        <v>0</v>
      </c>
      <c r="V80" s="61">
        <f t="shared" si="18"/>
        <v>0</v>
      </c>
      <c r="W80" s="61">
        <f t="shared" si="18"/>
        <v>0</v>
      </c>
      <c r="X80" s="61">
        <f t="shared" si="18"/>
        <v>0</v>
      </c>
      <c r="Y80" s="61">
        <f t="shared" si="18"/>
        <v>0</v>
      </c>
      <c r="Z80" s="61">
        <f t="shared" si="18"/>
        <v>0</v>
      </c>
      <c r="AA80" s="61">
        <f t="shared" si="18"/>
        <v>0</v>
      </c>
      <c r="AB80" s="61">
        <f t="shared" si="18"/>
        <v>0</v>
      </c>
      <c r="AC80" s="61">
        <f t="shared" si="18"/>
        <v>0</v>
      </c>
      <c r="AD80" s="61">
        <f t="shared" si="18"/>
        <v>0</v>
      </c>
      <c r="AE80" s="61">
        <f t="shared" si="18"/>
        <v>0</v>
      </c>
      <c r="AF80" s="61">
        <f t="shared" si="18"/>
        <v>0</v>
      </c>
      <c r="AG80" s="61">
        <f t="shared" si="18"/>
        <v>0</v>
      </c>
      <c r="AH80" s="61">
        <f t="shared" si="18"/>
        <v>0</v>
      </c>
      <c r="AI80" s="61">
        <f t="shared" si="18"/>
        <v>0</v>
      </c>
      <c r="AJ80" s="61">
        <f t="shared" si="18"/>
        <v>0</v>
      </c>
      <c r="AK80" s="61">
        <f t="shared" si="18"/>
        <v>0</v>
      </c>
      <c r="AL80" s="61">
        <f t="shared" si="18"/>
        <v>0</v>
      </c>
      <c r="AM80" s="61">
        <f t="shared" si="18"/>
        <v>0</v>
      </c>
      <c r="AN80" s="61">
        <f t="shared" si="18"/>
        <v>0</v>
      </c>
      <c r="AO80" s="61">
        <f t="shared" si="18"/>
        <v>0</v>
      </c>
      <c r="AP80" s="347">
        <f>SUM(AP81:AP82)</f>
        <v>0</v>
      </c>
      <c r="AQ80" s="134"/>
      <c r="AR80" s="1184"/>
      <c r="AS80" s="1184"/>
    </row>
    <row r="81" spans="1:45" s="2" customFormat="1" x14ac:dyDescent="0.35">
      <c r="A81" s="1198"/>
      <c r="B81" s="1179"/>
      <c r="C81" s="1196"/>
      <c r="D81" s="1201"/>
      <c r="E81" s="63" t="s">
        <v>182</v>
      </c>
      <c r="F81" s="23"/>
      <c r="G81" s="26"/>
      <c r="H81" s="26"/>
      <c r="I81" s="26"/>
      <c r="J81" s="26"/>
      <c r="K81" s="26"/>
      <c r="L81" s="26"/>
      <c r="M81" s="26"/>
      <c r="N81" s="26"/>
      <c r="O81" s="26"/>
      <c r="P81" s="26"/>
      <c r="Q81" s="1086"/>
      <c r="R81" s="1082"/>
      <c r="S81" s="26"/>
      <c r="T81" s="26"/>
      <c r="U81" s="26"/>
      <c r="V81" s="26"/>
      <c r="W81" s="26"/>
      <c r="X81" s="26"/>
      <c r="Y81" s="26"/>
      <c r="Z81" s="26"/>
      <c r="AA81" s="26"/>
      <c r="AB81" s="26"/>
      <c r="AC81" s="1086"/>
      <c r="AD81" s="26"/>
      <c r="AE81" s="26"/>
      <c r="AF81" s="26"/>
      <c r="AG81" s="26"/>
      <c r="AH81" s="26"/>
      <c r="AI81" s="26"/>
      <c r="AJ81" s="26"/>
      <c r="AK81" s="26"/>
      <c r="AL81" s="26"/>
      <c r="AM81" s="26"/>
      <c r="AN81" s="26"/>
      <c r="AO81" s="26"/>
      <c r="AP81" s="344">
        <f>SUM(F81:AO81)</f>
        <v>0</v>
      </c>
      <c r="AQ81" s="135"/>
      <c r="AR81" s="1185"/>
      <c r="AS81" s="1185"/>
    </row>
    <row r="82" spans="1:45" s="2" customFormat="1" x14ac:dyDescent="0.35">
      <c r="A82" s="1198"/>
      <c r="B82" s="1179"/>
      <c r="C82" s="1196"/>
      <c r="D82" s="1201"/>
      <c r="E82" s="336" t="s">
        <v>183</v>
      </c>
      <c r="F82" s="337"/>
      <c r="G82" s="338"/>
      <c r="H82" s="338"/>
      <c r="I82" s="338"/>
      <c r="J82" s="338"/>
      <c r="K82" s="338"/>
      <c r="L82" s="338"/>
      <c r="M82" s="338"/>
      <c r="N82" s="338"/>
      <c r="O82" s="338"/>
      <c r="P82" s="338"/>
      <c r="Q82" s="1087"/>
      <c r="R82" s="1083"/>
      <c r="S82" s="338"/>
      <c r="T82" s="338"/>
      <c r="U82" s="338"/>
      <c r="V82" s="338"/>
      <c r="W82" s="338"/>
      <c r="X82" s="338"/>
      <c r="Y82" s="338"/>
      <c r="Z82" s="338"/>
      <c r="AA82" s="338"/>
      <c r="AB82" s="338"/>
      <c r="AC82" s="1087"/>
      <c r="AD82" s="338"/>
      <c r="AE82" s="338"/>
      <c r="AF82" s="338"/>
      <c r="AG82" s="338"/>
      <c r="AH82" s="338"/>
      <c r="AI82" s="338"/>
      <c r="AJ82" s="338"/>
      <c r="AK82" s="338"/>
      <c r="AL82" s="338"/>
      <c r="AM82" s="338"/>
      <c r="AN82" s="338"/>
      <c r="AO82" s="338"/>
      <c r="AP82" s="344">
        <f>SUM(F82:AO82)</f>
        <v>0</v>
      </c>
      <c r="AQ82" s="335"/>
      <c r="AR82" s="1185"/>
      <c r="AS82" s="1185"/>
    </row>
    <row r="83" spans="1:45" s="2" customFormat="1" x14ac:dyDescent="0.35">
      <c r="A83" s="1198"/>
      <c r="B83" s="1179"/>
      <c r="C83" s="1196"/>
      <c r="D83" s="1201"/>
      <c r="E83" s="36" t="s">
        <v>184</v>
      </c>
      <c r="F83" s="29"/>
      <c r="G83" s="30"/>
      <c r="H83" s="30"/>
      <c r="I83" s="30"/>
      <c r="J83" s="30"/>
      <c r="K83" s="30"/>
      <c r="L83" s="30"/>
      <c r="M83" s="30"/>
      <c r="N83" s="30"/>
      <c r="O83" s="30"/>
      <c r="P83" s="30"/>
      <c r="Q83" s="1088"/>
      <c r="R83" s="1084"/>
      <c r="S83" s="30"/>
      <c r="T83" s="30"/>
      <c r="U83" s="30"/>
      <c r="V83" s="30"/>
      <c r="W83" s="30"/>
      <c r="X83" s="30"/>
      <c r="Y83" s="30"/>
      <c r="Z83" s="30"/>
      <c r="AA83" s="30"/>
      <c r="AB83" s="30"/>
      <c r="AC83" s="1088"/>
      <c r="AD83" s="30"/>
      <c r="AE83" s="30"/>
      <c r="AF83" s="30"/>
      <c r="AG83" s="30"/>
      <c r="AH83" s="30"/>
      <c r="AI83" s="30"/>
      <c r="AJ83" s="30"/>
      <c r="AK83" s="30"/>
      <c r="AL83" s="30"/>
      <c r="AM83" s="30"/>
      <c r="AN83" s="30"/>
      <c r="AO83" s="30"/>
      <c r="AP83" s="344"/>
      <c r="AQ83" s="335"/>
      <c r="AR83" s="1185"/>
      <c r="AS83" s="1185"/>
    </row>
    <row r="84" spans="1:45" s="2" customFormat="1" ht="15" thickBot="1" x14ac:dyDescent="0.4">
      <c r="A84" s="1198"/>
      <c r="B84" s="1179"/>
      <c r="C84" s="1196"/>
      <c r="D84" s="1201"/>
      <c r="E84" s="340" t="s">
        <v>185</v>
      </c>
      <c r="F84" s="341"/>
      <c r="G84" s="342"/>
      <c r="H84" s="342"/>
      <c r="I84" s="342"/>
      <c r="J84" s="342"/>
      <c r="K84" s="342"/>
      <c r="L84" s="342"/>
      <c r="M84" s="342"/>
      <c r="N84" s="342"/>
      <c r="O84" s="342"/>
      <c r="P84" s="342"/>
      <c r="Q84" s="1089"/>
      <c r="R84" s="1085"/>
      <c r="S84" s="342"/>
      <c r="T84" s="342"/>
      <c r="U84" s="342"/>
      <c r="V84" s="342"/>
      <c r="W84" s="342"/>
      <c r="X84" s="342"/>
      <c r="Y84" s="342"/>
      <c r="Z84" s="342"/>
      <c r="AA84" s="342"/>
      <c r="AB84" s="342"/>
      <c r="AC84" s="1089"/>
      <c r="AD84" s="342"/>
      <c r="AE84" s="342"/>
      <c r="AF84" s="342"/>
      <c r="AG84" s="342"/>
      <c r="AH84" s="342"/>
      <c r="AI84" s="342"/>
      <c r="AJ84" s="342"/>
      <c r="AK84" s="342"/>
      <c r="AL84" s="342"/>
      <c r="AM84" s="342"/>
      <c r="AN84" s="342"/>
      <c r="AO84" s="342"/>
      <c r="AP84" s="344"/>
      <c r="AQ84" s="335"/>
      <c r="AR84" s="1185"/>
      <c r="AS84" s="1185"/>
    </row>
    <row r="85" spans="1:45" s="2" customFormat="1" ht="26.5" thickBot="1" x14ac:dyDescent="0.4">
      <c r="A85" s="1198"/>
      <c r="B85" s="1179"/>
      <c r="C85" s="1196"/>
      <c r="D85" s="1201"/>
      <c r="E85" s="1193" t="s">
        <v>175</v>
      </c>
      <c r="F85" s="1194"/>
      <c r="G85" s="1194"/>
      <c r="H85" s="1194"/>
      <c r="I85" s="1194"/>
      <c r="J85" s="1194"/>
      <c r="K85" s="1194"/>
      <c r="L85" s="1194"/>
      <c r="M85" s="1194"/>
      <c r="N85" s="1194"/>
      <c r="O85" s="1194"/>
      <c r="P85" s="1194"/>
      <c r="Q85" s="1194"/>
      <c r="R85" s="1194"/>
      <c r="S85" s="1194"/>
      <c r="T85" s="1194"/>
      <c r="U85" s="1194"/>
      <c r="V85" s="1194"/>
      <c r="W85" s="1194"/>
      <c r="X85" s="1194"/>
      <c r="Y85" s="1194"/>
      <c r="Z85" s="1194"/>
      <c r="AA85" s="1194"/>
      <c r="AB85" s="1194"/>
      <c r="AC85" s="1194"/>
      <c r="AD85" s="1194"/>
      <c r="AE85" s="1194"/>
      <c r="AF85" s="1194"/>
      <c r="AG85" s="1194"/>
      <c r="AH85" s="1194"/>
      <c r="AI85" s="1194"/>
      <c r="AJ85" s="1194"/>
      <c r="AK85" s="1194"/>
      <c r="AL85" s="1194"/>
      <c r="AM85" s="1194"/>
      <c r="AN85" s="1194"/>
      <c r="AO85" s="1194"/>
      <c r="AP85" s="348" t="e">
        <f>SUM(AP87:AP88)/AP80</f>
        <v>#DIV/0!</v>
      </c>
      <c r="AQ85" s="349" t="s">
        <v>186</v>
      </c>
      <c r="AR85" s="1185"/>
      <c r="AS85" s="1185"/>
    </row>
    <row r="86" spans="1:45" s="2" customFormat="1" x14ac:dyDescent="0.35">
      <c r="A86" s="1198"/>
      <c r="B86" s="1179"/>
      <c r="C86" s="1196"/>
      <c r="D86" s="1201"/>
      <c r="E86" s="62" t="s">
        <v>187</v>
      </c>
      <c r="F86" s="44">
        <f>SUM(F87:F90)</f>
        <v>0</v>
      </c>
      <c r="G86" s="43">
        <f>SUM(G87:G90)</f>
        <v>0</v>
      </c>
      <c r="H86" s="43">
        <f t="shared" ref="H86:AO86" si="19">SUM(H87:H90)</f>
        <v>0</v>
      </c>
      <c r="I86" s="43">
        <f t="shared" si="19"/>
        <v>0</v>
      </c>
      <c r="J86" s="43">
        <f t="shared" si="19"/>
        <v>0</v>
      </c>
      <c r="K86" s="43">
        <f t="shared" si="19"/>
        <v>0</v>
      </c>
      <c r="L86" s="43">
        <f t="shared" si="19"/>
        <v>0</v>
      </c>
      <c r="M86" s="43">
        <f t="shared" si="19"/>
        <v>0</v>
      </c>
      <c r="N86" s="43">
        <f t="shared" si="19"/>
        <v>0</v>
      </c>
      <c r="O86" s="43">
        <f t="shared" si="19"/>
        <v>0</v>
      </c>
      <c r="P86" s="43">
        <f t="shared" si="19"/>
        <v>0</v>
      </c>
      <c r="Q86" s="43">
        <f t="shared" si="19"/>
        <v>0</v>
      </c>
      <c r="R86" s="43">
        <f t="shared" si="19"/>
        <v>0</v>
      </c>
      <c r="S86" s="43">
        <f t="shared" si="19"/>
        <v>0</v>
      </c>
      <c r="T86" s="43">
        <f t="shared" si="19"/>
        <v>0</v>
      </c>
      <c r="U86" s="43">
        <f t="shared" si="19"/>
        <v>0</v>
      </c>
      <c r="V86" s="43">
        <f t="shared" si="19"/>
        <v>0</v>
      </c>
      <c r="W86" s="43">
        <f t="shared" si="19"/>
        <v>0</v>
      </c>
      <c r="X86" s="43">
        <f t="shared" si="19"/>
        <v>0</v>
      </c>
      <c r="Y86" s="43">
        <f t="shared" si="19"/>
        <v>0</v>
      </c>
      <c r="Z86" s="43">
        <f t="shared" si="19"/>
        <v>0</v>
      </c>
      <c r="AA86" s="43">
        <f t="shared" si="19"/>
        <v>0</v>
      </c>
      <c r="AB86" s="43">
        <f t="shared" si="19"/>
        <v>0</v>
      </c>
      <c r="AC86" s="43">
        <f t="shared" si="19"/>
        <v>0</v>
      </c>
      <c r="AD86" s="43">
        <f t="shared" si="19"/>
        <v>0</v>
      </c>
      <c r="AE86" s="43">
        <f t="shared" si="19"/>
        <v>0</v>
      </c>
      <c r="AF86" s="43">
        <f t="shared" si="19"/>
        <v>0</v>
      </c>
      <c r="AG86" s="43">
        <f t="shared" si="19"/>
        <v>0</v>
      </c>
      <c r="AH86" s="43">
        <f t="shared" si="19"/>
        <v>0</v>
      </c>
      <c r="AI86" s="43">
        <f t="shared" si="19"/>
        <v>0</v>
      </c>
      <c r="AJ86" s="43">
        <f t="shared" si="19"/>
        <v>0</v>
      </c>
      <c r="AK86" s="43">
        <f t="shared" si="19"/>
        <v>0</v>
      </c>
      <c r="AL86" s="43">
        <f t="shared" si="19"/>
        <v>0</v>
      </c>
      <c r="AM86" s="43">
        <f t="shared" si="19"/>
        <v>0</v>
      </c>
      <c r="AN86" s="43">
        <f t="shared" si="19"/>
        <v>0</v>
      </c>
      <c r="AO86" s="43">
        <f t="shared" si="19"/>
        <v>0</v>
      </c>
      <c r="AP86" s="65"/>
      <c r="AQ86" s="65"/>
      <c r="AR86" s="1185"/>
      <c r="AS86" s="1185"/>
    </row>
    <row r="87" spans="1:45" s="2" customFormat="1" x14ac:dyDescent="0.35">
      <c r="A87" s="1198"/>
      <c r="B87" s="1179"/>
      <c r="C87" s="1196"/>
      <c r="D87" s="1201"/>
      <c r="E87" s="63" t="s">
        <v>188</v>
      </c>
      <c r="F87" s="23"/>
      <c r="G87" s="26"/>
      <c r="H87" s="26"/>
      <c r="I87" s="26"/>
      <c r="J87" s="26"/>
      <c r="K87" s="26"/>
      <c r="L87" s="26"/>
      <c r="M87" s="26"/>
      <c r="N87" s="26"/>
      <c r="O87" s="26"/>
      <c r="P87" s="26"/>
      <c r="Q87" s="1086"/>
      <c r="R87" s="1082"/>
      <c r="S87" s="26"/>
      <c r="T87" s="26"/>
      <c r="U87" s="26"/>
      <c r="V87" s="26"/>
      <c r="W87" s="26"/>
      <c r="X87" s="26"/>
      <c r="Y87" s="26"/>
      <c r="Z87" s="26"/>
      <c r="AA87" s="26"/>
      <c r="AB87" s="26"/>
      <c r="AC87" s="1086"/>
      <c r="AD87" s="26"/>
      <c r="AE87" s="26"/>
      <c r="AF87" s="26"/>
      <c r="AG87" s="26"/>
      <c r="AH87" s="26"/>
      <c r="AI87" s="26"/>
      <c r="AJ87" s="26"/>
      <c r="AK87" s="26"/>
      <c r="AL87" s="26"/>
      <c r="AM87" s="26"/>
      <c r="AN87" s="26"/>
      <c r="AO87" s="26"/>
      <c r="AP87" s="65">
        <f>SUM(F87:AO87)</f>
        <v>0</v>
      </c>
      <c r="AQ87" s="346" t="e">
        <f>AP87/AP81</f>
        <v>#DIV/0!</v>
      </c>
      <c r="AR87" s="1185"/>
      <c r="AS87" s="1185"/>
    </row>
    <row r="88" spans="1:45" s="2" customFormat="1" x14ac:dyDescent="0.35">
      <c r="A88" s="1198"/>
      <c r="B88" s="1179"/>
      <c r="C88" s="1196"/>
      <c r="D88" s="1201"/>
      <c r="E88" s="37" t="s">
        <v>189</v>
      </c>
      <c r="F88" s="33"/>
      <c r="G88" s="32"/>
      <c r="H88" s="32"/>
      <c r="I88" s="32"/>
      <c r="J88" s="32"/>
      <c r="K88" s="32"/>
      <c r="L88" s="32"/>
      <c r="M88" s="32"/>
      <c r="N88" s="32"/>
      <c r="O88" s="32"/>
      <c r="P88" s="32"/>
      <c r="Q88" s="1092"/>
      <c r="R88" s="1090"/>
      <c r="S88" s="32"/>
      <c r="T88" s="32"/>
      <c r="U88" s="32"/>
      <c r="V88" s="32"/>
      <c r="W88" s="32"/>
      <c r="X88" s="32"/>
      <c r="Y88" s="32"/>
      <c r="Z88" s="32"/>
      <c r="AA88" s="32"/>
      <c r="AB88" s="32"/>
      <c r="AC88" s="1092"/>
      <c r="AD88" s="32"/>
      <c r="AE88" s="32"/>
      <c r="AF88" s="32"/>
      <c r="AG88" s="32"/>
      <c r="AH88" s="32"/>
      <c r="AI88" s="32"/>
      <c r="AJ88" s="32"/>
      <c r="AK88" s="32"/>
      <c r="AL88" s="32"/>
      <c r="AM88" s="32"/>
      <c r="AN88" s="32"/>
      <c r="AO88" s="32"/>
      <c r="AP88" s="65">
        <f>SUM(F88:AO88)</f>
        <v>0</v>
      </c>
      <c r="AQ88" s="346" t="e">
        <f>AP88/AP82</f>
        <v>#DIV/0!</v>
      </c>
      <c r="AR88" s="1185"/>
      <c r="AS88" s="1185"/>
    </row>
    <row r="89" spans="1:45" s="2" customFormat="1" x14ac:dyDescent="0.35">
      <c r="A89" s="1198"/>
      <c r="B89" s="1179"/>
      <c r="C89" s="1196"/>
      <c r="D89" s="1201"/>
      <c r="E89" s="36" t="s">
        <v>190</v>
      </c>
      <c r="F89" s="29"/>
      <c r="G89" s="30"/>
      <c r="H89" s="30"/>
      <c r="I89" s="30"/>
      <c r="J89" s="30"/>
      <c r="K89" s="30"/>
      <c r="L89" s="30"/>
      <c r="M89" s="30"/>
      <c r="N89" s="30"/>
      <c r="O89" s="30"/>
      <c r="P89" s="30"/>
      <c r="Q89" s="1088"/>
      <c r="R89" s="1084"/>
      <c r="S89" s="30"/>
      <c r="T89" s="30"/>
      <c r="U89" s="30"/>
      <c r="V89" s="30"/>
      <c r="W89" s="30"/>
      <c r="X89" s="30"/>
      <c r="Y89" s="30"/>
      <c r="Z89" s="30"/>
      <c r="AA89" s="30"/>
      <c r="AB89" s="30"/>
      <c r="AC89" s="1088"/>
      <c r="AD89" s="30"/>
      <c r="AE89" s="30"/>
      <c r="AF89" s="30"/>
      <c r="AG89" s="30"/>
      <c r="AH89" s="30"/>
      <c r="AI89" s="30"/>
      <c r="AJ89" s="30"/>
      <c r="AK89" s="30"/>
      <c r="AL89" s="30"/>
      <c r="AM89" s="30"/>
      <c r="AN89" s="30"/>
      <c r="AO89" s="30"/>
      <c r="AP89" s="65"/>
      <c r="AQ89" s="65"/>
      <c r="AR89" s="1185"/>
      <c r="AS89" s="1185"/>
    </row>
    <row r="90" spans="1:45" s="2" customFormat="1" ht="15" thickBot="1" x14ac:dyDescent="0.4">
      <c r="A90" s="1199"/>
      <c r="B90" s="1180"/>
      <c r="C90" s="1197"/>
      <c r="D90" s="1202"/>
      <c r="E90" s="64" t="s">
        <v>191</v>
      </c>
      <c r="F90" s="25"/>
      <c r="G90" s="28"/>
      <c r="H90" s="28"/>
      <c r="I90" s="28"/>
      <c r="J90" s="28"/>
      <c r="K90" s="28"/>
      <c r="L90" s="28"/>
      <c r="M90" s="28"/>
      <c r="N90" s="28"/>
      <c r="O90" s="28"/>
      <c r="P90" s="28"/>
      <c r="Q90" s="1093"/>
      <c r="R90" s="1091"/>
      <c r="S90" s="28"/>
      <c r="T90" s="28"/>
      <c r="U90" s="28"/>
      <c r="V90" s="28"/>
      <c r="W90" s="28"/>
      <c r="X90" s="28"/>
      <c r="Y90" s="28"/>
      <c r="Z90" s="28"/>
      <c r="AA90" s="28"/>
      <c r="AB90" s="28"/>
      <c r="AC90" s="1093"/>
      <c r="AD90" s="28"/>
      <c r="AE90" s="28"/>
      <c r="AF90" s="28"/>
      <c r="AG90" s="28"/>
      <c r="AH90" s="28"/>
      <c r="AI90" s="28"/>
      <c r="AJ90" s="28"/>
      <c r="AK90" s="28"/>
      <c r="AL90" s="28"/>
      <c r="AM90" s="28"/>
      <c r="AN90" s="28"/>
      <c r="AO90" s="28"/>
      <c r="AP90" s="137"/>
      <c r="AQ90" s="137"/>
      <c r="AR90" s="1186"/>
      <c r="AS90" s="1186"/>
    </row>
    <row r="91" spans="1:45" s="2" customFormat="1" x14ac:dyDescent="0.35">
      <c r="A91" s="1198">
        <v>9</v>
      </c>
      <c r="B91" s="1178" t="str">
        <f>IF(VLOOKUP(A:A,'Pivot Table'!Z:AE,6,FALSE)=0,"",VLOOKUP(A:A,'Pivot Table'!Z:AE,6,FALSE))</f>
        <v/>
      </c>
      <c r="C91" s="1196" t="str">
        <f>_xlfn.IFNA(VLOOKUP(B:B,'indicator lists'!L:R,3,FALSE),"")</f>
        <v/>
      </c>
      <c r="D91" s="1200" t="str">
        <f>_xlfn.IFNA(VLOOKUP(A:A,'Pivot Table'!P:X,9,FALSE),"")</f>
        <v/>
      </c>
      <c r="E91" s="59" t="s">
        <v>181</v>
      </c>
      <c r="F91" s="60">
        <f>SUM(F92:F95)</f>
        <v>0</v>
      </c>
      <c r="G91" s="61">
        <f>SUM(G92:G95)</f>
        <v>0</v>
      </c>
      <c r="H91" s="61">
        <f t="shared" ref="H91:AO91" si="20">SUM(H92:H95)</f>
        <v>0</v>
      </c>
      <c r="I91" s="61">
        <f t="shared" si="20"/>
        <v>0</v>
      </c>
      <c r="J91" s="61">
        <f t="shared" si="20"/>
        <v>0</v>
      </c>
      <c r="K91" s="61">
        <f t="shared" si="20"/>
        <v>0</v>
      </c>
      <c r="L91" s="61">
        <f t="shared" si="20"/>
        <v>0</v>
      </c>
      <c r="M91" s="61">
        <f t="shared" si="20"/>
        <v>0</v>
      </c>
      <c r="N91" s="61">
        <f t="shared" si="20"/>
        <v>0</v>
      </c>
      <c r="O91" s="61">
        <f t="shared" si="20"/>
        <v>0</v>
      </c>
      <c r="P91" s="61">
        <f t="shared" si="20"/>
        <v>0</v>
      </c>
      <c r="Q91" s="61">
        <f t="shared" si="20"/>
        <v>0</v>
      </c>
      <c r="R91" s="61">
        <f t="shared" si="20"/>
        <v>0</v>
      </c>
      <c r="S91" s="61">
        <f t="shared" si="20"/>
        <v>0</v>
      </c>
      <c r="T91" s="61">
        <f t="shared" si="20"/>
        <v>0</v>
      </c>
      <c r="U91" s="61">
        <f t="shared" si="20"/>
        <v>0</v>
      </c>
      <c r="V91" s="61">
        <f t="shared" si="20"/>
        <v>0</v>
      </c>
      <c r="W91" s="61">
        <f t="shared" si="20"/>
        <v>0</v>
      </c>
      <c r="X91" s="61">
        <f t="shared" si="20"/>
        <v>0</v>
      </c>
      <c r="Y91" s="61">
        <f t="shared" si="20"/>
        <v>0</v>
      </c>
      <c r="Z91" s="61">
        <f t="shared" si="20"/>
        <v>0</v>
      </c>
      <c r="AA91" s="61">
        <f t="shared" si="20"/>
        <v>0</v>
      </c>
      <c r="AB91" s="61">
        <f t="shared" si="20"/>
        <v>0</v>
      </c>
      <c r="AC91" s="61">
        <f t="shared" si="20"/>
        <v>0</v>
      </c>
      <c r="AD91" s="61">
        <f t="shared" si="20"/>
        <v>0</v>
      </c>
      <c r="AE91" s="61">
        <f t="shared" si="20"/>
        <v>0</v>
      </c>
      <c r="AF91" s="61">
        <f t="shared" si="20"/>
        <v>0</v>
      </c>
      <c r="AG91" s="61">
        <f t="shared" si="20"/>
        <v>0</v>
      </c>
      <c r="AH91" s="61">
        <f t="shared" si="20"/>
        <v>0</v>
      </c>
      <c r="AI91" s="61">
        <f t="shared" si="20"/>
        <v>0</v>
      </c>
      <c r="AJ91" s="61">
        <f t="shared" si="20"/>
        <v>0</v>
      </c>
      <c r="AK91" s="61">
        <f t="shared" si="20"/>
        <v>0</v>
      </c>
      <c r="AL91" s="61">
        <f t="shared" si="20"/>
        <v>0</v>
      </c>
      <c r="AM91" s="61">
        <f t="shared" si="20"/>
        <v>0</v>
      </c>
      <c r="AN91" s="61">
        <f t="shared" si="20"/>
        <v>0</v>
      </c>
      <c r="AO91" s="61">
        <f t="shared" si="20"/>
        <v>0</v>
      </c>
      <c r="AP91" s="347">
        <f>SUM(AP92:AP93)</f>
        <v>0</v>
      </c>
      <c r="AQ91" s="134"/>
      <c r="AR91" s="1184"/>
      <c r="AS91" s="1184"/>
    </row>
    <row r="92" spans="1:45" s="2" customFormat="1" x14ac:dyDescent="0.35">
      <c r="A92" s="1198"/>
      <c r="B92" s="1179"/>
      <c r="C92" s="1196"/>
      <c r="D92" s="1201"/>
      <c r="E92" s="63" t="s">
        <v>182</v>
      </c>
      <c r="F92" s="23"/>
      <c r="G92" s="26"/>
      <c r="H92" s="26"/>
      <c r="I92" s="26"/>
      <c r="J92" s="26"/>
      <c r="K92" s="26"/>
      <c r="L92" s="26"/>
      <c r="M92" s="26"/>
      <c r="N92" s="26"/>
      <c r="O92" s="26"/>
      <c r="P92" s="26"/>
      <c r="Q92" s="1086"/>
      <c r="R92" s="1082"/>
      <c r="S92" s="26"/>
      <c r="T92" s="26"/>
      <c r="U92" s="26"/>
      <c r="V92" s="26"/>
      <c r="W92" s="26"/>
      <c r="X92" s="26"/>
      <c r="Y92" s="26"/>
      <c r="Z92" s="26"/>
      <c r="AA92" s="26"/>
      <c r="AB92" s="26"/>
      <c r="AC92" s="1086"/>
      <c r="AD92" s="26"/>
      <c r="AE92" s="26"/>
      <c r="AF92" s="26"/>
      <c r="AG92" s="26"/>
      <c r="AH92" s="26"/>
      <c r="AI92" s="26"/>
      <c r="AJ92" s="26"/>
      <c r="AK92" s="26"/>
      <c r="AL92" s="26"/>
      <c r="AM92" s="26"/>
      <c r="AN92" s="26"/>
      <c r="AO92" s="26"/>
      <c r="AP92" s="344">
        <f>SUM(F92:AO92)</f>
        <v>0</v>
      </c>
      <c r="AQ92" s="135"/>
      <c r="AR92" s="1185"/>
      <c r="AS92" s="1185"/>
    </row>
    <row r="93" spans="1:45" s="2" customFormat="1" x14ac:dyDescent="0.35">
      <c r="A93" s="1198"/>
      <c r="B93" s="1179"/>
      <c r="C93" s="1196"/>
      <c r="D93" s="1201"/>
      <c r="E93" s="336" t="s">
        <v>183</v>
      </c>
      <c r="F93" s="337"/>
      <c r="G93" s="338"/>
      <c r="H93" s="338"/>
      <c r="I93" s="338"/>
      <c r="J93" s="338"/>
      <c r="K93" s="338"/>
      <c r="L93" s="338"/>
      <c r="M93" s="338"/>
      <c r="N93" s="338"/>
      <c r="O93" s="338"/>
      <c r="P93" s="338"/>
      <c r="Q93" s="1087"/>
      <c r="R93" s="1083"/>
      <c r="S93" s="338"/>
      <c r="T93" s="338"/>
      <c r="U93" s="338"/>
      <c r="V93" s="338"/>
      <c r="W93" s="338"/>
      <c r="X93" s="338"/>
      <c r="Y93" s="338"/>
      <c r="Z93" s="338"/>
      <c r="AA93" s="338"/>
      <c r="AB93" s="338"/>
      <c r="AC93" s="1087"/>
      <c r="AD93" s="338"/>
      <c r="AE93" s="338"/>
      <c r="AF93" s="338"/>
      <c r="AG93" s="338"/>
      <c r="AH93" s="338"/>
      <c r="AI93" s="338"/>
      <c r="AJ93" s="338"/>
      <c r="AK93" s="338"/>
      <c r="AL93" s="338"/>
      <c r="AM93" s="338"/>
      <c r="AN93" s="338"/>
      <c r="AO93" s="338"/>
      <c r="AP93" s="344">
        <f>SUM(F93:AO93)</f>
        <v>0</v>
      </c>
      <c r="AQ93" s="335"/>
      <c r="AR93" s="1185"/>
      <c r="AS93" s="1185"/>
    </row>
    <row r="94" spans="1:45" s="2" customFormat="1" x14ac:dyDescent="0.35">
      <c r="A94" s="1198"/>
      <c r="B94" s="1179"/>
      <c r="C94" s="1196"/>
      <c r="D94" s="1201"/>
      <c r="E94" s="36" t="s">
        <v>184</v>
      </c>
      <c r="F94" s="29"/>
      <c r="G94" s="30"/>
      <c r="H94" s="30"/>
      <c r="I94" s="30"/>
      <c r="J94" s="30"/>
      <c r="K94" s="30"/>
      <c r="L94" s="30"/>
      <c r="M94" s="30"/>
      <c r="N94" s="30"/>
      <c r="O94" s="30"/>
      <c r="P94" s="30"/>
      <c r="Q94" s="1088"/>
      <c r="R94" s="1084"/>
      <c r="S94" s="30"/>
      <c r="T94" s="30"/>
      <c r="U94" s="30"/>
      <c r="V94" s="30"/>
      <c r="W94" s="30"/>
      <c r="X94" s="30"/>
      <c r="Y94" s="30"/>
      <c r="Z94" s="30"/>
      <c r="AA94" s="30"/>
      <c r="AB94" s="30"/>
      <c r="AC94" s="1088"/>
      <c r="AD94" s="30"/>
      <c r="AE94" s="30"/>
      <c r="AF94" s="30"/>
      <c r="AG94" s="30"/>
      <c r="AH94" s="30"/>
      <c r="AI94" s="30"/>
      <c r="AJ94" s="30"/>
      <c r="AK94" s="30"/>
      <c r="AL94" s="30"/>
      <c r="AM94" s="30"/>
      <c r="AN94" s="30"/>
      <c r="AO94" s="30"/>
      <c r="AP94" s="344"/>
      <c r="AQ94" s="335"/>
      <c r="AR94" s="1185"/>
      <c r="AS94" s="1185"/>
    </row>
    <row r="95" spans="1:45" s="2" customFormat="1" ht="15" thickBot="1" x14ac:dyDescent="0.4">
      <c r="A95" s="1198"/>
      <c r="B95" s="1179"/>
      <c r="C95" s="1196"/>
      <c r="D95" s="1201"/>
      <c r="E95" s="340" t="s">
        <v>185</v>
      </c>
      <c r="F95" s="341"/>
      <c r="G95" s="342"/>
      <c r="H95" s="342"/>
      <c r="I95" s="342"/>
      <c r="J95" s="342"/>
      <c r="K95" s="342"/>
      <c r="L95" s="342"/>
      <c r="M95" s="342"/>
      <c r="N95" s="342"/>
      <c r="O95" s="342"/>
      <c r="P95" s="342"/>
      <c r="Q95" s="1089"/>
      <c r="R95" s="1085"/>
      <c r="S95" s="342"/>
      <c r="T95" s="342"/>
      <c r="U95" s="342"/>
      <c r="V95" s="342"/>
      <c r="W95" s="342"/>
      <c r="X95" s="342"/>
      <c r="Y95" s="342"/>
      <c r="Z95" s="342"/>
      <c r="AA95" s="342"/>
      <c r="AB95" s="342"/>
      <c r="AC95" s="1089"/>
      <c r="AD95" s="342"/>
      <c r="AE95" s="342"/>
      <c r="AF95" s="342"/>
      <c r="AG95" s="342"/>
      <c r="AH95" s="342"/>
      <c r="AI95" s="342"/>
      <c r="AJ95" s="342"/>
      <c r="AK95" s="342"/>
      <c r="AL95" s="342"/>
      <c r="AM95" s="342"/>
      <c r="AN95" s="342"/>
      <c r="AO95" s="342"/>
      <c r="AP95" s="344"/>
      <c r="AQ95" s="335"/>
      <c r="AR95" s="1185"/>
      <c r="AS95" s="1185"/>
    </row>
    <row r="96" spans="1:45" s="2" customFormat="1" ht="26.5" thickBot="1" x14ac:dyDescent="0.4">
      <c r="A96" s="1198"/>
      <c r="B96" s="1179"/>
      <c r="C96" s="1196"/>
      <c r="D96" s="1201"/>
      <c r="E96" s="1193" t="s">
        <v>175</v>
      </c>
      <c r="F96" s="1194"/>
      <c r="G96" s="1194"/>
      <c r="H96" s="1194"/>
      <c r="I96" s="1194"/>
      <c r="J96" s="1194"/>
      <c r="K96" s="1194"/>
      <c r="L96" s="1194"/>
      <c r="M96" s="1194"/>
      <c r="N96" s="1194"/>
      <c r="O96" s="1194"/>
      <c r="P96" s="1194"/>
      <c r="Q96" s="1194"/>
      <c r="R96" s="1194"/>
      <c r="S96" s="1194"/>
      <c r="T96" s="1194"/>
      <c r="U96" s="1194"/>
      <c r="V96" s="1194"/>
      <c r="W96" s="1194"/>
      <c r="X96" s="1194"/>
      <c r="Y96" s="1194"/>
      <c r="Z96" s="1194"/>
      <c r="AA96" s="1194"/>
      <c r="AB96" s="1194"/>
      <c r="AC96" s="1194"/>
      <c r="AD96" s="1194"/>
      <c r="AE96" s="1194"/>
      <c r="AF96" s="1194"/>
      <c r="AG96" s="1194"/>
      <c r="AH96" s="1194"/>
      <c r="AI96" s="1194"/>
      <c r="AJ96" s="1194"/>
      <c r="AK96" s="1194"/>
      <c r="AL96" s="1194"/>
      <c r="AM96" s="1194"/>
      <c r="AN96" s="1194"/>
      <c r="AO96" s="1194"/>
      <c r="AP96" s="348" t="e">
        <f>SUM(AP98:AP99)/AP91</f>
        <v>#DIV/0!</v>
      </c>
      <c r="AQ96" s="349" t="s">
        <v>186</v>
      </c>
      <c r="AR96" s="1185"/>
      <c r="AS96" s="1185"/>
    </row>
    <row r="97" spans="1:45" s="2" customFormat="1" x14ac:dyDescent="0.35">
      <c r="A97" s="1198"/>
      <c r="B97" s="1179"/>
      <c r="C97" s="1196"/>
      <c r="D97" s="1201"/>
      <c r="E97" s="62" t="s">
        <v>187</v>
      </c>
      <c r="F97" s="44">
        <f>SUM(F98:F101)</f>
        <v>0</v>
      </c>
      <c r="G97" s="43">
        <f>SUM(G98:G101)</f>
        <v>0</v>
      </c>
      <c r="H97" s="43">
        <f t="shared" ref="H97:AO97" si="21">SUM(H98:H101)</f>
        <v>0</v>
      </c>
      <c r="I97" s="43">
        <f t="shared" si="21"/>
        <v>0</v>
      </c>
      <c r="J97" s="43">
        <f t="shared" si="21"/>
        <v>0</v>
      </c>
      <c r="K97" s="43">
        <f t="shared" si="21"/>
        <v>0</v>
      </c>
      <c r="L97" s="43">
        <f t="shared" si="21"/>
        <v>0</v>
      </c>
      <c r="M97" s="43">
        <f t="shared" si="21"/>
        <v>0</v>
      </c>
      <c r="N97" s="43">
        <f t="shared" si="21"/>
        <v>0</v>
      </c>
      <c r="O97" s="43">
        <f t="shared" si="21"/>
        <v>0</v>
      </c>
      <c r="P97" s="43">
        <f t="shared" si="21"/>
        <v>0</v>
      </c>
      <c r="Q97" s="43">
        <f t="shared" si="21"/>
        <v>0</v>
      </c>
      <c r="R97" s="43">
        <f t="shared" si="21"/>
        <v>0</v>
      </c>
      <c r="S97" s="43">
        <f t="shared" si="21"/>
        <v>0</v>
      </c>
      <c r="T97" s="43">
        <f t="shared" si="21"/>
        <v>0</v>
      </c>
      <c r="U97" s="43">
        <f t="shared" si="21"/>
        <v>0</v>
      </c>
      <c r="V97" s="43">
        <f t="shared" si="21"/>
        <v>0</v>
      </c>
      <c r="W97" s="43">
        <f t="shared" si="21"/>
        <v>0</v>
      </c>
      <c r="X97" s="43">
        <f t="shared" si="21"/>
        <v>0</v>
      </c>
      <c r="Y97" s="43">
        <f t="shared" si="21"/>
        <v>0</v>
      </c>
      <c r="Z97" s="43">
        <f t="shared" si="21"/>
        <v>0</v>
      </c>
      <c r="AA97" s="43">
        <f t="shared" si="21"/>
        <v>0</v>
      </c>
      <c r="AB97" s="43">
        <f t="shared" si="21"/>
        <v>0</v>
      </c>
      <c r="AC97" s="43">
        <f t="shared" si="21"/>
        <v>0</v>
      </c>
      <c r="AD97" s="43">
        <f t="shared" si="21"/>
        <v>0</v>
      </c>
      <c r="AE97" s="43">
        <f t="shared" si="21"/>
        <v>0</v>
      </c>
      <c r="AF97" s="43">
        <f t="shared" si="21"/>
        <v>0</v>
      </c>
      <c r="AG97" s="43">
        <f t="shared" si="21"/>
        <v>0</v>
      </c>
      <c r="AH97" s="43">
        <f t="shared" si="21"/>
        <v>0</v>
      </c>
      <c r="AI97" s="43">
        <f t="shared" si="21"/>
        <v>0</v>
      </c>
      <c r="AJ97" s="43">
        <f t="shared" si="21"/>
        <v>0</v>
      </c>
      <c r="AK97" s="43">
        <f t="shared" si="21"/>
        <v>0</v>
      </c>
      <c r="AL97" s="43">
        <f t="shared" si="21"/>
        <v>0</v>
      </c>
      <c r="AM97" s="43">
        <f t="shared" si="21"/>
        <v>0</v>
      </c>
      <c r="AN97" s="43">
        <f t="shared" si="21"/>
        <v>0</v>
      </c>
      <c r="AO97" s="43">
        <f t="shared" si="21"/>
        <v>0</v>
      </c>
      <c r="AP97" s="65"/>
      <c r="AQ97" s="65"/>
      <c r="AR97" s="1185"/>
      <c r="AS97" s="1185"/>
    </row>
    <row r="98" spans="1:45" s="2" customFormat="1" x14ac:dyDescent="0.35">
      <c r="A98" s="1198"/>
      <c r="B98" s="1179"/>
      <c r="C98" s="1196"/>
      <c r="D98" s="1201"/>
      <c r="E98" s="63" t="s">
        <v>188</v>
      </c>
      <c r="F98" s="23"/>
      <c r="G98" s="26"/>
      <c r="H98" s="26"/>
      <c r="I98" s="26"/>
      <c r="J98" s="26"/>
      <c r="K98" s="26"/>
      <c r="L98" s="26"/>
      <c r="M98" s="26"/>
      <c r="N98" s="26"/>
      <c r="O98" s="26"/>
      <c r="P98" s="26"/>
      <c r="Q98" s="1086"/>
      <c r="R98" s="1082"/>
      <c r="S98" s="26"/>
      <c r="T98" s="26"/>
      <c r="U98" s="26"/>
      <c r="V98" s="26"/>
      <c r="W98" s="26"/>
      <c r="X98" s="26"/>
      <c r="Y98" s="26"/>
      <c r="Z98" s="26"/>
      <c r="AA98" s="26"/>
      <c r="AB98" s="26"/>
      <c r="AC98" s="1086"/>
      <c r="AD98" s="26"/>
      <c r="AE98" s="26"/>
      <c r="AF98" s="26"/>
      <c r="AG98" s="26"/>
      <c r="AH98" s="26"/>
      <c r="AI98" s="26"/>
      <c r="AJ98" s="26"/>
      <c r="AK98" s="26"/>
      <c r="AL98" s="26"/>
      <c r="AM98" s="26"/>
      <c r="AN98" s="26"/>
      <c r="AO98" s="26"/>
      <c r="AP98" s="65">
        <f>SUM(F98:AO98)</f>
        <v>0</v>
      </c>
      <c r="AQ98" s="346" t="e">
        <f>AP98/AP92</f>
        <v>#DIV/0!</v>
      </c>
      <c r="AR98" s="1185"/>
      <c r="AS98" s="1185"/>
    </row>
    <row r="99" spans="1:45" s="2" customFormat="1" x14ac:dyDescent="0.35">
      <c r="A99" s="1198"/>
      <c r="B99" s="1179"/>
      <c r="C99" s="1196"/>
      <c r="D99" s="1201"/>
      <c r="E99" s="37" t="s">
        <v>189</v>
      </c>
      <c r="F99" s="33"/>
      <c r="G99" s="32"/>
      <c r="H99" s="32"/>
      <c r="I99" s="32"/>
      <c r="J99" s="32"/>
      <c r="K99" s="32"/>
      <c r="L99" s="32"/>
      <c r="M99" s="32"/>
      <c r="N99" s="32"/>
      <c r="O99" s="32"/>
      <c r="P99" s="32"/>
      <c r="Q99" s="1092"/>
      <c r="R99" s="1090"/>
      <c r="S99" s="32"/>
      <c r="T99" s="32"/>
      <c r="U99" s="32"/>
      <c r="V99" s="32"/>
      <c r="W99" s="32"/>
      <c r="X99" s="32"/>
      <c r="Y99" s="32"/>
      <c r="Z99" s="32"/>
      <c r="AA99" s="32"/>
      <c r="AB99" s="32"/>
      <c r="AC99" s="1092"/>
      <c r="AD99" s="32"/>
      <c r="AE99" s="32"/>
      <c r="AF99" s="32"/>
      <c r="AG99" s="32"/>
      <c r="AH99" s="32"/>
      <c r="AI99" s="32"/>
      <c r="AJ99" s="32"/>
      <c r="AK99" s="32"/>
      <c r="AL99" s="32"/>
      <c r="AM99" s="32"/>
      <c r="AN99" s="32"/>
      <c r="AO99" s="32"/>
      <c r="AP99" s="65">
        <f>SUM(F99:AO99)</f>
        <v>0</v>
      </c>
      <c r="AQ99" s="346" t="e">
        <f>AP99/AP93</f>
        <v>#DIV/0!</v>
      </c>
      <c r="AR99" s="1185"/>
      <c r="AS99" s="1185"/>
    </row>
    <row r="100" spans="1:45" s="2" customFormat="1" x14ac:dyDescent="0.35">
      <c r="A100" s="1198"/>
      <c r="B100" s="1179"/>
      <c r="C100" s="1196"/>
      <c r="D100" s="1201"/>
      <c r="E100" s="36" t="s">
        <v>190</v>
      </c>
      <c r="F100" s="29"/>
      <c r="G100" s="30"/>
      <c r="H100" s="30"/>
      <c r="I100" s="30"/>
      <c r="J100" s="30"/>
      <c r="K100" s="30"/>
      <c r="L100" s="30"/>
      <c r="M100" s="30"/>
      <c r="N100" s="30"/>
      <c r="O100" s="30"/>
      <c r="P100" s="30"/>
      <c r="Q100" s="1088"/>
      <c r="R100" s="1084"/>
      <c r="S100" s="30"/>
      <c r="T100" s="30"/>
      <c r="U100" s="30"/>
      <c r="V100" s="30"/>
      <c r="W100" s="30"/>
      <c r="X100" s="30"/>
      <c r="Y100" s="30"/>
      <c r="Z100" s="30"/>
      <c r="AA100" s="30"/>
      <c r="AB100" s="30"/>
      <c r="AC100" s="1088"/>
      <c r="AD100" s="30"/>
      <c r="AE100" s="30"/>
      <c r="AF100" s="30"/>
      <c r="AG100" s="30"/>
      <c r="AH100" s="30"/>
      <c r="AI100" s="30"/>
      <c r="AJ100" s="30"/>
      <c r="AK100" s="30"/>
      <c r="AL100" s="30"/>
      <c r="AM100" s="30"/>
      <c r="AN100" s="30"/>
      <c r="AO100" s="30"/>
      <c r="AP100" s="65"/>
      <c r="AQ100" s="65"/>
      <c r="AR100" s="1185"/>
      <c r="AS100" s="1185"/>
    </row>
    <row r="101" spans="1:45" s="2" customFormat="1" ht="15" thickBot="1" x14ac:dyDescent="0.4">
      <c r="A101" s="1199"/>
      <c r="B101" s="1180"/>
      <c r="C101" s="1197"/>
      <c r="D101" s="1202"/>
      <c r="E101" s="64" t="s">
        <v>191</v>
      </c>
      <c r="F101" s="25"/>
      <c r="G101" s="28"/>
      <c r="H101" s="28"/>
      <c r="I101" s="28"/>
      <c r="J101" s="28"/>
      <c r="K101" s="28"/>
      <c r="L101" s="28"/>
      <c r="M101" s="28"/>
      <c r="N101" s="28"/>
      <c r="O101" s="28"/>
      <c r="P101" s="28"/>
      <c r="Q101" s="1093"/>
      <c r="R101" s="1091"/>
      <c r="S101" s="28"/>
      <c r="T101" s="28"/>
      <c r="U101" s="28"/>
      <c r="V101" s="28"/>
      <c r="W101" s="28"/>
      <c r="X101" s="28"/>
      <c r="Y101" s="28"/>
      <c r="Z101" s="28"/>
      <c r="AA101" s="28"/>
      <c r="AB101" s="28"/>
      <c r="AC101" s="1093"/>
      <c r="AD101" s="28"/>
      <c r="AE101" s="28"/>
      <c r="AF101" s="28"/>
      <c r="AG101" s="28"/>
      <c r="AH101" s="28"/>
      <c r="AI101" s="28"/>
      <c r="AJ101" s="28"/>
      <c r="AK101" s="28"/>
      <c r="AL101" s="28"/>
      <c r="AM101" s="28"/>
      <c r="AN101" s="28"/>
      <c r="AO101" s="28"/>
      <c r="AP101" s="137"/>
      <c r="AQ101" s="137"/>
      <c r="AR101" s="1186"/>
      <c r="AS101" s="1186"/>
    </row>
    <row r="102" spans="1:45" s="2" customFormat="1" x14ac:dyDescent="0.35">
      <c r="A102" s="1198">
        <v>10</v>
      </c>
      <c r="B102" s="1178" t="str">
        <f>IF(VLOOKUP(A:A,'Pivot Table'!Z:AE,6,FALSE)=0,"",VLOOKUP(A:A,'Pivot Table'!Z:AE,6,FALSE))</f>
        <v/>
      </c>
      <c r="C102" s="1195" t="str">
        <f>_xlfn.IFNA(VLOOKUP(B:B,'indicator lists'!L:R,3,FALSE),"")</f>
        <v/>
      </c>
      <c r="D102" s="1200" t="str">
        <f>_xlfn.IFNA(VLOOKUP(A:A,'Pivot Table'!P:X,9,FALSE),"")</f>
        <v/>
      </c>
      <c r="E102" s="59" t="s">
        <v>181</v>
      </c>
      <c r="F102" s="60">
        <f>SUM(F103:F106)</f>
        <v>0</v>
      </c>
      <c r="G102" s="61">
        <f>SUM(G103:G106)</f>
        <v>0</v>
      </c>
      <c r="H102" s="61">
        <f t="shared" ref="H102:AO102" si="22">SUM(H103:H106)</f>
        <v>0</v>
      </c>
      <c r="I102" s="61">
        <f t="shared" si="22"/>
        <v>0</v>
      </c>
      <c r="J102" s="61">
        <f t="shared" si="22"/>
        <v>0</v>
      </c>
      <c r="K102" s="61">
        <f t="shared" si="22"/>
        <v>0</v>
      </c>
      <c r="L102" s="61">
        <f t="shared" si="22"/>
        <v>0</v>
      </c>
      <c r="M102" s="61">
        <f t="shared" si="22"/>
        <v>0</v>
      </c>
      <c r="N102" s="61">
        <f t="shared" si="22"/>
        <v>0</v>
      </c>
      <c r="O102" s="61">
        <f t="shared" si="22"/>
        <v>0</v>
      </c>
      <c r="P102" s="61">
        <f t="shared" si="22"/>
        <v>0</v>
      </c>
      <c r="Q102" s="61">
        <f t="shared" si="22"/>
        <v>0</v>
      </c>
      <c r="R102" s="61">
        <f t="shared" si="22"/>
        <v>0</v>
      </c>
      <c r="S102" s="61">
        <f t="shared" si="22"/>
        <v>0</v>
      </c>
      <c r="T102" s="61">
        <f t="shared" si="22"/>
        <v>0</v>
      </c>
      <c r="U102" s="61">
        <f t="shared" si="22"/>
        <v>0</v>
      </c>
      <c r="V102" s="61">
        <f t="shared" si="22"/>
        <v>0</v>
      </c>
      <c r="W102" s="61">
        <f t="shared" si="22"/>
        <v>0</v>
      </c>
      <c r="X102" s="61">
        <f t="shared" si="22"/>
        <v>0</v>
      </c>
      <c r="Y102" s="61">
        <f t="shared" si="22"/>
        <v>0</v>
      </c>
      <c r="Z102" s="61">
        <f t="shared" si="22"/>
        <v>0</v>
      </c>
      <c r="AA102" s="61">
        <f t="shared" si="22"/>
        <v>0</v>
      </c>
      <c r="AB102" s="61">
        <f t="shared" si="22"/>
        <v>0</v>
      </c>
      <c r="AC102" s="61">
        <f t="shared" si="22"/>
        <v>0</v>
      </c>
      <c r="AD102" s="61">
        <f t="shared" si="22"/>
        <v>0</v>
      </c>
      <c r="AE102" s="61">
        <f t="shared" si="22"/>
        <v>0</v>
      </c>
      <c r="AF102" s="61">
        <f t="shared" si="22"/>
        <v>0</v>
      </c>
      <c r="AG102" s="61">
        <f t="shared" si="22"/>
        <v>0</v>
      </c>
      <c r="AH102" s="61">
        <f t="shared" si="22"/>
        <v>0</v>
      </c>
      <c r="AI102" s="61">
        <f t="shared" si="22"/>
        <v>0</v>
      </c>
      <c r="AJ102" s="61">
        <f t="shared" si="22"/>
        <v>0</v>
      </c>
      <c r="AK102" s="61">
        <f t="shared" si="22"/>
        <v>0</v>
      </c>
      <c r="AL102" s="61">
        <f t="shared" si="22"/>
        <v>0</v>
      </c>
      <c r="AM102" s="61">
        <f t="shared" si="22"/>
        <v>0</v>
      </c>
      <c r="AN102" s="61">
        <f t="shared" si="22"/>
        <v>0</v>
      </c>
      <c r="AO102" s="61">
        <f t="shared" si="22"/>
        <v>0</v>
      </c>
      <c r="AP102" s="347">
        <f>SUM(AP103:AP104)</f>
        <v>0</v>
      </c>
      <c r="AQ102" s="134"/>
      <c r="AR102" s="1184"/>
      <c r="AS102" s="1184"/>
    </row>
    <row r="103" spans="1:45" s="2" customFormat="1" x14ac:dyDescent="0.35">
      <c r="A103" s="1198"/>
      <c r="B103" s="1179"/>
      <c r="C103" s="1196"/>
      <c r="D103" s="1201"/>
      <c r="E103" s="63" t="s">
        <v>182</v>
      </c>
      <c r="F103" s="23"/>
      <c r="G103" s="26"/>
      <c r="H103" s="26"/>
      <c r="I103" s="26"/>
      <c r="J103" s="26"/>
      <c r="K103" s="26"/>
      <c r="L103" s="26"/>
      <c r="M103" s="26"/>
      <c r="N103" s="26"/>
      <c r="O103" s="26"/>
      <c r="P103" s="26"/>
      <c r="Q103" s="1086"/>
      <c r="R103" s="1082"/>
      <c r="S103" s="26"/>
      <c r="T103" s="26"/>
      <c r="U103" s="26"/>
      <c r="V103" s="26"/>
      <c r="W103" s="26"/>
      <c r="X103" s="26"/>
      <c r="Y103" s="26"/>
      <c r="Z103" s="26"/>
      <c r="AA103" s="26"/>
      <c r="AB103" s="26"/>
      <c r="AC103" s="1086"/>
      <c r="AD103" s="26"/>
      <c r="AE103" s="26"/>
      <c r="AF103" s="26"/>
      <c r="AG103" s="26"/>
      <c r="AH103" s="26"/>
      <c r="AI103" s="26"/>
      <c r="AJ103" s="26"/>
      <c r="AK103" s="26"/>
      <c r="AL103" s="26"/>
      <c r="AM103" s="26"/>
      <c r="AN103" s="26"/>
      <c r="AO103" s="26"/>
      <c r="AP103" s="344">
        <f>SUM(F103:AO103)</f>
        <v>0</v>
      </c>
      <c r="AQ103" s="135"/>
      <c r="AR103" s="1185"/>
      <c r="AS103" s="1185"/>
    </row>
    <row r="104" spans="1:45" s="2" customFormat="1" x14ac:dyDescent="0.35">
      <c r="A104" s="1198"/>
      <c r="B104" s="1179"/>
      <c r="C104" s="1196"/>
      <c r="D104" s="1201"/>
      <c r="E104" s="336" t="s">
        <v>183</v>
      </c>
      <c r="F104" s="337"/>
      <c r="G104" s="338"/>
      <c r="H104" s="338"/>
      <c r="I104" s="338"/>
      <c r="J104" s="338"/>
      <c r="K104" s="338"/>
      <c r="L104" s="338"/>
      <c r="M104" s="338"/>
      <c r="N104" s="338"/>
      <c r="O104" s="338"/>
      <c r="P104" s="338"/>
      <c r="Q104" s="1087"/>
      <c r="R104" s="1083"/>
      <c r="S104" s="338"/>
      <c r="T104" s="338"/>
      <c r="U104" s="338"/>
      <c r="V104" s="338"/>
      <c r="W104" s="338"/>
      <c r="X104" s="338"/>
      <c r="Y104" s="338"/>
      <c r="Z104" s="338"/>
      <c r="AA104" s="338"/>
      <c r="AB104" s="338"/>
      <c r="AC104" s="1087"/>
      <c r="AD104" s="338"/>
      <c r="AE104" s="338"/>
      <c r="AF104" s="338"/>
      <c r="AG104" s="338"/>
      <c r="AH104" s="338"/>
      <c r="AI104" s="338"/>
      <c r="AJ104" s="338"/>
      <c r="AK104" s="338"/>
      <c r="AL104" s="338"/>
      <c r="AM104" s="338"/>
      <c r="AN104" s="338"/>
      <c r="AO104" s="338"/>
      <c r="AP104" s="344">
        <f>SUM(F104:AO104)</f>
        <v>0</v>
      </c>
      <c r="AQ104" s="335"/>
      <c r="AR104" s="1185"/>
      <c r="AS104" s="1185"/>
    </row>
    <row r="105" spans="1:45" s="2" customFormat="1" x14ac:dyDescent="0.35">
      <c r="A105" s="1198"/>
      <c r="B105" s="1179"/>
      <c r="C105" s="1196"/>
      <c r="D105" s="1201"/>
      <c r="E105" s="36" t="s">
        <v>184</v>
      </c>
      <c r="F105" s="29"/>
      <c r="G105" s="30"/>
      <c r="H105" s="30"/>
      <c r="I105" s="30"/>
      <c r="J105" s="30"/>
      <c r="K105" s="30"/>
      <c r="L105" s="30"/>
      <c r="M105" s="30"/>
      <c r="N105" s="30"/>
      <c r="O105" s="30"/>
      <c r="P105" s="30"/>
      <c r="Q105" s="1088"/>
      <c r="R105" s="1084"/>
      <c r="S105" s="30"/>
      <c r="T105" s="30"/>
      <c r="U105" s="30"/>
      <c r="V105" s="30"/>
      <c r="W105" s="30"/>
      <c r="X105" s="30"/>
      <c r="Y105" s="30"/>
      <c r="Z105" s="30"/>
      <c r="AA105" s="30"/>
      <c r="AB105" s="30"/>
      <c r="AC105" s="1088"/>
      <c r="AD105" s="30"/>
      <c r="AE105" s="30"/>
      <c r="AF105" s="30"/>
      <c r="AG105" s="30"/>
      <c r="AH105" s="30"/>
      <c r="AI105" s="30"/>
      <c r="AJ105" s="30"/>
      <c r="AK105" s="30"/>
      <c r="AL105" s="30"/>
      <c r="AM105" s="30"/>
      <c r="AN105" s="30"/>
      <c r="AO105" s="30"/>
      <c r="AP105" s="344"/>
      <c r="AQ105" s="335"/>
      <c r="AR105" s="1185"/>
      <c r="AS105" s="1185"/>
    </row>
    <row r="106" spans="1:45" s="2" customFormat="1" ht="15" thickBot="1" x14ac:dyDescent="0.4">
      <c r="A106" s="1198"/>
      <c r="B106" s="1179"/>
      <c r="C106" s="1196"/>
      <c r="D106" s="1201"/>
      <c r="E106" s="340" t="s">
        <v>185</v>
      </c>
      <c r="F106" s="341"/>
      <c r="G106" s="342"/>
      <c r="H106" s="342"/>
      <c r="I106" s="342"/>
      <c r="J106" s="342"/>
      <c r="K106" s="342"/>
      <c r="L106" s="342"/>
      <c r="M106" s="342"/>
      <c r="N106" s="342"/>
      <c r="O106" s="342"/>
      <c r="P106" s="342"/>
      <c r="Q106" s="1089"/>
      <c r="R106" s="1085"/>
      <c r="S106" s="342"/>
      <c r="T106" s="342"/>
      <c r="U106" s="342"/>
      <c r="V106" s="342"/>
      <c r="W106" s="342"/>
      <c r="X106" s="342"/>
      <c r="Y106" s="342"/>
      <c r="Z106" s="342"/>
      <c r="AA106" s="342"/>
      <c r="AB106" s="342"/>
      <c r="AC106" s="1089"/>
      <c r="AD106" s="342"/>
      <c r="AE106" s="342"/>
      <c r="AF106" s="342"/>
      <c r="AG106" s="342"/>
      <c r="AH106" s="342"/>
      <c r="AI106" s="342"/>
      <c r="AJ106" s="342"/>
      <c r="AK106" s="342"/>
      <c r="AL106" s="342"/>
      <c r="AM106" s="342"/>
      <c r="AN106" s="342"/>
      <c r="AO106" s="342"/>
      <c r="AP106" s="344"/>
      <c r="AQ106" s="335"/>
      <c r="AR106" s="1185"/>
      <c r="AS106" s="1185"/>
    </row>
    <row r="107" spans="1:45" s="2" customFormat="1" ht="26.5" thickBot="1" x14ac:dyDescent="0.4">
      <c r="A107" s="1198"/>
      <c r="B107" s="1179"/>
      <c r="C107" s="1196"/>
      <c r="D107" s="1201"/>
      <c r="E107" s="1193" t="s">
        <v>175</v>
      </c>
      <c r="F107" s="1194"/>
      <c r="G107" s="1194"/>
      <c r="H107" s="1194"/>
      <c r="I107" s="1194"/>
      <c r="J107" s="1194"/>
      <c r="K107" s="1194"/>
      <c r="L107" s="1194"/>
      <c r="M107" s="1194"/>
      <c r="N107" s="1194"/>
      <c r="O107" s="1194"/>
      <c r="P107" s="1194"/>
      <c r="Q107" s="1194"/>
      <c r="R107" s="1194"/>
      <c r="S107" s="1194"/>
      <c r="T107" s="1194"/>
      <c r="U107" s="1194"/>
      <c r="V107" s="1194"/>
      <c r="W107" s="1194"/>
      <c r="X107" s="1194"/>
      <c r="Y107" s="1194"/>
      <c r="Z107" s="1194"/>
      <c r="AA107" s="1194"/>
      <c r="AB107" s="1194"/>
      <c r="AC107" s="1194"/>
      <c r="AD107" s="1194"/>
      <c r="AE107" s="1194"/>
      <c r="AF107" s="1194"/>
      <c r="AG107" s="1194"/>
      <c r="AH107" s="1194"/>
      <c r="AI107" s="1194"/>
      <c r="AJ107" s="1194"/>
      <c r="AK107" s="1194"/>
      <c r="AL107" s="1194"/>
      <c r="AM107" s="1194"/>
      <c r="AN107" s="1194"/>
      <c r="AO107" s="1194"/>
      <c r="AP107" s="348" t="e">
        <f>SUM(AP109:AP110)/AP102</f>
        <v>#DIV/0!</v>
      </c>
      <c r="AQ107" s="349" t="s">
        <v>186</v>
      </c>
      <c r="AR107" s="1185"/>
      <c r="AS107" s="1185"/>
    </row>
    <row r="108" spans="1:45" s="2" customFormat="1" x14ac:dyDescent="0.35">
      <c r="A108" s="1198"/>
      <c r="B108" s="1179"/>
      <c r="C108" s="1196"/>
      <c r="D108" s="1201"/>
      <c r="E108" s="62" t="s">
        <v>187</v>
      </c>
      <c r="F108" s="44">
        <f>SUM(F109:F112)</f>
        <v>0</v>
      </c>
      <c r="G108" s="43">
        <f>SUM(G109:G112)</f>
        <v>0</v>
      </c>
      <c r="H108" s="43">
        <f t="shared" ref="H108:AO108" si="23">SUM(H109:H112)</f>
        <v>0</v>
      </c>
      <c r="I108" s="43">
        <f t="shared" si="23"/>
        <v>0</v>
      </c>
      <c r="J108" s="43">
        <f t="shared" si="23"/>
        <v>0</v>
      </c>
      <c r="K108" s="43">
        <f t="shared" si="23"/>
        <v>0</v>
      </c>
      <c r="L108" s="43">
        <f t="shared" si="23"/>
        <v>0</v>
      </c>
      <c r="M108" s="43">
        <f t="shared" si="23"/>
        <v>0</v>
      </c>
      <c r="N108" s="43">
        <f t="shared" si="23"/>
        <v>0</v>
      </c>
      <c r="O108" s="43">
        <f t="shared" si="23"/>
        <v>0</v>
      </c>
      <c r="P108" s="43">
        <f t="shared" si="23"/>
        <v>0</v>
      </c>
      <c r="Q108" s="43">
        <f t="shared" si="23"/>
        <v>0</v>
      </c>
      <c r="R108" s="43">
        <f t="shared" si="23"/>
        <v>0</v>
      </c>
      <c r="S108" s="43">
        <f t="shared" si="23"/>
        <v>0</v>
      </c>
      <c r="T108" s="43">
        <f t="shared" si="23"/>
        <v>0</v>
      </c>
      <c r="U108" s="43">
        <f t="shared" si="23"/>
        <v>0</v>
      </c>
      <c r="V108" s="43">
        <f t="shared" si="23"/>
        <v>0</v>
      </c>
      <c r="W108" s="43">
        <f t="shared" si="23"/>
        <v>0</v>
      </c>
      <c r="X108" s="43">
        <f t="shared" si="23"/>
        <v>0</v>
      </c>
      <c r="Y108" s="43">
        <f t="shared" si="23"/>
        <v>0</v>
      </c>
      <c r="Z108" s="43">
        <f t="shared" si="23"/>
        <v>0</v>
      </c>
      <c r="AA108" s="43">
        <f t="shared" si="23"/>
        <v>0</v>
      </c>
      <c r="AB108" s="43">
        <f t="shared" si="23"/>
        <v>0</v>
      </c>
      <c r="AC108" s="43">
        <f t="shared" si="23"/>
        <v>0</v>
      </c>
      <c r="AD108" s="43">
        <f t="shared" si="23"/>
        <v>0</v>
      </c>
      <c r="AE108" s="43">
        <f t="shared" si="23"/>
        <v>0</v>
      </c>
      <c r="AF108" s="43">
        <f t="shared" si="23"/>
        <v>0</v>
      </c>
      <c r="AG108" s="43">
        <f t="shared" si="23"/>
        <v>0</v>
      </c>
      <c r="AH108" s="43">
        <f t="shared" si="23"/>
        <v>0</v>
      </c>
      <c r="AI108" s="43">
        <f t="shared" si="23"/>
        <v>0</v>
      </c>
      <c r="AJ108" s="43">
        <f t="shared" si="23"/>
        <v>0</v>
      </c>
      <c r="AK108" s="43">
        <f t="shared" si="23"/>
        <v>0</v>
      </c>
      <c r="AL108" s="43">
        <f t="shared" si="23"/>
        <v>0</v>
      </c>
      <c r="AM108" s="43">
        <f t="shared" si="23"/>
        <v>0</v>
      </c>
      <c r="AN108" s="43">
        <f t="shared" si="23"/>
        <v>0</v>
      </c>
      <c r="AO108" s="43">
        <f t="shared" si="23"/>
        <v>0</v>
      </c>
      <c r="AP108" s="65"/>
      <c r="AQ108" s="65"/>
      <c r="AR108" s="1185"/>
      <c r="AS108" s="1185"/>
    </row>
    <row r="109" spans="1:45" s="2" customFormat="1" x14ac:dyDescent="0.35">
      <c r="A109" s="1198"/>
      <c r="B109" s="1179"/>
      <c r="C109" s="1196"/>
      <c r="D109" s="1201"/>
      <c r="E109" s="63" t="s">
        <v>188</v>
      </c>
      <c r="F109" s="23"/>
      <c r="G109" s="26"/>
      <c r="H109" s="26"/>
      <c r="I109" s="26"/>
      <c r="J109" s="26"/>
      <c r="K109" s="26"/>
      <c r="L109" s="26"/>
      <c r="M109" s="26"/>
      <c r="N109" s="26"/>
      <c r="O109" s="26"/>
      <c r="P109" s="26"/>
      <c r="Q109" s="1086"/>
      <c r="R109" s="1082"/>
      <c r="S109" s="26"/>
      <c r="T109" s="26"/>
      <c r="U109" s="26"/>
      <c r="V109" s="26"/>
      <c r="W109" s="26"/>
      <c r="X109" s="26"/>
      <c r="Y109" s="26"/>
      <c r="Z109" s="26"/>
      <c r="AA109" s="26"/>
      <c r="AB109" s="26"/>
      <c r="AC109" s="1086"/>
      <c r="AD109" s="26"/>
      <c r="AE109" s="26"/>
      <c r="AF109" s="26"/>
      <c r="AG109" s="26"/>
      <c r="AH109" s="26"/>
      <c r="AI109" s="26"/>
      <c r="AJ109" s="26"/>
      <c r="AK109" s="26"/>
      <c r="AL109" s="26"/>
      <c r="AM109" s="26"/>
      <c r="AN109" s="26"/>
      <c r="AO109" s="26"/>
      <c r="AP109" s="65">
        <f>SUM(F109:AO109)</f>
        <v>0</v>
      </c>
      <c r="AQ109" s="346" t="e">
        <f>AP109/AP103</f>
        <v>#DIV/0!</v>
      </c>
      <c r="AR109" s="1185"/>
      <c r="AS109" s="1185"/>
    </row>
    <row r="110" spans="1:45" s="2" customFormat="1" x14ac:dyDescent="0.35">
      <c r="A110" s="1198"/>
      <c r="B110" s="1179"/>
      <c r="C110" s="1196"/>
      <c r="D110" s="1201"/>
      <c r="E110" s="37" t="s">
        <v>189</v>
      </c>
      <c r="F110" s="33"/>
      <c r="G110" s="32"/>
      <c r="H110" s="32"/>
      <c r="I110" s="32"/>
      <c r="J110" s="32"/>
      <c r="K110" s="32"/>
      <c r="L110" s="32"/>
      <c r="M110" s="32"/>
      <c r="N110" s="32"/>
      <c r="O110" s="32"/>
      <c r="P110" s="32"/>
      <c r="Q110" s="1092"/>
      <c r="R110" s="1090"/>
      <c r="S110" s="32"/>
      <c r="T110" s="32"/>
      <c r="U110" s="32"/>
      <c r="V110" s="32"/>
      <c r="W110" s="32"/>
      <c r="X110" s="32"/>
      <c r="Y110" s="32"/>
      <c r="Z110" s="32"/>
      <c r="AA110" s="32"/>
      <c r="AB110" s="32"/>
      <c r="AC110" s="1092"/>
      <c r="AD110" s="32"/>
      <c r="AE110" s="32"/>
      <c r="AF110" s="32"/>
      <c r="AG110" s="32"/>
      <c r="AH110" s="32"/>
      <c r="AI110" s="32"/>
      <c r="AJ110" s="32"/>
      <c r="AK110" s="32"/>
      <c r="AL110" s="32"/>
      <c r="AM110" s="32"/>
      <c r="AN110" s="32"/>
      <c r="AO110" s="32"/>
      <c r="AP110" s="65">
        <f>SUM(F110:AO110)</f>
        <v>0</v>
      </c>
      <c r="AQ110" s="346" t="e">
        <f>AP110/AP104</f>
        <v>#DIV/0!</v>
      </c>
      <c r="AR110" s="1185"/>
      <c r="AS110" s="1185"/>
    </row>
    <row r="111" spans="1:45" s="2" customFormat="1" x14ac:dyDescent="0.35">
      <c r="A111" s="1198"/>
      <c r="B111" s="1179"/>
      <c r="C111" s="1196"/>
      <c r="D111" s="1201"/>
      <c r="E111" s="36" t="s">
        <v>190</v>
      </c>
      <c r="F111" s="29"/>
      <c r="G111" s="30"/>
      <c r="H111" s="30"/>
      <c r="I111" s="30"/>
      <c r="J111" s="30"/>
      <c r="K111" s="30"/>
      <c r="L111" s="30"/>
      <c r="M111" s="30"/>
      <c r="N111" s="30"/>
      <c r="O111" s="30"/>
      <c r="P111" s="30"/>
      <c r="Q111" s="1088"/>
      <c r="R111" s="1084"/>
      <c r="S111" s="30"/>
      <c r="T111" s="30"/>
      <c r="U111" s="30"/>
      <c r="V111" s="30"/>
      <c r="W111" s="30"/>
      <c r="X111" s="30"/>
      <c r="Y111" s="30"/>
      <c r="Z111" s="30"/>
      <c r="AA111" s="30"/>
      <c r="AB111" s="30"/>
      <c r="AC111" s="1088"/>
      <c r="AD111" s="30"/>
      <c r="AE111" s="30"/>
      <c r="AF111" s="30"/>
      <c r="AG111" s="30"/>
      <c r="AH111" s="30"/>
      <c r="AI111" s="30"/>
      <c r="AJ111" s="30"/>
      <c r="AK111" s="30"/>
      <c r="AL111" s="30"/>
      <c r="AM111" s="30"/>
      <c r="AN111" s="30"/>
      <c r="AO111" s="30"/>
      <c r="AP111" s="65"/>
      <c r="AQ111" s="65"/>
      <c r="AR111" s="1185"/>
      <c r="AS111" s="1185"/>
    </row>
    <row r="112" spans="1:45" s="2" customFormat="1" ht="15" thickBot="1" x14ac:dyDescent="0.4">
      <c r="A112" s="1199"/>
      <c r="B112" s="1180"/>
      <c r="C112" s="1197"/>
      <c r="D112" s="1202"/>
      <c r="E112" s="64" t="s">
        <v>191</v>
      </c>
      <c r="F112" s="25"/>
      <c r="G112" s="28"/>
      <c r="H112" s="28"/>
      <c r="I112" s="28"/>
      <c r="J112" s="28"/>
      <c r="K112" s="28"/>
      <c r="L112" s="28"/>
      <c r="M112" s="28"/>
      <c r="N112" s="28"/>
      <c r="O112" s="28"/>
      <c r="P112" s="28"/>
      <c r="Q112" s="1093"/>
      <c r="R112" s="1091"/>
      <c r="S112" s="28"/>
      <c r="T112" s="28"/>
      <c r="U112" s="28"/>
      <c r="V112" s="28"/>
      <c r="W112" s="28"/>
      <c r="X112" s="28"/>
      <c r="Y112" s="28"/>
      <c r="Z112" s="28"/>
      <c r="AA112" s="28"/>
      <c r="AB112" s="28"/>
      <c r="AC112" s="1093"/>
      <c r="AD112" s="28"/>
      <c r="AE112" s="28"/>
      <c r="AF112" s="28"/>
      <c r="AG112" s="28"/>
      <c r="AH112" s="28"/>
      <c r="AI112" s="28"/>
      <c r="AJ112" s="28"/>
      <c r="AK112" s="28"/>
      <c r="AL112" s="28"/>
      <c r="AM112" s="28"/>
      <c r="AN112" s="28"/>
      <c r="AO112" s="28"/>
      <c r="AP112" s="137"/>
      <c r="AQ112" s="137"/>
      <c r="AR112" s="1186"/>
      <c r="AS112" s="1186"/>
    </row>
    <row r="113" spans="1:45" s="2" customFormat="1" x14ac:dyDescent="0.35">
      <c r="A113" s="1198">
        <v>11</v>
      </c>
      <c r="B113" s="1178" t="str">
        <f>IF(VLOOKUP(A:A,'Pivot Table'!Z:AE,6,FALSE)=0,"",VLOOKUP(A:A,'Pivot Table'!Z:AE,6,FALSE))</f>
        <v/>
      </c>
      <c r="C113" s="1195" t="str">
        <f>_xlfn.IFNA(VLOOKUP(B:B,'indicator lists'!L:R,3,FALSE),"")</f>
        <v/>
      </c>
      <c r="D113" s="1200" t="str">
        <f>_xlfn.IFNA(VLOOKUP(A:A,'Pivot Table'!P:X,9,FALSE),"")</f>
        <v/>
      </c>
      <c r="E113" s="59" t="s">
        <v>181</v>
      </c>
      <c r="F113" s="60">
        <f>SUM(F114:F117)</f>
        <v>0</v>
      </c>
      <c r="G113" s="61">
        <f>SUM(G114:G117)</f>
        <v>0</v>
      </c>
      <c r="H113" s="61">
        <f t="shared" ref="H113:AO113" si="24">SUM(H114:H117)</f>
        <v>0</v>
      </c>
      <c r="I113" s="61">
        <f t="shared" si="24"/>
        <v>0</v>
      </c>
      <c r="J113" s="61">
        <f t="shared" si="24"/>
        <v>0</v>
      </c>
      <c r="K113" s="61">
        <f t="shared" si="24"/>
        <v>0</v>
      </c>
      <c r="L113" s="61">
        <f t="shared" si="24"/>
        <v>0</v>
      </c>
      <c r="M113" s="61">
        <f t="shared" si="24"/>
        <v>0</v>
      </c>
      <c r="N113" s="61">
        <f t="shared" si="24"/>
        <v>0</v>
      </c>
      <c r="O113" s="61">
        <f t="shared" si="24"/>
        <v>0</v>
      </c>
      <c r="P113" s="61">
        <f t="shared" si="24"/>
        <v>0</v>
      </c>
      <c r="Q113" s="61">
        <f t="shared" si="24"/>
        <v>0</v>
      </c>
      <c r="R113" s="61">
        <f t="shared" si="24"/>
        <v>0</v>
      </c>
      <c r="S113" s="61">
        <f t="shared" si="24"/>
        <v>0</v>
      </c>
      <c r="T113" s="61">
        <f t="shared" si="24"/>
        <v>0</v>
      </c>
      <c r="U113" s="61">
        <f t="shared" si="24"/>
        <v>0</v>
      </c>
      <c r="V113" s="61">
        <f t="shared" si="24"/>
        <v>0</v>
      </c>
      <c r="W113" s="61">
        <f t="shared" si="24"/>
        <v>0</v>
      </c>
      <c r="X113" s="61">
        <f t="shared" si="24"/>
        <v>0</v>
      </c>
      <c r="Y113" s="61">
        <f t="shared" si="24"/>
        <v>0</v>
      </c>
      <c r="Z113" s="61">
        <f t="shared" si="24"/>
        <v>0</v>
      </c>
      <c r="AA113" s="61">
        <f t="shared" si="24"/>
        <v>0</v>
      </c>
      <c r="AB113" s="61">
        <f t="shared" si="24"/>
        <v>0</v>
      </c>
      <c r="AC113" s="61">
        <f t="shared" si="24"/>
        <v>0</v>
      </c>
      <c r="AD113" s="61">
        <f t="shared" si="24"/>
        <v>0</v>
      </c>
      <c r="AE113" s="61">
        <f t="shared" si="24"/>
        <v>0</v>
      </c>
      <c r="AF113" s="61">
        <f t="shared" si="24"/>
        <v>0</v>
      </c>
      <c r="AG113" s="61">
        <f t="shared" si="24"/>
        <v>0</v>
      </c>
      <c r="AH113" s="61">
        <f t="shared" si="24"/>
        <v>0</v>
      </c>
      <c r="AI113" s="61">
        <f t="shared" si="24"/>
        <v>0</v>
      </c>
      <c r="AJ113" s="61">
        <f t="shared" si="24"/>
        <v>0</v>
      </c>
      <c r="AK113" s="61">
        <f t="shared" si="24"/>
        <v>0</v>
      </c>
      <c r="AL113" s="61">
        <f t="shared" si="24"/>
        <v>0</v>
      </c>
      <c r="AM113" s="61">
        <f t="shared" si="24"/>
        <v>0</v>
      </c>
      <c r="AN113" s="61">
        <f t="shared" si="24"/>
        <v>0</v>
      </c>
      <c r="AO113" s="61">
        <f t="shared" si="24"/>
        <v>0</v>
      </c>
      <c r="AP113" s="347">
        <f>SUM(AP114:AP115)</f>
        <v>0</v>
      </c>
      <c r="AQ113" s="134"/>
      <c r="AR113" s="1184"/>
      <c r="AS113" s="1184"/>
    </row>
    <row r="114" spans="1:45" s="2" customFormat="1" x14ac:dyDescent="0.35">
      <c r="A114" s="1198"/>
      <c r="B114" s="1179"/>
      <c r="C114" s="1196"/>
      <c r="D114" s="1201"/>
      <c r="E114" s="63" t="s">
        <v>182</v>
      </c>
      <c r="F114" s="23"/>
      <c r="G114" s="26"/>
      <c r="H114" s="26"/>
      <c r="I114" s="26"/>
      <c r="J114" s="26"/>
      <c r="K114" s="26"/>
      <c r="L114" s="26"/>
      <c r="M114" s="26"/>
      <c r="N114" s="26"/>
      <c r="O114" s="26"/>
      <c r="P114" s="26"/>
      <c r="Q114" s="1086"/>
      <c r="R114" s="1082"/>
      <c r="S114" s="26"/>
      <c r="T114" s="26"/>
      <c r="U114" s="26"/>
      <c r="V114" s="26"/>
      <c r="W114" s="26"/>
      <c r="X114" s="26"/>
      <c r="Y114" s="26"/>
      <c r="Z114" s="26"/>
      <c r="AA114" s="26"/>
      <c r="AB114" s="26"/>
      <c r="AC114" s="1086"/>
      <c r="AD114" s="26"/>
      <c r="AE114" s="26"/>
      <c r="AF114" s="26"/>
      <c r="AG114" s="26"/>
      <c r="AH114" s="26"/>
      <c r="AI114" s="26"/>
      <c r="AJ114" s="26"/>
      <c r="AK114" s="26"/>
      <c r="AL114" s="26"/>
      <c r="AM114" s="26"/>
      <c r="AN114" s="26"/>
      <c r="AO114" s="26"/>
      <c r="AP114" s="344">
        <f>SUM(F114:AO114)</f>
        <v>0</v>
      </c>
      <c r="AQ114" s="135"/>
      <c r="AR114" s="1185"/>
      <c r="AS114" s="1185"/>
    </row>
    <row r="115" spans="1:45" s="2" customFormat="1" x14ac:dyDescent="0.35">
      <c r="A115" s="1198"/>
      <c r="B115" s="1179"/>
      <c r="C115" s="1196"/>
      <c r="D115" s="1201"/>
      <c r="E115" s="336" t="s">
        <v>183</v>
      </c>
      <c r="F115" s="337"/>
      <c r="G115" s="338"/>
      <c r="H115" s="338"/>
      <c r="I115" s="338"/>
      <c r="J115" s="338"/>
      <c r="K115" s="338"/>
      <c r="L115" s="338"/>
      <c r="M115" s="338"/>
      <c r="N115" s="338"/>
      <c r="O115" s="338"/>
      <c r="P115" s="338"/>
      <c r="Q115" s="1087"/>
      <c r="R115" s="1083"/>
      <c r="S115" s="338"/>
      <c r="T115" s="338"/>
      <c r="U115" s="338"/>
      <c r="V115" s="338"/>
      <c r="W115" s="338"/>
      <c r="X115" s="338"/>
      <c r="Y115" s="338"/>
      <c r="Z115" s="338"/>
      <c r="AA115" s="338"/>
      <c r="AB115" s="338"/>
      <c r="AC115" s="1087"/>
      <c r="AD115" s="338"/>
      <c r="AE115" s="338"/>
      <c r="AF115" s="338"/>
      <c r="AG115" s="338"/>
      <c r="AH115" s="338"/>
      <c r="AI115" s="338"/>
      <c r="AJ115" s="338"/>
      <c r="AK115" s="338"/>
      <c r="AL115" s="338"/>
      <c r="AM115" s="338"/>
      <c r="AN115" s="338"/>
      <c r="AO115" s="338"/>
      <c r="AP115" s="344">
        <f>SUM(F115:AO115)</f>
        <v>0</v>
      </c>
      <c r="AQ115" s="335"/>
      <c r="AR115" s="1185"/>
      <c r="AS115" s="1185"/>
    </row>
    <row r="116" spans="1:45" s="2" customFormat="1" x14ac:dyDescent="0.35">
      <c r="A116" s="1198"/>
      <c r="B116" s="1179"/>
      <c r="C116" s="1196"/>
      <c r="D116" s="1201"/>
      <c r="E116" s="36" t="s">
        <v>184</v>
      </c>
      <c r="F116" s="29"/>
      <c r="G116" s="30"/>
      <c r="H116" s="30"/>
      <c r="I116" s="30"/>
      <c r="J116" s="30"/>
      <c r="K116" s="30"/>
      <c r="L116" s="30"/>
      <c r="M116" s="30"/>
      <c r="N116" s="30"/>
      <c r="O116" s="30"/>
      <c r="P116" s="30"/>
      <c r="Q116" s="1088"/>
      <c r="R116" s="1084"/>
      <c r="S116" s="30"/>
      <c r="T116" s="30"/>
      <c r="U116" s="30"/>
      <c r="V116" s="30"/>
      <c r="W116" s="30"/>
      <c r="X116" s="30"/>
      <c r="Y116" s="30"/>
      <c r="Z116" s="30"/>
      <c r="AA116" s="30"/>
      <c r="AB116" s="30"/>
      <c r="AC116" s="1088"/>
      <c r="AD116" s="30"/>
      <c r="AE116" s="30"/>
      <c r="AF116" s="30"/>
      <c r="AG116" s="30"/>
      <c r="AH116" s="30"/>
      <c r="AI116" s="30"/>
      <c r="AJ116" s="30"/>
      <c r="AK116" s="30"/>
      <c r="AL116" s="30"/>
      <c r="AM116" s="30"/>
      <c r="AN116" s="30"/>
      <c r="AO116" s="30"/>
      <c r="AP116" s="344"/>
      <c r="AQ116" s="335"/>
      <c r="AR116" s="1185"/>
      <c r="AS116" s="1185"/>
    </row>
    <row r="117" spans="1:45" s="2" customFormat="1" ht="15" thickBot="1" x14ac:dyDescent="0.4">
      <c r="A117" s="1198"/>
      <c r="B117" s="1179"/>
      <c r="C117" s="1196"/>
      <c r="D117" s="1201"/>
      <c r="E117" s="340" t="s">
        <v>185</v>
      </c>
      <c r="F117" s="341"/>
      <c r="G117" s="342"/>
      <c r="H117" s="342"/>
      <c r="I117" s="342"/>
      <c r="J117" s="342"/>
      <c r="K117" s="342"/>
      <c r="L117" s="342"/>
      <c r="M117" s="342"/>
      <c r="N117" s="342"/>
      <c r="O117" s="342"/>
      <c r="P117" s="342"/>
      <c r="Q117" s="1089"/>
      <c r="R117" s="1085"/>
      <c r="S117" s="342"/>
      <c r="T117" s="342"/>
      <c r="U117" s="342"/>
      <c r="V117" s="342"/>
      <c r="W117" s="342"/>
      <c r="X117" s="342"/>
      <c r="Y117" s="342"/>
      <c r="Z117" s="342"/>
      <c r="AA117" s="342"/>
      <c r="AB117" s="342"/>
      <c r="AC117" s="1089"/>
      <c r="AD117" s="342"/>
      <c r="AE117" s="342"/>
      <c r="AF117" s="342"/>
      <c r="AG117" s="342"/>
      <c r="AH117" s="342"/>
      <c r="AI117" s="342"/>
      <c r="AJ117" s="342"/>
      <c r="AK117" s="342"/>
      <c r="AL117" s="342"/>
      <c r="AM117" s="342"/>
      <c r="AN117" s="342"/>
      <c r="AO117" s="342"/>
      <c r="AP117" s="344"/>
      <c r="AQ117" s="335"/>
      <c r="AR117" s="1185"/>
      <c r="AS117" s="1185"/>
    </row>
    <row r="118" spans="1:45" s="2" customFormat="1" ht="26.5" thickBot="1" x14ac:dyDescent="0.4">
      <c r="A118" s="1198"/>
      <c r="B118" s="1179"/>
      <c r="C118" s="1196"/>
      <c r="D118" s="1201"/>
      <c r="E118" s="1193" t="s">
        <v>175</v>
      </c>
      <c r="F118" s="1194"/>
      <c r="G118" s="1194"/>
      <c r="H118" s="1194"/>
      <c r="I118" s="1194"/>
      <c r="J118" s="1194"/>
      <c r="K118" s="1194"/>
      <c r="L118" s="1194"/>
      <c r="M118" s="1194"/>
      <c r="N118" s="1194"/>
      <c r="O118" s="1194"/>
      <c r="P118" s="1194"/>
      <c r="Q118" s="1194"/>
      <c r="R118" s="1194"/>
      <c r="S118" s="1194"/>
      <c r="T118" s="1194"/>
      <c r="U118" s="1194"/>
      <c r="V118" s="1194"/>
      <c r="W118" s="1194"/>
      <c r="X118" s="1194"/>
      <c r="Y118" s="1194"/>
      <c r="Z118" s="1194"/>
      <c r="AA118" s="1194"/>
      <c r="AB118" s="1194"/>
      <c r="AC118" s="1194"/>
      <c r="AD118" s="1194"/>
      <c r="AE118" s="1194"/>
      <c r="AF118" s="1194"/>
      <c r="AG118" s="1194"/>
      <c r="AH118" s="1194"/>
      <c r="AI118" s="1194"/>
      <c r="AJ118" s="1194"/>
      <c r="AK118" s="1194"/>
      <c r="AL118" s="1194"/>
      <c r="AM118" s="1194"/>
      <c r="AN118" s="1194"/>
      <c r="AO118" s="1194"/>
      <c r="AP118" s="348" t="e">
        <f>SUM(AP120:AP121)/AP113</f>
        <v>#DIV/0!</v>
      </c>
      <c r="AQ118" s="349" t="s">
        <v>186</v>
      </c>
      <c r="AR118" s="1185"/>
      <c r="AS118" s="1185"/>
    </row>
    <row r="119" spans="1:45" s="2" customFormat="1" x14ac:dyDescent="0.35">
      <c r="A119" s="1198"/>
      <c r="B119" s="1179"/>
      <c r="C119" s="1196"/>
      <c r="D119" s="1201"/>
      <c r="E119" s="62" t="s">
        <v>187</v>
      </c>
      <c r="F119" s="44">
        <f>SUM(F120:F123)</f>
        <v>0</v>
      </c>
      <c r="G119" s="43">
        <f>SUM(G120:G123)</f>
        <v>0</v>
      </c>
      <c r="H119" s="43">
        <f t="shared" ref="H119:AO119" si="25">SUM(H120:H123)</f>
        <v>0</v>
      </c>
      <c r="I119" s="43">
        <f t="shared" si="25"/>
        <v>0</v>
      </c>
      <c r="J119" s="43">
        <f t="shared" si="25"/>
        <v>0</v>
      </c>
      <c r="K119" s="43">
        <f t="shared" si="25"/>
        <v>0</v>
      </c>
      <c r="L119" s="43">
        <f t="shared" si="25"/>
        <v>0</v>
      </c>
      <c r="M119" s="43">
        <f t="shared" si="25"/>
        <v>0</v>
      </c>
      <c r="N119" s="43">
        <f t="shared" si="25"/>
        <v>0</v>
      </c>
      <c r="O119" s="43">
        <f t="shared" si="25"/>
        <v>0</v>
      </c>
      <c r="P119" s="43">
        <f t="shared" si="25"/>
        <v>0</v>
      </c>
      <c r="Q119" s="43">
        <f t="shared" si="25"/>
        <v>0</v>
      </c>
      <c r="R119" s="43">
        <f t="shared" si="25"/>
        <v>0</v>
      </c>
      <c r="S119" s="43">
        <f t="shared" si="25"/>
        <v>0</v>
      </c>
      <c r="T119" s="43">
        <f t="shared" si="25"/>
        <v>0</v>
      </c>
      <c r="U119" s="43">
        <f t="shared" si="25"/>
        <v>0</v>
      </c>
      <c r="V119" s="43">
        <f t="shared" si="25"/>
        <v>0</v>
      </c>
      <c r="W119" s="43">
        <f t="shared" si="25"/>
        <v>0</v>
      </c>
      <c r="X119" s="43">
        <f t="shared" si="25"/>
        <v>0</v>
      </c>
      <c r="Y119" s="43">
        <f t="shared" si="25"/>
        <v>0</v>
      </c>
      <c r="Z119" s="43">
        <f t="shared" si="25"/>
        <v>0</v>
      </c>
      <c r="AA119" s="43">
        <f t="shared" si="25"/>
        <v>0</v>
      </c>
      <c r="AB119" s="43">
        <f t="shared" si="25"/>
        <v>0</v>
      </c>
      <c r="AC119" s="43">
        <f t="shared" si="25"/>
        <v>0</v>
      </c>
      <c r="AD119" s="43">
        <f t="shared" si="25"/>
        <v>0</v>
      </c>
      <c r="AE119" s="43">
        <f t="shared" si="25"/>
        <v>0</v>
      </c>
      <c r="AF119" s="43">
        <f t="shared" si="25"/>
        <v>0</v>
      </c>
      <c r="AG119" s="43">
        <f t="shared" si="25"/>
        <v>0</v>
      </c>
      <c r="AH119" s="43">
        <f t="shared" si="25"/>
        <v>0</v>
      </c>
      <c r="AI119" s="43">
        <f t="shared" si="25"/>
        <v>0</v>
      </c>
      <c r="AJ119" s="43">
        <f t="shared" si="25"/>
        <v>0</v>
      </c>
      <c r="AK119" s="43">
        <f t="shared" si="25"/>
        <v>0</v>
      </c>
      <c r="AL119" s="43">
        <f t="shared" si="25"/>
        <v>0</v>
      </c>
      <c r="AM119" s="43">
        <f t="shared" si="25"/>
        <v>0</v>
      </c>
      <c r="AN119" s="43">
        <f t="shared" si="25"/>
        <v>0</v>
      </c>
      <c r="AO119" s="43">
        <f t="shared" si="25"/>
        <v>0</v>
      </c>
      <c r="AP119" s="65"/>
      <c r="AQ119" s="65"/>
      <c r="AR119" s="1185"/>
      <c r="AS119" s="1185"/>
    </row>
    <row r="120" spans="1:45" s="2" customFormat="1" x14ac:dyDescent="0.35">
      <c r="A120" s="1198"/>
      <c r="B120" s="1179"/>
      <c r="C120" s="1196"/>
      <c r="D120" s="1201"/>
      <c r="E120" s="63" t="s">
        <v>188</v>
      </c>
      <c r="F120" s="23"/>
      <c r="G120" s="26"/>
      <c r="H120" s="26"/>
      <c r="I120" s="26"/>
      <c r="J120" s="26"/>
      <c r="K120" s="26"/>
      <c r="L120" s="26"/>
      <c r="M120" s="26"/>
      <c r="N120" s="26"/>
      <c r="O120" s="26"/>
      <c r="P120" s="26"/>
      <c r="Q120" s="1086"/>
      <c r="R120" s="1082"/>
      <c r="S120" s="26"/>
      <c r="T120" s="26"/>
      <c r="U120" s="26"/>
      <c r="V120" s="26"/>
      <c r="W120" s="26"/>
      <c r="X120" s="26"/>
      <c r="Y120" s="26"/>
      <c r="Z120" s="26"/>
      <c r="AA120" s="26"/>
      <c r="AB120" s="26"/>
      <c r="AC120" s="1086"/>
      <c r="AD120" s="26"/>
      <c r="AE120" s="26"/>
      <c r="AF120" s="26"/>
      <c r="AG120" s="26"/>
      <c r="AH120" s="26"/>
      <c r="AI120" s="26"/>
      <c r="AJ120" s="26"/>
      <c r="AK120" s="26"/>
      <c r="AL120" s="26"/>
      <c r="AM120" s="26"/>
      <c r="AN120" s="26"/>
      <c r="AO120" s="26"/>
      <c r="AP120" s="65">
        <f>SUM(F120:AO120)</f>
        <v>0</v>
      </c>
      <c r="AQ120" s="346" t="e">
        <f>AP120/AP114</f>
        <v>#DIV/0!</v>
      </c>
      <c r="AR120" s="1185"/>
      <c r="AS120" s="1185"/>
    </row>
    <row r="121" spans="1:45" s="2" customFormat="1" x14ac:dyDescent="0.35">
      <c r="A121" s="1198"/>
      <c r="B121" s="1179"/>
      <c r="C121" s="1196"/>
      <c r="D121" s="1201"/>
      <c r="E121" s="37" t="s">
        <v>189</v>
      </c>
      <c r="F121" s="33"/>
      <c r="G121" s="32"/>
      <c r="H121" s="32"/>
      <c r="I121" s="32"/>
      <c r="J121" s="32"/>
      <c r="K121" s="32"/>
      <c r="L121" s="32"/>
      <c r="M121" s="32"/>
      <c r="N121" s="32"/>
      <c r="O121" s="32"/>
      <c r="P121" s="32"/>
      <c r="Q121" s="1092"/>
      <c r="R121" s="1090"/>
      <c r="S121" s="32"/>
      <c r="T121" s="32"/>
      <c r="U121" s="32"/>
      <c r="V121" s="32"/>
      <c r="W121" s="32"/>
      <c r="X121" s="32"/>
      <c r="Y121" s="32"/>
      <c r="Z121" s="32"/>
      <c r="AA121" s="32"/>
      <c r="AB121" s="32"/>
      <c r="AC121" s="1092"/>
      <c r="AD121" s="32"/>
      <c r="AE121" s="32"/>
      <c r="AF121" s="32"/>
      <c r="AG121" s="32"/>
      <c r="AH121" s="32"/>
      <c r="AI121" s="32"/>
      <c r="AJ121" s="32"/>
      <c r="AK121" s="32"/>
      <c r="AL121" s="32"/>
      <c r="AM121" s="32"/>
      <c r="AN121" s="32"/>
      <c r="AO121" s="32"/>
      <c r="AP121" s="65">
        <f>SUM(F121:AO121)</f>
        <v>0</v>
      </c>
      <c r="AQ121" s="346" t="e">
        <f>AP121/AP115</f>
        <v>#DIV/0!</v>
      </c>
      <c r="AR121" s="1185"/>
      <c r="AS121" s="1185"/>
    </row>
    <row r="122" spans="1:45" s="2" customFormat="1" x14ac:dyDescent="0.35">
      <c r="A122" s="1198"/>
      <c r="B122" s="1179"/>
      <c r="C122" s="1196"/>
      <c r="D122" s="1201"/>
      <c r="E122" s="36" t="s">
        <v>190</v>
      </c>
      <c r="F122" s="29"/>
      <c r="G122" s="30"/>
      <c r="H122" s="30"/>
      <c r="I122" s="30"/>
      <c r="J122" s="30"/>
      <c r="K122" s="30"/>
      <c r="L122" s="30"/>
      <c r="M122" s="30"/>
      <c r="N122" s="30"/>
      <c r="O122" s="30"/>
      <c r="P122" s="30"/>
      <c r="Q122" s="1088"/>
      <c r="R122" s="1084"/>
      <c r="S122" s="30"/>
      <c r="T122" s="30"/>
      <c r="U122" s="30"/>
      <c r="V122" s="30"/>
      <c r="W122" s="30"/>
      <c r="X122" s="30"/>
      <c r="Y122" s="30"/>
      <c r="Z122" s="30"/>
      <c r="AA122" s="30"/>
      <c r="AB122" s="30"/>
      <c r="AC122" s="1088"/>
      <c r="AD122" s="30"/>
      <c r="AE122" s="30"/>
      <c r="AF122" s="30"/>
      <c r="AG122" s="30"/>
      <c r="AH122" s="30"/>
      <c r="AI122" s="30"/>
      <c r="AJ122" s="30"/>
      <c r="AK122" s="30"/>
      <c r="AL122" s="30"/>
      <c r="AM122" s="30"/>
      <c r="AN122" s="30"/>
      <c r="AO122" s="30"/>
      <c r="AP122" s="65"/>
      <c r="AQ122" s="65"/>
      <c r="AR122" s="1185"/>
      <c r="AS122" s="1185"/>
    </row>
    <row r="123" spans="1:45" s="2" customFormat="1" ht="15" thickBot="1" x14ac:dyDescent="0.4">
      <c r="A123" s="1199"/>
      <c r="B123" s="1180"/>
      <c r="C123" s="1197"/>
      <c r="D123" s="1202"/>
      <c r="E123" s="64" t="s">
        <v>191</v>
      </c>
      <c r="F123" s="25"/>
      <c r="G123" s="28"/>
      <c r="H123" s="28"/>
      <c r="I123" s="28"/>
      <c r="J123" s="28"/>
      <c r="K123" s="28"/>
      <c r="L123" s="28"/>
      <c r="M123" s="28"/>
      <c r="N123" s="28"/>
      <c r="O123" s="28"/>
      <c r="P123" s="28"/>
      <c r="Q123" s="1093"/>
      <c r="R123" s="1091"/>
      <c r="S123" s="28"/>
      <c r="T123" s="28"/>
      <c r="U123" s="28"/>
      <c r="V123" s="28"/>
      <c r="W123" s="28"/>
      <c r="X123" s="28"/>
      <c r="Y123" s="28"/>
      <c r="Z123" s="28"/>
      <c r="AA123" s="28"/>
      <c r="AB123" s="28"/>
      <c r="AC123" s="1093"/>
      <c r="AD123" s="28"/>
      <c r="AE123" s="28"/>
      <c r="AF123" s="28"/>
      <c r="AG123" s="28"/>
      <c r="AH123" s="28"/>
      <c r="AI123" s="28"/>
      <c r="AJ123" s="28"/>
      <c r="AK123" s="28"/>
      <c r="AL123" s="28"/>
      <c r="AM123" s="28"/>
      <c r="AN123" s="28"/>
      <c r="AO123" s="28"/>
      <c r="AP123" s="137"/>
      <c r="AQ123" s="137"/>
      <c r="AR123" s="1186"/>
      <c r="AS123" s="1186"/>
    </row>
    <row r="124" spans="1:45" s="2" customFormat="1" x14ac:dyDescent="0.35">
      <c r="A124" s="1198">
        <v>12</v>
      </c>
      <c r="B124" s="1178" t="str">
        <f>IF(VLOOKUP(A:A,'Pivot Table'!Z:AE,6,FALSE)=0,"",VLOOKUP(A:A,'Pivot Table'!Z:AE,6,FALSE))</f>
        <v/>
      </c>
      <c r="C124" s="1195" t="str">
        <f>_xlfn.IFNA(VLOOKUP(B:B,'indicator lists'!L:R,3,FALSE),"")</f>
        <v/>
      </c>
      <c r="D124" s="1200" t="str">
        <f>_xlfn.IFNA(VLOOKUP(A:A,'Pivot Table'!P:X,9,FALSE),"")</f>
        <v/>
      </c>
      <c r="E124" s="59" t="s">
        <v>181</v>
      </c>
      <c r="F124" s="60">
        <f>SUM(F125:F128)</f>
        <v>0</v>
      </c>
      <c r="G124" s="61">
        <f>SUM(G125:G128)</f>
        <v>0</v>
      </c>
      <c r="H124" s="61">
        <f t="shared" ref="H124:AO124" si="26">SUM(H125:H128)</f>
        <v>0</v>
      </c>
      <c r="I124" s="61">
        <f t="shared" si="26"/>
        <v>0</v>
      </c>
      <c r="J124" s="61">
        <f t="shared" si="26"/>
        <v>0</v>
      </c>
      <c r="K124" s="61">
        <f t="shared" si="26"/>
        <v>0</v>
      </c>
      <c r="L124" s="61">
        <f t="shared" si="26"/>
        <v>0</v>
      </c>
      <c r="M124" s="61">
        <f t="shared" si="26"/>
        <v>0</v>
      </c>
      <c r="N124" s="61">
        <f t="shared" si="26"/>
        <v>0</v>
      </c>
      <c r="O124" s="61">
        <f t="shared" si="26"/>
        <v>0</v>
      </c>
      <c r="P124" s="61">
        <f t="shared" si="26"/>
        <v>0</v>
      </c>
      <c r="Q124" s="61">
        <f t="shared" si="26"/>
        <v>0</v>
      </c>
      <c r="R124" s="61">
        <f t="shared" si="26"/>
        <v>0</v>
      </c>
      <c r="S124" s="61">
        <f t="shared" si="26"/>
        <v>0</v>
      </c>
      <c r="T124" s="61">
        <f t="shared" si="26"/>
        <v>0</v>
      </c>
      <c r="U124" s="61">
        <f t="shared" si="26"/>
        <v>0</v>
      </c>
      <c r="V124" s="61">
        <f t="shared" si="26"/>
        <v>0</v>
      </c>
      <c r="W124" s="61">
        <f t="shared" si="26"/>
        <v>0</v>
      </c>
      <c r="X124" s="61">
        <f t="shared" si="26"/>
        <v>0</v>
      </c>
      <c r="Y124" s="61">
        <f t="shared" si="26"/>
        <v>0</v>
      </c>
      <c r="Z124" s="61">
        <f t="shared" si="26"/>
        <v>0</v>
      </c>
      <c r="AA124" s="61">
        <f t="shared" si="26"/>
        <v>0</v>
      </c>
      <c r="AB124" s="61">
        <f t="shared" si="26"/>
        <v>0</v>
      </c>
      <c r="AC124" s="61">
        <f t="shared" si="26"/>
        <v>0</v>
      </c>
      <c r="AD124" s="61">
        <f t="shared" si="26"/>
        <v>0</v>
      </c>
      <c r="AE124" s="61">
        <f t="shared" si="26"/>
        <v>0</v>
      </c>
      <c r="AF124" s="61">
        <f t="shared" si="26"/>
        <v>0</v>
      </c>
      <c r="AG124" s="61">
        <f t="shared" si="26"/>
        <v>0</v>
      </c>
      <c r="AH124" s="61">
        <f t="shared" si="26"/>
        <v>0</v>
      </c>
      <c r="AI124" s="61">
        <f t="shared" si="26"/>
        <v>0</v>
      </c>
      <c r="AJ124" s="61">
        <f t="shared" si="26"/>
        <v>0</v>
      </c>
      <c r="AK124" s="61">
        <f t="shared" si="26"/>
        <v>0</v>
      </c>
      <c r="AL124" s="61">
        <f t="shared" si="26"/>
        <v>0</v>
      </c>
      <c r="AM124" s="61">
        <f t="shared" si="26"/>
        <v>0</v>
      </c>
      <c r="AN124" s="61">
        <f t="shared" si="26"/>
        <v>0</v>
      </c>
      <c r="AO124" s="61">
        <f t="shared" si="26"/>
        <v>0</v>
      </c>
      <c r="AP124" s="347">
        <f>SUM(AP125:AP126)</f>
        <v>0</v>
      </c>
      <c r="AQ124" s="134"/>
      <c r="AR124" s="1184"/>
      <c r="AS124" s="1184"/>
    </row>
    <row r="125" spans="1:45" s="2" customFormat="1" x14ac:dyDescent="0.35">
      <c r="A125" s="1198"/>
      <c r="B125" s="1179"/>
      <c r="C125" s="1196"/>
      <c r="D125" s="1201"/>
      <c r="E125" s="63" t="s">
        <v>182</v>
      </c>
      <c r="F125" s="23"/>
      <c r="G125" s="26"/>
      <c r="H125" s="26"/>
      <c r="I125" s="26"/>
      <c r="J125" s="26"/>
      <c r="K125" s="26"/>
      <c r="L125" s="26"/>
      <c r="M125" s="26"/>
      <c r="N125" s="26"/>
      <c r="O125" s="26"/>
      <c r="P125" s="26"/>
      <c r="Q125" s="1086"/>
      <c r="R125" s="1082"/>
      <c r="S125" s="26"/>
      <c r="T125" s="26"/>
      <c r="U125" s="26"/>
      <c r="V125" s="26"/>
      <c r="W125" s="26"/>
      <c r="X125" s="26"/>
      <c r="Y125" s="26"/>
      <c r="Z125" s="26"/>
      <c r="AA125" s="26"/>
      <c r="AB125" s="26"/>
      <c r="AC125" s="1086"/>
      <c r="AD125" s="26"/>
      <c r="AE125" s="26"/>
      <c r="AF125" s="26"/>
      <c r="AG125" s="26"/>
      <c r="AH125" s="26"/>
      <c r="AI125" s="26"/>
      <c r="AJ125" s="26"/>
      <c r="AK125" s="26"/>
      <c r="AL125" s="26"/>
      <c r="AM125" s="26"/>
      <c r="AN125" s="26"/>
      <c r="AO125" s="26"/>
      <c r="AP125" s="344">
        <f>SUM(F125:AO125)</f>
        <v>0</v>
      </c>
      <c r="AQ125" s="135"/>
      <c r="AR125" s="1185"/>
      <c r="AS125" s="1185"/>
    </row>
    <row r="126" spans="1:45" s="2" customFormat="1" x14ac:dyDescent="0.35">
      <c r="A126" s="1198"/>
      <c r="B126" s="1179"/>
      <c r="C126" s="1196"/>
      <c r="D126" s="1201"/>
      <c r="E126" s="336" t="s">
        <v>183</v>
      </c>
      <c r="F126" s="337"/>
      <c r="G126" s="338"/>
      <c r="H126" s="338"/>
      <c r="I126" s="338"/>
      <c r="J126" s="338"/>
      <c r="K126" s="338"/>
      <c r="L126" s="338"/>
      <c r="M126" s="338"/>
      <c r="N126" s="338"/>
      <c r="O126" s="338"/>
      <c r="P126" s="338"/>
      <c r="Q126" s="1087"/>
      <c r="R126" s="1083"/>
      <c r="S126" s="338"/>
      <c r="T126" s="338"/>
      <c r="U126" s="338"/>
      <c r="V126" s="338"/>
      <c r="W126" s="338"/>
      <c r="X126" s="338"/>
      <c r="Y126" s="338"/>
      <c r="Z126" s="338"/>
      <c r="AA126" s="338"/>
      <c r="AB126" s="338"/>
      <c r="AC126" s="1087"/>
      <c r="AD126" s="338"/>
      <c r="AE126" s="338"/>
      <c r="AF126" s="338"/>
      <c r="AG126" s="338"/>
      <c r="AH126" s="338"/>
      <c r="AI126" s="338"/>
      <c r="AJ126" s="338"/>
      <c r="AK126" s="338"/>
      <c r="AL126" s="338"/>
      <c r="AM126" s="338"/>
      <c r="AN126" s="338"/>
      <c r="AO126" s="338"/>
      <c r="AP126" s="344">
        <f>SUM(F126:AO126)</f>
        <v>0</v>
      </c>
      <c r="AQ126" s="335"/>
      <c r="AR126" s="1185"/>
      <c r="AS126" s="1185"/>
    </row>
    <row r="127" spans="1:45" s="2" customFormat="1" x14ac:dyDescent="0.35">
      <c r="A127" s="1198"/>
      <c r="B127" s="1179"/>
      <c r="C127" s="1196"/>
      <c r="D127" s="1201"/>
      <c r="E127" s="36" t="s">
        <v>184</v>
      </c>
      <c r="F127" s="29"/>
      <c r="G127" s="30"/>
      <c r="H127" s="30"/>
      <c r="I127" s="30"/>
      <c r="J127" s="30"/>
      <c r="K127" s="30"/>
      <c r="L127" s="30"/>
      <c r="M127" s="30"/>
      <c r="N127" s="30"/>
      <c r="O127" s="30"/>
      <c r="P127" s="30"/>
      <c r="Q127" s="1088"/>
      <c r="R127" s="1084"/>
      <c r="S127" s="30"/>
      <c r="T127" s="30"/>
      <c r="U127" s="30"/>
      <c r="V127" s="30"/>
      <c r="W127" s="30"/>
      <c r="X127" s="30"/>
      <c r="Y127" s="30"/>
      <c r="Z127" s="30"/>
      <c r="AA127" s="30"/>
      <c r="AB127" s="30"/>
      <c r="AC127" s="1088"/>
      <c r="AD127" s="30"/>
      <c r="AE127" s="30"/>
      <c r="AF127" s="30"/>
      <c r="AG127" s="30"/>
      <c r="AH127" s="30"/>
      <c r="AI127" s="30"/>
      <c r="AJ127" s="30"/>
      <c r="AK127" s="30"/>
      <c r="AL127" s="30"/>
      <c r="AM127" s="30"/>
      <c r="AN127" s="30"/>
      <c r="AO127" s="30"/>
      <c r="AP127" s="344"/>
      <c r="AQ127" s="335"/>
      <c r="AR127" s="1185"/>
      <c r="AS127" s="1185"/>
    </row>
    <row r="128" spans="1:45" s="2" customFormat="1" ht="15" thickBot="1" x14ac:dyDescent="0.4">
      <c r="A128" s="1198"/>
      <c r="B128" s="1179"/>
      <c r="C128" s="1196"/>
      <c r="D128" s="1201"/>
      <c r="E128" s="340" t="s">
        <v>185</v>
      </c>
      <c r="F128" s="341"/>
      <c r="G128" s="342"/>
      <c r="H128" s="342"/>
      <c r="I128" s="342"/>
      <c r="J128" s="342"/>
      <c r="K128" s="342"/>
      <c r="L128" s="342"/>
      <c r="M128" s="342"/>
      <c r="N128" s="342"/>
      <c r="O128" s="342"/>
      <c r="P128" s="342"/>
      <c r="Q128" s="1089"/>
      <c r="R128" s="1085"/>
      <c r="S128" s="342"/>
      <c r="T128" s="342"/>
      <c r="U128" s="342"/>
      <c r="V128" s="342"/>
      <c r="W128" s="342"/>
      <c r="X128" s="342"/>
      <c r="Y128" s="342"/>
      <c r="Z128" s="342"/>
      <c r="AA128" s="342"/>
      <c r="AB128" s="342"/>
      <c r="AC128" s="1089"/>
      <c r="AD128" s="342"/>
      <c r="AE128" s="342"/>
      <c r="AF128" s="342"/>
      <c r="AG128" s="342"/>
      <c r="AH128" s="342"/>
      <c r="AI128" s="342"/>
      <c r="AJ128" s="342"/>
      <c r="AK128" s="342"/>
      <c r="AL128" s="342"/>
      <c r="AM128" s="342"/>
      <c r="AN128" s="342"/>
      <c r="AO128" s="342"/>
      <c r="AP128" s="344"/>
      <c r="AQ128" s="335"/>
      <c r="AR128" s="1185"/>
      <c r="AS128" s="1185"/>
    </row>
    <row r="129" spans="1:45" s="2" customFormat="1" ht="26.5" thickBot="1" x14ac:dyDescent="0.4">
      <c r="A129" s="1198"/>
      <c r="B129" s="1179"/>
      <c r="C129" s="1196"/>
      <c r="D129" s="1201"/>
      <c r="E129" s="1193" t="s">
        <v>175</v>
      </c>
      <c r="F129" s="1194"/>
      <c r="G129" s="1194"/>
      <c r="H129" s="1194"/>
      <c r="I129" s="1194"/>
      <c r="J129" s="1194"/>
      <c r="K129" s="1194"/>
      <c r="L129" s="1194"/>
      <c r="M129" s="1194"/>
      <c r="N129" s="1194"/>
      <c r="O129" s="1194"/>
      <c r="P129" s="1194"/>
      <c r="Q129" s="1194"/>
      <c r="R129" s="1194"/>
      <c r="S129" s="1194"/>
      <c r="T129" s="1194"/>
      <c r="U129" s="1194"/>
      <c r="V129" s="1194"/>
      <c r="W129" s="1194"/>
      <c r="X129" s="1194"/>
      <c r="Y129" s="1194"/>
      <c r="Z129" s="1194"/>
      <c r="AA129" s="1194"/>
      <c r="AB129" s="1194"/>
      <c r="AC129" s="1194"/>
      <c r="AD129" s="1194"/>
      <c r="AE129" s="1194"/>
      <c r="AF129" s="1194"/>
      <c r="AG129" s="1194"/>
      <c r="AH129" s="1194"/>
      <c r="AI129" s="1194"/>
      <c r="AJ129" s="1194"/>
      <c r="AK129" s="1194"/>
      <c r="AL129" s="1194"/>
      <c r="AM129" s="1194"/>
      <c r="AN129" s="1194"/>
      <c r="AO129" s="1194"/>
      <c r="AP129" s="348" t="e">
        <f>SUM(AP131:AP132)/AP124</f>
        <v>#DIV/0!</v>
      </c>
      <c r="AQ129" s="349" t="s">
        <v>186</v>
      </c>
      <c r="AR129" s="1185"/>
      <c r="AS129" s="1185"/>
    </row>
    <row r="130" spans="1:45" s="2" customFormat="1" x14ac:dyDescent="0.35">
      <c r="A130" s="1198"/>
      <c r="B130" s="1179"/>
      <c r="C130" s="1196"/>
      <c r="D130" s="1201"/>
      <c r="E130" s="62" t="s">
        <v>187</v>
      </c>
      <c r="F130" s="44">
        <f>SUM(F131:F134)</f>
        <v>0</v>
      </c>
      <c r="G130" s="43">
        <f>SUM(G131:G134)</f>
        <v>0</v>
      </c>
      <c r="H130" s="43">
        <f t="shared" ref="H130:AO130" si="27">SUM(H131:H134)</f>
        <v>0</v>
      </c>
      <c r="I130" s="43">
        <f t="shared" si="27"/>
        <v>0</v>
      </c>
      <c r="J130" s="43">
        <f t="shared" si="27"/>
        <v>0</v>
      </c>
      <c r="K130" s="43">
        <f t="shared" si="27"/>
        <v>0</v>
      </c>
      <c r="L130" s="43">
        <f t="shared" si="27"/>
        <v>0</v>
      </c>
      <c r="M130" s="43">
        <f t="shared" si="27"/>
        <v>0</v>
      </c>
      <c r="N130" s="43">
        <f t="shared" si="27"/>
        <v>0</v>
      </c>
      <c r="O130" s="43">
        <f t="shared" si="27"/>
        <v>0</v>
      </c>
      <c r="P130" s="43">
        <f t="shared" si="27"/>
        <v>0</v>
      </c>
      <c r="Q130" s="43">
        <f t="shared" si="27"/>
        <v>0</v>
      </c>
      <c r="R130" s="43">
        <f t="shared" si="27"/>
        <v>0</v>
      </c>
      <c r="S130" s="43">
        <f t="shared" si="27"/>
        <v>0</v>
      </c>
      <c r="T130" s="43">
        <f t="shared" si="27"/>
        <v>0</v>
      </c>
      <c r="U130" s="43">
        <f t="shared" si="27"/>
        <v>0</v>
      </c>
      <c r="V130" s="43">
        <f t="shared" si="27"/>
        <v>0</v>
      </c>
      <c r="W130" s="43">
        <f t="shared" si="27"/>
        <v>0</v>
      </c>
      <c r="X130" s="43">
        <f t="shared" si="27"/>
        <v>0</v>
      </c>
      <c r="Y130" s="43">
        <f t="shared" si="27"/>
        <v>0</v>
      </c>
      <c r="Z130" s="43">
        <f t="shared" si="27"/>
        <v>0</v>
      </c>
      <c r="AA130" s="43">
        <f t="shared" si="27"/>
        <v>0</v>
      </c>
      <c r="AB130" s="43">
        <f t="shared" si="27"/>
        <v>0</v>
      </c>
      <c r="AC130" s="43">
        <f t="shared" si="27"/>
        <v>0</v>
      </c>
      <c r="AD130" s="43">
        <f t="shared" si="27"/>
        <v>0</v>
      </c>
      <c r="AE130" s="43">
        <f t="shared" si="27"/>
        <v>0</v>
      </c>
      <c r="AF130" s="43">
        <f t="shared" si="27"/>
        <v>0</v>
      </c>
      <c r="AG130" s="43">
        <f t="shared" si="27"/>
        <v>0</v>
      </c>
      <c r="AH130" s="43">
        <f t="shared" si="27"/>
        <v>0</v>
      </c>
      <c r="AI130" s="43">
        <f t="shared" si="27"/>
        <v>0</v>
      </c>
      <c r="AJ130" s="43">
        <f t="shared" si="27"/>
        <v>0</v>
      </c>
      <c r="AK130" s="43">
        <f t="shared" si="27"/>
        <v>0</v>
      </c>
      <c r="AL130" s="43">
        <f t="shared" si="27"/>
        <v>0</v>
      </c>
      <c r="AM130" s="43">
        <f t="shared" si="27"/>
        <v>0</v>
      </c>
      <c r="AN130" s="43">
        <f t="shared" si="27"/>
        <v>0</v>
      </c>
      <c r="AO130" s="43">
        <f t="shared" si="27"/>
        <v>0</v>
      </c>
      <c r="AP130" s="65"/>
      <c r="AQ130" s="65"/>
      <c r="AR130" s="1185"/>
      <c r="AS130" s="1185"/>
    </row>
    <row r="131" spans="1:45" s="2" customFormat="1" x14ac:dyDescent="0.35">
      <c r="A131" s="1198"/>
      <c r="B131" s="1179"/>
      <c r="C131" s="1196"/>
      <c r="D131" s="1201"/>
      <c r="E131" s="63" t="s">
        <v>188</v>
      </c>
      <c r="F131" s="23"/>
      <c r="G131" s="26"/>
      <c r="H131" s="26"/>
      <c r="I131" s="26"/>
      <c r="J131" s="26"/>
      <c r="K131" s="26"/>
      <c r="L131" s="26"/>
      <c r="M131" s="26"/>
      <c r="N131" s="26"/>
      <c r="O131" s="26"/>
      <c r="P131" s="26"/>
      <c r="Q131" s="1086"/>
      <c r="R131" s="1082"/>
      <c r="S131" s="26"/>
      <c r="T131" s="26"/>
      <c r="U131" s="26"/>
      <c r="V131" s="26"/>
      <c r="W131" s="26"/>
      <c r="X131" s="26"/>
      <c r="Y131" s="26"/>
      <c r="Z131" s="26"/>
      <c r="AA131" s="26"/>
      <c r="AB131" s="26"/>
      <c r="AC131" s="1086"/>
      <c r="AD131" s="26"/>
      <c r="AE131" s="26"/>
      <c r="AF131" s="26"/>
      <c r="AG131" s="26"/>
      <c r="AH131" s="26"/>
      <c r="AI131" s="26"/>
      <c r="AJ131" s="26"/>
      <c r="AK131" s="26"/>
      <c r="AL131" s="26"/>
      <c r="AM131" s="26"/>
      <c r="AN131" s="26"/>
      <c r="AO131" s="26"/>
      <c r="AP131" s="65">
        <f>SUM(F131:AO131)</f>
        <v>0</v>
      </c>
      <c r="AQ131" s="346" t="e">
        <f>AP131/AP125</f>
        <v>#DIV/0!</v>
      </c>
      <c r="AR131" s="1185"/>
      <c r="AS131" s="1185"/>
    </row>
    <row r="132" spans="1:45" s="2" customFormat="1" x14ac:dyDescent="0.35">
      <c r="A132" s="1198"/>
      <c r="B132" s="1179"/>
      <c r="C132" s="1196"/>
      <c r="D132" s="1201"/>
      <c r="E132" s="37" t="s">
        <v>189</v>
      </c>
      <c r="F132" s="33"/>
      <c r="G132" s="32"/>
      <c r="H132" s="32"/>
      <c r="I132" s="32"/>
      <c r="J132" s="32"/>
      <c r="K132" s="32"/>
      <c r="L132" s="32"/>
      <c r="M132" s="32"/>
      <c r="N132" s="32"/>
      <c r="O132" s="32"/>
      <c r="P132" s="32"/>
      <c r="Q132" s="1092"/>
      <c r="R132" s="1090"/>
      <c r="S132" s="32"/>
      <c r="T132" s="32"/>
      <c r="U132" s="32"/>
      <c r="V132" s="32"/>
      <c r="W132" s="32"/>
      <c r="X132" s="32"/>
      <c r="Y132" s="32"/>
      <c r="Z132" s="32"/>
      <c r="AA132" s="32"/>
      <c r="AB132" s="32"/>
      <c r="AC132" s="1092"/>
      <c r="AD132" s="32"/>
      <c r="AE132" s="32"/>
      <c r="AF132" s="32"/>
      <c r="AG132" s="32"/>
      <c r="AH132" s="32"/>
      <c r="AI132" s="32"/>
      <c r="AJ132" s="32"/>
      <c r="AK132" s="32"/>
      <c r="AL132" s="32"/>
      <c r="AM132" s="32"/>
      <c r="AN132" s="32"/>
      <c r="AO132" s="32"/>
      <c r="AP132" s="65">
        <f>SUM(F132:AO132)</f>
        <v>0</v>
      </c>
      <c r="AQ132" s="346" t="e">
        <f>AP132/AP126</f>
        <v>#DIV/0!</v>
      </c>
      <c r="AR132" s="1185"/>
      <c r="AS132" s="1185"/>
    </row>
    <row r="133" spans="1:45" s="2" customFormat="1" x14ac:dyDescent="0.35">
      <c r="A133" s="1198"/>
      <c r="B133" s="1179"/>
      <c r="C133" s="1196"/>
      <c r="D133" s="1201"/>
      <c r="E133" s="36" t="s">
        <v>190</v>
      </c>
      <c r="F133" s="29"/>
      <c r="G133" s="30"/>
      <c r="H133" s="30"/>
      <c r="I133" s="30"/>
      <c r="J133" s="30"/>
      <c r="K133" s="30"/>
      <c r="L133" s="30"/>
      <c r="M133" s="30"/>
      <c r="N133" s="30"/>
      <c r="O133" s="30"/>
      <c r="P133" s="30"/>
      <c r="Q133" s="1088"/>
      <c r="R133" s="1084"/>
      <c r="S133" s="30"/>
      <c r="T133" s="30"/>
      <c r="U133" s="30"/>
      <c r="V133" s="30"/>
      <c r="W133" s="30"/>
      <c r="X133" s="30"/>
      <c r="Y133" s="30"/>
      <c r="Z133" s="30"/>
      <c r="AA133" s="30"/>
      <c r="AB133" s="30"/>
      <c r="AC133" s="1088"/>
      <c r="AD133" s="30"/>
      <c r="AE133" s="30"/>
      <c r="AF133" s="30"/>
      <c r="AG133" s="30"/>
      <c r="AH133" s="30"/>
      <c r="AI133" s="30"/>
      <c r="AJ133" s="30"/>
      <c r="AK133" s="30"/>
      <c r="AL133" s="30"/>
      <c r="AM133" s="30"/>
      <c r="AN133" s="30"/>
      <c r="AO133" s="30"/>
      <c r="AP133" s="65"/>
      <c r="AQ133" s="65"/>
      <c r="AR133" s="1185"/>
      <c r="AS133" s="1185"/>
    </row>
    <row r="134" spans="1:45" s="2" customFormat="1" ht="15" thickBot="1" x14ac:dyDescent="0.4">
      <c r="A134" s="1199"/>
      <c r="B134" s="1180"/>
      <c r="C134" s="1197"/>
      <c r="D134" s="1202"/>
      <c r="E134" s="64" t="s">
        <v>191</v>
      </c>
      <c r="F134" s="25"/>
      <c r="G134" s="28"/>
      <c r="H134" s="28"/>
      <c r="I134" s="28"/>
      <c r="J134" s="28"/>
      <c r="K134" s="28"/>
      <c r="L134" s="28"/>
      <c r="M134" s="28"/>
      <c r="N134" s="28"/>
      <c r="O134" s="28"/>
      <c r="P134" s="28"/>
      <c r="Q134" s="1093"/>
      <c r="R134" s="1091"/>
      <c r="S134" s="28"/>
      <c r="T134" s="28"/>
      <c r="U134" s="28"/>
      <c r="V134" s="28"/>
      <c r="W134" s="28"/>
      <c r="X134" s="28"/>
      <c r="Y134" s="28"/>
      <c r="Z134" s="28"/>
      <c r="AA134" s="28"/>
      <c r="AB134" s="28"/>
      <c r="AC134" s="1093"/>
      <c r="AD134" s="28"/>
      <c r="AE134" s="28"/>
      <c r="AF134" s="28"/>
      <c r="AG134" s="28"/>
      <c r="AH134" s="28"/>
      <c r="AI134" s="28"/>
      <c r="AJ134" s="28"/>
      <c r="AK134" s="28"/>
      <c r="AL134" s="28"/>
      <c r="AM134" s="28"/>
      <c r="AN134" s="28"/>
      <c r="AO134" s="28"/>
      <c r="AP134" s="137"/>
      <c r="AQ134" s="137"/>
      <c r="AR134" s="1186"/>
      <c r="AS134" s="1186"/>
    </row>
    <row r="135" spans="1:45" s="2" customFormat="1" x14ac:dyDescent="0.35">
      <c r="A135" s="1198">
        <v>13</v>
      </c>
      <c r="B135" s="1178" t="str">
        <f>IF(VLOOKUP(A:A,'Pivot Table'!Z:AE,6,FALSE)=0,"",VLOOKUP(A:A,'Pivot Table'!Z:AE,6,FALSE))</f>
        <v/>
      </c>
      <c r="C135" s="1195" t="str">
        <f>_xlfn.IFNA(VLOOKUP(B:B,'indicator lists'!L:R,3,FALSE),"")</f>
        <v/>
      </c>
      <c r="D135" s="1200" t="str">
        <f>_xlfn.IFNA(VLOOKUP(A:A,'Pivot Table'!P:X,9,FALSE),"")</f>
        <v/>
      </c>
      <c r="E135" s="59" t="s">
        <v>181</v>
      </c>
      <c r="F135" s="60">
        <f>SUM(F136:F139)</f>
        <v>0</v>
      </c>
      <c r="G135" s="61">
        <f>SUM(G136:G139)</f>
        <v>0</v>
      </c>
      <c r="H135" s="61">
        <f t="shared" ref="H135:AO135" si="28">SUM(H136:H139)</f>
        <v>0</v>
      </c>
      <c r="I135" s="61">
        <f t="shared" si="28"/>
        <v>0</v>
      </c>
      <c r="J135" s="61">
        <f t="shared" si="28"/>
        <v>0</v>
      </c>
      <c r="K135" s="61">
        <f t="shared" si="28"/>
        <v>0</v>
      </c>
      <c r="L135" s="61">
        <f t="shared" si="28"/>
        <v>0</v>
      </c>
      <c r="M135" s="61">
        <f t="shared" si="28"/>
        <v>0</v>
      </c>
      <c r="N135" s="61">
        <f t="shared" si="28"/>
        <v>0</v>
      </c>
      <c r="O135" s="61">
        <f t="shared" si="28"/>
        <v>0</v>
      </c>
      <c r="P135" s="61">
        <f t="shared" si="28"/>
        <v>0</v>
      </c>
      <c r="Q135" s="61">
        <f t="shared" si="28"/>
        <v>0</v>
      </c>
      <c r="R135" s="61">
        <f t="shared" si="28"/>
        <v>0</v>
      </c>
      <c r="S135" s="61">
        <f t="shared" si="28"/>
        <v>0</v>
      </c>
      <c r="T135" s="61">
        <f t="shared" si="28"/>
        <v>0</v>
      </c>
      <c r="U135" s="61">
        <f t="shared" si="28"/>
        <v>0</v>
      </c>
      <c r="V135" s="61">
        <f t="shared" si="28"/>
        <v>0</v>
      </c>
      <c r="W135" s="61">
        <f t="shared" si="28"/>
        <v>0</v>
      </c>
      <c r="X135" s="61">
        <f t="shared" si="28"/>
        <v>0</v>
      </c>
      <c r="Y135" s="61">
        <f t="shared" si="28"/>
        <v>0</v>
      </c>
      <c r="Z135" s="61">
        <f t="shared" si="28"/>
        <v>0</v>
      </c>
      <c r="AA135" s="61">
        <f t="shared" si="28"/>
        <v>0</v>
      </c>
      <c r="AB135" s="61">
        <f t="shared" si="28"/>
        <v>0</v>
      </c>
      <c r="AC135" s="61">
        <f t="shared" si="28"/>
        <v>0</v>
      </c>
      <c r="AD135" s="61">
        <f t="shared" si="28"/>
        <v>0</v>
      </c>
      <c r="AE135" s="61">
        <f t="shared" si="28"/>
        <v>0</v>
      </c>
      <c r="AF135" s="61">
        <f t="shared" si="28"/>
        <v>0</v>
      </c>
      <c r="AG135" s="61">
        <f t="shared" si="28"/>
        <v>0</v>
      </c>
      <c r="AH135" s="61">
        <f t="shared" si="28"/>
        <v>0</v>
      </c>
      <c r="AI135" s="61">
        <f t="shared" si="28"/>
        <v>0</v>
      </c>
      <c r="AJ135" s="61">
        <f t="shared" si="28"/>
        <v>0</v>
      </c>
      <c r="AK135" s="61">
        <f t="shared" si="28"/>
        <v>0</v>
      </c>
      <c r="AL135" s="61">
        <f t="shared" si="28"/>
        <v>0</v>
      </c>
      <c r="AM135" s="61">
        <f t="shared" si="28"/>
        <v>0</v>
      </c>
      <c r="AN135" s="61">
        <f t="shared" si="28"/>
        <v>0</v>
      </c>
      <c r="AO135" s="61">
        <f t="shared" si="28"/>
        <v>0</v>
      </c>
      <c r="AP135" s="347">
        <f>SUM(AP136:AP137)</f>
        <v>0</v>
      </c>
      <c r="AQ135" s="134"/>
      <c r="AR135" s="1184"/>
      <c r="AS135" s="1184"/>
    </row>
    <row r="136" spans="1:45" s="2" customFormat="1" x14ac:dyDescent="0.35">
      <c r="A136" s="1198"/>
      <c r="B136" s="1179"/>
      <c r="C136" s="1196"/>
      <c r="D136" s="1201"/>
      <c r="E136" s="63" t="s">
        <v>182</v>
      </c>
      <c r="F136" s="23"/>
      <c r="G136" s="26"/>
      <c r="H136" s="26"/>
      <c r="I136" s="26"/>
      <c r="J136" s="26"/>
      <c r="K136" s="26"/>
      <c r="L136" s="26"/>
      <c r="M136" s="26"/>
      <c r="N136" s="26"/>
      <c r="O136" s="26"/>
      <c r="P136" s="26"/>
      <c r="Q136" s="1086"/>
      <c r="R136" s="1082"/>
      <c r="S136" s="26"/>
      <c r="T136" s="26"/>
      <c r="U136" s="26"/>
      <c r="V136" s="26"/>
      <c r="W136" s="26"/>
      <c r="X136" s="26"/>
      <c r="Y136" s="26"/>
      <c r="Z136" s="26"/>
      <c r="AA136" s="26"/>
      <c r="AB136" s="26"/>
      <c r="AC136" s="1086"/>
      <c r="AD136" s="26"/>
      <c r="AE136" s="26"/>
      <c r="AF136" s="26"/>
      <c r="AG136" s="26"/>
      <c r="AH136" s="26"/>
      <c r="AI136" s="26"/>
      <c r="AJ136" s="26"/>
      <c r="AK136" s="26"/>
      <c r="AL136" s="26"/>
      <c r="AM136" s="26"/>
      <c r="AN136" s="26"/>
      <c r="AO136" s="26"/>
      <c r="AP136" s="344">
        <f>SUM(F136:AO136)</f>
        <v>0</v>
      </c>
      <c r="AQ136" s="135"/>
      <c r="AR136" s="1185"/>
      <c r="AS136" s="1185"/>
    </row>
    <row r="137" spans="1:45" s="2" customFormat="1" x14ac:dyDescent="0.35">
      <c r="A137" s="1198"/>
      <c r="B137" s="1179"/>
      <c r="C137" s="1196"/>
      <c r="D137" s="1201"/>
      <c r="E137" s="336" t="s">
        <v>183</v>
      </c>
      <c r="F137" s="337"/>
      <c r="G137" s="338"/>
      <c r="H137" s="338"/>
      <c r="I137" s="338"/>
      <c r="J137" s="338"/>
      <c r="K137" s="338"/>
      <c r="L137" s="338"/>
      <c r="M137" s="338"/>
      <c r="N137" s="338"/>
      <c r="O137" s="338"/>
      <c r="P137" s="338"/>
      <c r="Q137" s="1087"/>
      <c r="R137" s="1083"/>
      <c r="S137" s="338"/>
      <c r="T137" s="338"/>
      <c r="U137" s="338"/>
      <c r="V137" s="338"/>
      <c r="W137" s="338"/>
      <c r="X137" s="338"/>
      <c r="Y137" s="338"/>
      <c r="Z137" s="338"/>
      <c r="AA137" s="338"/>
      <c r="AB137" s="338"/>
      <c r="AC137" s="1087"/>
      <c r="AD137" s="338"/>
      <c r="AE137" s="338"/>
      <c r="AF137" s="338"/>
      <c r="AG137" s="338"/>
      <c r="AH137" s="338"/>
      <c r="AI137" s="338"/>
      <c r="AJ137" s="338"/>
      <c r="AK137" s="338"/>
      <c r="AL137" s="338"/>
      <c r="AM137" s="338"/>
      <c r="AN137" s="338"/>
      <c r="AO137" s="338"/>
      <c r="AP137" s="344">
        <f>SUM(F137:AO137)</f>
        <v>0</v>
      </c>
      <c r="AQ137" s="335"/>
      <c r="AR137" s="1185"/>
      <c r="AS137" s="1185"/>
    </row>
    <row r="138" spans="1:45" s="2" customFormat="1" x14ac:dyDescent="0.35">
      <c r="A138" s="1198"/>
      <c r="B138" s="1179"/>
      <c r="C138" s="1196"/>
      <c r="D138" s="1201"/>
      <c r="E138" s="36" t="s">
        <v>184</v>
      </c>
      <c r="F138" s="29"/>
      <c r="G138" s="30"/>
      <c r="H138" s="30"/>
      <c r="I138" s="30"/>
      <c r="J138" s="30"/>
      <c r="K138" s="30"/>
      <c r="L138" s="30"/>
      <c r="M138" s="30"/>
      <c r="N138" s="30"/>
      <c r="O138" s="30"/>
      <c r="P138" s="30"/>
      <c r="Q138" s="1088"/>
      <c r="R138" s="1084"/>
      <c r="S138" s="30"/>
      <c r="T138" s="30"/>
      <c r="U138" s="30"/>
      <c r="V138" s="30"/>
      <c r="W138" s="30"/>
      <c r="X138" s="30"/>
      <c r="Y138" s="30"/>
      <c r="Z138" s="30"/>
      <c r="AA138" s="30"/>
      <c r="AB138" s="30"/>
      <c r="AC138" s="1088"/>
      <c r="AD138" s="30"/>
      <c r="AE138" s="30"/>
      <c r="AF138" s="30"/>
      <c r="AG138" s="30"/>
      <c r="AH138" s="30"/>
      <c r="AI138" s="30"/>
      <c r="AJ138" s="30"/>
      <c r="AK138" s="30"/>
      <c r="AL138" s="30"/>
      <c r="AM138" s="30"/>
      <c r="AN138" s="30"/>
      <c r="AO138" s="30"/>
      <c r="AP138" s="344"/>
      <c r="AQ138" s="335"/>
      <c r="AR138" s="1185"/>
      <c r="AS138" s="1185"/>
    </row>
    <row r="139" spans="1:45" s="2" customFormat="1" ht="15" thickBot="1" x14ac:dyDescent="0.4">
      <c r="A139" s="1198"/>
      <c r="B139" s="1179"/>
      <c r="C139" s="1196"/>
      <c r="D139" s="1201"/>
      <c r="E139" s="340" t="s">
        <v>185</v>
      </c>
      <c r="F139" s="341"/>
      <c r="G139" s="342"/>
      <c r="H139" s="342"/>
      <c r="I139" s="342"/>
      <c r="J139" s="342"/>
      <c r="K139" s="342"/>
      <c r="L139" s="342"/>
      <c r="M139" s="342"/>
      <c r="N139" s="342"/>
      <c r="O139" s="342"/>
      <c r="P139" s="342"/>
      <c r="Q139" s="1089"/>
      <c r="R139" s="1085"/>
      <c r="S139" s="342"/>
      <c r="T139" s="342"/>
      <c r="U139" s="342"/>
      <c r="V139" s="342"/>
      <c r="W139" s="342"/>
      <c r="X139" s="342"/>
      <c r="Y139" s="342"/>
      <c r="Z139" s="342"/>
      <c r="AA139" s="342"/>
      <c r="AB139" s="342"/>
      <c r="AC139" s="1089"/>
      <c r="AD139" s="342"/>
      <c r="AE139" s="342"/>
      <c r="AF139" s="342"/>
      <c r="AG139" s="342"/>
      <c r="AH139" s="342"/>
      <c r="AI139" s="342"/>
      <c r="AJ139" s="342"/>
      <c r="AK139" s="342"/>
      <c r="AL139" s="342"/>
      <c r="AM139" s="342"/>
      <c r="AN139" s="342"/>
      <c r="AO139" s="342"/>
      <c r="AP139" s="344"/>
      <c r="AQ139" s="335"/>
      <c r="AR139" s="1185"/>
      <c r="AS139" s="1185"/>
    </row>
    <row r="140" spans="1:45" s="2" customFormat="1" ht="26.5" thickBot="1" x14ac:dyDescent="0.4">
      <c r="A140" s="1198"/>
      <c r="B140" s="1179"/>
      <c r="C140" s="1196"/>
      <c r="D140" s="1201"/>
      <c r="E140" s="1193" t="s">
        <v>175</v>
      </c>
      <c r="F140" s="1194"/>
      <c r="G140" s="1194"/>
      <c r="H140" s="1194"/>
      <c r="I140" s="1194"/>
      <c r="J140" s="1194"/>
      <c r="K140" s="1194"/>
      <c r="L140" s="1194"/>
      <c r="M140" s="1194"/>
      <c r="N140" s="1194"/>
      <c r="O140" s="1194"/>
      <c r="P140" s="1194"/>
      <c r="Q140" s="1194"/>
      <c r="R140" s="1194"/>
      <c r="S140" s="1194"/>
      <c r="T140" s="1194"/>
      <c r="U140" s="1194"/>
      <c r="V140" s="1194"/>
      <c r="W140" s="1194"/>
      <c r="X140" s="1194"/>
      <c r="Y140" s="1194"/>
      <c r="Z140" s="1194"/>
      <c r="AA140" s="1194"/>
      <c r="AB140" s="1194"/>
      <c r="AC140" s="1194"/>
      <c r="AD140" s="1194"/>
      <c r="AE140" s="1194"/>
      <c r="AF140" s="1194"/>
      <c r="AG140" s="1194"/>
      <c r="AH140" s="1194"/>
      <c r="AI140" s="1194"/>
      <c r="AJ140" s="1194"/>
      <c r="AK140" s="1194"/>
      <c r="AL140" s="1194"/>
      <c r="AM140" s="1194"/>
      <c r="AN140" s="1194"/>
      <c r="AO140" s="1194"/>
      <c r="AP140" s="348" t="e">
        <f>SUM(AP142:AP143)/AP135</f>
        <v>#DIV/0!</v>
      </c>
      <c r="AQ140" s="349" t="s">
        <v>186</v>
      </c>
      <c r="AR140" s="1185"/>
      <c r="AS140" s="1185"/>
    </row>
    <row r="141" spans="1:45" s="2" customFormat="1" x14ac:dyDescent="0.35">
      <c r="A141" s="1198"/>
      <c r="B141" s="1179"/>
      <c r="C141" s="1196"/>
      <c r="D141" s="1201"/>
      <c r="E141" s="62" t="s">
        <v>187</v>
      </c>
      <c r="F141" s="44">
        <f>SUM(F142:F145)</f>
        <v>0</v>
      </c>
      <c r="G141" s="43">
        <f>SUM(G142:G145)</f>
        <v>0</v>
      </c>
      <c r="H141" s="43">
        <f t="shared" ref="H141:AO141" si="29">SUM(H142:H145)</f>
        <v>0</v>
      </c>
      <c r="I141" s="43">
        <f t="shared" si="29"/>
        <v>0</v>
      </c>
      <c r="J141" s="43">
        <f t="shared" si="29"/>
        <v>0</v>
      </c>
      <c r="K141" s="43">
        <f t="shared" si="29"/>
        <v>0</v>
      </c>
      <c r="L141" s="43">
        <f t="shared" si="29"/>
        <v>0</v>
      </c>
      <c r="M141" s="43">
        <f t="shared" si="29"/>
        <v>0</v>
      </c>
      <c r="N141" s="43">
        <f t="shared" si="29"/>
        <v>0</v>
      </c>
      <c r="O141" s="43">
        <f t="shared" si="29"/>
        <v>0</v>
      </c>
      <c r="P141" s="43">
        <f t="shared" si="29"/>
        <v>0</v>
      </c>
      <c r="Q141" s="43">
        <f t="shared" si="29"/>
        <v>0</v>
      </c>
      <c r="R141" s="43">
        <f t="shared" si="29"/>
        <v>0</v>
      </c>
      <c r="S141" s="43">
        <f t="shared" si="29"/>
        <v>0</v>
      </c>
      <c r="T141" s="43">
        <f t="shared" si="29"/>
        <v>0</v>
      </c>
      <c r="U141" s="43">
        <f t="shared" si="29"/>
        <v>0</v>
      </c>
      <c r="V141" s="43">
        <f t="shared" si="29"/>
        <v>0</v>
      </c>
      <c r="W141" s="43">
        <f t="shared" si="29"/>
        <v>0</v>
      </c>
      <c r="X141" s="43">
        <f t="shared" si="29"/>
        <v>0</v>
      </c>
      <c r="Y141" s="43">
        <f t="shared" si="29"/>
        <v>0</v>
      </c>
      <c r="Z141" s="43">
        <f t="shared" si="29"/>
        <v>0</v>
      </c>
      <c r="AA141" s="43">
        <f t="shared" si="29"/>
        <v>0</v>
      </c>
      <c r="AB141" s="43">
        <f t="shared" si="29"/>
        <v>0</v>
      </c>
      <c r="AC141" s="43">
        <f t="shared" si="29"/>
        <v>0</v>
      </c>
      <c r="AD141" s="43">
        <f t="shared" si="29"/>
        <v>0</v>
      </c>
      <c r="AE141" s="43">
        <f t="shared" si="29"/>
        <v>0</v>
      </c>
      <c r="AF141" s="43">
        <f t="shared" si="29"/>
        <v>0</v>
      </c>
      <c r="AG141" s="43">
        <f t="shared" si="29"/>
        <v>0</v>
      </c>
      <c r="AH141" s="43">
        <f t="shared" si="29"/>
        <v>0</v>
      </c>
      <c r="AI141" s="43">
        <f t="shared" si="29"/>
        <v>0</v>
      </c>
      <c r="AJ141" s="43">
        <f t="shared" si="29"/>
        <v>0</v>
      </c>
      <c r="AK141" s="43">
        <f t="shared" si="29"/>
        <v>0</v>
      </c>
      <c r="AL141" s="43">
        <f t="shared" si="29"/>
        <v>0</v>
      </c>
      <c r="AM141" s="43">
        <f t="shared" si="29"/>
        <v>0</v>
      </c>
      <c r="AN141" s="43">
        <f t="shared" si="29"/>
        <v>0</v>
      </c>
      <c r="AO141" s="43">
        <f t="shared" si="29"/>
        <v>0</v>
      </c>
      <c r="AP141" s="65"/>
      <c r="AQ141" s="65"/>
      <c r="AR141" s="1185"/>
      <c r="AS141" s="1185"/>
    </row>
    <row r="142" spans="1:45" s="2" customFormat="1" x14ac:dyDescent="0.35">
      <c r="A142" s="1198"/>
      <c r="B142" s="1179"/>
      <c r="C142" s="1196"/>
      <c r="D142" s="1201"/>
      <c r="E142" s="63" t="s">
        <v>188</v>
      </c>
      <c r="F142" s="23"/>
      <c r="G142" s="26"/>
      <c r="H142" s="26"/>
      <c r="I142" s="26"/>
      <c r="J142" s="26"/>
      <c r="K142" s="26"/>
      <c r="L142" s="26"/>
      <c r="M142" s="26"/>
      <c r="N142" s="26"/>
      <c r="O142" s="26"/>
      <c r="P142" s="26"/>
      <c r="Q142" s="1086"/>
      <c r="R142" s="1082"/>
      <c r="S142" s="26"/>
      <c r="T142" s="26"/>
      <c r="U142" s="26"/>
      <c r="V142" s="26"/>
      <c r="W142" s="26"/>
      <c r="X142" s="26"/>
      <c r="Y142" s="26"/>
      <c r="Z142" s="26"/>
      <c r="AA142" s="26"/>
      <c r="AB142" s="26"/>
      <c r="AC142" s="1086"/>
      <c r="AD142" s="26"/>
      <c r="AE142" s="26"/>
      <c r="AF142" s="26"/>
      <c r="AG142" s="26"/>
      <c r="AH142" s="26"/>
      <c r="AI142" s="26"/>
      <c r="AJ142" s="26"/>
      <c r="AK142" s="26"/>
      <c r="AL142" s="26"/>
      <c r="AM142" s="26"/>
      <c r="AN142" s="26"/>
      <c r="AO142" s="26"/>
      <c r="AP142" s="65">
        <f>SUM(F142:AO142)</f>
        <v>0</v>
      </c>
      <c r="AQ142" s="346" t="e">
        <f>AP142/AP136</f>
        <v>#DIV/0!</v>
      </c>
      <c r="AR142" s="1185"/>
      <c r="AS142" s="1185"/>
    </row>
    <row r="143" spans="1:45" s="2" customFormat="1" x14ac:dyDescent="0.35">
      <c r="A143" s="1198"/>
      <c r="B143" s="1179"/>
      <c r="C143" s="1196"/>
      <c r="D143" s="1201"/>
      <c r="E143" s="37" t="s">
        <v>189</v>
      </c>
      <c r="F143" s="33"/>
      <c r="G143" s="32"/>
      <c r="H143" s="32"/>
      <c r="I143" s="32"/>
      <c r="J143" s="32"/>
      <c r="K143" s="32"/>
      <c r="L143" s="32"/>
      <c r="M143" s="32"/>
      <c r="N143" s="32"/>
      <c r="O143" s="32"/>
      <c r="P143" s="32"/>
      <c r="Q143" s="1092"/>
      <c r="R143" s="1090"/>
      <c r="S143" s="32"/>
      <c r="T143" s="32"/>
      <c r="U143" s="32"/>
      <c r="V143" s="32"/>
      <c r="W143" s="32"/>
      <c r="X143" s="32"/>
      <c r="Y143" s="32"/>
      <c r="Z143" s="32"/>
      <c r="AA143" s="32"/>
      <c r="AB143" s="32"/>
      <c r="AC143" s="1092"/>
      <c r="AD143" s="32"/>
      <c r="AE143" s="32"/>
      <c r="AF143" s="32"/>
      <c r="AG143" s="32"/>
      <c r="AH143" s="32"/>
      <c r="AI143" s="32"/>
      <c r="AJ143" s="32"/>
      <c r="AK143" s="32"/>
      <c r="AL143" s="32"/>
      <c r="AM143" s="32"/>
      <c r="AN143" s="32"/>
      <c r="AO143" s="32"/>
      <c r="AP143" s="65">
        <f>SUM(F143:AO143)</f>
        <v>0</v>
      </c>
      <c r="AQ143" s="346" t="e">
        <f>AP143/AP137</f>
        <v>#DIV/0!</v>
      </c>
      <c r="AR143" s="1185"/>
      <c r="AS143" s="1185"/>
    </row>
    <row r="144" spans="1:45" s="2" customFormat="1" x14ac:dyDescent="0.35">
      <c r="A144" s="1198"/>
      <c r="B144" s="1179"/>
      <c r="C144" s="1196"/>
      <c r="D144" s="1201"/>
      <c r="E144" s="36" t="s">
        <v>190</v>
      </c>
      <c r="F144" s="29"/>
      <c r="G144" s="30"/>
      <c r="H144" s="30"/>
      <c r="I144" s="30"/>
      <c r="J144" s="30"/>
      <c r="K144" s="30"/>
      <c r="L144" s="30"/>
      <c r="M144" s="30"/>
      <c r="N144" s="30"/>
      <c r="O144" s="30"/>
      <c r="P144" s="30"/>
      <c r="Q144" s="1088"/>
      <c r="R144" s="1084"/>
      <c r="S144" s="30"/>
      <c r="T144" s="30"/>
      <c r="U144" s="30"/>
      <c r="V144" s="30"/>
      <c r="W144" s="30"/>
      <c r="X144" s="30"/>
      <c r="Y144" s="30"/>
      <c r="Z144" s="30"/>
      <c r="AA144" s="30"/>
      <c r="AB144" s="30"/>
      <c r="AC144" s="1088"/>
      <c r="AD144" s="30"/>
      <c r="AE144" s="30"/>
      <c r="AF144" s="30"/>
      <c r="AG144" s="30"/>
      <c r="AH144" s="30"/>
      <c r="AI144" s="30"/>
      <c r="AJ144" s="30"/>
      <c r="AK144" s="30"/>
      <c r="AL144" s="30"/>
      <c r="AM144" s="30"/>
      <c r="AN144" s="30"/>
      <c r="AO144" s="30"/>
      <c r="AP144" s="65"/>
      <c r="AQ144" s="65"/>
      <c r="AR144" s="1185"/>
      <c r="AS144" s="1185"/>
    </row>
    <row r="145" spans="1:45" s="2" customFormat="1" ht="15" thickBot="1" x14ac:dyDescent="0.4">
      <c r="A145" s="1199"/>
      <c r="B145" s="1180"/>
      <c r="C145" s="1197"/>
      <c r="D145" s="1202"/>
      <c r="E145" s="64" t="s">
        <v>191</v>
      </c>
      <c r="F145" s="25"/>
      <c r="G145" s="28"/>
      <c r="H145" s="28"/>
      <c r="I145" s="28"/>
      <c r="J145" s="28"/>
      <c r="K145" s="28"/>
      <c r="L145" s="28"/>
      <c r="M145" s="28"/>
      <c r="N145" s="28"/>
      <c r="O145" s="28"/>
      <c r="P145" s="28"/>
      <c r="Q145" s="1093"/>
      <c r="R145" s="1091"/>
      <c r="S145" s="28"/>
      <c r="T145" s="28"/>
      <c r="U145" s="28"/>
      <c r="V145" s="28"/>
      <c r="W145" s="28"/>
      <c r="X145" s="28"/>
      <c r="Y145" s="28"/>
      <c r="Z145" s="28"/>
      <c r="AA145" s="28"/>
      <c r="AB145" s="28"/>
      <c r="AC145" s="1093"/>
      <c r="AD145" s="28"/>
      <c r="AE145" s="28"/>
      <c r="AF145" s="28"/>
      <c r="AG145" s="28"/>
      <c r="AH145" s="28"/>
      <c r="AI145" s="28"/>
      <c r="AJ145" s="28"/>
      <c r="AK145" s="28"/>
      <c r="AL145" s="28"/>
      <c r="AM145" s="28"/>
      <c r="AN145" s="28"/>
      <c r="AO145" s="28"/>
      <c r="AP145" s="137"/>
      <c r="AQ145" s="137"/>
      <c r="AR145" s="1186"/>
      <c r="AS145" s="1186"/>
    </row>
    <row r="146" spans="1:45" s="2" customFormat="1" x14ac:dyDescent="0.35">
      <c r="A146" s="1198">
        <v>14</v>
      </c>
      <c r="B146" s="1178" t="str">
        <f>IF(VLOOKUP(A:A,'Pivot Table'!Z:AE,6,FALSE)=0,"",VLOOKUP(A:A,'Pivot Table'!Z:AE,6,FALSE))</f>
        <v/>
      </c>
      <c r="C146" s="1195" t="str">
        <f>_xlfn.IFNA(VLOOKUP(B:B,'indicator lists'!L:R,3,FALSE),"")</f>
        <v/>
      </c>
      <c r="D146" s="1200" t="str">
        <f>_xlfn.IFNA(VLOOKUP(A:A,'Pivot Table'!P:X,9,FALSE),"")</f>
        <v/>
      </c>
      <c r="E146" s="59" t="s">
        <v>181</v>
      </c>
      <c r="F146" s="60">
        <f>SUM(F147:F150)</f>
        <v>0</v>
      </c>
      <c r="G146" s="61">
        <f>SUM(G147:G150)</f>
        <v>0</v>
      </c>
      <c r="H146" s="61">
        <f t="shared" ref="H146:AO146" si="30">SUM(H147:H150)</f>
        <v>0</v>
      </c>
      <c r="I146" s="61">
        <f t="shared" si="30"/>
        <v>0</v>
      </c>
      <c r="J146" s="61">
        <f t="shared" si="30"/>
        <v>0</v>
      </c>
      <c r="K146" s="61">
        <f t="shared" si="30"/>
        <v>0</v>
      </c>
      <c r="L146" s="61">
        <f t="shared" si="30"/>
        <v>0</v>
      </c>
      <c r="M146" s="61">
        <f t="shared" si="30"/>
        <v>0</v>
      </c>
      <c r="N146" s="61">
        <f t="shared" si="30"/>
        <v>0</v>
      </c>
      <c r="O146" s="61">
        <f t="shared" si="30"/>
        <v>0</v>
      </c>
      <c r="P146" s="61">
        <f t="shared" si="30"/>
        <v>0</v>
      </c>
      <c r="Q146" s="61">
        <f t="shared" si="30"/>
        <v>0</v>
      </c>
      <c r="R146" s="61">
        <f t="shared" si="30"/>
        <v>0</v>
      </c>
      <c r="S146" s="61">
        <f t="shared" si="30"/>
        <v>0</v>
      </c>
      <c r="T146" s="61">
        <f t="shared" si="30"/>
        <v>0</v>
      </c>
      <c r="U146" s="61">
        <f t="shared" si="30"/>
        <v>0</v>
      </c>
      <c r="V146" s="61">
        <f t="shared" si="30"/>
        <v>0</v>
      </c>
      <c r="W146" s="61">
        <f t="shared" si="30"/>
        <v>0</v>
      </c>
      <c r="X146" s="61">
        <f t="shared" si="30"/>
        <v>0</v>
      </c>
      <c r="Y146" s="61">
        <f t="shared" si="30"/>
        <v>0</v>
      </c>
      <c r="Z146" s="61">
        <f t="shared" si="30"/>
        <v>0</v>
      </c>
      <c r="AA146" s="61">
        <f t="shared" si="30"/>
        <v>0</v>
      </c>
      <c r="AB146" s="61">
        <f t="shared" si="30"/>
        <v>0</v>
      </c>
      <c r="AC146" s="61">
        <f t="shared" si="30"/>
        <v>0</v>
      </c>
      <c r="AD146" s="61">
        <f t="shared" si="30"/>
        <v>0</v>
      </c>
      <c r="AE146" s="61">
        <f t="shared" si="30"/>
        <v>0</v>
      </c>
      <c r="AF146" s="61">
        <f t="shared" si="30"/>
        <v>0</v>
      </c>
      <c r="AG146" s="61">
        <f t="shared" si="30"/>
        <v>0</v>
      </c>
      <c r="AH146" s="61">
        <f t="shared" si="30"/>
        <v>0</v>
      </c>
      <c r="AI146" s="61">
        <f t="shared" si="30"/>
        <v>0</v>
      </c>
      <c r="AJ146" s="61">
        <f t="shared" si="30"/>
        <v>0</v>
      </c>
      <c r="AK146" s="61">
        <f t="shared" si="30"/>
        <v>0</v>
      </c>
      <c r="AL146" s="61">
        <f t="shared" si="30"/>
        <v>0</v>
      </c>
      <c r="AM146" s="61">
        <f t="shared" si="30"/>
        <v>0</v>
      </c>
      <c r="AN146" s="61">
        <f t="shared" si="30"/>
        <v>0</v>
      </c>
      <c r="AO146" s="61">
        <f t="shared" si="30"/>
        <v>0</v>
      </c>
      <c r="AP146" s="347">
        <f>SUM(AP147:AP148)</f>
        <v>0</v>
      </c>
      <c r="AQ146" s="134"/>
      <c r="AR146" s="1184"/>
      <c r="AS146" s="1184"/>
    </row>
    <row r="147" spans="1:45" s="2" customFormat="1" x14ac:dyDescent="0.35">
      <c r="A147" s="1198"/>
      <c r="B147" s="1179"/>
      <c r="C147" s="1196"/>
      <c r="D147" s="1201"/>
      <c r="E147" s="63" t="s">
        <v>182</v>
      </c>
      <c r="F147" s="23"/>
      <c r="G147" s="26"/>
      <c r="H147" s="26"/>
      <c r="I147" s="26"/>
      <c r="J147" s="26"/>
      <c r="K147" s="26"/>
      <c r="L147" s="26"/>
      <c r="M147" s="26"/>
      <c r="N147" s="26"/>
      <c r="O147" s="26"/>
      <c r="P147" s="26"/>
      <c r="Q147" s="1086"/>
      <c r="R147" s="1082"/>
      <c r="S147" s="26"/>
      <c r="T147" s="26"/>
      <c r="U147" s="26"/>
      <c r="V147" s="26"/>
      <c r="W147" s="26"/>
      <c r="X147" s="26"/>
      <c r="Y147" s="26"/>
      <c r="Z147" s="26"/>
      <c r="AA147" s="26"/>
      <c r="AB147" s="26"/>
      <c r="AC147" s="1086"/>
      <c r="AD147" s="26"/>
      <c r="AE147" s="26"/>
      <c r="AF147" s="26"/>
      <c r="AG147" s="26"/>
      <c r="AH147" s="26"/>
      <c r="AI147" s="26"/>
      <c r="AJ147" s="26"/>
      <c r="AK147" s="26"/>
      <c r="AL147" s="26"/>
      <c r="AM147" s="26"/>
      <c r="AN147" s="26"/>
      <c r="AO147" s="26"/>
      <c r="AP147" s="344">
        <f>SUM(F147:AO147)</f>
        <v>0</v>
      </c>
      <c r="AQ147" s="135"/>
      <c r="AR147" s="1185"/>
      <c r="AS147" s="1185"/>
    </row>
    <row r="148" spans="1:45" s="2" customFormat="1" x14ac:dyDescent="0.35">
      <c r="A148" s="1198"/>
      <c r="B148" s="1179"/>
      <c r="C148" s="1196"/>
      <c r="D148" s="1201"/>
      <c r="E148" s="336" t="s">
        <v>183</v>
      </c>
      <c r="F148" s="337"/>
      <c r="G148" s="338"/>
      <c r="H148" s="338"/>
      <c r="I148" s="338"/>
      <c r="J148" s="338"/>
      <c r="K148" s="338"/>
      <c r="L148" s="338"/>
      <c r="M148" s="338"/>
      <c r="N148" s="338"/>
      <c r="O148" s="338"/>
      <c r="P148" s="338"/>
      <c r="Q148" s="1087"/>
      <c r="R148" s="1083"/>
      <c r="S148" s="338"/>
      <c r="T148" s="338"/>
      <c r="U148" s="338"/>
      <c r="V148" s="338"/>
      <c r="W148" s="338"/>
      <c r="X148" s="338"/>
      <c r="Y148" s="338"/>
      <c r="Z148" s="338"/>
      <c r="AA148" s="338"/>
      <c r="AB148" s="338"/>
      <c r="AC148" s="1087"/>
      <c r="AD148" s="338"/>
      <c r="AE148" s="338"/>
      <c r="AF148" s="338"/>
      <c r="AG148" s="338"/>
      <c r="AH148" s="338"/>
      <c r="AI148" s="338"/>
      <c r="AJ148" s="338"/>
      <c r="AK148" s="338"/>
      <c r="AL148" s="338"/>
      <c r="AM148" s="338"/>
      <c r="AN148" s="338"/>
      <c r="AO148" s="338"/>
      <c r="AP148" s="344">
        <f>SUM(F148:AO148)</f>
        <v>0</v>
      </c>
      <c r="AQ148" s="335"/>
      <c r="AR148" s="1185"/>
      <c r="AS148" s="1185"/>
    </row>
    <row r="149" spans="1:45" s="2" customFormat="1" x14ac:dyDescent="0.35">
      <c r="A149" s="1198"/>
      <c r="B149" s="1179"/>
      <c r="C149" s="1196"/>
      <c r="D149" s="1201"/>
      <c r="E149" s="36" t="s">
        <v>184</v>
      </c>
      <c r="F149" s="29"/>
      <c r="G149" s="30"/>
      <c r="H149" s="30"/>
      <c r="I149" s="30"/>
      <c r="J149" s="30"/>
      <c r="K149" s="30"/>
      <c r="L149" s="30"/>
      <c r="M149" s="30"/>
      <c r="N149" s="30"/>
      <c r="O149" s="30"/>
      <c r="P149" s="30"/>
      <c r="Q149" s="1088"/>
      <c r="R149" s="1084"/>
      <c r="S149" s="30"/>
      <c r="T149" s="30"/>
      <c r="U149" s="30"/>
      <c r="V149" s="30"/>
      <c r="W149" s="30"/>
      <c r="X149" s="30"/>
      <c r="Y149" s="30"/>
      <c r="Z149" s="30"/>
      <c r="AA149" s="30"/>
      <c r="AB149" s="30"/>
      <c r="AC149" s="1088"/>
      <c r="AD149" s="30"/>
      <c r="AE149" s="30"/>
      <c r="AF149" s="30"/>
      <c r="AG149" s="30"/>
      <c r="AH149" s="30"/>
      <c r="AI149" s="30"/>
      <c r="AJ149" s="30"/>
      <c r="AK149" s="30"/>
      <c r="AL149" s="30"/>
      <c r="AM149" s="30"/>
      <c r="AN149" s="30"/>
      <c r="AO149" s="30"/>
      <c r="AP149" s="344"/>
      <c r="AQ149" s="335"/>
      <c r="AR149" s="1185"/>
      <c r="AS149" s="1185"/>
    </row>
    <row r="150" spans="1:45" s="2" customFormat="1" ht="15" thickBot="1" x14ac:dyDescent="0.4">
      <c r="A150" s="1198"/>
      <c r="B150" s="1179"/>
      <c r="C150" s="1196"/>
      <c r="D150" s="1201"/>
      <c r="E150" s="340" t="s">
        <v>185</v>
      </c>
      <c r="F150" s="341"/>
      <c r="G150" s="342"/>
      <c r="H150" s="342"/>
      <c r="I150" s="342"/>
      <c r="J150" s="342"/>
      <c r="K150" s="342"/>
      <c r="L150" s="342"/>
      <c r="M150" s="342"/>
      <c r="N150" s="342"/>
      <c r="O150" s="342"/>
      <c r="P150" s="342"/>
      <c r="Q150" s="1089"/>
      <c r="R150" s="1085"/>
      <c r="S150" s="342"/>
      <c r="T150" s="342"/>
      <c r="U150" s="342"/>
      <c r="V150" s="342"/>
      <c r="W150" s="342"/>
      <c r="X150" s="342"/>
      <c r="Y150" s="342"/>
      <c r="Z150" s="342"/>
      <c r="AA150" s="342"/>
      <c r="AB150" s="342"/>
      <c r="AC150" s="1089"/>
      <c r="AD150" s="342"/>
      <c r="AE150" s="342"/>
      <c r="AF150" s="342"/>
      <c r="AG150" s="342"/>
      <c r="AH150" s="342"/>
      <c r="AI150" s="342"/>
      <c r="AJ150" s="342"/>
      <c r="AK150" s="342"/>
      <c r="AL150" s="342"/>
      <c r="AM150" s="342"/>
      <c r="AN150" s="342"/>
      <c r="AO150" s="342"/>
      <c r="AP150" s="344"/>
      <c r="AQ150" s="335"/>
      <c r="AR150" s="1185"/>
      <c r="AS150" s="1185"/>
    </row>
    <row r="151" spans="1:45" s="2" customFormat="1" ht="26.5" thickBot="1" x14ac:dyDescent="0.4">
      <c r="A151" s="1198"/>
      <c r="B151" s="1179"/>
      <c r="C151" s="1196"/>
      <c r="D151" s="1201"/>
      <c r="E151" s="1193" t="s">
        <v>175</v>
      </c>
      <c r="F151" s="1194"/>
      <c r="G151" s="1194"/>
      <c r="H151" s="1194"/>
      <c r="I151" s="1194"/>
      <c r="J151" s="1194"/>
      <c r="K151" s="1194"/>
      <c r="L151" s="1194"/>
      <c r="M151" s="1194"/>
      <c r="N151" s="1194"/>
      <c r="O151" s="1194"/>
      <c r="P151" s="1194"/>
      <c r="Q151" s="1194"/>
      <c r="R151" s="1194"/>
      <c r="S151" s="1194"/>
      <c r="T151" s="1194"/>
      <c r="U151" s="1194"/>
      <c r="V151" s="1194"/>
      <c r="W151" s="1194"/>
      <c r="X151" s="1194"/>
      <c r="Y151" s="1194"/>
      <c r="Z151" s="1194"/>
      <c r="AA151" s="1194"/>
      <c r="AB151" s="1194"/>
      <c r="AC151" s="1194"/>
      <c r="AD151" s="1194"/>
      <c r="AE151" s="1194"/>
      <c r="AF151" s="1194"/>
      <c r="AG151" s="1194"/>
      <c r="AH151" s="1194"/>
      <c r="AI151" s="1194"/>
      <c r="AJ151" s="1194"/>
      <c r="AK151" s="1194"/>
      <c r="AL151" s="1194"/>
      <c r="AM151" s="1194"/>
      <c r="AN151" s="1194"/>
      <c r="AO151" s="1194"/>
      <c r="AP151" s="348" t="e">
        <f>SUM(AP153:AP154)/AP146</f>
        <v>#DIV/0!</v>
      </c>
      <c r="AQ151" s="349" t="s">
        <v>186</v>
      </c>
      <c r="AR151" s="1185"/>
      <c r="AS151" s="1185"/>
    </row>
    <row r="152" spans="1:45" s="2" customFormat="1" x14ac:dyDescent="0.35">
      <c r="A152" s="1198"/>
      <c r="B152" s="1179"/>
      <c r="C152" s="1196"/>
      <c r="D152" s="1201"/>
      <c r="E152" s="62" t="s">
        <v>187</v>
      </c>
      <c r="F152" s="44">
        <f>SUM(F153:F156)</f>
        <v>0</v>
      </c>
      <c r="G152" s="43">
        <f>SUM(G153:G156)</f>
        <v>0</v>
      </c>
      <c r="H152" s="43">
        <f t="shared" ref="H152:AO152" si="31">SUM(H153:H156)</f>
        <v>0</v>
      </c>
      <c r="I152" s="43">
        <f t="shared" si="31"/>
        <v>0</v>
      </c>
      <c r="J152" s="43">
        <f t="shared" si="31"/>
        <v>0</v>
      </c>
      <c r="K152" s="43">
        <f t="shared" si="31"/>
        <v>0</v>
      </c>
      <c r="L152" s="43">
        <f t="shared" si="31"/>
        <v>0</v>
      </c>
      <c r="M152" s="43">
        <f t="shared" si="31"/>
        <v>0</v>
      </c>
      <c r="N152" s="43">
        <f t="shared" si="31"/>
        <v>0</v>
      </c>
      <c r="O152" s="43">
        <f t="shared" si="31"/>
        <v>0</v>
      </c>
      <c r="P152" s="43">
        <f t="shared" si="31"/>
        <v>0</v>
      </c>
      <c r="Q152" s="43">
        <f t="shared" si="31"/>
        <v>0</v>
      </c>
      <c r="R152" s="43">
        <f t="shared" si="31"/>
        <v>0</v>
      </c>
      <c r="S152" s="43">
        <f t="shared" si="31"/>
        <v>0</v>
      </c>
      <c r="T152" s="43">
        <f t="shared" si="31"/>
        <v>0</v>
      </c>
      <c r="U152" s="43">
        <f t="shared" si="31"/>
        <v>0</v>
      </c>
      <c r="V152" s="43">
        <f t="shared" si="31"/>
        <v>0</v>
      </c>
      <c r="W152" s="43">
        <f t="shared" si="31"/>
        <v>0</v>
      </c>
      <c r="X152" s="43">
        <f t="shared" si="31"/>
        <v>0</v>
      </c>
      <c r="Y152" s="43">
        <f t="shared" si="31"/>
        <v>0</v>
      </c>
      <c r="Z152" s="43">
        <f t="shared" si="31"/>
        <v>0</v>
      </c>
      <c r="AA152" s="43">
        <f t="shared" si="31"/>
        <v>0</v>
      </c>
      <c r="AB152" s="43">
        <f t="shared" si="31"/>
        <v>0</v>
      </c>
      <c r="AC152" s="43">
        <f t="shared" si="31"/>
        <v>0</v>
      </c>
      <c r="AD152" s="43">
        <f t="shared" si="31"/>
        <v>0</v>
      </c>
      <c r="AE152" s="43">
        <f t="shared" si="31"/>
        <v>0</v>
      </c>
      <c r="AF152" s="43">
        <f t="shared" si="31"/>
        <v>0</v>
      </c>
      <c r="AG152" s="43">
        <f t="shared" si="31"/>
        <v>0</v>
      </c>
      <c r="AH152" s="43">
        <f t="shared" si="31"/>
        <v>0</v>
      </c>
      <c r="AI152" s="43">
        <f t="shared" si="31"/>
        <v>0</v>
      </c>
      <c r="AJ152" s="43">
        <f t="shared" si="31"/>
        <v>0</v>
      </c>
      <c r="AK152" s="43">
        <f t="shared" si="31"/>
        <v>0</v>
      </c>
      <c r="AL152" s="43">
        <f t="shared" si="31"/>
        <v>0</v>
      </c>
      <c r="AM152" s="43">
        <f t="shared" si="31"/>
        <v>0</v>
      </c>
      <c r="AN152" s="43">
        <f t="shared" si="31"/>
        <v>0</v>
      </c>
      <c r="AO152" s="43">
        <f t="shared" si="31"/>
        <v>0</v>
      </c>
      <c r="AP152" s="65"/>
      <c r="AQ152" s="65"/>
      <c r="AR152" s="1185"/>
      <c r="AS152" s="1185"/>
    </row>
    <row r="153" spans="1:45" s="2" customFormat="1" x14ac:dyDescent="0.35">
      <c r="A153" s="1198"/>
      <c r="B153" s="1179"/>
      <c r="C153" s="1196"/>
      <c r="D153" s="1201"/>
      <c r="E153" s="63" t="s">
        <v>188</v>
      </c>
      <c r="F153" s="23"/>
      <c r="G153" s="26"/>
      <c r="H153" s="26"/>
      <c r="I153" s="26"/>
      <c r="J153" s="26"/>
      <c r="K153" s="26"/>
      <c r="L153" s="26"/>
      <c r="M153" s="26"/>
      <c r="N153" s="26"/>
      <c r="O153" s="26"/>
      <c r="P153" s="26"/>
      <c r="Q153" s="1086"/>
      <c r="R153" s="1082"/>
      <c r="S153" s="26"/>
      <c r="T153" s="26"/>
      <c r="U153" s="26"/>
      <c r="V153" s="26"/>
      <c r="W153" s="26"/>
      <c r="X153" s="26"/>
      <c r="Y153" s="26"/>
      <c r="Z153" s="26"/>
      <c r="AA153" s="26"/>
      <c r="AB153" s="26"/>
      <c r="AC153" s="1086"/>
      <c r="AD153" s="26"/>
      <c r="AE153" s="26"/>
      <c r="AF153" s="26"/>
      <c r="AG153" s="26"/>
      <c r="AH153" s="26"/>
      <c r="AI153" s="26"/>
      <c r="AJ153" s="26"/>
      <c r="AK153" s="26"/>
      <c r="AL153" s="26"/>
      <c r="AM153" s="26"/>
      <c r="AN153" s="26"/>
      <c r="AO153" s="26"/>
      <c r="AP153" s="65">
        <f>SUM(F153:AO153)</f>
        <v>0</v>
      </c>
      <c r="AQ153" s="346" t="e">
        <f>AP153/AP147</f>
        <v>#DIV/0!</v>
      </c>
      <c r="AR153" s="1185"/>
      <c r="AS153" s="1185"/>
    </row>
    <row r="154" spans="1:45" s="2" customFormat="1" x14ac:dyDescent="0.35">
      <c r="A154" s="1198"/>
      <c r="B154" s="1179"/>
      <c r="C154" s="1196"/>
      <c r="D154" s="1201"/>
      <c r="E154" s="37" t="s">
        <v>189</v>
      </c>
      <c r="F154" s="33"/>
      <c r="G154" s="32"/>
      <c r="H154" s="32"/>
      <c r="I154" s="32"/>
      <c r="J154" s="32"/>
      <c r="K154" s="32"/>
      <c r="L154" s="32"/>
      <c r="M154" s="32"/>
      <c r="N154" s="32"/>
      <c r="O154" s="32"/>
      <c r="P154" s="32"/>
      <c r="Q154" s="1092"/>
      <c r="R154" s="1090"/>
      <c r="S154" s="32"/>
      <c r="T154" s="32"/>
      <c r="U154" s="32"/>
      <c r="V154" s="32"/>
      <c r="W154" s="32"/>
      <c r="X154" s="32"/>
      <c r="Y154" s="32"/>
      <c r="Z154" s="32"/>
      <c r="AA154" s="32"/>
      <c r="AB154" s="32"/>
      <c r="AC154" s="1092"/>
      <c r="AD154" s="32"/>
      <c r="AE154" s="32"/>
      <c r="AF154" s="32"/>
      <c r="AG154" s="32"/>
      <c r="AH154" s="32"/>
      <c r="AI154" s="32"/>
      <c r="AJ154" s="32"/>
      <c r="AK154" s="32"/>
      <c r="AL154" s="32"/>
      <c r="AM154" s="32"/>
      <c r="AN154" s="32"/>
      <c r="AO154" s="32"/>
      <c r="AP154" s="65">
        <f>SUM(F154:AO154)</f>
        <v>0</v>
      </c>
      <c r="AQ154" s="346" t="e">
        <f>AP154/AP148</f>
        <v>#DIV/0!</v>
      </c>
      <c r="AR154" s="1185"/>
      <c r="AS154" s="1185"/>
    </row>
    <row r="155" spans="1:45" s="2" customFormat="1" x14ac:dyDescent="0.35">
      <c r="A155" s="1198"/>
      <c r="B155" s="1179"/>
      <c r="C155" s="1196"/>
      <c r="D155" s="1201"/>
      <c r="E155" s="36" t="s">
        <v>190</v>
      </c>
      <c r="F155" s="29"/>
      <c r="G155" s="30"/>
      <c r="H155" s="30"/>
      <c r="I155" s="30"/>
      <c r="J155" s="30"/>
      <c r="K155" s="30"/>
      <c r="L155" s="30"/>
      <c r="M155" s="30"/>
      <c r="N155" s="30"/>
      <c r="O155" s="30"/>
      <c r="P155" s="30"/>
      <c r="Q155" s="1088"/>
      <c r="R155" s="1084"/>
      <c r="S155" s="30"/>
      <c r="T155" s="30"/>
      <c r="U155" s="30"/>
      <c r="V155" s="30"/>
      <c r="W155" s="30"/>
      <c r="X155" s="30"/>
      <c r="Y155" s="30"/>
      <c r="Z155" s="30"/>
      <c r="AA155" s="30"/>
      <c r="AB155" s="30"/>
      <c r="AC155" s="1088"/>
      <c r="AD155" s="30"/>
      <c r="AE155" s="30"/>
      <c r="AF155" s="30"/>
      <c r="AG155" s="30"/>
      <c r="AH155" s="30"/>
      <c r="AI155" s="30"/>
      <c r="AJ155" s="30"/>
      <c r="AK155" s="30"/>
      <c r="AL155" s="30"/>
      <c r="AM155" s="30"/>
      <c r="AN155" s="30"/>
      <c r="AO155" s="30"/>
      <c r="AP155" s="65"/>
      <c r="AQ155" s="65"/>
      <c r="AR155" s="1185"/>
      <c r="AS155" s="1185"/>
    </row>
    <row r="156" spans="1:45" s="2" customFormat="1" ht="15" thickBot="1" x14ac:dyDescent="0.4">
      <c r="A156" s="1199"/>
      <c r="B156" s="1180"/>
      <c r="C156" s="1197"/>
      <c r="D156" s="1202"/>
      <c r="E156" s="64" t="s">
        <v>191</v>
      </c>
      <c r="F156" s="25"/>
      <c r="G156" s="28"/>
      <c r="H156" s="28"/>
      <c r="I156" s="28"/>
      <c r="J156" s="28"/>
      <c r="K156" s="28"/>
      <c r="L156" s="28"/>
      <c r="M156" s="28"/>
      <c r="N156" s="28"/>
      <c r="O156" s="28"/>
      <c r="P156" s="28"/>
      <c r="Q156" s="1093"/>
      <c r="R156" s="1091"/>
      <c r="S156" s="28"/>
      <c r="T156" s="28"/>
      <c r="U156" s="28"/>
      <c r="V156" s="28"/>
      <c r="W156" s="28"/>
      <c r="X156" s="28"/>
      <c r="Y156" s="28"/>
      <c r="Z156" s="28"/>
      <c r="AA156" s="28"/>
      <c r="AB156" s="28"/>
      <c r="AC156" s="1093"/>
      <c r="AD156" s="28"/>
      <c r="AE156" s="28"/>
      <c r="AF156" s="28"/>
      <c r="AG156" s="28"/>
      <c r="AH156" s="28"/>
      <c r="AI156" s="28"/>
      <c r="AJ156" s="28"/>
      <c r="AK156" s="28"/>
      <c r="AL156" s="28"/>
      <c r="AM156" s="28"/>
      <c r="AN156" s="28"/>
      <c r="AO156" s="28"/>
      <c r="AP156" s="137"/>
      <c r="AQ156" s="137"/>
      <c r="AR156" s="1186"/>
      <c r="AS156" s="1186"/>
    </row>
    <row r="157" spans="1:45" s="2" customFormat="1" x14ac:dyDescent="0.35">
      <c r="A157" s="1198">
        <v>15</v>
      </c>
      <c r="B157" s="1178" t="str">
        <f>IF(VLOOKUP(A:A,'Pivot Table'!Z:AE,6,FALSE)=0,"",VLOOKUP(A:A,'Pivot Table'!Z:AE,6,FALSE))</f>
        <v/>
      </c>
      <c r="C157" s="1195" t="str">
        <f>_xlfn.IFNA(VLOOKUP(B:B,'indicator lists'!L:R,3,FALSE),"")</f>
        <v/>
      </c>
      <c r="D157" s="1200" t="str">
        <f>_xlfn.IFNA(VLOOKUP(A:A,'Pivot Table'!P:X,9,FALSE),"")</f>
        <v/>
      </c>
      <c r="E157" s="59" t="s">
        <v>181</v>
      </c>
      <c r="F157" s="60">
        <f>SUM(F158:F161)</f>
        <v>0</v>
      </c>
      <c r="G157" s="61">
        <f>SUM(G158:G161)</f>
        <v>0</v>
      </c>
      <c r="H157" s="61">
        <f t="shared" ref="H157:AO157" si="32">SUM(H158:H161)</f>
        <v>0</v>
      </c>
      <c r="I157" s="61">
        <f t="shared" si="32"/>
        <v>0</v>
      </c>
      <c r="J157" s="61">
        <f t="shared" si="32"/>
        <v>0</v>
      </c>
      <c r="K157" s="61">
        <f t="shared" si="32"/>
        <v>0</v>
      </c>
      <c r="L157" s="61">
        <f t="shared" si="32"/>
        <v>0</v>
      </c>
      <c r="M157" s="61">
        <f t="shared" si="32"/>
        <v>0</v>
      </c>
      <c r="N157" s="61">
        <f t="shared" si="32"/>
        <v>0</v>
      </c>
      <c r="O157" s="61">
        <f t="shared" si="32"/>
        <v>0</v>
      </c>
      <c r="P157" s="61">
        <f t="shared" si="32"/>
        <v>0</v>
      </c>
      <c r="Q157" s="61">
        <f t="shared" si="32"/>
        <v>0</v>
      </c>
      <c r="R157" s="61">
        <f t="shared" si="32"/>
        <v>0</v>
      </c>
      <c r="S157" s="61">
        <f t="shared" si="32"/>
        <v>0</v>
      </c>
      <c r="T157" s="61">
        <f t="shared" si="32"/>
        <v>0</v>
      </c>
      <c r="U157" s="61">
        <f t="shared" si="32"/>
        <v>0</v>
      </c>
      <c r="V157" s="61">
        <f t="shared" si="32"/>
        <v>0</v>
      </c>
      <c r="W157" s="61">
        <f t="shared" si="32"/>
        <v>0</v>
      </c>
      <c r="X157" s="61">
        <f t="shared" si="32"/>
        <v>0</v>
      </c>
      <c r="Y157" s="61">
        <f t="shared" si="32"/>
        <v>0</v>
      </c>
      <c r="Z157" s="61">
        <f t="shared" si="32"/>
        <v>0</v>
      </c>
      <c r="AA157" s="61">
        <f t="shared" si="32"/>
        <v>0</v>
      </c>
      <c r="AB157" s="61">
        <f t="shared" si="32"/>
        <v>0</v>
      </c>
      <c r="AC157" s="61">
        <f t="shared" si="32"/>
        <v>0</v>
      </c>
      <c r="AD157" s="61">
        <f t="shared" si="32"/>
        <v>0</v>
      </c>
      <c r="AE157" s="61">
        <f t="shared" si="32"/>
        <v>0</v>
      </c>
      <c r="AF157" s="61">
        <f t="shared" si="32"/>
        <v>0</v>
      </c>
      <c r="AG157" s="61">
        <f t="shared" si="32"/>
        <v>0</v>
      </c>
      <c r="AH157" s="61">
        <f t="shared" si="32"/>
        <v>0</v>
      </c>
      <c r="AI157" s="61">
        <f t="shared" si="32"/>
        <v>0</v>
      </c>
      <c r="AJ157" s="61">
        <f t="shared" si="32"/>
        <v>0</v>
      </c>
      <c r="AK157" s="61">
        <f t="shared" si="32"/>
        <v>0</v>
      </c>
      <c r="AL157" s="61">
        <f t="shared" si="32"/>
        <v>0</v>
      </c>
      <c r="AM157" s="61">
        <f t="shared" si="32"/>
        <v>0</v>
      </c>
      <c r="AN157" s="61">
        <f t="shared" si="32"/>
        <v>0</v>
      </c>
      <c r="AO157" s="61">
        <f t="shared" si="32"/>
        <v>0</v>
      </c>
      <c r="AP157" s="347">
        <f>SUM(AP158:AP159)</f>
        <v>0</v>
      </c>
      <c r="AQ157" s="134"/>
      <c r="AR157" s="1184"/>
      <c r="AS157" s="1184"/>
    </row>
    <row r="158" spans="1:45" s="2" customFormat="1" x14ac:dyDescent="0.35">
      <c r="A158" s="1198"/>
      <c r="B158" s="1179"/>
      <c r="C158" s="1196"/>
      <c r="D158" s="1201"/>
      <c r="E158" s="63" t="s">
        <v>182</v>
      </c>
      <c r="F158" s="23"/>
      <c r="G158" s="26"/>
      <c r="H158" s="26"/>
      <c r="I158" s="26"/>
      <c r="J158" s="26"/>
      <c r="K158" s="26"/>
      <c r="L158" s="26"/>
      <c r="M158" s="26"/>
      <c r="N158" s="26"/>
      <c r="O158" s="26"/>
      <c r="P158" s="26"/>
      <c r="Q158" s="1086"/>
      <c r="R158" s="1082"/>
      <c r="S158" s="26"/>
      <c r="T158" s="26"/>
      <c r="U158" s="26"/>
      <c r="V158" s="26"/>
      <c r="W158" s="26"/>
      <c r="X158" s="26"/>
      <c r="Y158" s="26"/>
      <c r="Z158" s="26"/>
      <c r="AA158" s="26"/>
      <c r="AB158" s="26"/>
      <c r="AC158" s="1086"/>
      <c r="AD158" s="26"/>
      <c r="AE158" s="26"/>
      <c r="AF158" s="26"/>
      <c r="AG158" s="26"/>
      <c r="AH158" s="26"/>
      <c r="AI158" s="26"/>
      <c r="AJ158" s="26"/>
      <c r="AK158" s="26"/>
      <c r="AL158" s="26"/>
      <c r="AM158" s="26"/>
      <c r="AN158" s="26"/>
      <c r="AO158" s="26"/>
      <c r="AP158" s="344">
        <f>SUM(F158:AO158)</f>
        <v>0</v>
      </c>
      <c r="AQ158" s="135"/>
      <c r="AR158" s="1185"/>
      <c r="AS158" s="1185"/>
    </row>
    <row r="159" spans="1:45" s="2" customFormat="1" x14ac:dyDescent="0.35">
      <c r="A159" s="1198"/>
      <c r="B159" s="1179"/>
      <c r="C159" s="1196"/>
      <c r="D159" s="1201"/>
      <c r="E159" s="336" t="s">
        <v>183</v>
      </c>
      <c r="F159" s="337"/>
      <c r="G159" s="338"/>
      <c r="H159" s="338"/>
      <c r="I159" s="338"/>
      <c r="J159" s="338"/>
      <c r="K159" s="338"/>
      <c r="L159" s="338"/>
      <c r="M159" s="338"/>
      <c r="N159" s="338"/>
      <c r="O159" s="338"/>
      <c r="P159" s="338"/>
      <c r="Q159" s="1087"/>
      <c r="R159" s="1083"/>
      <c r="S159" s="338"/>
      <c r="T159" s="338"/>
      <c r="U159" s="338"/>
      <c r="V159" s="338"/>
      <c r="W159" s="338"/>
      <c r="X159" s="338"/>
      <c r="Y159" s="338"/>
      <c r="Z159" s="338"/>
      <c r="AA159" s="338"/>
      <c r="AB159" s="338"/>
      <c r="AC159" s="1087"/>
      <c r="AD159" s="338"/>
      <c r="AE159" s="338"/>
      <c r="AF159" s="338"/>
      <c r="AG159" s="338"/>
      <c r="AH159" s="338"/>
      <c r="AI159" s="338"/>
      <c r="AJ159" s="338"/>
      <c r="AK159" s="338"/>
      <c r="AL159" s="338"/>
      <c r="AM159" s="338"/>
      <c r="AN159" s="338"/>
      <c r="AO159" s="338"/>
      <c r="AP159" s="344">
        <f>SUM(F159:AO159)</f>
        <v>0</v>
      </c>
      <c r="AQ159" s="335"/>
      <c r="AR159" s="1185"/>
      <c r="AS159" s="1185"/>
    </row>
    <row r="160" spans="1:45" s="2" customFormat="1" x14ac:dyDescent="0.35">
      <c r="A160" s="1198"/>
      <c r="B160" s="1179"/>
      <c r="C160" s="1196"/>
      <c r="D160" s="1201"/>
      <c r="E160" s="36" t="s">
        <v>184</v>
      </c>
      <c r="F160" s="29"/>
      <c r="G160" s="30"/>
      <c r="H160" s="30"/>
      <c r="I160" s="30"/>
      <c r="J160" s="30"/>
      <c r="K160" s="30"/>
      <c r="L160" s="30"/>
      <c r="M160" s="30"/>
      <c r="N160" s="30"/>
      <c r="O160" s="30"/>
      <c r="P160" s="30"/>
      <c r="Q160" s="1088"/>
      <c r="R160" s="1084"/>
      <c r="S160" s="30"/>
      <c r="T160" s="30"/>
      <c r="U160" s="30"/>
      <c r="V160" s="30"/>
      <c r="W160" s="30"/>
      <c r="X160" s="30"/>
      <c r="Y160" s="30"/>
      <c r="Z160" s="30"/>
      <c r="AA160" s="30"/>
      <c r="AB160" s="30"/>
      <c r="AC160" s="1088"/>
      <c r="AD160" s="30"/>
      <c r="AE160" s="30"/>
      <c r="AF160" s="30"/>
      <c r="AG160" s="30"/>
      <c r="AH160" s="30"/>
      <c r="AI160" s="30"/>
      <c r="AJ160" s="30"/>
      <c r="AK160" s="30"/>
      <c r="AL160" s="30"/>
      <c r="AM160" s="30"/>
      <c r="AN160" s="30"/>
      <c r="AO160" s="30"/>
      <c r="AP160" s="344"/>
      <c r="AQ160" s="335"/>
      <c r="AR160" s="1185"/>
      <c r="AS160" s="1185"/>
    </row>
    <row r="161" spans="1:45" s="2" customFormat="1" ht="15" thickBot="1" x14ac:dyDescent="0.4">
      <c r="A161" s="1198"/>
      <c r="B161" s="1179"/>
      <c r="C161" s="1196"/>
      <c r="D161" s="1201"/>
      <c r="E161" s="340" t="s">
        <v>185</v>
      </c>
      <c r="F161" s="341"/>
      <c r="G161" s="342"/>
      <c r="H161" s="342"/>
      <c r="I161" s="342"/>
      <c r="J161" s="342"/>
      <c r="K161" s="342"/>
      <c r="L161" s="342"/>
      <c r="M161" s="342"/>
      <c r="N161" s="342"/>
      <c r="O161" s="342"/>
      <c r="P161" s="342"/>
      <c r="Q161" s="1089"/>
      <c r="R161" s="1085"/>
      <c r="S161" s="342"/>
      <c r="T161" s="342"/>
      <c r="U161" s="342"/>
      <c r="V161" s="342"/>
      <c r="W161" s="342"/>
      <c r="X161" s="342"/>
      <c r="Y161" s="342"/>
      <c r="Z161" s="342"/>
      <c r="AA161" s="342"/>
      <c r="AB161" s="342"/>
      <c r="AC161" s="1089"/>
      <c r="AD161" s="342"/>
      <c r="AE161" s="342"/>
      <c r="AF161" s="342"/>
      <c r="AG161" s="342"/>
      <c r="AH161" s="342"/>
      <c r="AI161" s="342"/>
      <c r="AJ161" s="342"/>
      <c r="AK161" s="342"/>
      <c r="AL161" s="342"/>
      <c r="AM161" s="342"/>
      <c r="AN161" s="342"/>
      <c r="AO161" s="342"/>
      <c r="AP161" s="344"/>
      <c r="AQ161" s="335"/>
      <c r="AR161" s="1185"/>
      <c r="AS161" s="1185"/>
    </row>
    <row r="162" spans="1:45" s="2" customFormat="1" ht="26.5" thickBot="1" x14ac:dyDescent="0.4">
      <c r="A162" s="1198"/>
      <c r="B162" s="1179"/>
      <c r="C162" s="1196"/>
      <c r="D162" s="1201"/>
      <c r="E162" s="1193" t="s">
        <v>175</v>
      </c>
      <c r="F162" s="1194"/>
      <c r="G162" s="1194"/>
      <c r="H162" s="1194"/>
      <c r="I162" s="1194"/>
      <c r="J162" s="1194"/>
      <c r="K162" s="1194"/>
      <c r="L162" s="1194"/>
      <c r="M162" s="1194"/>
      <c r="N162" s="1194"/>
      <c r="O162" s="1194"/>
      <c r="P162" s="1194"/>
      <c r="Q162" s="1194"/>
      <c r="R162" s="1194"/>
      <c r="S162" s="1194"/>
      <c r="T162" s="1194"/>
      <c r="U162" s="1194"/>
      <c r="V162" s="1194"/>
      <c r="W162" s="1194"/>
      <c r="X162" s="1194"/>
      <c r="Y162" s="1194"/>
      <c r="Z162" s="1194"/>
      <c r="AA162" s="1194"/>
      <c r="AB162" s="1194"/>
      <c r="AC162" s="1194"/>
      <c r="AD162" s="1194"/>
      <c r="AE162" s="1194"/>
      <c r="AF162" s="1194"/>
      <c r="AG162" s="1194"/>
      <c r="AH162" s="1194"/>
      <c r="AI162" s="1194"/>
      <c r="AJ162" s="1194"/>
      <c r="AK162" s="1194"/>
      <c r="AL162" s="1194"/>
      <c r="AM162" s="1194"/>
      <c r="AN162" s="1194"/>
      <c r="AO162" s="1194"/>
      <c r="AP162" s="348" t="e">
        <f>SUM(AP164:AP165)/AP157</f>
        <v>#DIV/0!</v>
      </c>
      <c r="AQ162" s="349" t="s">
        <v>186</v>
      </c>
      <c r="AR162" s="1185"/>
      <c r="AS162" s="1185"/>
    </row>
    <row r="163" spans="1:45" s="2" customFormat="1" x14ac:dyDescent="0.35">
      <c r="A163" s="1198"/>
      <c r="B163" s="1179"/>
      <c r="C163" s="1196"/>
      <c r="D163" s="1201"/>
      <c r="E163" s="62" t="s">
        <v>187</v>
      </c>
      <c r="F163" s="44">
        <f>SUM(F164:F167)</f>
        <v>0</v>
      </c>
      <c r="G163" s="43">
        <f>SUM(G164:G167)</f>
        <v>0</v>
      </c>
      <c r="H163" s="43">
        <f t="shared" ref="H163:AO163" si="33">SUM(H164:H167)</f>
        <v>0</v>
      </c>
      <c r="I163" s="43">
        <f t="shared" si="33"/>
        <v>0</v>
      </c>
      <c r="J163" s="43">
        <f t="shared" si="33"/>
        <v>0</v>
      </c>
      <c r="K163" s="43">
        <f t="shared" si="33"/>
        <v>0</v>
      </c>
      <c r="L163" s="43">
        <f t="shared" si="33"/>
        <v>0</v>
      </c>
      <c r="M163" s="43">
        <f t="shared" si="33"/>
        <v>0</v>
      </c>
      <c r="N163" s="43">
        <f t="shared" si="33"/>
        <v>0</v>
      </c>
      <c r="O163" s="43">
        <f t="shared" si="33"/>
        <v>0</v>
      </c>
      <c r="P163" s="43">
        <f t="shared" si="33"/>
        <v>0</v>
      </c>
      <c r="Q163" s="43">
        <f t="shared" si="33"/>
        <v>0</v>
      </c>
      <c r="R163" s="43">
        <f t="shared" si="33"/>
        <v>0</v>
      </c>
      <c r="S163" s="43">
        <f t="shared" si="33"/>
        <v>0</v>
      </c>
      <c r="T163" s="43">
        <f t="shared" si="33"/>
        <v>0</v>
      </c>
      <c r="U163" s="43">
        <f t="shared" si="33"/>
        <v>0</v>
      </c>
      <c r="V163" s="43">
        <f t="shared" si="33"/>
        <v>0</v>
      </c>
      <c r="W163" s="43">
        <f t="shared" si="33"/>
        <v>0</v>
      </c>
      <c r="X163" s="43">
        <f t="shared" si="33"/>
        <v>0</v>
      </c>
      <c r="Y163" s="43">
        <f t="shared" si="33"/>
        <v>0</v>
      </c>
      <c r="Z163" s="43">
        <f t="shared" si="33"/>
        <v>0</v>
      </c>
      <c r="AA163" s="43">
        <f t="shared" si="33"/>
        <v>0</v>
      </c>
      <c r="AB163" s="43">
        <f t="shared" si="33"/>
        <v>0</v>
      </c>
      <c r="AC163" s="43">
        <f t="shared" si="33"/>
        <v>0</v>
      </c>
      <c r="AD163" s="43">
        <f t="shared" si="33"/>
        <v>0</v>
      </c>
      <c r="AE163" s="43">
        <f t="shared" si="33"/>
        <v>0</v>
      </c>
      <c r="AF163" s="43">
        <f t="shared" si="33"/>
        <v>0</v>
      </c>
      <c r="AG163" s="43">
        <f t="shared" si="33"/>
        <v>0</v>
      </c>
      <c r="AH163" s="43">
        <f t="shared" si="33"/>
        <v>0</v>
      </c>
      <c r="AI163" s="43">
        <f t="shared" si="33"/>
        <v>0</v>
      </c>
      <c r="AJ163" s="43">
        <f t="shared" si="33"/>
        <v>0</v>
      </c>
      <c r="AK163" s="43">
        <f t="shared" si="33"/>
        <v>0</v>
      </c>
      <c r="AL163" s="43">
        <f t="shared" si="33"/>
        <v>0</v>
      </c>
      <c r="AM163" s="43">
        <f t="shared" si="33"/>
        <v>0</v>
      </c>
      <c r="AN163" s="43">
        <f t="shared" si="33"/>
        <v>0</v>
      </c>
      <c r="AO163" s="43">
        <f t="shared" si="33"/>
        <v>0</v>
      </c>
      <c r="AP163" s="65"/>
      <c r="AQ163" s="65"/>
      <c r="AR163" s="1185"/>
      <c r="AS163" s="1185"/>
    </row>
    <row r="164" spans="1:45" s="2" customFormat="1" x14ac:dyDescent="0.35">
      <c r="A164" s="1198"/>
      <c r="B164" s="1179"/>
      <c r="C164" s="1196"/>
      <c r="D164" s="1201"/>
      <c r="E164" s="63" t="s">
        <v>188</v>
      </c>
      <c r="F164" s="23"/>
      <c r="G164" s="26"/>
      <c r="H164" s="26"/>
      <c r="I164" s="26"/>
      <c r="J164" s="26"/>
      <c r="K164" s="26"/>
      <c r="L164" s="26"/>
      <c r="M164" s="26"/>
      <c r="N164" s="26"/>
      <c r="O164" s="26"/>
      <c r="P164" s="26"/>
      <c r="Q164" s="1086"/>
      <c r="R164" s="1082"/>
      <c r="S164" s="26"/>
      <c r="T164" s="26"/>
      <c r="U164" s="26"/>
      <c r="V164" s="26"/>
      <c r="W164" s="26"/>
      <c r="X164" s="26"/>
      <c r="Y164" s="26"/>
      <c r="Z164" s="26"/>
      <c r="AA164" s="26"/>
      <c r="AB164" s="26"/>
      <c r="AC164" s="1086"/>
      <c r="AD164" s="26"/>
      <c r="AE164" s="26"/>
      <c r="AF164" s="26"/>
      <c r="AG164" s="26"/>
      <c r="AH164" s="26"/>
      <c r="AI164" s="26"/>
      <c r="AJ164" s="26"/>
      <c r="AK164" s="26"/>
      <c r="AL164" s="26"/>
      <c r="AM164" s="26"/>
      <c r="AN164" s="26"/>
      <c r="AO164" s="26"/>
      <c r="AP164" s="65">
        <f>SUM(F164:AO164)</f>
        <v>0</v>
      </c>
      <c r="AQ164" s="346" t="e">
        <f>AP164/AP158</f>
        <v>#DIV/0!</v>
      </c>
      <c r="AR164" s="1185"/>
      <c r="AS164" s="1185"/>
    </row>
    <row r="165" spans="1:45" s="2" customFormat="1" x14ac:dyDescent="0.35">
      <c r="A165" s="1198"/>
      <c r="B165" s="1179"/>
      <c r="C165" s="1196"/>
      <c r="D165" s="1201"/>
      <c r="E165" s="37" t="s">
        <v>189</v>
      </c>
      <c r="F165" s="33"/>
      <c r="G165" s="32"/>
      <c r="H165" s="32"/>
      <c r="I165" s="32"/>
      <c r="J165" s="32"/>
      <c r="K165" s="32"/>
      <c r="L165" s="32"/>
      <c r="M165" s="32"/>
      <c r="N165" s="32"/>
      <c r="O165" s="32"/>
      <c r="P165" s="32"/>
      <c r="Q165" s="1092"/>
      <c r="R165" s="1090"/>
      <c r="S165" s="32"/>
      <c r="T165" s="32"/>
      <c r="U165" s="32"/>
      <c r="V165" s="32"/>
      <c r="W165" s="32"/>
      <c r="X165" s="32"/>
      <c r="Y165" s="32"/>
      <c r="Z165" s="32"/>
      <c r="AA165" s="32"/>
      <c r="AB165" s="32"/>
      <c r="AC165" s="1092"/>
      <c r="AD165" s="32"/>
      <c r="AE165" s="32"/>
      <c r="AF165" s="32"/>
      <c r="AG165" s="32"/>
      <c r="AH165" s="32"/>
      <c r="AI165" s="32"/>
      <c r="AJ165" s="32"/>
      <c r="AK165" s="32"/>
      <c r="AL165" s="32"/>
      <c r="AM165" s="32"/>
      <c r="AN165" s="32"/>
      <c r="AO165" s="32"/>
      <c r="AP165" s="65">
        <f>SUM(F165:AO165)</f>
        <v>0</v>
      </c>
      <c r="AQ165" s="346" t="e">
        <f>AP165/AP159</f>
        <v>#DIV/0!</v>
      </c>
      <c r="AR165" s="1185"/>
      <c r="AS165" s="1185"/>
    </row>
    <row r="166" spans="1:45" s="2" customFormat="1" x14ac:dyDescent="0.35">
      <c r="A166" s="1198"/>
      <c r="B166" s="1179"/>
      <c r="C166" s="1196"/>
      <c r="D166" s="1201"/>
      <c r="E166" s="36" t="s">
        <v>190</v>
      </c>
      <c r="F166" s="29"/>
      <c r="G166" s="30"/>
      <c r="H166" s="30"/>
      <c r="I166" s="30"/>
      <c r="J166" s="30"/>
      <c r="K166" s="30"/>
      <c r="L166" s="30"/>
      <c r="M166" s="30"/>
      <c r="N166" s="30"/>
      <c r="O166" s="30"/>
      <c r="P166" s="30"/>
      <c r="Q166" s="1088"/>
      <c r="R166" s="1084"/>
      <c r="S166" s="30"/>
      <c r="T166" s="30"/>
      <c r="U166" s="30"/>
      <c r="V166" s="30"/>
      <c r="W166" s="30"/>
      <c r="X166" s="30"/>
      <c r="Y166" s="30"/>
      <c r="Z166" s="30"/>
      <c r="AA166" s="30"/>
      <c r="AB166" s="30"/>
      <c r="AC166" s="1088"/>
      <c r="AD166" s="30"/>
      <c r="AE166" s="30"/>
      <c r="AF166" s="30"/>
      <c r="AG166" s="30"/>
      <c r="AH166" s="30"/>
      <c r="AI166" s="30"/>
      <c r="AJ166" s="30"/>
      <c r="AK166" s="30"/>
      <c r="AL166" s="30"/>
      <c r="AM166" s="30"/>
      <c r="AN166" s="30"/>
      <c r="AO166" s="30"/>
      <c r="AP166" s="65"/>
      <c r="AQ166" s="65"/>
      <c r="AR166" s="1185"/>
      <c r="AS166" s="1185"/>
    </row>
    <row r="167" spans="1:45" s="2" customFormat="1" ht="15" thickBot="1" x14ac:dyDescent="0.4">
      <c r="A167" s="1199"/>
      <c r="B167" s="1180"/>
      <c r="C167" s="1197"/>
      <c r="D167" s="1202"/>
      <c r="E167" s="64" t="s">
        <v>191</v>
      </c>
      <c r="F167" s="25"/>
      <c r="G167" s="28"/>
      <c r="H167" s="28"/>
      <c r="I167" s="28"/>
      <c r="J167" s="28"/>
      <c r="K167" s="28"/>
      <c r="L167" s="28"/>
      <c r="M167" s="28"/>
      <c r="N167" s="28"/>
      <c r="O167" s="28"/>
      <c r="P167" s="28"/>
      <c r="Q167" s="1093"/>
      <c r="R167" s="1091"/>
      <c r="S167" s="28"/>
      <c r="T167" s="28"/>
      <c r="U167" s="28"/>
      <c r="V167" s="28"/>
      <c r="W167" s="28"/>
      <c r="X167" s="28"/>
      <c r="Y167" s="28"/>
      <c r="Z167" s="28"/>
      <c r="AA167" s="28"/>
      <c r="AB167" s="28"/>
      <c r="AC167" s="1093"/>
      <c r="AD167" s="28"/>
      <c r="AE167" s="28"/>
      <c r="AF167" s="28"/>
      <c r="AG167" s="28"/>
      <c r="AH167" s="28"/>
      <c r="AI167" s="28"/>
      <c r="AJ167" s="28"/>
      <c r="AK167" s="28"/>
      <c r="AL167" s="28"/>
      <c r="AM167" s="28"/>
      <c r="AN167" s="28"/>
      <c r="AO167" s="28"/>
      <c r="AP167" s="137"/>
      <c r="AQ167" s="137"/>
      <c r="AR167" s="1186"/>
      <c r="AS167" s="1186"/>
    </row>
    <row r="168" spans="1:45" s="2" customFormat="1" x14ac:dyDescent="0.35">
      <c r="A168" s="1198">
        <v>16</v>
      </c>
      <c r="B168" s="1178" t="str">
        <f>IF(VLOOKUP(A:A,'Pivot Table'!Z:AE,6,FALSE)=0,"",VLOOKUP(A:A,'Pivot Table'!Z:AE,6,FALSE))</f>
        <v/>
      </c>
      <c r="C168" s="1195" t="str">
        <f>_xlfn.IFNA(VLOOKUP(B:B,'indicator lists'!L:R,3,FALSE),"")</f>
        <v/>
      </c>
      <c r="D168" s="1200" t="str">
        <f>_xlfn.IFNA(VLOOKUP(A:A,'Pivot Table'!P:X,9,FALSE),"")</f>
        <v/>
      </c>
      <c r="E168" s="59" t="s">
        <v>181</v>
      </c>
      <c r="F168" s="60">
        <f>SUM(F169:F172)</f>
        <v>0</v>
      </c>
      <c r="G168" s="61">
        <f>SUM(G169:G172)</f>
        <v>0</v>
      </c>
      <c r="H168" s="61">
        <f t="shared" ref="H168:AO168" si="34">SUM(H169:H172)</f>
        <v>0</v>
      </c>
      <c r="I168" s="61">
        <f t="shared" si="34"/>
        <v>0</v>
      </c>
      <c r="J168" s="61">
        <f t="shared" si="34"/>
        <v>0</v>
      </c>
      <c r="K168" s="61">
        <f t="shared" si="34"/>
        <v>0</v>
      </c>
      <c r="L168" s="61">
        <f t="shared" si="34"/>
        <v>0</v>
      </c>
      <c r="M168" s="61">
        <f t="shared" si="34"/>
        <v>0</v>
      </c>
      <c r="N168" s="61">
        <f t="shared" si="34"/>
        <v>0</v>
      </c>
      <c r="O168" s="61">
        <f t="shared" si="34"/>
        <v>0</v>
      </c>
      <c r="P168" s="61">
        <f t="shared" si="34"/>
        <v>0</v>
      </c>
      <c r="Q168" s="61">
        <f t="shared" si="34"/>
        <v>0</v>
      </c>
      <c r="R168" s="61">
        <f t="shared" si="34"/>
        <v>0</v>
      </c>
      <c r="S168" s="61">
        <f t="shared" si="34"/>
        <v>0</v>
      </c>
      <c r="T168" s="61">
        <f t="shared" si="34"/>
        <v>0</v>
      </c>
      <c r="U168" s="61">
        <f t="shared" si="34"/>
        <v>0</v>
      </c>
      <c r="V168" s="61">
        <f t="shared" si="34"/>
        <v>0</v>
      </c>
      <c r="W168" s="61">
        <f t="shared" si="34"/>
        <v>0</v>
      </c>
      <c r="X168" s="61">
        <f t="shared" si="34"/>
        <v>0</v>
      </c>
      <c r="Y168" s="61">
        <f t="shared" si="34"/>
        <v>0</v>
      </c>
      <c r="Z168" s="61">
        <f t="shared" si="34"/>
        <v>0</v>
      </c>
      <c r="AA168" s="61">
        <f t="shared" si="34"/>
        <v>0</v>
      </c>
      <c r="AB168" s="61">
        <f t="shared" si="34"/>
        <v>0</v>
      </c>
      <c r="AC168" s="61">
        <f t="shared" si="34"/>
        <v>0</v>
      </c>
      <c r="AD168" s="61">
        <f t="shared" si="34"/>
        <v>0</v>
      </c>
      <c r="AE168" s="61">
        <f t="shared" si="34"/>
        <v>0</v>
      </c>
      <c r="AF168" s="61">
        <f t="shared" si="34"/>
        <v>0</v>
      </c>
      <c r="AG168" s="61">
        <f t="shared" si="34"/>
        <v>0</v>
      </c>
      <c r="AH168" s="61">
        <f t="shared" si="34"/>
        <v>0</v>
      </c>
      <c r="AI168" s="61">
        <f t="shared" si="34"/>
        <v>0</v>
      </c>
      <c r="AJ168" s="61">
        <f t="shared" si="34"/>
        <v>0</v>
      </c>
      <c r="AK168" s="61">
        <f t="shared" si="34"/>
        <v>0</v>
      </c>
      <c r="AL168" s="61">
        <f t="shared" si="34"/>
        <v>0</v>
      </c>
      <c r="AM168" s="61">
        <f t="shared" si="34"/>
        <v>0</v>
      </c>
      <c r="AN168" s="61">
        <f t="shared" si="34"/>
        <v>0</v>
      </c>
      <c r="AO168" s="61">
        <f t="shared" si="34"/>
        <v>0</v>
      </c>
      <c r="AP168" s="347">
        <f>SUM(AP169:AP170)</f>
        <v>0</v>
      </c>
      <c r="AQ168" s="134"/>
      <c r="AR168" s="1184"/>
      <c r="AS168" s="1184"/>
    </row>
    <row r="169" spans="1:45" s="2" customFormat="1" x14ac:dyDescent="0.35">
      <c r="A169" s="1198"/>
      <c r="B169" s="1179"/>
      <c r="C169" s="1196"/>
      <c r="D169" s="1201"/>
      <c r="E169" s="63" t="s">
        <v>182</v>
      </c>
      <c r="F169" s="23"/>
      <c r="G169" s="26"/>
      <c r="H169" s="26"/>
      <c r="I169" s="26"/>
      <c r="J169" s="26"/>
      <c r="K169" s="26"/>
      <c r="L169" s="26"/>
      <c r="M169" s="26"/>
      <c r="N169" s="26"/>
      <c r="O169" s="26"/>
      <c r="P169" s="26"/>
      <c r="Q169" s="1086"/>
      <c r="R169" s="1082"/>
      <c r="S169" s="26"/>
      <c r="T169" s="26"/>
      <c r="U169" s="26"/>
      <c r="V169" s="26"/>
      <c r="W169" s="26"/>
      <c r="X169" s="26"/>
      <c r="Y169" s="26"/>
      <c r="Z169" s="26"/>
      <c r="AA169" s="26"/>
      <c r="AB169" s="26"/>
      <c r="AC169" s="1086"/>
      <c r="AD169" s="26"/>
      <c r="AE169" s="26"/>
      <c r="AF169" s="26"/>
      <c r="AG169" s="26"/>
      <c r="AH169" s="26"/>
      <c r="AI169" s="26"/>
      <c r="AJ169" s="26"/>
      <c r="AK169" s="26"/>
      <c r="AL169" s="26"/>
      <c r="AM169" s="26"/>
      <c r="AN169" s="26"/>
      <c r="AO169" s="26"/>
      <c r="AP169" s="344">
        <f>SUM(F169:AO169)</f>
        <v>0</v>
      </c>
      <c r="AQ169" s="135"/>
      <c r="AR169" s="1185"/>
      <c r="AS169" s="1185"/>
    </row>
    <row r="170" spans="1:45" s="2" customFormat="1" x14ac:dyDescent="0.35">
      <c r="A170" s="1198"/>
      <c r="B170" s="1179"/>
      <c r="C170" s="1196"/>
      <c r="D170" s="1201"/>
      <c r="E170" s="336" t="s">
        <v>183</v>
      </c>
      <c r="F170" s="337"/>
      <c r="G170" s="338"/>
      <c r="H170" s="338"/>
      <c r="I170" s="338"/>
      <c r="J170" s="338"/>
      <c r="K170" s="338"/>
      <c r="L170" s="338"/>
      <c r="M170" s="338"/>
      <c r="N170" s="338"/>
      <c r="O170" s="338"/>
      <c r="P170" s="338"/>
      <c r="Q170" s="1087"/>
      <c r="R170" s="1083"/>
      <c r="S170" s="338"/>
      <c r="T170" s="338"/>
      <c r="U170" s="338"/>
      <c r="V170" s="338"/>
      <c r="W170" s="338"/>
      <c r="X170" s="338"/>
      <c r="Y170" s="338"/>
      <c r="Z170" s="338"/>
      <c r="AA170" s="338"/>
      <c r="AB170" s="338"/>
      <c r="AC170" s="1087"/>
      <c r="AD170" s="338"/>
      <c r="AE170" s="338"/>
      <c r="AF170" s="338"/>
      <c r="AG170" s="338"/>
      <c r="AH170" s="338"/>
      <c r="AI170" s="338"/>
      <c r="AJ170" s="338"/>
      <c r="AK170" s="338"/>
      <c r="AL170" s="338"/>
      <c r="AM170" s="338"/>
      <c r="AN170" s="338"/>
      <c r="AO170" s="338"/>
      <c r="AP170" s="344">
        <f>SUM(F170:AO170)</f>
        <v>0</v>
      </c>
      <c r="AQ170" s="335"/>
      <c r="AR170" s="1185"/>
      <c r="AS170" s="1185"/>
    </row>
    <row r="171" spans="1:45" s="2" customFormat="1" x14ac:dyDescent="0.35">
      <c r="A171" s="1198"/>
      <c r="B171" s="1179"/>
      <c r="C171" s="1196"/>
      <c r="D171" s="1201"/>
      <c r="E171" s="36" t="s">
        <v>184</v>
      </c>
      <c r="F171" s="29"/>
      <c r="G171" s="30"/>
      <c r="H171" s="30"/>
      <c r="I171" s="30"/>
      <c r="J171" s="30"/>
      <c r="K171" s="30"/>
      <c r="L171" s="30"/>
      <c r="M171" s="30"/>
      <c r="N171" s="30"/>
      <c r="O171" s="30"/>
      <c r="P171" s="30"/>
      <c r="Q171" s="1088"/>
      <c r="R171" s="1084"/>
      <c r="S171" s="30"/>
      <c r="T171" s="30"/>
      <c r="U171" s="30"/>
      <c r="V171" s="30"/>
      <c r="W171" s="30"/>
      <c r="X171" s="30"/>
      <c r="Y171" s="30"/>
      <c r="Z171" s="30"/>
      <c r="AA171" s="30"/>
      <c r="AB171" s="30"/>
      <c r="AC171" s="1088"/>
      <c r="AD171" s="30"/>
      <c r="AE171" s="30"/>
      <c r="AF171" s="30"/>
      <c r="AG171" s="30"/>
      <c r="AH171" s="30"/>
      <c r="AI171" s="30"/>
      <c r="AJ171" s="30"/>
      <c r="AK171" s="30"/>
      <c r="AL171" s="30"/>
      <c r="AM171" s="30"/>
      <c r="AN171" s="30"/>
      <c r="AO171" s="30"/>
      <c r="AP171" s="344"/>
      <c r="AQ171" s="335"/>
      <c r="AR171" s="1185"/>
      <c r="AS171" s="1185"/>
    </row>
    <row r="172" spans="1:45" s="2" customFormat="1" ht="15" thickBot="1" x14ac:dyDescent="0.4">
      <c r="A172" s="1198"/>
      <c r="B172" s="1179"/>
      <c r="C172" s="1196"/>
      <c r="D172" s="1201"/>
      <c r="E172" s="340" t="s">
        <v>185</v>
      </c>
      <c r="F172" s="341"/>
      <c r="G172" s="342"/>
      <c r="H172" s="342"/>
      <c r="I172" s="342"/>
      <c r="J172" s="342"/>
      <c r="K172" s="342"/>
      <c r="L172" s="342"/>
      <c r="M172" s="342"/>
      <c r="N172" s="342"/>
      <c r="O172" s="342"/>
      <c r="P172" s="342"/>
      <c r="Q172" s="1089"/>
      <c r="R172" s="1085"/>
      <c r="S172" s="342"/>
      <c r="T172" s="342"/>
      <c r="U172" s="342"/>
      <c r="V172" s="342"/>
      <c r="W172" s="342"/>
      <c r="X172" s="342"/>
      <c r="Y172" s="342"/>
      <c r="Z172" s="342"/>
      <c r="AA172" s="342"/>
      <c r="AB172" s="342"/>
      <c r="AC172" s="1089"/>
      <c r="AD172" s="342"/>
      <c r="AE172" s="342"/>
      <c r="AF172" s="342"/>
      <c r="AG172" s="342"/>
      <c r="AH172" s="342"/>
      <c r="AI172" s="342"/>
      <c r="AJ172" s="342"/>
      <c r="AK172" s="342"/>
      <c r="AL172" s="342"/>
      <c r="AM172" s="342"/>
      <c r="AN172" s="342"/>
      <c r="AO172" s="342"/>
      <c r="AP172" s="344"/>
      <c r="AQ172" s="335"/>
      <c r="AR172" s="1185"/>
      <c r="AS172" s="1185"/>
    </row>
    <row r="173" spans="1:45" s="2" customFormat="1" ht="26.5" thickBot="1" x14ac:dyDescent="0.4">
      <c r="A173" s="1198"/>
      <c r="B173" s="1179"/>
      <c r="C173" s="1196"/>
      <c r="D173" s="1201"/>
      <c r="E173" s="1193" t="s">
        <v>175</v>
      </c>
      <c r="F173" s="1194"/>
      <c r="G173" s="1194"/>
      <c r="H173" s="1194"/>
      <c r="I173" s="1194"/>
      <c r="J173" s="1194"/>
      <c r="K173" s="1194"/>
      <c r="L173" s="1194"/>
      <c r="M173" s="1194"/>
      <c r="N173" s="1194"/>
      <c r="O173" s="1194"/>
      <c r="P173" s="1194"/>
      <c r="Q173" s="1194"/>
      <c r="R173" s="1194"/>
      <c r="S173" s="1194"/>
      <c r="T173" s="1194"/>
      <c r="U173" s="1194"/>
      <c r="V173" s="1194"/>
      <c r="W173" s="1194"/>
      <c r="X173" s="1194"/>
      <c r="Y173" s="1194"/>
      <c r="Z173" s="1194"/>
      <c r="AA173" s="1194"/>
      <c r="AB173" s="1194"/>
      <c r="AC173" s="1194"/>
      <c r="AD173" s="1194"/>
      <c r="AE173" s="1194"/>
      <c r="AF173" s="1194"/>
      <c r="AG173" s="1194"/>
      <c r="AH173" s="1194"/>
      <c r="AI173" s="1194"/>
      <c r="AJ173" s="1194"/>
      <c r="AK173" s="1194"/>
      <c r="AL173" s="1194"/>
      <c r="AM173" s="1194"/>
      <c r="AN173" s="1194"/>
      <c r="AO173" s="1194"/>
      <c r="AP173" s="348" t="e">
        <f>SUM(AP175:AP176)/AP168</f>
        <v>#DIV/0!</v>
      </c>
      <c r="AQ173" s="349" t="s">
        <v>186</v>
      </c>
      <c r="AR173" s="1185"/>
      <c r="AS173" s="1185"/>
    </row>
    <row r="174" spans="1:45" s="2" customFormat="1" x14ac:dyDescent="0.35">
      <c r="A174" s="1198"/>
      <c r="B174" s="1179"/>
      <c r="C174" s="1196"/>
      <c r="D174" s="1201"/>
      <c r="E174" s="62" t="s">
        <v>187</v>
      </c>
      <c r="F174" s="44">
        <f>SUM(F175:F178)</f>
        <v>0</v>
      </c>
      <c r="G174" s="43">
        <f>SUM(G175:G178)</f>
        <v>0</v>
      </c>
      <c r="H174" s="43">
        <f t="shared" ref="H174:AO174" si="35">SUM(H175:H178)</f>
        <v>0</v>
      </c>
      <c r="I174" s="43">
        <f t="shared" si="35"/>
        <v>0</v>
      </c>
      <c r="J174" s="43">
        <f t="shared" si="35"/>
        <v>0</v>
      </c>
      <c r="K174" s="43">
        <f t="shared" si="35"/>
        <v>0</v>
      </c>
      <c r="L174" s="43">
        <f t="shared" si="35"/>
        <v>0</v>
      </c>
      <c r="M174" s="43">
        <f t="shared" si="35"/>
        <v>0</v>
      </c>
      <c r="N174" s="43">
        <f t="shared" si="35"/>
        <v>0</v>
      </c>
      <c r="O174" s="43">
        <f t="shared" si="35"/>
        <v>0</v>
      </c>
      <c r="P174" s="43">
        <f t="shared" si="35"/>
        <v>0</v>
      </c>
      <c r="Q174" s="43">
        <f t="shared" si="35"/>
        <v>0</v>
      </c>
      <c r="R174" s="43">
        <f t="shared" si="35"/>
        <v>0</v>
      </c>
      <c r="S174" s="43">
        <f t="shared" si="35"/>
        <v>0</v>
      </c>
      <c r="T174" s="43">
        <f t="shared" si="35"/>
        <v>0</v>
      </c>
      <c r="U174" s="43">
        <f t="shared" si="35"/>
        <v>0</v>
      </c>
      <c r="V174" s="43">
        <f t="shared" si="35"/>
        <v>0</v>
      </c>
      <c r="W174" s="43">
        <f t="shared" si="35"/>
        <v>0</v>
      </c>
      <c r="X174" s="43">
        <f t="shared" si="35"/>
        <v>0</v>
      </c>
      <c r="Y174" s="43">
        <f t="shared" si="35"/>
        <v>0</v>
      </c>
      <c r="Z174" s="43">
        <f t="shared" si="35"/>
        <v>0</v>
      </c>
      <c r="AA174" s="43">
        <f t="shared" si="35"/>
        <v>0</v>
      </c>
      <c r="AB174" s="43">
        <f t="shared" si="35"/>
        <v>0</v>
      </c>
      <c r="AC174" s="43">
        <f t="shared" si="35"/>
        <v>0</v>
      </c>
      <c r="AD174" s="43">
        <f t="shared" si="35"/>
        <v>0</v>
      </c>
      <c r="AE174" s="43">
        <f t="shared" si="35"/>
        <v>0</v>
      </c>
      <c r="AF174" s="43">
        <f t="shared" si="35"/>
        <v>0</v>
      </c>
      <c r="AG174" s="43">
        <f t="shared" si="35"/>
        <v>0</v>
      </c>
      <c r="AH174" s="43">
        <f t="shared" si="35"/>
        <v>0</v>
      </c>
      <c r="AI174" s="43">
        <f t="shared" si="35"/>
        <v>0</v>
      </c>
      <c r="AJ174" s="43">
        <f t="shared" si="35"/>
        <v>0</v>
      </c>
      <c r="AK174" s="43">
        <f t="shared" si="35"/>
        <v>0</v>
      </c>
      <c r="AL174" s="43">
        <f t="shared" si="35"/>
        <v>0</v>
      </c>
      <c r="AM174" s="43">
        <f t="shared" si="35"/>
        <v>0</v>
      </c>
      <c r="AN174" s="43">
        <f t="shared" si="35"/>
        <v>0</v>
      </c>
      <c r="AO174" s="43">
        <f t="shared" si="35"/>
        <v>0</v>
      </c>
      <c r="AP174" s="65"/>
      <c r="AQ174" s="65"/>
      <c r="AR174" s="1185"/>
      <c r="AS174" s="1185"/>
    </row>
    <row r="175" spans="1:45" s="2" customFormat="1" x14ac:dyDescent="0.35">
      <c r="A175" s="1198"/>
      <c r="B175" s="1179"/>
      <c r="C175" s="1196"/>
      <c r="D175" s="1201"/>
      <c r="E175" s="63" t="s">
        <v>188</v>
      </c>
      <c r="F175" s="23"/>
      <c r="G175" s="26"/>
      <c r="H175" s="26"/>
      <c r="I175" s="26"/>
      <c r="J175" s="26"/>
      <c r="K175" s="26"/>
      <c r="L175" s="26"/>
      <c r="M175" s="26"/>
      <c r="N175" s="26"/>
      <c r="O175" s="26"/>
      <c r="P175" s="26"/>
      <c r="Q175" s="1086"/>
      <c r="R175" s="1082"/>
      <c r="S175" s="26"/>
      <c r="T175" s="26"/>
      <c r="U175" s="26"/>
      <c r="V175" s="26"/>
      <c r="W175" s="26"/>
      <c r="X175" s="26"/>
      <c r="Y175" s="26"/>
      <c r="Z175" s="26"/>
      <c r="AA175" s="26"/>
      <c r="AB175" s="26"/>
      <c r="AC175" s="1086"/>
      <c r="AD175" s="26"/>
      <c r="AE175" s="26"/>
      <c r="AF175" s="26"/>
      <c r="AG175" s="26"/>
      <c r="AH175" s="26"/>
      <c r="AI175" s="26"/>
      <c r="AJ175" s="26"/>
      <c r="AK175" s="26"/>
      <c r="AL175" s="26"/>
      <c r="AM175" s="26"/>
      <c r="AN175" s="26"/>
      <c r="AO175" s="26"/>
      <c r="AP175" s="65">
        <f>SUM(F175:AO175)</f>
        <v>0</v>
      </c>
      <c r="AQ175" s="346" t="e">
        <f>AP175/AP169</f>
        <v>#DIV/0!</v>
      </c>
      <c r="AR175" s="1185"/>
      <c r="AS175" s="1185"/>
    </row>
    <row r="176" spans="1:45" s="2" customFormat="1" x14ac:dyDescent="0.35">
      <c r="A176" s="1198"/>
      <c r="B176" s="1179"/>
      <c r="C176" s="1196"/>
      <c r="D176" s="1201"/>
      <c r="E176" s="37" t="s">
        <v>189</v>
      </c>
      <c r="F176" s="33"/>
      <c r="G176" s="32"/>
      <c r="H176" s="32"/>
      <c r="I176" s="32"/>
      <c r="J176" s="32"/>
      <c r="K176" s="32"/>
      <c r="L176" s="32"/>
      <c r="M176" s="32"/>
      <c r="N176" s="32"/>
      <c r="O176" s="32"/>
      <c r="P176" s="32"/>
      <c r="Q176" s="1092"/>
      <c r="R176" s="1090"/>
      <c r="S176" s="32"/>
      <c r="T176" s="32"/>
      <c r="U176" s="32"/>
      <c r="V176" s="32"/>
      <c r="W176" s="32"/>
      <c r="X176" s="32"/>
      <c r="Y176" s="32"/>
      <c r="Z176" s="32"/>
      <c r="AA176" s="32"/>
      <c r="AB176" s="32"/>
      <c r="AC176" s="1092"/>
      <c r="AD176" s="32"/>
      <c r="AE176" s="32"/>
      <c r="AF176" s="32"/>
      <c r="AG176" s="32"/>
      <c r="AH176" s="32"/>
      <c r="AI176" s="32"/>
      <c r="AJ176" s="32"/>
      <c r="AK176" s="32"/>
      <c r="AL176" s="32"/>
      <c r="AM176" s="32"/>
      <c r="AN176" s="32"/>
      <c r="AO176" s="32"/>
      <c r="AP176" s="65">
        <f>SUM(F176:AO176)</f>
        <v>0</v>
      </c>
      <c r="AQ176" s="346" t="e">
        <f>AP176/AP170</f>
        <v>#DIV/0!</v>
      </c>
      <c r="AR176" s="1185"/>
      <c r="AS176" s="1185"/>
    </row>
    <row r="177" spans="1:45" s="2" customFormat="1" x14ac:dyDescent="0.35">
      <c r="A177" s="1198"/>
      <c r="B177" s="1179"/>
      <c r="C177" s="1196"/>
      <c r="D177" s="1201"/>
      <c r="E177" s="36" t="s">
        <v>190</v>
      </c>
      <c r="F177" s="29"/>
      <c r="G177" s="30"/>
      <c r="H177" s="30"/>
      <c r="I177" s="30"/>
      <c r="J177" s="30"/>
      <c r="K177" s="30"/>
      <c r="L177" s="30"/>
      <c r="M177" s="30"/>
      <c r="N177" s="30"/>
      <c r="O177" s="30"/>
      <c r="P177" s="30"/>
      <c r="Q177" s="1088"/>
      <c r="R177" s="1084"/>
      <c r="S177" s="30"/>
      <c r="T177" s="30"/>
      <c r="U177" s="30"/>
      <c r="V177" s="30"/>
      <c r="W177" s="30"/>
      <c r="X177" s="30"/>
      <c r="Y177" s="30"/>
      <c r="Z177" s="30"/>
      <c r="AA177" s="30"/>
      <c r="AB177" s="30"/>
      <c r="AC177" s="1088"/>
      <c r="AD177" s="30"/>
      <c r="AE177" s="30"/>
      <c r="AF177" s="30"/>
      <c r="AG177" s="30"/>
      <c r="AH177" s="30"/>
      <c r="AI177" s="30"/>
      <c r="AJ177" s="30"/>
      <c r="AK177" s="30"/>
      <c r="AL177" s="30"/>
      <c r="AM177" s="30"/>
      <c r="AN177" s="30"/>
      <c r="AO177" s="30"/>
      <c r="AP177" s="65"/>
      <c r="AQ177" s="65"/>
      <c r="AR177" s="1185"/>
      <c r="AS177" s="1185"/>
    </row>
    <row r="178" spans="1:45" s="2" customFormat="1" ht="15" thickBot="1" x14ac:dyDescent="0.4">
      <c r="A178" s="1199"/>
      <c r="B178" s="1180"/>
      <c r="C178" s="1197"/>
      <c r="D178" s="1202"/>
      <c r="E178" s="64" t="s">
        <v>191</v>
      </c>
      <c r="F178" s="25"/>
      <c r="G178" s="28"/>
      <c r="H178" s="28"/>
      <c r="I178" s="28"/>
      <c r="J178" s="28"/>
      <c r="K178" s="28"/>
      <c r="L178" s="28"/>
      <c r="M178" s="28"/>
      <c r="N178" s="28"/>
      <c r="O178" s="28"/>
      <c r="P178" s="28"/>
      <c r="Q178" s="1093"/>
      <c r="R178" s="1091"/>
      <c r="S178" s="28"/>
      <c r="T178" s="28"/>
      <c r="U178" s="28"/>
      <c r="V178" s="28"/>
      <c r="W178" s="28"/>
      <c r="X178" s="28"/>
      <c r="Y178" s="28"/>
      <c r="Z178" s="28"/>
      <c r="AA178" s="28"/>
      <c r="AB178" s="28"/>
      <c r="AC178" s="1093"/>
      <c r="AD178" s="28"/>
      <c r="AE178" s="28"/>
      <c r="AF178" s="28"/>
      <c r="AG178" s="28"/>
      <c r="AH178" s="28"/>
      <c r="AI178" s="28"/>
      <c r="AJ178" s="28"/>
      <c r="AK178" s="28"/>
      <c r="AL178" s="28"/>
      <c r="AM178" s="28"/>
      <c r="AN178" s="28"/>
      <c r="AO178" s="28"/>
      <c r="AP178" s="137"/>
      <c r="AQ178" s="137"/>
      <c r="AR178" s="1186"/>
      <c r="AS178" s="1186"/>
    </row>
    <row r="179" spans="1:45" s="2" customFormat="1" x14ac:dyDescent="0.35">
      <c r="A179" s="1198">
        <v>17</v>
      </c>
      <c r="B179" s="1178" t="str">
        <f>IF(VLOOKUP(A:A,'Pivot Table'!Z:AE,6,FALSE)=0,"",VLOOKUP(A:A,'Pivot Table'!Z:AE,6,FALSE))</f>
        <v/>
      </c>
      <c r="C179" s="1195" t="str">
        <f>_xlfn.IFNA(VLOOKUP(B:B,'indicator lists'!L:R,3,FALSE),"")</f>
        <v/>
      </c>
      <c r="D179" s="1200" t="str">
        <f>_xlfn.IFNA(VLOOKUP(A:A,'Pivot Table'!P:X,9,FALSE),"")</f>
        <v/>
      </c>
      <c r="E179" s="59" t="s">
        <v>181</v>
      </c>
      <c r="F179" s="60">
        <f>SUM(F180:F183)</f>
        <v>0</v>
      </c>
      <c r="G179" s="61">
        <f>SUM(G180:G183)</f>
        <v>0</v>
      </c>
      <c r="H179" s="61">
        <f t="shared" ref="H179:AO179" si="36">SUM(H180:H183)</f>
        <v>0</v>
      </c>
      <c r="I179" s="61">
        <f t="shared" si="36"/>
        <v>0</v>
      </c>
      <c r="J179" s="61">
        <f t="shared" si="36"/>
        <v>0</v>
      </c>
      <c r="K179" s="61">
        <f t="shared" si="36"/>
        <v>0</v>
      </c>
      <c r="L179" s="61">
        <f t="shared" si="36"/>
        <v>0</v>
      </c>
      <c r="M179" s="61">
        <f t="shared" si="36"/>
        <v>0</v>
      </c>
      <c r="N179" s="61">
        <f t="shared" si="36"/>
        <v>0</v>
      </c>
      <c r="O179" s="61">
        <f t="shared" si="36"/>
        <v>0</v>
      </c>
      <c r="P179" s="61">
        <f t="shared" si="36"/>
        <v>0</v>
      </c>
      <c r="Q179" s="61">
        <f t="shared" si="36"/>
        <v>0</v>
      </c>
      <c r="R179" s="61">
        <f t="shared" si="36"/>
        <v>0</v>
      </c>
      <c r="S179" s="61">
        <f t="shared" si="36"/>
        <v>0</v>
      </c>
      <c r="T179" s="61">
        <f t="shared" si="36"/>
        <v>0</v>
      </c>
      <c r="U179" s="61">
        <f t="shared" si="36"/>
        <v>0</v>
      </c>
      <c r="V179" s="61">
        <f t="shared" si="36"/>
        <v>0</v>
      </c>
      <c r="W179" s="61">
        <f t="shared" si="36"/>
        <v>0</v>
      </c>
      <c r="X179" s="61">
        <f t="shared" si="36"/>
        <v>0</v>
      </c>
      <c r="Y179" s="61">
        <f t="shared" si="36"/>
        <v>0</v>
      </c>
      <c r="Z179" s="61">
        <f t="shared" si="36"/>
        <v>0</v>
      </c>
      <c r="AA179" s="61">
        <f t="shared" si="36"/>
        <v>0</v>
      </c>
      <c r="AB179" s="61">
        <f t="shared" si="36"/>
        <v>0</v>
      </c>
      <c r="AC179" s="61">
        <f t="shared" si="36"/>
        <v>0</v>
      </c>
      <c r="AD179" s="61">
        <f t="shared" si="36"/>
        <v>0</v>
      </c>
      <c r="AE179" s="61">
        <f t="shared" si="36"/>
        <v>0</v>
      </c>
      <c r="AF179" s="61">
        <f t="shared" si="36"/>
        <v>0</v>
      </c>
      <c r="AG179" s="61">
        <f t="shared" si="36"/>
        <v>0</v>
      </c>
      <c r="AH179" s="61">
        <f t="shared" si="36"/>
        <v>0</v>
      </c>
      <c r="AI179" s="61">
        <f t="shared" si="36"/>
        <v>0</v>
      </c>
      <c r="AJ179" s="61">
        <f t="shared" si="36"/>
        <v>0</v>
      </c>
      <c r="AK179" s="61">
        <f t="shared" si="36"/>
        <v>0</v>
      </c>
      <c r="AL179" s="61">
        <f t="shared" si="36"/>
        <v>0</v>
      </c>
      <c r="AM179" s="61">
        <f t="shared" si="36"/>
        <v>0</v>
      </c>
      <c r="AN179" s="61">
        <f t="shared" si="36"/>
        <v>0</v>
      </c>
      <c r="AO179" s="61">
        <f t="shared" si="36"/>
        <v>0</v>
      </c>
      <c r="AP179" s="347">
        <f>SUM(AP180:AP181)</f>
        <v>0</v>
      </c>
      <c r="AQ179" s="134"/>
      <c r="AR179" s="1184"/>
      <c r="AS179" s="1184"/>
    </row>
    <row r="180" spans="1:45" s="2" customFormat="1" x14ac:dyDescent="0.35">
      <c r="A180" s="1198"/>
      <c r="B180" s="1179"/>
      <c r="C180" s="1196"/>
      <c r="D180" s="1201"/>
      <c r="E180" s="63" t="s">
        <v>182</v>
      </c>
      <c r="F180" s="23"/>
      <c r="G180" s="26"/>
      <c r="H180" s="26"/>
      <c r="I180" s="26"/>
      <c r="J180" s="26"/>
      <c r="K180" s="26"/>
      <c r="L180" s="26"/>
      <c r="M180" s="26"/>
      <c r="N180" s="26"/>
      <c r="O180" s="26"/>
      <c r="P180" s="26"/>
      <c r="Q180" s="1086"/>
      <c r="R180" s="1082"/>
      <c r="S180" s="26"/>
      <c r="T180" s="26"/>
      <c r="U180" s="26"/>
      <c r="V180" s="26"/>
      <c r="W180" s="26"/>
      <c r="X180" s="26"/>
      <c r="Y180" s="26"/>
      <c r="Z180" s="26"/>
      <c r="AA180" s="26"/>
      <c r="AB180" s="26"/>
      <c r="AC180" s="1086"/>
      <c r="AD180" s="26"/>
      <c r="AE180" s="26"/>
      <c r="AF180" s="26"/>
      <c r="AG180" s="26"/>
      <c r="AH180" s="26"/>
      <c r="AI180" s="26"/>
      <c r="AJ180" s="26"/>
      <c r="AK180" s="26"/>
      <c r="AL180" s="26"/>
      <c r="AM180" s="26"/>
      <c r="AN180" s="26"/>
      <c r="AO180" s="26"/>
      <c r="AP180" s="344">
        <f>SUM(F180:AO180)</f>
        <v>0</v>
      </c>
      <c r="AQ180" s="135"/>
      <c r="AR180" s="1185"/>
      <c r="AS180" s="1185"/>
    </row>
    <row r="181" spans="1:45" s="2" customFormat="1" x14ac:dyDescent="0.35">
      <c r="A181" s="1198"/>
      <c r="B181" s="1179"/>
      <c r="C181" s="1196"/>
      <c r="D181" s="1201"/>
      <c r="E181" s="336" t="s">
        <v>183</v>
      </c>
      <c r="F181" s="337"/>
      <c r="G181" s="338"/>
      <c r="H181" s="338"/>
      <c r="I181" s="338"/>
      <c r="J181" s="338"/>
      <c r="K181" s="338"/>
      <c r="L181" s="338"/>
      <c r="M181" s="338"/>
      <c r="N181" s="338"/>
      <c r="O181" s="338"/>
      <c r="P181" s="338"/>
      <c r="Q181" s="1087"/>
      <c r="R181" s="1083"/>
      <c r="S181" s="338"/>
      <c r="T181" s="338"/>
      <c r="U181" s="338"/>
      <c r="V181" s="338"/>
      <c r="W181" s="338"/>
      <c r="X181" s="338"/>
      <c r="Y181" s="338"/>
      <c r="Z181" s="338"/>
      <c r="AA181" s="338"/>
      <c r="AB181" s="338"/>
      <c r="AC181" s="1087"/>
      <c r="AD181" s="338"/>
      <c r="AE181" s="338"/>
      <c r="AF181" s="338"/>
      <c r="AG181" s="338"/>
      <c r="AH181" s="338"/>
      <c r="AI181" s="338"/>
      <c r="AJ181" s="338"/>
      <c r="AK181" s="338"/>
      <c r="AL181" s="338"/>
      <c r="AM181" s="338"/>
      <c r="AN181" s="338"/>
      <c r="AO181" s="338"/>
      <c r="AP181" s="344">
        <f>SUM(F181:AO181)</f>
        <v>0</v>
      </c>
      <c r="AQ181" s="335"/>
      <c r="AR181" s="1185"/>
      <c r="AS181" s="1185"/>
    </row>
    <row r="182" spans="1:45" s="2" customFormat="1" x14ac:dyDescent="0.35">
      <c r="A182" s="1198"/>
      <c r="B182" s="1179"/>
      <c r="C182" s="1196"/>
      <c r="D182" s="1201"/>
      <c r="E182" s="36" t="s">
        <v>184</v>
      </c>
      <c r="F182" s="29"/>
      <c r="G182" s="30"/>
      <c r="H182" s="30"/>
      <c r="I182" s="30"/>
      <c r="J182" s="30"/>
      <c r="K182" s="30"/>
      <c r="L182" s="30"/>
      <c r="M182" s="30"/>
      <c r="N182" s="30"/>
      <c r="O182" s="30"/>
      <c r="P182" s="30"/>
      <c r="Q182" s="1088"/>
      <c r="R182" s="1084"/>
      <c r="S182" s="30"/>
      <c r="T182" s="30"/>
      <c r="U182" s="30"/>
      <c r="V182" s="30"/>
      <c r="W182" s="30"/>
      <c r="X182" s="30"/>
      <c r="Y182" s="30"/>
      <c r="Z182" s="30"/>
      <c r="AA182" s="30"/>
      <c r="AB182" s="30"/>
      <c r="AC182" s="1088"/>
      <c r="AD182" s="30"/>
      <c r="AE182" s="30"/>
      <c r="AF182" s="30"/>
      <c r="AG182" s="30"/>
      <c r="AH182" s="30"/>
      <c r="AI182" s="30"/>
      <c r="AJ182" s="30"/>
      <c r="AK182" s="30"/>
      <c r="AL182" s="30"/>
      <c r="AM182" s="30"/>
      <c r="AN182" s="30"/>
      <c r="AO182" s="30"/>
      <c r="AP182" s="344"/>
      <c r="AQ182" s="335"/>
      <c r="AR182" s="1185"/>
      <c r="AS182" s="1185"/>
    </row>
    <row r="183" spans="1:45" s="2" customFormat="1" ht="15" thickBot="1" x14ac:dyDescent="0.4">
      <c r="A183" s="1198"/>
      <c r="B183" s="1179"/>
      <c r="C183" s="1196"/>
      <c r="D183" s="1201"/>
      <c r="E183" s="340" t="s">
        <v>185</v>
      </c>
      <c r="F183" s="341"/>
      <c r="G183" s="342"/>
      <c r="H183" s="342"/>
      <c r="I183" s="342"/>
      <c r="J183" s="342"/>
      <c r="K183" s="342"/>
      <c r="L183" s="342"/>
      <c r="M183" s="342"/>
      <c r="N183" s="342"/>
      <c r="O183" s="342"/>
      <c r="P183" s="342"/>
      <c r="Q183" s="1089"/>
      <c r="R183" s="1085"/>
      <c r="S183" s="342"/>
      <c r="T183" s="342"/>
      <c r="U183" s="342"/>
      <c r="V183" s="342"/>
      <c r="W183" s="342"/>
      <c r="X183" s="342"/>
      <c r="Y183" s="342"/>
      <c r="Z183" s="342"/>
      <c r="AA183" s="342"/>
      <c r="AB183" s="342"/>
      <c r="AC183" s="1089"/>
      <c r="AD183" s="342"/>
      <c r="AE183" s="342"/>
      <c r="AF183" s="342"/>
      <c r="AG183" s="342"/>
      <c r="AH183" s="342"/>
      <c r="AI183" s="342"/>
      <c r="AJ183" s="342"/>
      <c r="AK183" s="342"/>
      <c r="AL183" s="342"/>
      <c r="AM183" s="342"/>
      <c r="AN183" s="342"/>
      <c r="AO183" s="342"/>
      <c r="AP183" s="344"/>
      <c r="AQ183" s="335"/>
      <c r="AR183" s="1185"/>
      <c r="AS183" s="1185"/>
    </row>
    <row r="184" spans="1:45" s="2" customFormat="1" ht="26.5" thickBot="1" x14ac:dyDescent="0.4">
      <c r="A184" s="1198"/>
      <c r="B184" s="1179"/>
      <c r="C184" s="1196"/>
      <c r="D184" s="1201"/>
      <c r="E184" s="1193" t="s">
        <v>175</v>
      </c>
      <c r="F184" s="1194"/>
      <c r="G184" s="1194"/>
      <c r="H184" s="1194"/>
      <c r="I184" s="1194"/>
      <c r="J184" s="1194"/>
      <c r="K184" s="1194"/>
      <c r="L184" s="1194"/>
      <c r="M184" s="1194"/>
      <c r="N184" s="1194"/>
      <c r="O184" s="1194"/>
      <c r="P184" s="1194"/>
      <c r="Q184" s="1194"/>
      <c r="R184" s="1194"/>
      <c r="S184" s="1194"/>
      <c r="T184" s="1194"/>
      <c r="U184" s="1194"/>
      <c r="V184" s="1194"/>
      <c r="W184" s="1194"/>
      <c r="X184" s="1194"/>
      <c r="Y184" s="1194"/>
      <c r="Z184" s="1194"/>
      <c r="AA184" s="1194"/>
      <c r="AB184" s="1194"/>
      <c r="AC184" s="1194"/>
      <c r="AD184" s="1194"/>
      <c r="AE184" s="1194"/>
      <c r="AF184" s="1194"/>
      <c r="AG184" s="1194"/>
      <c r="AH184" s="1194"/>
      <c r="AI184" s="1194"/>
      <c r="AJ184" s="1194"/>
      <c r="AK184" s="1194"/>
      <c r="AL184" s="1194"/>
      <c r="AM184" s="1194"/>
      <c r="AN184" s="1194"/>
      <c r="AO184" s="1194"/>
      <c r="AP184" s="348" t="e">
        <f>SUM(AP186:AP187)/AP179</f>
        <v>#DIV/0!</v>
      </c>
      <c r="AQ184" s="349" t="s">
        <v>186</v>
      </c>
      <c r="AR184" s="1185"/>
      <c r="AS184" s="1185"/>
    </row>
    <row r="185" spans="1:45" s="2" customFormat="1" x14ac:dyDescent="0.35">
      <c r="A185" s="1198"/>
      <c r="B185" s="1179"/>
      <c r="C185" s="1196"/>
      <c r="D185" s="1201"/>
      <c r="E185" s="62" t="s">
        <v>187</v>
      </c>
      <c r="F185" s="44">
        <f>SUM(F186:F189)</f>
        <v>0</v>
      </c>
      <c r="G185" s="43">
        <f>SUM(G186:G189)</f>
        <v>0</v>
      </c>
      <c r="H185" s="43">
        <f t="shared" ref="H185:AO185" si="37">SUM(H186:H189)</f>
        <v>0</v>
      </c>
      <c r="I185" s="43">
        <f t="shared" si="37"/>
        <v>0</v>
      </c>
      <c r="J185" s="43">
        <f t="shared" si="37"/>
        <v>0</v>
      </c>
      <c r="K185" s="43">
        <f t="shared" si="37"/>
        <v>0</v>
      </c>
      <c r="L185" s="43">
        <f t="shared" si="37"/>
        <v>0</v>
      </c>
      <c r="M185" s="43">
        <f t="shared" si="37"/>
        <v>0</v>
      </c>
      <c r="N185" s="43">
        <f t="shared" si="37"/>
        <v>0</v>
      </c>
      <c r="O185" s="43">
        <f t="shared" si="37"/>
        <v>0</v>
      </c>
      <c r="P185" s="43">
        <f t="shared" si="37"/>
        <v>0</v>
      </c>
      <c r="Q185" s="43">
        <f t="shared" si="37"/>
        <v>0</v>
      </c>
      <c r="R185" s="43">
        <f t="shared" si="37"/>
        <v>0</v>
      </c>
      <c r="S185" s="43">
        <f t="shared" si="37"/>
        <v>0</v>
      </c>
      <c r="T185" s="43">
        <f t="shared" si="37"/>
        <v>0</v>
      </c>
      <c r="U185" s="43">
        <f t="shared" si="37"/>
        <v>0</v>
      </c>
      <c r="V185" s="43">
        <f t="shared" si="37"/>
        <v>0</v>
      </c>
      <c r="W185" s="43">
        <f t="shared" si="37"/>
        <v>0</v>
      </c>
      <c r="X185" s="43">
        <f t="shared" si="37"/>
        <v>0</v>
      </c>
      <c r="Y185" s="43">
        <f t="shared" si="37"/>
        <v>0</v>
      </c>
      <c r="Z185" s="43">
        <f t="shared" si="37"/>
        <v>0</v>
      </c>
      <c r="AA185" s="43">
        <f t="shared" si="37"/>
        <v>0</v>
      </c>
      <c r="AB185" s="43">
        <f t="shared" si="37"/>
        <v>0</v>
      </c>
      <c r="AC185" s="43">
        <f t="shared" si="37"/>
        <v>0</v>
      </c>
      <c r="AD185" s="43">
        <f t="shared" si="37"/>
        <v>0</v>
      </c>
      <c r="AE185" s="43">
        <f t="shared" si="37"/>
        <v>0</v>
      </c>
      <c r="AF185" s="43">
        <f t="shared" si="37"/>
        <v>0</v>
      </c>
      <c r="AG185" s="43">
        <f t="shared" si="37"/>
        <v>0</v>
      </c>
      <c r="AH185" s="43">
        <f t="shared" si="37"/>
        <v>0</v>
      </c>
      <c r="AI185" s="43">
        <f t="shared" si="37"/>
        <v>0</v>
      </c>
      <c r="AJ185" s="43">
        <f t="shared" si="37"/>
        <v>0</v>
      </c>
      <c r="AK185" s="43">
        <f t="shared" si="37"/>
        <v>0</v>
      </c>
      <c r="AL185" s="43">
        <f t="shared" si="37"/>
        <v>0</v>
      </c>
      <c r="AM185" s="43">
        <f t="shared" si="37"/>
        <v>0</v>
      </c>
      <c r="AN185" s="43">
        <f t="shared" si="37"/>
        <v>0</v>
      </c>
      <c r="AO185" s="43">
        <f t="shared" si="37"/>
        <v>0</v>
      </c>
      <c r="AP185" s="65"/>
      <c r="AQ185" s="65"/>
      <c r="AR185" s="1185"/>
      <c r="AS185" s="1185"/>
    </row>
    <row r="186" spans="1:45" s="2" customFormat="1" x14ac:dyDescent="0.35">
      <c r="A186" s="1198"/>
      <c r="B186" s="1179"/>
      <c r="C186" s="1196"/>
      <c r="D186" s="1201"/>
      <c r="E186" s="63" t="s">
        <v>188</v>
      </c>
      <c r="F186" s="23"/>
      <c r="G186" s="26"/>
      <c r="H186" s="26"/>
      <c r="I186" s="26"/>
      <c r="J186" s="26"/>
      <c r="K186" s="26"/>
      <c r="L186" s="26"/>
      <c r="M186" s="26"/>
      <c r="N186" s="26"/>
      <c r="O186" s="26"/>
      <c r="P186" s="26"/>
      <c r="Q186" s="1086"/>
      <c r="R186" s="1082"/>
      <c r="S186" s="26"/>
      <c r="T186" s="26"/>
      <c r="U186" s="26"/>
      <c r="V186" s="26"/>
      <c r="W186" s="26"/>
      <c r="X186" s="26"/>
      <c r="Y186" s="26"/>
      <c r="Z186" s="26"/>
      <c r="AA186" s="26"/>
      <c r="AB186" s="26"/>
      <c r="AC186" s="1086"/>
      <c r="AD186" s="26"/>
      <c r="AE186" s="26"/>
      <c r="AF186" s="26"/>
      <c r="AG186" s="26"/>
      <c r="AH186" s="26"/>
      <c r="AI186" s="26"/>
      <c r="AJ186" s="26"/>
      <c r="AK186" s="26"/>
      <c r="AL186" s="26"/>
      <c r="AM186" s="26"/>
      <c r="AN186" s="26"/>
      <c r="AO186" s="26"/>
      <c r="AP186" s="65">
        <f>SUM(F186:AO186)</f>
        <v>0</v>
      </c>
      <c r="AQ186" s="346" t="e">
        <f>AP186/AP180</f>
        <v>#DIV/0!</v>
      </c>
      <c r="AR186" s="1185"/>
      <c r="AS186" s="1185"/>
    </row>
    <row r="187" spans="1:45" s="2" customFormat="1" x14ac:dyDescent="0.35">
      <c r="A187" s="1198"/>
      <c r="B187" s="1179"/>
      <c r="C187" s="1196"/>
      <c r="D187" s="1201"/>
      <c r="E187" s="37" t="s">
        <v>189</v>
      </c>
      <c r="F187" s="33"/>
      <c r="G187" s="32"/>
      <c r="H187" s="32"/>
      <c r="I187" s="32"/>
      <c r="J187" s="32"/>
      <c r="K187" s="32"/>
      <c r="L187" s="32"/>
      <c r="M187" s="32"/>
      <c r="N187" s="32"/>
      <c r="O187" s="32"/>
      <c r="P187" s="32"/>
      <c r="Q187" s="1092"/>
      <c r="R187" s="1090"/>
      <c r="S187" s="32"/>
      <c r="T187" s="32"/>
      <c r="U187" s="32"/>
      <c r="V187" s="32"/>
      <c r="W187" s="32"/>
      <c r="X187" s="32"/>
      <c r="Y187" s="32"/>
      <c r="Z187" s="32"/>
      <c r="AA187" s="32"/>
      <c r="AB187" s="32"/>
      <c r="AC187" s="1092"/>
      <c r="AD187" s="32"/>
      <c r="AE187" s="32"/>
      <c r="AF187" s="32"/>
      <c r="AG187" s="32"/>
      <c r="AH187" s="32"/>
      <c r="AI187" s="32"/>
      <c r="AJ187" s="32"/>
      <c r="AK187" s="32"/>
      <c r="AL187" s="32"/>
      <c r="AM187" s="32"/>
      <c r="AN187" s="32"/>
      <c r="AO187" s="32"/>
      <c r="AP187" s="65">
        <f>SUM(F187:AO187)</f>
        <v>0</v>
      </c>
      <c r="AQ187" s="346" t="e">
        <f>AP187/AP181</f>
        <v>#DIV/0!</v>
      </c>
      <c r="AR187" s="1185"/>
      <c r="AS187" s="1185"/>
    </row>
    <row r="188" spans="1:45" s="2" customFormat="1" x14ac:dyDescent="0.35">
      <c r="A188" s="1198"/>
      <c r="B188" s="1179"/>
      <c r="C188" s="1196"/>
      <c r="D188" s="1201"/>
      <c r="E188" s="36" t="s">
        <v>190</v>
      </c>
      <c r="F188" s="29"/>
      <c r="G188" s="30"/>
      <c r="H188" s="30"/>
      <c r="I188" s="30"/>
      <c r="J188" s="30"/>
      <c r="K188" s="30"/>
      <c r="L188" s="30"/>
      <c r="M188" s="30"/>
      <c r="N188" s="30"/>
      <c r="O188" s="30"/>
      <c r="P188" s="30"/>
      <c r="Q188" s="1088"/>
      <c r="R188" s="1084"/>
      <c r="S188" s="30"/>
      <c r="T188" s="30"/>
      <c r="U188" s="30"/>
      <c r="V188" s="30"/>
      <c r="W188" s="30"/>
      <c r="X188" s="30"/>
      <c r="Y188" s="30"/>
      <c r="Z188" s="30"/>
      <c r="AA188" s="30"/>
      <c r="AB188" s="30"/>
      <c r="AC188" s="1088"/>
      <c r="AD188" s="30"/>
      <c r="AE188" s="30"/>
      <c r="AF188" s="30"/>
      <c r="AG188" s="30"/>
      <c r="AH188" s="30"/>
      <c r="AI188" s="30"/>
      <c r="AJ188" s="30"/>
      <c r="AK188" s="30"/>
      <c r="AL188" s="30"/>
      <c r="AM188" s="30"/>
      <c r="AN188" s="30"/>
      <c r="AO188" s="30"/>
      <c r="AP188" s="65"/>
      <c r="AQ188" s="65"/>
      <c r="AR188" s="1185"/>
      <c r="AS188" s="1185"/>
    </row>
    <row r="189" spans="1:45" s="2" customFormat="1" ht="15" thickBot="1" x14ac:dyDescent="0.4">
      <c r="A189" s="1199"/>
      <c r="B189" s="1180"/>
      <c r="C189" s="1197"/>
      <c r="D189" s="1202"/>
      <c r="E189" s="64" t="s">
        <v>191</v>
      </c>
      <c r="F189" s="25"/>
      <c r="G189" s="28"/>
      <c r="H189" s="28"/>
      <c r="I189" s="28"/>
      <c r="J189" s="28"/>
      <c r="K189" s="28"/>
      <c r="L189" s="28"/>
      <c r="M189" s="28"/>
      <c r="N189" s="28"/>
      <c r="O189" s="28"/>
      <c r="P189" s="28"/>
      <c r="Q189" s="1093"/>
      <c r="R189" s="1091"/>
      <c r="S189" s="28"/>
      <c r="T189" s="28"/>
      <c r="U189" s="28"/>
      <c r="V189" s="28"/>
      <c r="W189" s="28"/>
      <c r="X189" s="28"/>
      <c r="Y189" s="28"/>
      <c r="Z189" s="28"/>
      <c r="AA189" s="28"/>
      <c r="AB189" s="28"/>
      <c r="AC189" s="1093"/>
      <c r="AD189" s="28"/>
      <c r="AE189" s="28"/>
      <c r="AF189" s="28"/>
      <c r="AG189" s="28"/>
      <c r="AH189" s="28"/>
      <c r="AI189" s="28"/>
      <c r="AJ189" s="28"/>
      <c r="AK189" s="28"/>
      <c r="AL189" s="28"/>
      <c r="AM189" s="28"/>
      <c r="AN189" s="28"/>
      <c r="AO189" s="28"/>
      <c r="AP189" s="137"/>
      <c r="AQ189" s="137"/>
      <c r="AR189" s="1186"/>
      <c r="AS189" s="1186"/>
    </row>
    <row r="190" spans="1:45" s="2" customFormat="1" x14ac:dyDescent="0.35">
      <c r="A190" s="1198">
        <v>18</v>
      </c>
      <c r="B190" s="1178" t="str">
        <f>IF(VLOOKUP(A:A,'Pivot Table'!Z:AE,6,FALSE)=0,"",VLOOKUP(A:A,'Pivot Table'!Z:AE,6,FALSE))</f>
        <v/>
      </c>
      <c r="C190" s="1195" t="str">
        <f>_xlfn.IFNA(VLOOKUP(B:B,'indicator lists'!L:R,3,FALSE),"")</f>
        <v/>
      </c>
      <c r="D190" s="1200" t="str">
        <f>_xlfn.IFNA(VLOOKUP(A:A,'Pivot Table'!P:X,9,FALSE),"")</f>
        <v/>
      </c>
      <c r="E190" s="59" t="s">
        <v>181</v>
      </c>
      <c r="F190" s="60">
        <f>SUM(F191:F194)</f>
        <v>0</v>
      </c>
      <c r="G190" s="61">
        <f>SUM(G191:G194)</f>
        <v>0</v>
      </c>
      <c r="H190" s="61">
        <f t="shared" ref="H190:AO190" si="38">SUM(H191:H194)</f>
        <v>0</v>
      </c>
      <c r="I190" s="61">
        <f t="shared" si="38"/>
        <v>0</v>
      </c>
      <c r="J190" s="61">
        <f t="shared" si="38"/>
        <v>0</v>
      </c>
      <c r="K190" s="61">
        <f t="shared" si="38"/>
        <v>0</v>
      </c>
      <c r="L190" s="61">
        <f t="shared" si="38"/>
        <v>0</v>
      </c>
      <c r="M190" s="61">
        <f t="shared" si="38"/>
        <v>0</v>
      </c>
      <c r="N190" s="61">
        <f t="shared" si="38"/>
        <v>0</v>
      </c>
      <c r="O190" s="61">
        <f t="shared" si="38"/>
        <v>0</v>
      </c>
      <c r="P190" s="61">
        <f t="shared" si="38"/>
        <v>0</v>
      </c>
      <c r="Q190" s="61">
        <f t="shared" si="38"/>
        <v>0</v>
      </c>
      <c r="R190" s="61">
        <f t="shared" si="38"/>
        <v>0</v>
      </c>
      <c r="S190" s="61">
        <f t="shared" si="38"/>
        <v>0</v>
      </c>
      <c r="T190" s="61">
        <f t="shared" si="38"/>
        <v>0</v>
      </c>
      <c r="U190" s="61">
        <f t="shared" si="38"/>
        <v>0</v>
      </c>
      <c r="V190" s="61">
        <f t="shared" si="38"/>
        <v>0</v>
      </c>
      <c r="W190" s="61">
        <f t="shared" si="38"/>
        <v>0</v>
      </c>
      <c r="X190" s="61">
        <f t="shared" si="38"/>
        <v>0</v>
      </c>
      <c r="Y190" s="61">
        <f t="shared" si="38"/>
        <v>0</v>
      </c>
      <c r="Z190" s="61">
        <f t="shared" si="38"/>
        <v>0</v>
      </c>
      <c r="AA190" s="61">
        <f t="shared" si="38"/>
        <v>0</v>
      </c>
      <c r="AB190" s="61">
        <f t="shared" si="38"/>
        <v>0</v>
      </c>
      <c r="AC190" s="61">
        <f t="shared" si="38"/>
        <v>0</v>
      </c>
      <c r="AD190" s="61">
        <f t="shared" si="38"/>
        <v>0</v>
      </c>
      <c r="AE190" s="61">
        <f t="shared" si="38"/>
        <v>0</v>
      </c>
      <c r="AF190" s="61">
        <f t="shared" si="38"/>
        <v>0</v>
      </c>
      <c r="AG190" s="61">
        <f t="shared" si="38"/>
        <v>0</v>
      </c>
      <c r="AH190" s="61">
        <f t="shared" si="38"/>
        <v>0</v>
      </c>
      <c r="AI190" s="61">
        <f t="shared" si="38"/>
        <v>0</v>
      </c>
      <c r="AJ190" s="61">
        <f t="shared" si="38"/>
        <v>0</v>
      </c>
      <c r="AK190" s="61">
        <f t="shared" si="38"/>
        <v>0</v>
      </c>
      <c r="AL190" s="61">
        <f t="shared" si="38"/>
        <v>0</v>
      </c>
      <c r="AM190" s="61">
        <f t="shared" si="38"/>
        <v>0</v>
      </c>
      <c r="AN190" s="61">
        <f t="shared" si="38"/>
        <v>0</v>
      </c>
      <c r="AO190" s="61">
        <f t="shared" si="38"/>
        <v>0</v>
      </c>
      <c r="AP190" s="347">
        <f>SUM(AP191:AP192)</f>
        <v>0</v>
      </c>
      <c r="AQ190" s="134"/>
      <c r="AR190" s="1184"/>
      <c r="AS190" s="1184"/>
    </row>
    <row r="191" spans="1:45" s="2" customFormat="1" x14ac:dyDescent="0.35">
      <c r="A191" s="1198"/>
      <c r="B191" s="1179"/>
      <c r="C191" s="1196"/>
      <c r="D191" s="1201"/>
      <c r="E191" s="63" t="s">
        <v>182</v>
      </c>
      <c r="F191" s="23"/>
      <c r="G191" s="26"/>
      <c r="H191" s="26"/>
      <c r="I191" s="26"/>
      <c r="J191" s="26"/>
      <c r="K191" s="26"/>
      <c r="L191" s="26"/>
      <c r="M191" s="26"/>
      <c r="N191" s="26"/>
      <c r="O191" s="26"/>
      <c r="P191" s="26"/>
      <c r="Q191" s="1086"/>
      <c r="R191" s="1082"/>
      <c r="S191" s="26"/>
      <c r="T191" s="26"/>
      <c r="U191" s="26"/>
      <c r="V191" s="26"/>
      <c r="W191" s="26"/>
      <c r="X191" s="26"/>
      <c r="Y191" s="26"/>
      <c r="Z191" s="26"/>
      <c r="AA191" s="26"/>
      <c r="AB191" s="26"/>
      <c r="AC191" s="1086"/>
      <c r="AD191" s="26"/>
      <c r="AE191" s="26"/>
      <c r="AF191" s="26"/>
      <c r="AG191" s="26"/>
      <c r="AH191" s="26"/>
      <c r="AI191" s="26"/>
      <c r="AJ191" s="26"/>
      <c r="AK191" s="26"/>
      <c r="AL191" s="26"/>
      <c r="AM191" s="26"/>
      <c r="AN191" s="26"/>
      <c r="AO191" s="26"/>
      <c r="AP191" s="344">
        <f>SUM(F191:AO191)</f>
        <v>0</v>
      </c>
      <c r="AQ191" s="135"/>
      <c r="AR191" s="1185"/>
      <c r="AS191" s="1185"/>
    </row>
    <row r="192" spans="1:45" s="2" customFormat="1" x14ac:dyDescent="0.35">
      <c r="A192" s="1198"/>
      <c r="B192" s="1179"/>
      <c r="C192" s="1196"/>
      <c r="D192" s="1201"/>
      <c r="E192" s="336" t="s">
        <v>183</v>
      </c>
      <c r="F192" s="337"/>
      <c r="G192" s="338"/>
      <c r="H192" s="338"/>
      <c r="I192" s="338"/>
      <c r="J192" s="338"/>
      <c r="K192" s="338"/>
      <c r="L192" s="338"/>
      <c r="M192" s="338"/>
      <c r="N192" s="338"/>
      <c r="O192" s="338"/>
      <c r="P192" s="338"/>
      <c r="Q192" s="1087"/>
      <c r="R192" s="1083"/>
      <c r="S192" s="338"/>
      <c r="T192" s="338"/>
      <c r="U192" s="338"/>
      <c r="V192" s="338"/>
      <c r="W192" s="338"/>
      <c r="X192" s="338"/>
      <c r="Y192" s="338"/>
      <c r="Z192" s="338"/>
      <c r="AA192" s="338"/>
      <c r="AB192" s="338"/>
      <c r="AC192" s="1087"/>
      <c r="AD192" s="338"/>
      <c r="AE192" s="338"/>
      <c r="AF192" s="338"/>
      <c r="AG192" s="338"/>
      <c r="AH192" s="338"/>
      <c r="AI192" s="338"/>
      <c r="AJ192" s="338"/>
      <c r="AK192" s="338"/>
      <c r="AL192" s="338"/>
      <c r="AM192" s="338"/>
      <c r="AN192" s="338"/>
      <c r="AO192" s="338"/>
      <c r="AP192" s="344">
        <f>SUM(F192:AO192)</f>
        <v>0</v>
      </c>
      <c r="AQ192" s="335"/>
      <c r="AR192" s="1185"/>
      <c r="AS192" s="1185"/>
    </row>
    <row r="193" spans="1:45" s="2" customFormat="1" x14ac:dyDescent="0.35">
      <c r="A193" s="1198"/>
      <c r="B193" s="1179"/>
      <c r="C193" s="1196"/>
      <c r="D193" s="1201"/>
      <c r="E193" s="36" t="s">
        <v>184</v>
      </c>
      <c r="F193" s="29"/>
      <c r="G193" s="30"/>
      <c r="H193" s="30"/>
      <c r="I193" s="30"/>
      <c r="J193" s="30"/>
      <c r="K193" s="30"/>
      <c r="L193" s="30"/>
      <c r="M193" s="30"/>
      <c r="N193" s="30"/>
      <c r="O193" s="30"/>
      <c r="P193" s="30"/>
      <c r="Q193" s="1088"/>
      <c r="R193" s="1084"/>
      <c r="S193" s="30"/>
      <c r="T193" s="30"/>
      <c r="U193" s="30"/>
      <c r="V193" s="30"/>
      <c r="W193" s="30"/>
      <c r="X193" s="30"/>
      <c r="Y193" s="30"/>
      <c r="Z193" s="30"/>
      <c r="AA193" s="30"/>
      <c r="AB193" s="30"/>
      <c r="AC193" s="1088"/>
      <c r="AD193" s="30"/>
      <c r="AE193" s="30"/>
      <c r="AF193" s="30"/>
      <c r="AG193" s="30"/>
      <c r="AH193" s="30"/>
      <c r="AI193" s="30"/>
      <c r="AJ193" s="30"/>
      <c r="AK193" s="30"/>
      <c r="AL193" s="30"/>
      <c r="AM193" s="30"/>
      <c r="AN193" s="30"/>
      <c r="AO193" s="30"/>
      <c r="AP193" s="344"/>
      <c r="AQ193" s="335"/>
      <c r="AR193" s="1185"/>
      <c r="AS193" s="1185"/>
    </row>
    <row r="194" spans="1:45" s="2" customFormat="1" ht="15" thickBot="1" x14ac:dyDescent="0.4">
      <c r="A194" s="1198"/>
      <c r="B194" s="1179"/>
      <c r="C194" s="1196"/>
      <c r="D194" s="1201"/>
      <c r="E194" s="340" t="s">
        <v>185</v>
      </c>
      <c r="F194" s="341"/>
      <c r="G194" s="342"/>
      <c r="H194" s="342"/>
      <c r="I194" s="342"/>
      <c r="J194" s="342"/>
      <c r="K194" s="342"/>
      <c r="L194" s="342"/>
      <c r="M194" s="342"/>
      <c r="N194" s="342"/>
      <c r="O194" s="342"/>
      <c r="P194" s="342"/>
      <c r="Q194" s="1089"/>
      <c r="R194" s="1085"/>
      <c r="S194" s="342"/>
      <c r="T194" s="342"/>
      <c r="U194" s="342"/>
      <c r="V194" s="342"/>
      <c r="W194" s="342"/>
      <c r="X194" s="342"/>
      <c r="Y194" s="342"/>
      <c r="Z194" s="342"/>
      <c r="AA194" s="342"/>
      <c r="AB194" s="342"/>
      <c r="AC194" s="1089"/>
      <c r="AD194" s="342"/>
      <c r="AE194" s="342"/>
      <c r="AF194" s="342"/>
      <c r="AG194" s="342"/>
      <c r="AH194" s="342"/>
      <c r="AI194" s="342"/>
      <c r="AJ194" s="342"/>
      <c r="AK194" s="342"/>
      <c r="AL194" s="342"/>
      <c r="AM194" s="342"/>
      <c r="AN194" s="342"/>
      <c r="AO194" s="342"/>
      <c r="AP194" s="344"/>
      <c r="AQ194" s="335"/>
      <c r="AR194" s="1185"/>
      <c r="AS194" s="1185"/>
    </row>
    <row r="195" spans="1:45" s="2" customFormat="1" ht="26.5" thickBot="1" x14ac:dyDescent="0.4">
      <c r="A195" s="1198"/>
      <c r="B195" s="1179"/>
      <c r="C195" s="1196"/>
      <c r="D195" s="1201"/>
      <c r="E195" s="1193" t="s">
        <v>175</v>
      </c>
      <c r="F195" s="1194"/>
      <c r="G195" s="1194"/>
      <c r="H195" s="1194"/>
      <c r="I195" s="1194"/>
      <c r="J195" s="1194"/>
      <c r="K195" s="1194"/>
      <c r="L195" s="1194"/>
      <c r="M195" s="1194"/>
      <c r="N195" s="1194"/>
      <c r="O195" s="1194"/>
      <c r="P195" s="1194"/>
      <c r="Q195" s="1194"/>
      <c r="R195" s="1194"/>
      <c r="S195" s="1194"/>
      <c r="T195" s="1194"/>
      <c r="U195" s="1194"/>
      <c r="V195" s="1194"/>
      <c r="W195" s="1194"/>
      <c r="X195" s="1194"/>
      <c r="Y195" s="1194"/>
      <c r="Z195" s="1194"/>
      <c r="AA195" s="1194"/>
      <c r="AB195" s="1194"/>
      <c r="AC195" s="1194"/>
      <c r="AD195" s="1194"/>
      <c r="AE195" s="1194"/>
      <c r="AF195" s="1194"/>
      <c r="AG195" s="1194"/>
      <c r="AH195" s="1194"/>
      <c r="AI195" s="1194"/>
      <c r="AJ195" s="1194"/>
      <c r="AK195" s="1194"/>
      <c r="AL195" s="1194"/>
      <c r="AM195" s="1194"/>
      <c r="AN195" s="1194"/>
      <c r="AO195" s="1194"/>
      <c r="AP195" s="348" t="e">
        <f>SUM(AP197:AP198)/AP190</f>
        <v>#DIV/0!</v>
      </c>
      <c r="AQ195" s="349" t="s">
        <v>186</v>
      </c>
      <c r="AR195" s="1185"/>
      <c r="AS195" s="1185"/>
    </row>
    <row r="196" spans="1:45" s="2" customFormat="1" x14ac:dyDescent="0.35">
      <c r="A196" s="1198"/>
      <c r="B196" s="1179"/>
      <c r="C196" s="1196"/>
      <c r="D196" s="1201"/>
      <c r="E196" s="62" t="s">
        <v>187</v>
      </c>
      <c r="F196" s="44">
        <f>SUM(F197:F200)</f>
        <v>0</v>
      </c>
      <c r="G196" s="43">
        <f>SUM(G197:G200)</f>
        <v>0</v>
      </c>
      <c r="H196" s="43">
        <f t="shared" ref="H196:AO196" si="39">SUM(H197:H200)</f>
        <v>0</v>
      </c>
      <c r="I196" s="43">
        <f t="shared" si="39"/>
        <v>0</v>
      </c>
      <c r="J196" s="43">
        <f t="shared" si="39"/>
        <v>0</v>
      </c>
      <c r="K196" s="43">
        <f t="shared" si="39"/>
        <v>0</v>
      </c>
      <c r="L196" s="43">
        <f t="shared" si="39"/>
        <v>0</v>
      </c>
      <c r="M196" s="43">
        <f t="shared" si="39"/>
        <v>0</v>
      </c>
      <c r="N196" s="43">
        <f t="shared" si="39"/>
        <v>0</v>
      </c>
      <c r="O196" s="43">
        <f t="shared" si="39"/>
        <v>0</v>
      </c>
      <c r="P196" s="43">
        <f t="shared" si="39"/>
        <v>0</v>
      </c>
      <c r="Q196" s="43">
        <f t="shared" si="39"/>
        <v>0</v>
      </c>
      <c r="R196" s="43">
        <f t="shared" si="39"/>
        <v>0</v>
      </c>
      <c r="S196" s="43">
        <f t="shared" si="39"/>
        <v>0</v>
      </c>
      <c r="T196" s="43">
        <f t="shared" si="39"/>
        <v>0</v>
      </c>
      <c r="U196" s="43">
        <f t="shared" si="39"/>
        <v>0</v>
      </c>
      <c r="V196" s="43">
        <f t="shared" si="39"/>
        <v>0</v>
      </c>
      <c r="W196" s="43">
        <f t="shared" si="39"/>
        <v>0</v>
      </c>
      <c r="X196" s="43">
        <f t="shared" si="39"/>
        <v>0</v>
      </c>
      <c r="Y196" s="43">
        <f t="shared" si="39"/>
        <v>0</v>
      </c>
      <c r="Z196" s="43">
        <f t="shared" si="39"/>
        <v>0</v>
      </c>
      <c r="AA196" s="43">
        <f t="shared" si="39"/>
        <v>0</v>
      </c>
      <c r="AB196" s="43">
        <f t="shared" si="39"/>
        <v>0</v>
      </c>
      <c r="AC196" s="43">
        <f t="shared" si="39"/>
        <v>0</v>
      </c>
      <c r="AD196" s="43">
        <f t="shared" si="39"/>
        <v>0</v>
      </c>
      <c r="AE196" s="43">
        <f t="shared" si="39"/>
        <v>0</v>
      </c>
      <c r="AF196" s="43">
        <f t="shared" si="39"/>
        <v>0</v>
      </c>
      <c r="AG196" s="43">
        <f t="shared" si="39"/>
        <v>0</v>
      </c>
      <c r="AH196" s="43">
        <f t="shared" si="39"/>
        <v>0</v>
      </c>
      <c r="AI196" s="43">
        <f t="shared" si="39"/>
        <v>0</v>
      </c>
      <c r="AJ196" s="43">
        <f t="shared" si="39"/>
        <v>0</v>
      </c>
      <c r="AK196" s="43">
        <f t="shared" si="39"/>
        <v>0</v>
      </c>
      <c r="AL196" s="43">
        <f t="shared" si="39"/>
        <v>0</v>
      </c>
      <c r="AM196" s="43">
        <f t="shared" si="39"/>
        <v>0</v>
      </c>
      <c r="AN196" s="43">
        <f t="shared" si="39"/>
        <v>0</v>
      </c>
      <c r="AO196" s="43">
        <f t="shared" si="39"/>
        <v>0</v>
      </c>
      <c r="AP196" s="65"/>
      <c r="AQ196" s="65"/>
      <c r="AR196" s="1185"/>
      <c r="AS196" s="1185"/>
    </row>
    <row r="197" spans="1:45" s="2" customFormat="1" x14ac:dyDescent="0.35">
      <c r="A197" s="1198"/>
      <c r="B197" s="1179"/>
      <c r="C197" s="1196"/>
      <c r="D197" s="1201"/>
      <c r="E197" s="63" t="s">
        <v>188</v>
      </c>
      <c r="F197" s="23"/>
      <c r="G197" s="26"/>
      <c r="H197" s="26"/>
      <c r="I197" s="26"/>
      <c r="J197" s="26"/>
      <c r="K197" s="26"/>
      <c r="L197" s="26"/>
      <c r="M197" s="26"/>
      <c r="N197" s="26"/>
      <c r="O197" s="26"/>
      <c r="P197" s="26"/>
      <c r="Q197" s="1086"/>
      <c r="R197" s="1082"/>
      <c r="S197" s="26"/>
      <c r="T197" s="26"/>
      <c r="U197" s="26"/>
      <c r="V197" s="26"/>
      <c r="W197" s="26"/>
      <c r="X197" s="26"/>
      <c r="Y197" s="26"/>
      <c r="Z197" s="26"/>
      <c r="AA197" s="26"/>
      <c r="AB197" s="26"/>
      <c r="AC197" s="1086"/>
      <c r="AD197" s="26"/>
      <c r="AE197" s="26"/>
      <c r="AF197" s="26"/>
      <c r="AG197" s="26"/>
      <c r="AH197" s="26"/>
      <c r="AI197" s="26"/>
      <c r="AJ197" s="26"/>
      <c r="AK197" s="26"/>
      <c r="AL197" s="26"/>
      <c r="AM197" s="26"/>
      <c r="AN197" s="26"/>
      <c r="AO197" s="26"/>
      <c r="AP197" s="65">
        <f>SUM(F197:AO197)</f>
        <v>0</v>
      </c>
      <c r="AQ197" s="346" t="e">
        <f>AP197/AP191</f>
        <v>#DIV/0!</v>
      </c>
      <c r="AR197" s="1185"/>
      <c r="AS197" s="1185"/>
    </row>
    <row r="198" spans="1:45" s="2" customFormat="1" x14ac:dyDescent="0.35">
      <c r="A198" s="1198"/>
      <c r="B198" s="1179"/>
      <c r="C198" s="1196"/>
      <c r="D198" s="1201"/>
      <c r="E198" s="37" t="s">
        <v>189</v>
      </c>
      <c r="F198" s="33"/>
      <c r="G198" s="32"/>
      <c r="H198" s="32"/>
      <c r="I198" s="32"/>
      <c r="J198" s="32"/>
      <c r="K198" s="32"/>
      <c r="L198" s="32"/>
      <c r="M198" s="32"/>
      <c r="N198" s="32"/>
      <c r="O198" s="32"/>
      <c r="P198" s="32"/>
      <c r="Q198" s="1092"/>
      <c r="R198" s="1090"/>
      <c r="S198" s="32"/>
      <c r="T198" s="32"/>
      <c r="U198" s="32"/>
      <c r="V198" s="32"/>
      <c r="W198" s="32"/>
      <c r="X198" s="32"/>
      <c r="Y198" s="32"/>
      <c r="Z198" s="32"/>
      <c r="AA198" s="32"/>
      <c r="AB198" s="32"/>
      <c r="AC198" s="1092"/>
      <c r="AD198" s="32"/>
      <c r="AE198" s="32"/>
      <c r="AF198" s="32"/>
      <c r="AG198" s="32"/>
      <c r="AH198" s="32"/>
      <c r="AI198" s="32"/>
      <c r="AJ198" s="32"/>
      <c r="AK198" s="32"/>
      <c r="AL198" s="32"/>
      <c r="AM198" s="32"/>
      <c r="AN198" s="32"/>
      <c r="AO198" s="32"/>
      <c r="AP198" s="65">
        <f>SUM(F198:AO198)</f>
        <v>0</v>
      </c>
      <c r="AQ198" s="346" t="e">
        <f>AP198/AP192</f>
        <v>#DIV/0!</v>
      </c>
      <c r="AR198" s="1185"/>
      <c r="AS198" s="1185"/>
    </row>
    <row r="199" spans="1:45" s="2" customFormat="1" x14ac:dyDescent="0.35">
      <c r="A199" s="1198"/>
      <c r="B199" s="1179"/>
      <c r="C199" s="1196"/>
      <c r="D199" s="1201"/>
      <c r="E199" s="36" t="s">
        <v>190</v>
      </c>
      <c r="F199" s="29"/>
      <c r="G199" s="30"/>
      <c r="H199" s="30"/>
      <c r="I199" s="30"/>
      <c r="J199" s="30"/>
      <c r="K199" s="30"/>
      <c r="L199" s="30"/>
      <c r="M199" s="30"/>
      <c r="N199" s="30"/>
      <c r="O199" s="30"/>
      <c r="P199" s="30"/>
      <c r="Q199" s="1088"/>
      <c r="R199" s="1084"/>
      <c r="S199" s="30"/>
      <c r="T199" s="30"/>
      <c r="U199" s="30"/>
      <c r="V199" s="30"/>
      <c r="W199" s="30"/>
      <c r="X199" s="30"/>
      <c r="Y199" s="30"/>
      <c r="Z199" s="30"/>
      <c r="AA199" s="30"/>
      <c r="AB199" s="30"/>
      <c r="AC199" s="1088"/>
      <c r="AD199" s="30"/>
      <c r="AE199" s="30"/>
      <c r="AF199" s="30"/>
      <c r="AG199" s="30"/>
      <c r="AH199" s="30"/>
      <c r="AI199" s="30"/>
      <c r="AJ199" s="30"/>
      <c r="AK199" s="30"/>
      <c r="AL199" s="30"/>
      <c r="AM199" s="30"/>
      <c r="AN199" s="30"/>
      <c r="AO199" s="30"/>
      <c r="AP199" s="65"/>
      <c r="AQ199" s="65"/>
      <c r="AR199" s="1185"/>
      <c r="AS199" s="1185"/>
    </row>
    <row r="200" spans="1:45" s="2" customFormat="1" ht="15" thickBot="1" x14ac:dyDescent="0.4">
      <c r="A200" s="1199"/>
      <c r="B200" s="1180"/>
      <c r="C200" s="1197"/>
      <c r="D200" s="1202"/>
      <c r="E200" s="64" t="s">
        <v>191</v>
      </c>
      <c r="F200" s="25"/>
      <c r="G200" s="28"/>
      <c r="H200" s="28"/>
      <c r="I200" s="28"/>
      <c r="J200" s="28"/>
      <c r="K200" s="28"/>
      <c r="L200" s="28"/>
      <c r="M200" s="28"/>
      <c r="N200" s="28"/>
      <c r="O200" s="28"/>
      <c r="P200" s="28"/>
      <c r="Q200" s="1093"/>
      <c r="R200" s="1091"/>
      <c r="S200" s="28"/>
      <c r="T200" s="28"/>
      <c r="U200" s="28"/>
      <c r="V200" s="28"/>
      <c r="W200" s="28"/>
      <c r="X200" s="28"/>
      <c r="Y200" s="28"/>
      <c r="Z200" s="28"/>
      <c r="AA200" s="28"/>
      <c r="AB200" s="28"/>
      <c r="AC200" s="1093"/>
      <c r="AD200" s="28"/>
      <c r="AE200" s="28"/>
      <c r="AF200" s="28"/>
      <c r="AG200" s="28"/>
      <c r="AH200" s="28"/>
      <c r="AI200" s="28"/>
      <c r="AJ200" s="28"/>
      <c r="AK200" s="28"/>
      <c r="AL200" s="28"/>
      <c r="AM200" s="28"/>
      <c r="AN200" s="28"/>
      <c r="AO200" s="28"/>
      <c r="AP200" s="137"/>
      <c r="AQ200" s="137"/>
      <c r="AR200" s="1186"/>
      <c r="AS200" s="1186"/>
    </row>
    <row r="201" spans="1:45" s="2" customFormat="1" x14ac:dyDescent="0.35">
      <c r="A201" s="1198">
        <v>19</v>
      </c>
      <c r="B201" s="1178" t="str">
        <f>IF(VLOOKUP(A:A,'Pivot Table'!Z:AE,6,FALSE)=0,"",VLOOKUP(A:A,'Pivot Table'!Z:AE,6,FALSE))</f>
        <v/>
      </c>
      <c r="C201" s="1195" t="str">
        <f>_xlfn.IFNA(VLOOKUP(B:B,'indicator lists'!L:R,3,FALSE),"")</f>
        <v/>
      </c>
      <c r="D201" s="1200" t="str">
        <f>_xlfn.IFNA(VLOOKUP(A:A,'Pivot Table'!P:X,9,FALSE),"")</f>
        <v/>
      </c>
      <c r="E201" s="59" t="s">
        <v>181</v>
      </c>
      <c r="F201" s="60">
        <f>SUM(F202:F205)</f>
        <v>0</v>
      </c>
      <c r="G201" s="61">
        <f>SUM(G202:G205)</f>
        <v>0</v>
      </c>
      <c r="H201" s="61">
        <f t="shared" ref="H201:AO201" si="40">SUM(H202:H205)</f>
        <v>0</v>
      </c>
      <c r="I201" s="61">
        <f t="shared" si="40"/>
        <v>0</v>
      </c>
      <c r="J201" s="61">
        <f t="shared" si="40"/>
        <v>0</v>
      </c>
      <c r="K201" s="61">
        <f t="shared" si="40"/>
        <v>0</v>
      </c>
      <c r="L201" s="61">
        <f t="shared" si="40"/>
        <v>0</v>
      </c>
      <c r="M201" s="61">
        <f t="shared" si="40"/>
        <v>0</v>
      </c>
      <c r="N201" s="61">
        <f t="shared" si="40"/>
        <v>0</v>
      </c>
      <c r="O201" s="61">
        <f t="shared" si="40"/>
        <v>0</v>
      </c>
      <c r="P201" s="61">
        <f t="shared" si="40"/>
        <v>0</v>
      </c>
      <c r="Q201" s="61">
        <f t="shared" si="40"/>
        <v>0</v>
      </c>
      <c r="R201" s="61">
        <f t="shared" si="40"/>
        <v>0</v>
      </c>
      <c r="S201" s="61">
        <f t="shared" si="40"/>
        <v>0</v>
      </c>
      <c r="T201" s="61">
        <f t="shared" si="40"/>
        <v>0</v>
      </c>
      <c r="U201" s="61">
        <f t="shared" si="40"/>
        <v>0</v>
      </c>
      <c r="V201" s="61">
        <f t="shared" si="40"/>
        <v>0</v>
      </c>
      <c r="W201" s="61">
        <f t="shared" si="40"/>
        <v>0</v>
      </c>
      <c r="X201" s="61">
        <f t="shared" si="40"/>
        <v>0</v>
      </c>
      <c r="Y201" s="61">
        <f t="shared" si="40"/>
        <v>0</v>
      </c>
      <c r="Z201" s="61">
        <f t="shared" si="40"/>
        <v>0</v>
      </c>
      <c r="AA201" s="61">
        <f t="shared" si="40"/>
        <v>0</v>
      </c>
      <c r="AB201" s="61">
        <f t="shared" si="40"/>
        <v>0</v>
      </c>
      <c r="AC201" s="61">
        <f t="shared" si="40"/>
        <v>0</v>
      </c>
      <c r="AD201" s="61">
        <f t="shared" si="40"/>
        <v>0</v>
      </c>
      <c r="AE201" s="61">
        <f t="shared" si="40"/>
        <v>0</v>
      </c>
      <c r="AF201" s="61">
        <f t="shared" si="40"/>
        <v>0</v>
      </c>
      <c r="AG201" s="61">
        <f t="shared" si="40"/>
        <v>0</v>
      </c>
      <c r="AH201" s="61">
        <f t="shared" si="40"/>
        <v>0</v>
      </c>
      <c r="AI201" s="61">
        <f t="shared" si="40"/>
        <v>0</v>
      </c>
      <c r="AJ201" s="61">
        <f t="shared" si="40"/>
        <v>0</v>
      </c>
      <c r="AK201" s="61">
        <f t="shared" si="40"/>
        <v>0</v>
      </c>
      <c r="AL201" s="61">
        <f t="shared" si="40"/>
        <v>0</v>
      </c>
      <c r="AM201" s="61">
        <f t="shared" si="40"/>
        <v>0</v>
      </c>
      <c r="AN201" s="61">
        <f t="shared" si="40"/>
        <v>0</v>
      </c>
      <c r="AO201" s="61">
        <f t="shared" si="40"/>
        <v>0</v>
      </c>
      <c r="AP201" s="347">
        <f>SUM(AP202:AP203)</f>
        <v>0</v>
      </c>
      <c r="AQ201" s="134"/>
      <c r="AR201" s="1184"/>
      <c r="AS201" s="1184"/>
    </row>
    <row r="202" spans="1:45" s="2" customFormat="1" x14ac:dyDescent="0.35">
      <c r="A202" s="1198"/>
      <c r="B202" s="1179"/>
      <c r="C202" s="1196"/>
      <c r="D202" s="1201"/>
      <c r="E202" s="63" t="s">
        <v>182</v>
      </c>
      <c r="F202" s="23"/>
      <c r="G202" s="26"/>
      <c r="H202" s="26"/>
      <c r="I202" s="26"/>
      <c r="J202" s="26"/>
      <c r="K202" s="26"/>
      <c r="L202" s="26"/>
      <c r="M202" s="26"/>
      <c r="N202" s="26"/>
      <c r="O202" s="26"/>
      <c r="P202" s="26"/>
      <c r="Q202" s="1086"/>
      <c r="R202" s="1082"/>
      <c r="S202" s="26"/>
      <c r="T202" s="26"/>
      <c r="U202" s="26"/>
      <c r="V202" s="26"/>
      <c r="W202" s="26"/>
      <c r="X202" s="26"/>
      <c r="Y202" s="26"/>
      <c r="Z202" s="26"/>
      <c r="AA202" s="26"/>
      <c r="AB202" s="26"/>
      <c r="AC202" s="1086"/>
      <c r="AD202" s="26"/>
      <c r="AE202" s="26"/>
      <c r="AF202" s="26"/>
      <c r="AG202" s="26"/>
      <c r="AH202" s="26"/>
      <c r="AI202" s="26"/>
      <c r="AJ202" s="26"/>
      <c r="AK202" s="26"/>
      <c r="AL202" s="26"/>
      <c r="AM202" s="26"/>
      <c r="AN202" s="26"/>
      <c r="AO202" s="26"/>
      <c r="AP202" s="344">
        <f>SUM(F202:AO202)</f>
        <v>0</v>
      </c>
      <c r="AQ202" s="135"/>
      <c r="AR202" s="1185"/>
      <c r="AS202" s="1185"/>
    </row>
    <row r="203" spans="1:45" s="2" customFormat="1" x14ac:dyDescent="0.35">
      <c r="A203" s="1198"/>
      <c r="B203" s="1179"/>
      <c r="C203" s="1196"/>
      <c r="D203" s="1201"/>
      <c r="E203" s="336" t="s">
        <v>183</v>
      </c>
      <c r="F203" s="337"/>
      <c r="G203" s="338"/>
      <c r="H203" s="338"/>
      <c r="I203" s="338"/>
      <c r="J203" s="338"/>
      <c r="K203" s="338"/>
      <c r="L203" s="338"/>
      <c r="M203" s="338"/>
      <c r="N203" s="338"/>
      <c r="O203" s="338"/>
      <c r="P203" s="338"/>
      <c r="Q203" s="1087"/>
      <c r="R203" s="1083"/>
      <c r="S203" s="338"/>
      <c r="T203" s="338"/>
      <c r="U203" s="338"/>
      <c r="V203" s="338"/>
      <c r="W203" s="338"/>
      <c r="X203" s="338"/>
      <c r="Y203" s="338"/>
      <c r="Z203" s="338"/>
      <c r="AA203" s="338"/>
      <c r="AB203" s="338"/>
      <c r="AC203" s="1087"/>
      <c r="AD203" s="338"/>
      <c r="AE203" s="338"/>
      <c r="AF203" s="338"/>
      <c r="AG203" s="338"/>
      <c r="AH203" s="338"/>
      <c r="AI203" s="338"/>
      <c r="AJ203" s="338"/>
      <c r="AK203" s="338"/>
      <c r="AL203" s="338"/>
      <c r="AM203" s="338"/>
      <c r="AN203" s="338"/>
      <c r="AO203" s="338"/>
      <c r="AP203" s="344">
        <f>SUM(F203:AO203)</f>
        <v>0</v>
      </c>
      <c r="AQ203" s="335"/>
      <c r="AR203" s="1185"/>
      <c r="AS203" s="1185"/>
    </row>
    <row r="204" spans="1:45" s="2" customFormat="1" x14ac:dyDescent="0.35">
      <c r="A204" s="1198"/>
      <c r="B204" s="1179"/>
      <c r="C204" s="1196"/>
      <c r="D204" s="1201"/>
      <c r="E204" s="36" t="s">
        <v>184</v>
      </c>
      <c r="F204" s="29"/>
      <c r="G204" s="30"/>
      <c r="H204" s="30"/>
      <c r="I204" s="30"/>
      <c r="J204" s="30"/>
      <c r="K204" s="30"/>
      <c r="L204" s="30"/>
      <c r="M204" s="30"/>
      <c r="N204" s="30"/>
      <c r="O204" s="30"/>
      <c r="P204" s="30"/>
      <c r="Q204" s="1088"/>
      <c r="R204" s="1084"/>
      <c r="S204" s="30"/>
      <c r="T204" s="30"/>
      <c r="U204" s="30"/>
      <c r="V204" s="30"/>
      <c r="W204" s="30"/>
      <c r="X204" s="30"/>
      <c r="Y204" s="30"/>
      <c r="Z204" s="30"/>
      <c r="AA204" s="30"/>
      <c r="AB204" s="30"/>
      <c r="AC204" s="1088"/>
      <c r="AD204" s="30"/>
      <c r="AE204" s="30"/>
      <c r="AF204" s="30"/>
      <c r="AG204" s="30"/>
      <c r="AH204" s="30"/>
      <c r="AI204" s="30"/>
      <c r="AJ204" s="30"/>
      <c r="AK204" s="30"/>
      <c r="AL204" s="30"/>
      <c r="AM204" s="30"/>
      <c r="AN204" s="30"/>
      <c r="AO204" s="30"/>
      <c r="AP204" s="344"/>
      <c r="AQ204" s="335"/>
      <c r="AR204" s="1185"/>
      <c r="AS204" s="1185"/>
    </row>
    <row r="205" spans="1:45" s="2" customFormat="1" ht="15" thickBot="1" x14ac:dyDescent="0.4">
      <c r="A205" s="1198"/>
      <c r="B205" s="1179"/>
      <c r="C205" s="1196"/>
      <c r="D205" s="1201"/>
      <c r="E205" s="340" t="s">
        <v>185</v>
      </c>
      <c r="F205" s="341"/>
      <c r="G205" s="342"/>
      <c r="H205" s="342"/>
      <c r="I205" s="342"/>
      <c r="J205" s="342"/>
      <c r="K205" s="342"/>
      <c r="L205" s="342"/>
      <c r="M205" s="342"/>
      <c r="N205" s="342"/>
      <c r="O205" s="342"/>
      <c r="P205" s="342"/>
      <c r="Q205" s="1089"/>
      <c r="R205" s="1085"/>
      <c r="S205" s="342"/>
      <c r="T205" s="342"/>
      <c r="U205" s="342"/>
      <c r="V205" s="342"/>
      <c r="W205" s="342"/>
      <c r="X205" s="342"/>
      <c r="Y205" s="342"/>
      <c r="Z205" s="342"/>
      <c r="AA205" s="342"/>
      <c r="AB205" s="342"/>
      <c r="AC205" s="1089"/>
      <c r="AD205" s="342"/>
      <c r="AE205" s="342"/>
      <c r="AF205" s="342"/>
      <c r="AG205" s="342"/>
      <c r="AH205" s="342"/>
      <c r="AI205" s="342"/>
      <c r="AJ205" s="342"/>
      <c r="AK205" s="342"/>
      <c r="AL205" s="342"/>
      <c r="AM205" s="342"/>
      <c r="AN205" s="342"/>
      <c r="AO205" s="342"/>
      <c r="AP205" s="344"/>
      <c r="AQ205" s="335"/>
      <c r="AR205" s="1185"/>
      <c r="AS205" s="1185"/>
    </row>
    <row r="206" spans="1:45" s="2" customFormat="1" ht="26.5" thickBot="1" x14ac:dyDescent="0.4">
      <c r="A206" s="1198"/>
      <c r="B206" s="1179"/>
      <c r="C206" s="1196"/>
      <c r="D206" s="1201"/>
      <c r="E206" s="1193" t="s">
        <v>175</v>
      </c>
      <c r="F206" s="1194"/>
      <c r="G206" s="1194"/>
      <c r="H206" s="1194"/>
      <c r="I206" s="1194"/>
      <c r="J206" s="1194"/>
      <c r="K206" s="1194"/>
      <c r="L206" s="1194"/>
      <c r="M206" s="1194"/>
      <c r="N206" s="1194"/>
      <c r="O206" s="1194"/>
      <c r="P206" s="1194"/>
      <c r="Q206" s="1194"/>
      <c r="R206" s="1194"/>
      <c r="S206" s="1194"/>
      <c r="T206" s="1194"/>
      <c r="U206" s="1194"/>
      <c r="V206" s="1194"/>
      <c r="W206" s="1194"/>
      <c r="X206" s="1194"/>
      <c r="Y206" s="1194"/>
      <c r="Z206" s="1194"/>
      <c r="AA206" s="1194"/>
      <c r="AB206" s="1194"/>
      <c r="AC206" s="1194"/>
      <c r="AD206" s="1194"/>
      <c r="AE206" s="1194"/>
      <c r="AF206" s="1194"/>
      <c r="AG206" s="1194"/>
      <c r="AH206" s="1194"/>
      <c r="AI206" s="1194"/>
      <c r="AJ206" s="1194"/>
      <c r="AK206" s="1194"/>
      <c r="AL206" s="1194"/>
      <c r="AM206" s="1194"/>
      <c r="AN206" s="1194"/>
      <c r="AO206" s="1194"/>
      <c r="AP206" s="348" t="e">
        <f>SUM(AP208:AP209)/AP201</f>
        <v>#DIV/0!</v>
      </c>
      <c r="AQ206" s="349" t="s">
        <v>186</v>
      </c>
      <c r="AR206" s="1185"/>
      <c r="AS206" s="1185"/>
    </row>
    <row r="207" spans="1:45" s="2" customFormat="1" x14ac:dyDescent="0.35">
      <c r="A207" s="1198"/>
      <c r="B207" s="1179"/>
      <c r="C207" s="1196"/>
      <c r="D207" s="1201"/>
      <c r="E207" s="62" t="s">
        <v>187</v>
      </c>
      <c r="F207" s="44">
        <f>SUM(F208:F211)</f>
        <v>0</v>
      </c>
      <c r="G207" s="43">
        <f>SUM(G208:G211)</f>
        <v>0</v>
      </c>
      <c r="H207" s="43">
        <f t="shared" ref="H207:AO207" si="41">SUM(H208:H211)</f>
        <v>0</v>
      </c>
      <c r="I207" s="43">
        <f t="shared" si="41"/>
        <v>0</v>
      </c>
      <c r="J207" s="43">
        <f t="shared" si="41"/>
        <v>0</v>
      </c>
      <c r="K207" s="43">
        <f t="shared" si="41"/>
        <v>0</v>
      </c>
      <c r="L207" s="43">
        <f t="shared" si="41"/>
        <v>0</v>
      </c>
      <c r="M207" s="43">
        <f t="shared" si="41"/>
        <v>0</v>
      </c>
      <c r="N207" s="43">
        <f t="shared" si="41"/>
        <v>0</v>
      </c>
      <c r="O207" s="43">
        <f t="shared" si="41"/>
        <v>0</v>
      </c>
      <c r="P207" s="43">
        <f t="shared" si="41"/>
        <v>0</v>
      </c>
      <c r="Q207" s="43">
        <f t="shared" si="41"/>
        <v>0</v>
      </c>
      <c r="R207" s="43">
        <f t="shared" si="41"/>
        <v>0</v>
      </c>
      <c r="S207" s="43">
        <f t="shared" si="41"/>
        <v>0</v>
      </c>
      <c r="T207" s="43">
        <f t="shared" si="41"/>
        <v>0</v>
      </c>
      <c r="U207" s="43">
        <f t="shared" si="41"/>
        <v>0</v>
      </c>
      <c r="V207" s="43">
        <f t="shared" si="41"/>
        <v>0</v>
      </c>
      <c r="W207" s="43">
        <f t="shared" si="41"/>
        <v>0</v>
      </c>
      <c r="X207" s="43">
        <f t="shared" si="41"/>
        <v>0</v>
      </c>
      <c r="Y207" s="43">
        <f t="shared" si="41"/>
        <v>0</v>
      </c>
      <c r="Z207" s="43">
        <f t="shared" si="41"/>
        <v>0</v>
      </c>
      <c r="AA207" s="43">
        <f t="shared" si="41"/>
        <v>0</v>
      </c>
      <c r="AB207" s="43">
        <f t="shared" si="41"/>
        <v>0</v>
      </c>
      <c r="AC207" s="43">
        <f t="shared" si="41"/>
        <v>0</v>
      </c>
      <c r="AD207" s="43">
        <f t="shared" si="41"/>
        <v>0</v>
      </c>
      <c r="AE207" s="43">
        <f t="shared" si="41"/>
        <v>0</v>
      </c>
      <c r="AF207" s="43">
        <f t="shared" si="41"/>
        <v>0</v>
      </c>
      <c r="AG207" s="43">
        <f t="shared" si="41"/>
        <v>0</v>
      </c>
      <c r="AH207" s="43">
        <f t="shared" si="41"/>
        <v>0</v>
      </c>
      <c r="AI207" s="43">
        <f t="shared" si="41"/>
        <v>0</v>
      </c>
      <c r="AJ207" s="43">
        <f t="shared" si="41"/>
        <v>0</v>
      </c>
      <c r="AK207" s="43">
        <f t="shared" si="41"/>
        <v>0</v>
      </c>
      <c r="AL207" s="43">
        <f t="shared" si="41"/>
        <v>0</v>
      </c>
      <c r="AM207" s="43">
        <f t="shared" si="41"/>
        <v>0</v>
      </c>
      <c r="AN207" s="43">
        <f t="shared" si="41"/>
        <v>0</v>
      </c>
      <c r="AO207" s="43">
        <f t="shared" si="41"/>
        <v>0</v>
      </c>
      <c r="AP207" s="65"/>
      <c r="AQ207" s="65"/>
      <c r="AR207" s="1185"/>
      <c r="AS207" s="1185"/>
    </row>
    <row r="208" spans="1:45" s="2" customFormat="1" x14ac:dyDescent="0.35">
      <c r="A208" s="1198"/>
      <c r="B208" s="1179"/>
      <c r="C208" s="1196"/>
      <c r="D208" s="1201"/>
      <c r="E208" s="63" t="s">
        <v>188</v>
      </c>
      <c r="F208" s="23"/>
      <c r="G208" s="26"/>
      <c r="H208" s="26"/>
      <c r="I208" s="26"/>
      <c r="J208" s="26"/>
      <c r="K208" s="26"/>
      <c r="L208" s="26"/>
      <c r="M208" s="26"/>
      <c r="N208" s="26"/>
      <c r="O208" s="26"/>
      <c r="P208" s="26"/>
      <c r="Q208" s="1086"/>
      <c r="R208" s="1082"/>
      <c r="S208" s="26"/>
      <c r="T208" s="26"/>
      <c r="U208" s="26"/>
      <c r="V208" s="26"/>
      <c r="W208" s="26"/>
      <c r="X208" s="26"/>
      <c r="Y208" s="26"/>
      <c r="Z208" s="26"/>
      <c r="AA208" s="26"/>
      <c r="AB208" s="26"/>
      <c r="AC208" s="1086"/>
      <c r="AD208" s="26"/>
      <c r="AE208" s="26"/>
      <c r="AF208" s="26"/>
      <c r="AG208" s="26"/>
      <c r="AH208" s="26"/>
      <c r="AI208" s="26"/>
      <c r="AJ208" s="26"/>
      <c r="AK208" s="26"/>
      <c r="AL208" s="26"/>
      <c r="AM208" s="26"/>
      <c r="AN208" s="26"/>
      <c r="AO208" s="26"/>
      <c r="AP208" s="65">
        <f>SUM(F208:AO208)</f>
        <v>0</v>
      </c>
      <c r="AQ208" s="346" t="e">
        <f>AP208/AP202</f>
        <v>#DIV/0!</v>
      </c>
      <c r="AR208" s="1185"/>
      <c r="AS208" s="1185"/>
    </row>
    <row r="209" spans="1:45" s="2" customFormat="1" x14ac:dyDescent="0.35">
      <c r="A209" s="1198"/>
      <c r="B209" s="1179"/>
      <c r="C209" s="1196"/>
      <c r="D209" s="1201"/>
      <c r="E209" s="37" t="s">
        <v>189</v>
      </c>
      <c r="F209" s="33"/>
      <c r="G209" s="32"/>
      <c r="H209" s="32"/>
      <c r="I209" s="32"/>
      <c r="J209" s="32"/>
      <c r="K209" s="32"/>
      <c r="L209" s="32"/>
      <c r="M209" s="32"/>
      <c r="N209" s="32"/>
      <c r="O209" s="32"/>
      <c r="P209" s="32"/>
      <c r="Q209" s="1092"/>
      <c r="R209" s="1090"/>
      <c r="S209" s="32"/>
      <c r="T209" s="32"/>
      <c r="U209" s="32"/>
      <c r="V209" s="32"/>
      <c r="W209" s="32"/>
      <c r="X209" s="32"/>
      <c r="Y209" s="32"/>
      <c r="Z209" s="32"/>
      <c r="AA209" s="32"/>
      <c r="AB209" s="32"/>
      <c r="AC209" s="1092"/>
      <c r="AD209" s="32"/>
      <c r="AE209" s="32"/>
      <c r="AF209" s="32"/>
      <c r="AG209" s="32"/>
      <c r="AH209" s="32"/>
      <c r="AI209" s="32"/>
      <c r="AJ209" s="32"/>
      <c r="AK209" s="32"/>
      <c r="AL209" s="32"/>
      <c r="AM209" s="32"/>
      <c r="AN209" s="32"/>
      <c r="AO209" s="32"/>
      <c r="AP209" s="65">
        <f>SUM(F209:AO209)</f>
        <v>0</v>
      </c>
      <c r="AQ209" s="346" t="e">
        <f>AP209/AP203</f>
        <v>#DIV/0!</v>
      </c>
      <c r="AR209" s="1185"/>
      <c r="AS209" s="1185"/>
    </row>
    <row r="210" spans="1:45" s="2" customFormat="1" x14ac:dyDescent="0.35">
      <c r="A210" s="1198"/>
      <c r="B210" s="1179"/>
      <c r="C210" s="1196"/>
      <c r="D210" s="1201"/>
      <c r="E210" s="36" t="s">
        <v>190</v>
      </c>
      <c r="F210" s="29"/>
      <c r="G210" s="30"/>
      <c r="H210" s="30"/>
      <c r="I210" s="30"/>
      <c r="J210" s="30"/>
      <c r="K210" s="30"/>
      <c r="L210" s="30"/>
      <c r="M210" s="30"/>
      <c r="N210" s="30"/>
      <c r="O210" s="30"/>
      <c r="P210" s="30"/>
      <c r="Q210" s="1088"/>
      <c r="R210" s="1084"/>
      <c r="S210" s="30"/>
      <c r="T210" s="30"/>
      <c r="U210" s="30"/>
      <c r="V210" s="30"/>
      <c r="W210" s="30"/>
      <c r="X210" s="30"/>
      <c r="Y210" s="30"/>
      <c r="Z210" s="30"/>
      <c r="AA210" s="30"/>
      <c r="AB210" s="30"/>
      <c r="AC210" s="1088"/>
      <c r="AD210" s="30"/>
      <c r="AE210" s="30"/>
      <c r="AF210" s="30"/>
      <c r="AG210" s="30"/>
      <c r="AH210" s="30"/>
      <c r="AI210" s="30"/>
      <c r="AJ210" s="30"/>
      <c r="AK210" s="30"/>
      <c r="AL210" s="30"/>
      <c r="AM210" s="30"/>
      <c r="AN210" s="30"/>
      <c r="AO210" s="30"/>
      <c r="AP210" s="65"/>
      <c r="AQ210" s="65"/>
      <c r="AR210" s="1185"/>
      <c r="AS210" s="1185"/>
    </row>
    <row r="211" spans="1:45" s="2" customFormat="1" ht="15" thickBot="1" x14ac:dyDescent="0.4">
      <c r="A211" s="1199"/>
      <c r="B211" s="1180"/>
      <c r="C211" s="1197"/>
      <c r="D211" s="1202"/>
      <c r="E211" s="64" t="s">
        <v>191</v>
      </c>
      <c r="F211" s="25"/>
      <c r="G211" s="28"/>
      <c r="H211" s="28"/>
      <c r="I211" s="28"/>
      <c r="J211" s="28"/>
      <c r="K211" s="28"/>
      <c r="L211" s="28"/>
      <c r="M211" s="28"/>
      <c r="N211" s="28"/>
      <c r="O211" s="28"/>
      <c r="P211" s="28"/>
      <c r="Q211" s="1093"/>
      <c r="R211" s="1091"/>
      <c r="S211" s="28"/>
      <c r="T211" s="28"/>
      <c r="U211" s="28"/>
      <c r="V211" s="28"/>
      <c r="W211" s="28"/>
      <c r="X211" s="28"/>
      <c r="Y211" s="28"/>
      <c r="Z211" s="28"/>
      <c r="AA211" s="28"/>
      <c r="AB211" s="28"/>
      <c r="AC211" s="1093"/>
      <c r="AD211" s="28"/>
      <c r="AE211" s="28"/>
      <c r="AF211" s="28"/>
      <c r="AG211" s="28"/>
      <c r="AH211" s="28"/>
      <c r="AI211" s="28"/>
      <c r="AJ211" s="28"/>
      <c r="AK211" s="28"/>
      <c r="AL211" s="28"/>
      <c r="AM211" s="28"/>
      <c r="AN211" s="28"/>
      <c r="AO211" s="28"/>
      <c r="AP211" s="137"/>
      <c r="AQ211" s="137"/>
      <c r="AR211" s="1186"/>
      <c r="AS211" s="1186"/>
    </row>
    <row r="212" spans="1:45" s="2" customFormat="1" x14ac:dyDescent="0.35">
      <c r="A212" s="1198">
        <v>20</v>
      </c>
      <c r="B212" s="1178" t="str">
        <f>IF(VLOOKUP(A:A,'Pivot Table'!Z:AE,6,FALSE)=0,"",VLOOKUP(A:A,'Pivot Table'!Z:AE,6,FALSE))</f>
        <v/>
      </c>
      <c r="C212" s="1195" t="str">
        <f>_xlfn.IFNA(VLOOKUP(B:B,'indicator lists'!L:R,3,FALSE),"")</f>
        <v/>
      </c>
      <c r="D212" s="1200" t="str">
        <f>_xlfn.IFNA(VLOOKUP(A:A,'Pivot Table'!P:X,9,FALSE),"")</f>
        <v/>
      </c>
      <c r="E212" s="59" t="s">
        <v>181</v>
      </c>
      <c r="F212" s="60">
        <f>SUM(F213:F216)</f>
        <v>0</v>
      </c>
      <c r="G212" s="61">
        <f>SUM(G213:G216)</f>
        <v>0</v>
      </c>
      <c r="H212" s="61">
        <f t="shared" ref="H212:AO212" si="42">SUM(H213:H216)</f>
        <v>0</v>
      </c>
      <c r="I212" s="61">
        <f t="shared" si="42"/>
        <v>0</v>
      </c>
      <c r="J212" s="61">
        <f t="shared" si="42"/>
        <v>0</v>
      </c>
      <c r="K212" s="61">
        <f t="shared" si="42"/>
        <v>0</v>
      </c>
      <c r="L212" s="61">
        <f t="shared" si="42"/>
        <v>0</v>
      </c>
      <c r="M212" s="61">
        <f t="shared" si="42"/>
        <v>0</v>
      </c>
      <c r="N212" s="61">
        <f t="shared" si="42"/>
        <v>0</v>
      </c>
      <c r="O212" s="61">
        <f t="shared" si="42"/>
        <v>0</v>
      </c>
      <c r="P212" s="61">
        <f t="shared" si="42"/>
        <v>0</v>
      </c>
      <c r="Q212" s="61">
        <f t="shared" si="42"/>
        <v>0</v>
      </c>
      <c r="R212" s="61">
        <f t="shared" si="42"/>
        <v>0</v>
      </c>
      <c r="S212" s="61">
        <f t="shared" si="42"/>
        <v>0</v>
      </c>
      <c r="T212" s="61">
        <f t="shared" si="42"/>
        <v>0</v>
      </c>
      <c r="U212" s="61">
        <f t="shared" si="42"/>
        <v>0</v>
      </c>
      <c r="V212" s="61">
        <f t="shared" si="42"/>
        <v>0</v>
      </c>
      <c r="W212" s="61">
        <f t="shared" si="42"/>
        <v>0</v>
      </c>
      <c r="X212" s="61">
        <f t="shared" si="42"/>
        <v>0</v>
      </c>
      <c r="Y212" s="61">
        <f t="shared" si="42"/>
        <v>0</v>
      </c>
      <c r="Z212" s="61">
        <f t="shared" si="42"/>
        <v>0</v>
      </c>
      <c r="AA212" s="61">
        <f t="shared" si="42"/>
        <v>0</v>
      </c>
      <c r="AB212" s="61">
        <f t="shared" si="42"/>
        <v>0</v>
      </c>
      <c r="AC212" s="61">
        <f t="shared" si="42"/>
        <v>0</v>
      </c>
      <c r="AD212" s="61">
        <f t="shared" si="42"/>
        <v>0</v>
      </c>
      <c r="AE212" s="61">
        <f t="shared" si="42"/>
        <v>0</v>
      </c>
      <c r="AF212" s="61">
        <f t="shared" si="42"/>
        <v>0</v>
      </c>
      <c r="AG212" s="61">
        <f t="shared" si="42"/>
        <v>0</v>
      </c>
      <c r="AH212" s="61">
        <f t="shared" si="42"/>
        <v>0</v>
      </c>
      <c r="AI212" s="61">
        <f t="shared" si="42"/>
        <v>0</v>
      </c>
      <c r="AJ212" s="61">
        <f t="shared" si="42"/>
        <v>0</v>
      </c>
      <c r="AK212" s="61">
        <f t="shared" si="42"/>
        <v>0</v>
      </c>
      <c r="AL212" s="61">
        <f t="shared" si="42"/>
        <v>0</v>
      </c>
      <c r="AM212" s="61">
        <f t="shared" si="42"/>
        <v>0</v>
      </c>
      <c r="AN212" s="61">
        <f t="shared" si="42"/>
        <v>0</v>
      </c>
      <c r="AO212" s="61">
        <f t="shared" si="42"/>
        <v>0</v>
      </c>
      <c r="AP212" s="347">
        <f>SUM(AP213:AP214)</f>
        <v>0</v>
      </c>
      <c r="AQ212" s="134"/>
      <c r="AR212" s="1184"/>
      <c r="AS212" s="1184"/>
    </row>
    <row r="213" spans="1:45" s="2" customFormat="1" x14ac:dyDescent="0.35">
      <c r="A213" s="1198"/>
      <c r="B213" s="1179"/>
      <c r="C213" s="1196"/>
      <c r="D213" s="1201"/>
      <c r="E213" s="63" t="s">
        <v>182</v>
      </c>
      <c r="F213" s="23"/>
      <c r="G213" s="26"/>
      <c r="H213" s="26"/>
      <c r="I213" s="26"/>
      <c r="J213" s="26"/>
      <c r="K213" s="26"/>
      <c r="L213" s="26"/>
      <c r="M213" s="26"/>
      <c r="N213" s="26"/>
      <c r="O213" s="26"/>
      <c r="P213" s="26"/>
      <c r="Q213" s="1086"/>
      <c r="R213" s="1082"/>
      <c r="S213" s="26"/>
      <c r="T213" s="26"/>
      <c r="U213" s="26"/>
      <c r="V213" s="26"/>
      <c r="W213" s="26"/>
      <c r="X213" s="26"/>
      <c r="Y213" s="26"/>
      <c r="Z213" s="26"/>
      <c r="AA213" s="26"/>
      <c r="AB213" s="26"/>
      <c r="AC213" s="1086"/>
      <c r="AD213" s="26"/>
      <c r="AE213" s="26"/>
      <c r="AF213" s="26"/>
      <c r="AG213" s="26"/>
      <c r="AH213" s="26"/>
      <c r="AI213" s="26"/>
      <c r="AJ213" s="26"/>
      <c r="AK213" s="26"/>
      <c r="AL213" s="26"/>
      <c r="AM213" s="26"/>
      <c r="AN213" s="26"/>
      <c r="AO213" s="26"/>
      <c r="AP213" s="344">
        <f>SUM(F213:AO213)</f>
        <v>0</v>
      </c>
      <c r="AQ213" s="135"/>
      <c r="AR213" s="1185"/>
      <c r="AS213" s="1185"/>
    </row>
    <row r="214" spans="1:45" s="2" customFormat="1" x14ac:dyDescent="0.35">
      <c r="A214" s="1198"/>
      <c r="B214" s="1179"/>
      <c r="C214" s="1196"/>
      <c r="D214" s="1201"/>
      <c r="E214" s="336" t="s">
        <v>183</v>
      </c>
      <c r="F214" s="337"/>
      <c r="G214" s="338"/>
      <c r="H214" s="338"/>
      <c r="I214" s="338"/>
      <c r="J214" s="338"/>
      <c r="K214" s="338"/>
      <c r="L214" s="338"/>
      <c r="M214" s="338"/>
      <c r="N214" s="338"/>
      <c r="O214" s="338"/>
      <c r="P214" s="338"/>
      <c r="Q214" s="1087"/>
      <c r="R214" s="1083"/>
      <c r="S214" s="338"/>
      <c r="T214" s="338"/>
      <c r="U214" s="338"/>
      <c r="V214" s="338"/>
      <c r="W214" s="338"/>
      <c r="X214" s="338"/>
      <c r="Y214" s="338"/>
      <c r="Z214" s="338"/>
      <c r="AA214" s="338"/>
      <c r="AB214" s="338"/>
      <c r="AC214" s="1087"/>
      <c r="AD214" s="338"/>
      <c r="AE214" s="338"/>
      <c r="AF214" s="338"/>
      <c r="AG214" s="338"/>
      <c r="AH214" s="338"/>
      <c r="AI214" s="338"/>
      <c r="AJ214" s="338"/>
      <c r="AK214" s="338"/>
      <c r="AL214" s="338"/>
      <c r="AM214" s="338"/>
      <c r="AN214" s="338"/>
      <c r="AO214" s="338"/>
      <c r="AP214" s="344">
        <f>SUM(F214:AO214)</f>
        <v>0</v>
      </c>
      <c r="AQ214" s="335"/>
      <c r="AR214" s="1185"/>
      <c r="AS214" s="1185"/>
    </row>
    <row r="215" spans="1:45" s="2" customFormat="1" x14ac:dyDescent="0.35">
      <c r="A215" s="1198"/>
      <c r="B215" s="1179"/>
      <c r="C215" s="1196"/>
      <c r="D215" s="1201"/>
      <c r="E215" s="36" t="s">
        <v>184</v>
      </c>
      <c r="F215" s="29"/>
      <c r="G215" s="30"/>
      <c r="H215" s="30"/>
      <c r="I215" s="30"/>
      <c r="J215" s="30"/>
      <c r="K215" s="30"/>
      <c r="L215" s="30"/>
      <c r="M215" s="30"/>
      <c r="N215" s="30"/>
      <c r="O215" s="30"/>
      <c r="P215" s="30"/>
      <c r="Q215" s="1088"/>
      <c r="R215" s="1084"/>
      <c r="S215" s="30"/>
      <c r="T215" s="30"/>
      <c r="U215" s="30"/>
      <c r="V215" s="30"/>
      <c r="W215" s="30"/>
      <c r="X215" s="30"/>
      <c r="Y215" s="30"/>
      <c r="Z215" s="30"/>
      <c r="AA215" s="30"/>
      <c r="AB215" s="30"/>
      <c r="AC215" s="1088"/>
      <c r="AD215" s="30"/>
      <c r="AE215" s="30"/>
      <c r="AF215" s="30"/>
      <c r="AG215" s="30"/>
      <c r="AH215" s="30"/>
      <c r="AI215" s="30"/>
      <c r="AJ215" s="30"/>
      <c r="AK215" s="30"/>
      <c r="AL215" s="30"/>
      <c r="AM215" s="30"/>
      <c r="AN215" s="30"/>
      <c r="AO215" s="30"/>
      <c r="AP215" s="344"/>
      <c r="AQ215" s="335"/>
      <c r="AR215" s="1185"/>
      <c r="AS215" s="1185"/>
    </row>
    <row r="216" spans="1:45" s="2" customFormat="1" ht="15" thickBot="1" x14ac:dyDescent="0.4">
      <c r="A216" s="1198"/>
      <c r="B216" s="1179"/>
      <c r="C216" s="1196"/>
      <c r="D216" s="1201"/>
      <c r="E216" s="340" t="s">
        <v>185</v>
      </c>
      <c r="F216" s="341"/>
      <c r="G216" s="342"/>
      <c r="H216" s="342"/>
      <c r="I216" s="342"/>
      <c r="J216" s="342"/>
      <c r="K216" s="342"/>
      <c r="L216" s="342"/>
      <c r="M216" s="342"/>
      <c r="N216" s="342"/>
      <c r="O216" s="342"/>
      <c r="P216" s="342"/>
      <c r="Q216" s="1089"/>
      <c r="R216" s="1085"/>
      <c r="S216" s="342"/>
      <c r="T216" s="342"/>
      <c r="U216" s="342"/>
      <c r="V216" s="342"/>
      <c r="W216" s="342"/>
      <c r="X216" s="342"/>
      <c r="Y216" s="342"/>
      <c r="Z216" s="342"/>
      <c r="AA216" s="342"/>
      <c r="AB216" s="342"/>
      <c r="AC216" s="1089"/>
      <c r="AD216" s="342"/>
      <c r="AE216" s="342"/>
      <c r="AF216" s="342"/>
      <c r="AG216" s="342"/>
      <c r="AH216" s="342"/>
      <c r="AI216" s="342"/>
      <c r="AJ216" s="342"/>
      <c r="AK216" s="342"/>
      <c r="AL216" s="342"/>
      <c r="AM216" s="342"/>
      <c r="AN216" s="342"/>
      <c r="AO216" s="342"/>
      <c r="AP216" s="344"/>
      <c r="AQ216" s="335"/>
      <c r="AR216" s="1185"/>
      <c r="AS216" s="1185"/>
    </row>
    <row r="217" spans="1:45" s="2" customFormat="1" ht="26.5" thickBot="1" x14ac:dyDescent="0.4">
      <c r="A217" s="1198"/>
      <c r="B217" s="1179"/>
      <c r="C217" s="1196"/>
      <c r="D217" s="1201"/>
      <c r="E217" s="1193" t="s">
        <v>175</v>
      </c>
      <c r="F217" s="1194"/>
      <c r="G217" s="1194"/>
      <c r="H217" s="1194"/>
      <c r="I217" s="1194"/>
      <c r="J217" s="1194"/>
      <c r="K217" s="1194"/>
      <c r="L217" s="1194"/>
      <c r="M217" s="1194"/>
      <c r="N217" s="1194"/>
      <c r="O217" s="1194"/>
      <c r="P217" s="1194"/>
      <c r="Q217" s="1194"/>
      <c r="R217" s="1194"/>
      <c r="S217" s="1194"/>
      <c r="T217" s="1194"/>
      <c r="U217" s="1194"/>
      <c r="V217" s="1194"/>
      <c r="W217" s="1194"/>
      <c r="X217" s="1194"/>
      <c r="Y217" s="1194"/>
      <c r="Z217" s="1194"/>
      <c r="AA217" s="1194"/>
      <c r="AB217" s="1194"/>
      <c r="AC217" s="1194"/>
      <c r="AD217" s="1194"/>
      <c r="AE217" s="1194"/>
      <c r="AF217" s="1194"/>
      <c r="AG217" s="1194"/>
      <c r="AH217" s="1194"/>
      <c r="AI217" s="1194"/>
      <c r="AJ217" s="1194"/>
      <c r="AK217" s="1194"/>
      <c r="AL217" s="1194"/>
      <c r="AM217" s="1194"/>
      <c r="AN217" s="1194"/>
      <c r="AO217" s="1194"/>
      <c r="AP217" s="348" t="e">
        <f>SUM(AP219:AP220)/AP212</f>
        <v>#DIV/0!</v>
      </c>
      <c r="AQ217" s="349" t="s">
        <v>186</v>
      </c>
      <c r="AR217" s="1185"/>
      <c r="AS217" s="1185"/>
    </row>
    <row r="218" spans="1:45" s="2" customFormat="1" x14ac:dyDescent="0.35">
      <c r="A218" s="1198"/>
      <c r="B218" s="1179"/>
      <c r="C218" s="1196"/>
      <c r="D218" s="1201"/>
      <c r="E218" s="62" t="s">
        <v>187</v>
      </c>
      <c r="F218" s="44">
        <f>SUM(F219:F222)</f>
        <v>0</v>
      </c>
      <c r="G218" s="43">
        <f>SUM(G219:G222)</f>
        <v>0</v>
      </c>
      <c r="H218" s="43">
        <f t="shared" ref="H218:AO218" si="43">SUM(H219:H222)</f>
        <v>0</v>
      </c>
      <c r="I218" s="43">
        <f t="shared" si="43"/>
        <v>0</v>
      </c>
      <c r="J218" s="43">
        <f t="shared" si="43"/>
        <v>0</v>
      </c>
      <c r="K218" s="43">
        <f t="shared" si="43"/>
        <v>0</v>
      </c>
      <c r="L218" s="43">
        <f t="shared" si="43"/>
        <v>0</v>
      </c>
      <c r="M218" s="43">
        <f t="shared" si="43"/>
        <v>0</v>
      </c>
      <c r="N218" s="43">
        <f t="shared" si="43"/>
        <v>0</v>
      </c>
      <c r="O218" s="43">
        <f t="shared" si="43"/>
        <v>0</v>
      </c>
      <c r="P218" s="43">
        <f t="shared" si="43"/>
        <v>0</v>
      </c>
      <c r="Q218" s="43">
        <f t="shared" si="43"/>
        <v>0</v>
      </c>
      <c r="R218" s="43">
        <f t="shared" si="43"/>
        <v>0</v>
      </c>
      <c r="S218" s="43">
        <f t="shared" si="43"/>
        <v>0</v>
      </c>
      <c r="T218" s="43">
        <f t="shared" si="43"/>
        <v>0</v>
      </c>
      <c r="U218" s="43">
        <f t="shared" si="43"/>
        <v>0</v>
      </c>
      <c r="V218" s="43">
        <f t="shared" si="43"/>
        <v>0</v>
      </c>
      <c r="W218" s="43">
        <f t="shared" si="43"/>
        <v>0</v>
      </c>
      <c r="X218" s="43">
        <f t="shared" si="43"/>
        <v>0</v>
      </c>
      <c r="Y218" s="43">
        <f t="shared" si="43"/>
        <v>0</v>
      </c>
      <c r="Z218" s="43">
        <f t="shared" si="43"/>
        <v>0</v>
      </c>
      <c r="AA218" s="43">
        <f t="shared" si="43"/>
        <v>0</v>
      </c>
      <c r="AB218" s="43">
        <f t="shared" si="43"/>
        <v>0</v>
      </c>
      <c r="AC218" s="43">
        <f t="shared" si="43"/>
        <v>0</v>
      </c>
      <c r="AD218" s="43">
        <f t="shared" si="43"/>
        <v>0</v>
      </c>
      <c r="AE218" s="43">
        <f t="shared" si="43"/>
        <v>0</v>
      </c>
      <c r="AF218" s="43">
        <f t="shared" si="43"/>
        <v>0</v>
      </c>
      <c r="AG218" s="43">
        <f t="shared" si="43"/>
        <v>0</v>
      </c>
      <c r="AH218" s="43">
        <f t="shared" si="43"/>
        <v>0</v>
      </c>
      <c r="AI218" s="43">
        <f t="shared" si="43"/>
        <v>0</v>
      </c>
      <c r="AJ218" s="43">
        <f t="shared" si="43"/>
        <v>0</v>
      </c>
      <c r="AK218" s="43">
        <f t="shared" si="43"/>
        <v>0</v>
      </c>
      <c r="AL218" s="43">
        <f t="shared" si="43"/>
        <v>0</v>
      </c>
      <c r="AM218" s="43">
        <f t="shared" si="43"/>
        <v>0</v>
      </c>
      <c r="AN218" s="43">
        <f t="shared" si="43"/>
        <v>0</v>
      </c>
      <c r="AO218" s="43">
        <f t="shared" si="43"/>
        <v>0</v>
      </c>
      <c r="AP218" s="65"/>
      <c r="AQ218" s="65"/>
      <c r="AR218" s="1185"/>
      <c r="AS218" s="1185"/>
    </row>
    <row r="219" spans="1:45" s="2" customFormat="1" x14ac:dyDescent="0.35">
      <c r="A219" s="1198"/>
      <c r="B219" s="1179"/>
      <c r="C219" s="1196"/>
      <c r="D219" s="1201"/>
      <c r="E219" s="63" t="s">
        <v>188</v>
      </c>
      <c r="F219" s="23"/>
      <c r="G219" s="26"/>
      <c r="H219" s="26"/>
      <c r="I219" s="26"/>
      <c r="J219" s="26"/>
      <c r="K219" s="26"/>
      <c r="L219" s="26"/>
      <c r="M219" s="26"/>
      <c r="N219" s="26"/>
      <c r="O219" s="26"/>
      <c r="P219" s="26"/>
      <c r="Q219" s="1086"/>
      <c r="R219" s="1082"/>
      <c r="S219" s="26"/>
      <c r="T219" s="26"/>
      <c r="U219" s="26"/>
      <c r="V219" s="26"/>
      <c r="W219" s="26"/>
      <c r="X219" s="26"/>
      <c r="Y219" s="26"/>
      <c r="Z219" s="26"/>
      <c r="AA219" s="26"/>
      <c r="AB219" s="26"/>
      <c r="AC219" s="1086"/>
      <c r="AD219" s="26"/>
      <c r="AE219" s="26"/>
      <c r="AF219" s="26"/>
      <c r="AG219" s="26"/>
      <c r="AH219" s="26"/>
      <c r="AI219" s="26"/>
      <c r="AJ219" s="26"/>
      <c r="AK219" s="26"/>
      <c r="AL219" s="26"/>
      <c r="AM219" s="26"/>
      <c r="AN219" s="26"/>
      <c r="AO219" s="26"/>
      <c r="AP219" s="65">
        <f>SUM(F219:AO219)</f>
        <v>0</v>
      </c>
      <c r="AQ219" s="346" t="e">
        <f>AP219/AP213</f>
        <v>#DIV/0!</v>
      </c>
      <c r="AR219" s="1185"/>
      <c r="AS219" s="1185"/>
    </row>
    <row r="220" spans="1:45" s="2" customFormat="1" x14ac:dyDescent="0.35">
      <c r="A220" s="1198"/>
      <c r="B220" s="1179"/>
      <c r="C220" s="1196"/>
      <c r="D220" s="1201"/>
      <c r="E220" s="37" t="s">
        <v>189</v>
      </c>
      <c r="F220" s="33"/>
      <c r="G220" s="32"/>
      <c r="H220" s="32"/>
      <c r="I220" s="32"/>
      <c r="J220" s="32"/>
      <c r="K220" s="32"/>
      <c r="L220" s="32"/>
      <c r="M220" s="32"/>
      <c r="N220" s="32"/>
      <c r="O220" s="32"/>
      <c r="P220" s="32"/>
      <c r="Q220" s="1092"/>
      <c r="R220" s="1090"/>
      <c r="S220" s="32"/>
      <c r="T220" s="32"/>
      <c r="U220" s="32"/>
      <c r="V220" s="32"/>
      <c r="W220" s="32"/>
      <c r="X220" s="32"/>
      <c r="Y220" s="32"/>
      <c r="Z220" s="32"/>
      <c r="AA220" s="32"/>
      <c r="AB220" s="32"/>
      <c r="AC220" s="1092"/>
      <c r="AD220" s="32"/>
      <c r="AE220" s="32"/>
      <c r="AF220" s="32"/>
      <c r="AG220" s="32"/>
      <c r="AH220" s="32"/>
      <c r="AI220" s="32"/>
      <c r="AJ220" s="32"/>
      <c r="AK220" s="32"/>
      <c r="AL220" s="32"/>
      <c r="AM220" s="32"/>
      <c r="AN220" s="32"/>
      <c r="AO220" s="32"/>
      <c r="AP220" s="65">
        <f>SUM(F220:AO220)</f>
        <v>0</v>
      </c>
      <c r="AQ220" s="346" t="e">
        <f>AP220/AP214</f>
        <v>#DIV/0!</v>
      </c>
      <c r="AR220" s="1185"/>
      <c r="AS220" s="1185"/>
    </row>
    <row r="221" spans="1:45" s="2" customFormat="1" x14ac:dyDescent="0.35">
      <c r="A221" s="1198"/>
      <c r="B221" s="1179"/>
      <c r="C221" s="1196"/>
      <c r="D221" s="1201"/>
      <c r="E221" s="36" t="s">
        <v>190</v>
      </c>
      <c r="F221" s="29"/>
      <c r="G221" s="30"/>
      <c r="H221" s="30"/>
      <c r="I221" s="30"/>
      <c r="J221" s="30"/>
      <c r="K221" s="30"/>
      <c r="L221" s="30"/>
      <c r="M221" s="30"/>
      <c r="N221" s="30"/>
      <c r="O221" s="30"/>
      <c r="P221" s="30"/>
      <c r="Q221" s="1088"/>
      <c r="R221" s="1084"/>
      <c r="S221" s="30"/>
      <c r="T221" s="30"/>
      <c r="U221" s="30"/>
      <c r="V221" s="30"/>
      <c r="W221" s="30"/>
      <c r="X221" s="30"/>
      <c r="Y221" s="30"/>
      <c r="Z221" s="30"/>
      <c r="AA221" s="30"/>
      <c r="AB221" s="30"/>
      <c r="AC221" s="1088"/>
      <c r="AD221" s="30"/>
      <c r="AE221" s="30"/>
      <c r="AF221" s="30"/>
      <c r="AG221" s="30"/>
      <c r="AH221" s="30"/>
      <c r="AI221" s="30"/>
      <c r="AJ221" s="30"/>
      <c r="AK221" s="30"/>
      <c r="AL221" s="30"/>
      <c r="AM221" s="30"/>
      <c r="AN221" s="30"/>
      <c r="AO221" s="30"/>
      <c r="AP221" s="65"/>
      <c r="AQ221" s="65"/>
      <c r="AR221" s="1185"/>
      <c r="AS221" s="1185"/>
    </row>
    <row r="222" spans="1:45" s="2" customFormat="1" ht="15" thickBot="1" x14ac:dyDescent="0.4">
      <c r="A222" s="1199"/>
      <c r="B222" s="1180"/>
      <c r="C222" s="1197"/>
      <c r="D222" s="1202"/>
      <c r="E222" s="64" t="s">
        <v>191</v>
      </c>
      <c r="F222" s="25"/>
      <c r="G222" s="28"/>
      <c r="H222" s="28"/>
      <c r="I222" s="28"/>
      <c r="J222" s="28"/>
      <c r="K222" s="28"/>
      <c r="L222" s="28"/>
      <c r="M222" s="28"/>
      <c r="N222" s="28"/>
      <c r="O222" s="28"/>
      <c r="P222" s="28"/>
      <c r="Q222" s="1093"/>
      <c r="R222" s="1091"/>
      <c r="S222" s="28"/>
      <c r="T222" s="28"/>
      <c r="U222" s="28"/>
      <c r="V222" s="28"/>
      <c r="W222" s="28"/>
      <c r="X222" s="28"/>
      <c r="Y222" s="28"/>
      <c r="Z222" s="28"/>
      <c r="AA222" s="28"/>
      <c r="AB222" s="28"/>
      <c r="AC222" s="1093"/>
      <c r="AD222" s="28"/>
      <c r="AE222" s="28"/>
      <c r="AF222" s="28"/>
      <c r="AG222" s="28"/>
      <c r="AH222" s="28"/>
      <c r="AI222" s="28"/>
      <c r="AJ222" s="28"/>
      <c r="AK222" s="28"/>
      <c r="AL222" s="28"/>
      <c r="AM222" s="28"/>
      <c r="AN222" s="28"/>
      <c r="AO222" s="28"/>
      <c r="AP222" s="137"/>
      <c r="AQ222" s="137"/>
      <c r="AR222" s="1186"/>
      <c r="AS222" s="1186"/>
    </row>
    <row r="223" spans="1:45" s="2" customFormat="1" x14ac:dyDescent="0.35">
      <c r="A223" s="1198">
        <v>21</v>
      </c>
      <c r="B223" s="1178" t="str">
        <f>IF(VLOOKUP(A:A,'Pivot Table'!Z:AE,6,FALSE)=0,"",VLOOKUP(A:A,'Pivot Table'!Z:AE,6,FALSE))</f>
        <v/>
      </c>
      <c r="C223" s="1195" t="str">
        <f>_xlfn.IFNA(VLOOKUP(B:B,'indicator lists'!L:R,3,FALSE),"")</f>
        <v/>
      </c>
      <c r="D223" s="1200" t="str">
        <f>_xlfn.IFNA(VLOOKUP(A:A,'Pivot Table'!P:X,9,FALSE),"")</f>
        <v/>
      </c>
      <c r="E223" s="59" t="s">
        <v>181</v>
      </c>
      <c r="F223" s="60">
        <f>SUM(F224:F227)</f>
        <v>0</v>
      </c>
      <c r="G223" s="61">
        <f>SUM(G224:G227)</f>
        <v>0</v>
      </c>
      <c r="H223" s="61">
        <f t="shared" ref="H223:AO223" si="44">SUM(H224:H227)</f>
        <v>0</v>
      </c>
      <c r="I223" s="61">
        <f t="shared" si="44"/>
        <v>0</v>
      </c>
      <c r="J223" s="61">
        <f t="shared" si="44"/>
        <v>0</v>
      </c>
      <c r="K223" s="61">
        <f t="shared" si="44"/>
        <v>0</v>
      </c>
      <c r="L223" s="61">
        <f t="shared" si="44"/>
        <v>0</v>
      </c>
      <c r="M223" s="61">
        <f t="shared" si="44"/>
        <v>0</v>
      </c>
      <c r="N223" s="61">
        <f t="shared" si="44"/>
        <v>0</v>
      </c>
      <c r="O223" s="61">
        <f t="shared" si="44"/>
        <v>0</v>
      </c>
      <c r="P223" s="61">
        <f t="shared" si="44"/>
        <v>0</v>
      </c>
      <c r="Q223" s="61">
        <f t="shared" si="44"/>
        <v>0</v>
      </c>
      <c r="R223" s="61">
        <f t="shared" si="44"/>
        <v>0</v>
      </c>
      <c r="S223" s="61">
        <f t="shared" si="44"/>
        <v>0</v>
      </c>
      <c r="T223" s="61">
        <f t="shared" si="44"/>
        <v>0</v>
      </c>
      <c r="U223" s="61">
        <f t="shared" si="44"/>
        <v>0</v>
      </c>
      <c r="V223" s="61">
        <f t="shared" si="44"/>
        <v>0</v>
      </c>
      <c r="W223" s="61">
        <f t="shared" si="44"/>
        <v>0</v>
      </c>
      <c r="X223" s="61">
        <f t="shared" si="44"/>
        <v>0</v>
      </c>
      <c r="Y223" s="61">
        <f t="shared" si="44"/>
        <v>0</v>
      </c>
      <c r="Z223" s="61">
        <f t="shared" si="44"/>
        <v>0</v>
      </c>
      <c r="AA223" s="61">
        <f t="shared" si="44"/>
        <v>0</v>
      </c>
      <c r="AB223" s="61">
        <f t="shared" si="44"/>
        <v>0</v>
      </c>
      <c r="AC223" s="61">
        <f t="shared" si="44"/>
        <v>0</v>
      </c>
      <c r="AD223" s="61">
        <f t="shared" si="44"/>
        <v>0</v>
      </c>
      <c r="AE223" s="61">
        <f t="shared" si="44"/>
        <v>0</v>
      </c>
      <c r="AF223" s="61">
        <f t="shared" si="44"/>
        <v>0</v>
      </c>
      <c r="AG223" s="61">
        <f t="shared" si="44"/>
        <v>0</v>
      </c>
      <c r="AH223" s="61">
        <f t="shared" si="44"/>
        <v>0</v>
      </c>
      <c r="AI223" s="61">
        <f t="shared" si="44"/>
        <v>0</v>
      </c>
      <c r="AJ223" s="61">
        <f t="shared" si="44"/>
        <v>0</v>
      </c>
      <c r="AK223" s="61">
        <f t="shared" si="44"/>
        <v>0</v>
      </c>
      <c r="AL223" s="61">
        <f t="shared" si="44"/>
        <v>0</v>
      </c>
      <c r="AM223" s="61">
        <f t="shared" si="44"/>
        <v>0</v>
      </c>
      <c r="AN223" s="61">
        <f t="shared" si="44"/>
        <v>0</v>
      </c>
      <c r="AO223" s="61">
        <f t="shared" si="44"/>
        <v>0</v>
      </c>
      <c r="AP223" s="347">
        <f>SUM(AP224:AP225)</f>
        <v>0</v>
      </c>
      <c r="AQ223" s="134"/>
      <c r="AR223" s="1184"/>
      <c r="AS223" s="1184"/>
    </row>
    <row r="224" spans="1:45" s="2" customFormat="1" x14ac:dyDescent="0.35">
      <c r="A224" s="1198"/>
      <c r="B224" s="1179"/>
      <c r="C224" s="1196"/>
      <c r="D224" s="1201"/>
      <c r="E224" s="63" t="s">
        <v>182</v>
      </c>
      <c r="F224" s="23"/>
      <c r="G224" s="26"/>
      <c r="H224" s="26"/>
      <c r="I224" s="26"/>
      <c r="J224" s="26"/>
      <c r="K224" s="26"/>
      <c r="L224" s="26"/>
      <c r="M224" s="26"/>
      <c r="N224" s="26"/>
      <c r="O224" s="26"/>
      <c r="P224" s="26"/>
      <c r="Q224" s="1086"/>
      <c r="R224" s="1082"/>
      <c r="S224" s="26"/>
      <c r="T224" s="26"/>
      <c r="U224" s="26"/>
      <c r="V224" s="26"/>
      <c r="W224" s="26"/>
      <c r="X224" s="26"/>
      <c r="Y224" s="26"/>
      <c r="Z224" s="26"/>
      <c r="AA224" s="26"/>
      <c r="AB224" s="26"/>
      <c r="AC224" s="1086"/>
      <c r="AD224" s="26"/>
      <c r="AE224" s="26"/>
      <c r="AF224" s="26"/>
      <c r="AG224" s="26"/>
      <c r="AH224" s="26"/>
      <c r="AI224" s="26"/>
      <c r="AJ224" s="26"/>
      <c r="AK224" s="26"/>
      <c r="AL224" s="26"/>
      <c r="AM224" s="26"/>
      <c r="AN224" s="26"/>
      <c r="AO224" s="26"/>
      <c r="AP224" s="344">
        <f>SUM(F224:AO224)</f>
        <v>0</v>
      </c>
      <c r="AQ224" s="135"/>
      <c r="AR224" s="1185"/>
      <c r="AS224" s="1185"/>
    </row>
    <row r="225" spans="1:45" s="2" customFormat="1" x14ac:dyDescent="0.35">
      <c r="A225" s="1198"/>
      <c r="B225" s="1179"/>
      <c r="C225" s="1196"/>
      <c r="D225" s="1201"/>
      <c r="E225" s="336" t="s">
        <v>183</v>
      </c>
      <c r="F225" s="337"/>
      <c r="G225" s="338"/>
      <c r="H225" s="338"/>
      <c r="I225" s="338"/>
      <c r="J225" s="338"/>
      <c r="K225" s="338"/>
      <c r="L225" s="338"/>
      <c r="M225" s="338"/>
      <c r="N225" s="338"/>
      <c r="O225" s="338"/>
      <c r="P225" s="338"/>
      <c r="Q225" s="1087"/>
      <c r="R225" s="1083"/>
      <c r="S225" s="338"/>
      <c r="T225" s="338"/>
      <c r="U225" s="338"/>
      <c r="V225" s="338"/>
      <c r="W225" s="338"/>
      <c r="X225" s="338"/>
      <c r="Y225" s="338"/>
      <c r="Z225" s="338"/>
      <c r="AA225" s="338"/>
      <c r="AB225" s="338"/>
      <c r="AC225" s="1087"/>
      <c r="AD225" s="338"/>
      <c r="AE225" s="338"/>
      <c r="AF225" s="338"/>
      <c r="AG225" s="338"/>
      <c r="AH225" s="338"/>
      <c r="AI225" s="338"/>
      <c r="AJ225" s="338"/>
      <c r="AK225" s="338"/>
      <c r="AL225" s="338"/>
      <c r="AM225" s="338"/>
      <c r="AN225" s="338"/>
      <c r="AO225" s="338"/>
      <c r="AP225" s="344">
        <f>SUM(F225:AO225)</f>
        <v>0</v>
      </c>
      <c r="AQ225" s="335"/>
      <c r="AR225" s="1185"/>
      <c r="AS225" s="1185"/>
    </row>
    <row r="226" spans="1:45" s="2" customFormat="1" x14ac:dyDescent="0.35">
      <c r="A226" s="1198"/>
      <c r="B226" s="1179"/>
      <c r="C226" s="1196"/>
      <c r="D226" s="1201"/>
      <c r="E226" s="36" t="s">
        <v>184</v>
      </c>
      <c r="F226" s="29"/>
      <c r="G226" s="30"/>
      <c r="H226" s="30"/>
      <c r="I226" s="30"/>
      <c r="J226" s="30"/>
      <c r="K226" s="30"/>
      <c r="L226" s="30"/>
      <c r="M226" s="30"/>
      <c r="N226" s="30"/>
      <c r="O226" s="30"/>
      <c r="P226" s="30"/>
      <c r="Q226" s="1088"/>
      <c r="R226" s="1084"/>
      <c r="S226" s="30"/>
      <c r="T226" s="30"/>
      <c r="U226" s="30"/>
      <c r="V226" s="30"/>
      <c r="W226" s="30"/>
      <c r="X226" s="30"/>
      <c r="Y226" s="30"/>
      <c r="Z226" s="30"/>
      <c r="AA226" s="30"/>
      <c r="AB226" s="30"/>
      <c r="AC226" s="1088"/>
      <c r="AD226" s="30"/>
      <c r="AE226" s="30"/>
      <c r="AF226" s="30"/>
      <c r="AG226" s="30"/>
      <c r="AH226" s="30"/>
      <c r="AI226" s="30"/>
      <c r="AJ226" s="30"/>
      <c r="AK226" s="30"/>
      <c r="AL226" s="30"/>
      <c r="AM226" s="30"/>
      <c r="AN226" s="30"/>
      <c r="AO226" s="30"/>
      <c r="AP226" s="344"/>
      <c r="AQ226" s="335"/>
      <c r="AR226" s="1185"/>
      <c r="AS226" s="1185"/>
    </row>
    <row r="227" spans="1:45" s="2" customFormat="1" ht="15" thickBot="1" x14ac:dyDescent="0.4">
      <c r="A227" s="1198"/>
      <c r="B227" s="1179"/>
      <c r="C227" s="1196"/>
      <c r="D227" s="1201"/>
      <c r="E227" s="340" t="s">
        <v>185</v>
      </c>
      <c r="F227" s="341"/>
      <c r="G227" s="342"/>
      <c r="H227" s="342"/>
      <c r="I227" s="342"/>
      <c r="J227" s="342"/>
      <c r="K227" s="342"/>
      <c r="L227" s="342"/>
      <c r="M227" s="342"/>
      <c r="N227" s="342"/>
      <c r="O227" s="342"/>
      <c r="P227" s="342"/>
      <c r="Q227" s="1089"/>
      <c r="R227" s="1085"/>
      <c r="S227" s="342"/>
      <c r="T227" s="342"/>
      <c r="U227" s="342"/>
      <c r="V227" s="342"/>
      <c r="W227" s="342"/>
      <c r="X227" s="342"/>
      <c r="Y227" s="342"/>
      <c r="Z227" s="342"/>
      <c r="AA227" s="342"/>
      <c r="AB227" s="342"/>
      <c r="AC227" s="1089"/>
      <c r="AD227" s="342"/>
      <c r="AE227" s="342"/>
      <c r="AF227" s="342"/>
      <c r="AG227" s="342"/>
      <c r="AH227" s="342"/>
      <c r="AI227" s="342"/>
      <c r="AJ227" s="342"/>
      <c r="AK227" s="342"/>
      <c r="AL227" s="342"/>
      <c r="AM227" s="342"/>
      <c r="AN227" s="342"/>
      <c r="AO227" s="342"/>
      <c r="AP227" s="344"/>
      <c r="AQ227" s="335"/>
      <c r="AR227" s="1185"/>
      <c r="AS227" s="1185"/>
    </row>
    <row r="228" spans="1:45" s="2" customFormat="1" ht="26.5" thickBot="1" x14ac:dyDescent="0.4">
      <c r="A228" s="1198"/>
      <c r="B228" s="1179"/>
      <c r="C228" s="1196"/>
      <c r="D228" s="1201"/>
      <c r="E228" s="1193" t="s">
        <v>175</v>
      </c>
      <c r="F228" s="1194"/>
      <c r="G228" s="1194"/>
      <c r="H228" s="1194"/>
      <c r="I228" s="1194"/>
      <c r="J228" s="1194"/>
      <c r="K228" s="1194"/>
      <c r="L228" s="1194"/>
      <c r="M228" s="1194"/>
      <c r="N228" s="1194"/>
      <c r="O228" s="1194"/>
      <c r="P228" s="1194"/>
      <c r="Q228" s="1194"/>
      <c r="R228" s="1194"/>
      <c r="S228" s="1194"/>
      <c r="T228" s="1194"/>
      <c r="U228" s="1194"/>
      <c r="V228" s="1194"/>
      <c r="W228" s="1194"/>
      <c r="X228" s="1194"/>
      <c r="Y228" s="1194"/>
      <c r="Z228" s="1194"/>
      <c r="AA228" s="1194"/>
      <c r="AB228" s="1194"/>
      <c r="AC228" s="1194"/>
      <c r="AD228" s="1194"/>
      <c r="AE228" s="1194"/>
      <c r="AF228" s="1194"/>
      <c r="AG228" s="1194"/>
      <c r="AH228" s="1194"/>
      <c r="AI228" s="1194"/>
      <c r="AJ228" s="1194"/>
      <c r="AK228" s="1194"/>
      <c r="AL228" s="1194"/>
      <c r="AM228" s="1194"/>
      <c r="AN228" s="1194"/>
      <c r="AO228" s="1194"/>
      <c r="AP228" s="348" t="e">
        <f>SUM(AP230:AP231)/AP223</f>
        <v>#DIV/0!</v>
      </c>
      <c r="AQ228" s="349" t="s">
        <v>186</v>
      </c>
      <c r="AR228" s="1185"/>
      <c r="AS228" s="1185"/>
    </row>
    <row r="229" spans="1:45" s="2" customFormat="1" x14ac:dyDescent="0.35">
      <c r="A229" s="1198"/>
      <c r="B229" s="1179"/>
      <c r="C229" s="1196"/>
      <c r="D229" s="1201"/>
      <c r="E229" s="62" t="s">
        <v>187</v>
      </c>
      <c r="F229" s="44">
        <f>SUM(F230:F233)</f>
        <v>0</v>
      </c>
      <c r="G229" s="43">
        <f>SUM(G230:G233)</f>
        <v>0</v>
      </c>
      <c r="H229" s="43">
        <f t="shared" ref="H229:AO229" si="45">SUM(H230:H233)</f>
        <v>0</v>
      </c>
      <c r="I229" s="43">
        <f t="shared" si="45"/>
        <v>0</v>
      </c>
      <c r="J229" s="43">
        <f t="shared" si="45"/>
        <v>0</v>
      </c>
      <c r="K229" s="43">
        <f t="shared" si="45"/>
        <v>0</v>
      </c>
      <c r="L229" s="43">
        <f t="shared" si="45"/>
        <v>0</v>
      </c>
      <c r="M229" s="43">
        <f t="shared" si="45"/>
        <v>0</v>
      </c>
      <c r="N229" s="43">
        <f t="shared" si="45"/>
        <v>0</v>
      </c>
      <c r="O229" s="43">
        <f t="shared" si="45"/>
        <v>0</v>
      </c>
      <c r="P229" s="43">
        <f t="shared" si="45"/>
        <v>0</v>
      </c>
      <c r="Q229" s="43">
        <f t="shared" si="45"/>
        <v>0</v>
      </c>
      <c r="R229" s="43">
        <f t="shared" si="45"/>
        <v>0</v>
      </c>
      <c r="S229" s="43">
        <f t="shared" si="45"/>
        <v>0</v>
      </c>
      <c r="T229" s="43">
        <f t="shared" si="45"/>
        <v>0</v>
      </c>
      <c r="U229" s="43">
        <f t="shared" si="45"/>
        <v>0</v>
      </c>
      <c r="V229" s="43">
        <f t="shared" si="45"/>
        <v>0</v>
      </c>
      <c r="W229" s="43">
        <f t="shared" si="45"/>
        <v>0</v>
      </c>
      <c r="X229" s="43">
        <f t="shared" si="45"/>
        <v>0</v>
      </c>
      <c r="Y229" s="43">
        <f t="shared" si="45"/>
        <v>0</v>
      </c>
      <c r="Z229" s="43">
        <f t="shared" si="45"/>
        <v>0</v>
      </c>
      <c r="AA229" s="43">
        <f t="shared" si="45"/>
        <v>0</v>
      </c>
      <c r="AB229" s="43">
        <f t="shared" si="45"/>
        <v>0</v>
      </c>
      <c r="AC229" s="43">
        <f t="shared" si="45"/>
        <v>0</v>
      </c>
      <c r="AD229" s="43">
        <f t="shared" si="45"/>
        <v>0</v>
      </c>
      <c r="AE229" s="43">
        <f t="shared" si="45"/>
        <v>0</v>
      </c>
      <c r="AF229" s="43">
        <f t="shared" si="45"/>
        <v>0</v>
      </c>
      <c r="AG229" s="43">
        <f t="shared" si="45"/>
        <v>0</v>
      </c>
      <c r="AH229" s="43">
        <f t="shared" si="45"/>
        <v>0</v>
      </c>
      <c r="AI229" s="43">
        <f t="shared" si="45"/>
        <v>0</v>
      </c>
      <c r="AJ229" s="43">
        <f t="shared" si="45"/>
        <v>0</v>
      </c>
      <c r="AK229" s="43">
        <f t="shared" si="45"/>
        <v>0</v>
      </c>
      <c r="AL229" s="43">
        <f t="shared" si="45"/>
        <v>0</v>
      </c>
      <c r="AM229" s="43">
        <f t="shared" si="45"/>
        <v>0</v>
      </c>
      <c r="AN229" s="43">
        <f t="shared" si="45"/>
        <v>0</v>
      </c>
      <c r="AO229" s="43">
        <f t="shared" si="45"/>
        <v>0</v>
      </c>
      <c r="AP229" s="65"/>
      <c r="AQ229" s="65"/>
      <c r="AR229" s="1185"/>
      <c r="AS229" s="1185"/>
    </row>
    <row r="230" spans="1:45" s="2" customFormat="1" x14ac:dyDescent="0.35">
      <c r="A230" s="1198"/>
      <c r="B230" s="1179"/>
      <c r="C230" s="1196"/>
      <c r="D230" s="1201"/>
      <c r="E230" s="63" t="s">
        <v>188</v>
      </c>
      <c r="F230" s="23"/>
      <c r="G230" s="26"/>
      <c r="H230" s="26"/>
      <c r="I230" s="26"/>
      <c r="J230" s="26"/>
      <c r="K230" s="26"/>
      <c r="L230" s="26"/>
      <c r="M230" s="26"/>
      <c r="N230" s="26"/>
      <c r="O230" s="26"/>
      <c r="P230" s="26"/>
      <c r="Q230" s="1086"/>
      <c r="R230" s="1082"/>
      <c r="S230" s="26"/>
      <c r="T230" s="26"/>
      <c r="U230" s="26"/>
      <c r="V230" s="26"/>
      <c r="W230" s="26"/>
      <c r="X230" s="26"/>
      <c r="Y230" s="26"/>
      <c r="Z230" s="26"/>
      <c r="AA230" s="26"/>
      <c r="AB230" s="26"/>
      <c r="AC230" s="1086"/>
      <c r="AD230" s="26"/>
      <c r="AE230" s="26"/>
      <c r="AF230" s="26"/>
      <c r="AG230" s="26"/>
      <c r="AH230" s="26"/>
      <c r="AI230" s="26"/>
      <c r="AJ230" s="26"/>
      <c r="AK230" s="26"/>
      <c r="AL230" s="26"/>
      <c r="AM230" s="26"/>
      <c r="AN230" s="26"/>
      <c r="AO230" s="26"/>
      <c r="AP230" s="65">
        <f>SUM(F230:AO230)</f>
        <v>0</v>
      </c>
      <c r="AQ230" s="346" t="e">
        <f>AP230/AP224</f>
        <v>#DIV/0!</v>
      </c>
      <c r="AR230" s="1185"/>
      <c r="AS230" s="1185"/>
    </row>
    <row r="231" spans="1:45" s="2" customFormat="1" x14ac:dyDescent="0.35">
      <c r="A231" s="1198"/>
      <c r="B231" s="1179"/>
      <c r="C231" s="1196"/>
      <c r="D231" s="1201"/>
      <c r="E231" s="37" t="s">
        <v>189</v>
      </c>
      <c r="F231" s="33"/>
      <c r="G231" s="32"/>
      <c r="H231" s="32"/>
      <c r="I231" s="32"/>
      <c r="J231" s="32"/>
      <c r="K231" s="32"/>
      <c r="L231" s="32"/>
      <c r="M231" s="32"/>
      <c r="N231" s="32"/>
      <c r="O231" s="32"/>
      <c r="P231" s="32"/>
      <c r="Q231" s="1092"/>
      <c r="R231" s="1090"/>
      <c r="S231" s="32"/>
      <c r="T231" s="32"/>
      <c r="U231" s="32"/>
      <c r="V231" s="32"/>
      <c r="W231" s="32"/>
      <c r="X231" s="32"/>
      <c r="Y231" s="32"/>
      <c r="Z231" s="32"/>
      <c r="AA231" s="32"/>
      <c r="AB231" s="32"/>
      <c r="AC231" s="1092"/>
      <c r="AD231" s="32"/>
      <c r="AE231" s="32"/>
      <c r="AF231" s="32"/>
      <c r="AG231" s="32"/>
      <c r="AH231" s="32"/>
      <c r="AI231" s="32"/>
      <c r="AJ231" s="32"/>
      <c r="AK231" s="32"/>
      <c r="AL231" s="32"/>
      <c r="AM231" s="32"/>
      <c r="AN231" s="32"/>
      <c r="AO231" s="32"/>
      <c r="AP231" s="65">
        <f>SUM(F231:AO231)</f>
        <v>0</v>
      </c>
      <c r="AQ231" s="346" t="e">
        <f>AP231/AP225</f>
        <v>#DIV/0!</v>
      </c>
      <c r="AR231" s="1185"/>
      <c r="AS231" s="1185"/>
    </row>
    <row r="232" spans="1:45" s="2" customFormat="1" x14ac:dyDescent="0.35">
      <c r="A232" s="1198"/>
      <c r="B232" s="1179"/>
      <c r="C232" s="1196"/>
      <c r="D232" s="1201"/>
      <c r="E232" s="36" t="s">
        <v>190</v>
      </c>
      <c r="F232" s="29"/>
      <c r="G232" s="30"/>
      <c r="H232" s="30"/>
      <c r="I232" s="30"/>
      <c r="J232" s="30"/>
      <c r="K232" s="30"/>
      <c r="L232" s="30"/>
      <c r="M232" s="30"/>
      <c r="N232" s="30"/>
      <c r="O232" s="30"/>
      <c r="P232" s="30"/>
      <c r="Q232" s="1088"/>
      <c r="R232" s="1084"/>
      <c r="S232" s="30"/>
      <c r="T232" s="30"/>
      <c r="U232" s="30"/>
      <c r="V232" s="30"/>
      <c r="W232" s="30"/>
      <c r="X232" s="30"/>
      <c r="Y232" s="30"/>
      <c r="Z232" s="30"/>
      <c r="AA232" s="30"/>
      <c r="AB232" s="30"/>
      <c r="AC232" s="1088"/>
      <c r="AD232" s="30"/>
      <c r="AE232" s="30"/>
      <c r="AF232" s="30"/>
      <c r="AG232" s="30"/>
      <c r="AH232" s="30"/>
      <c r="AI232" s="30"/>
      <c r="AJ232" s="30"/>
      <c r="AK232" s="30"/>
      <c r="AL232" s="30"/>
      <c r="AM232" s="30"/>
      <c r="AN232" s="30"/>
      <c r="AO232" s="30"/>
      <c r="AP232" s="65"/>
      <c r="AQ232" s="65"/>
      <c r="AR232" s="1185"/>
      <c r="AS232" s="1185"/>
    </row>
    <row r="233" spans="1:45" s="2" customFormat="1" ht="15" thickBot="1" x14ac:dyDescent="0.4">
      <c r="A233" s="1199"/>
      <c r="B233" s="1180"/>
      <c r="C233" s="1197"/>
      <c r="D233" s="1202"/>
      <c r="E233" s="64" t="s">
        <v>191</v>
      </c>
      <c r="F233" s="25"/>
      <c r="G233" s="28"/>
      <c r="H233" s="28"/>
      <c r="I233" s="28"/>
      <c r="J233" s="28"/>
      <c r="K233" s="28"/>
      <c r="L233" s="28"/>
      <c r="M233" s="28"/>
      <c r="N233" s="28"/>
      <c r="O233" s="28"/>
      <c r="P233" s="28"/>
      <c r="Q233" s="1093"/>
      <c r="R233" s="1091"/>
      <c r="S233" s="28"/>
      <c r="T233" s="28"/>
      <c r="U233" s="28"/>
      <c r="V233" s="28"/>
      <c r="W233" s="28"/>
      <c r="X233" s="28"/>
      <c r="Y233" s="28"/>
      <c r="Z233" s="28"/>
      <c r="AA233" s="28"/>
      <c r="AB233" s="28"/>
      <c r="AC233" s="1093"/>
      <c r="AD233" s="28"/>
      <c r="AE233" s="28"/>
      <c r="AF233" s="28"/>
      <c r="AG233" s="28"/>
      <c r="AH233" s="28"/>
      <c r="AI233" s="28"/>
      <c r="AJ233" s="28"/>
      <c r="AK233" s="28"/>
      <c r="AL233" s="28"/>
      <c r="AM233" s="28"/>
      <c r="AN233" s="28"/>
      <c r="AO233" s="28"/>
      <c r="AP233" s="137"/>
      <c r="AQ233" s="137"/>
      <c r="AR233" s="1186"/>
      <c r="AS233" s="1186"/>
    </row>
    <row r="234" spans="1:45" s="2" customFormat="1" x14ac:dyDescent="0.35">
      <c r="A234" s="1198">
        <v>22</v>
      </c>
      <c r="B234" s="1178" t="str">
        <f>IF(VLOOKUP(A:A,'Pivot Table'!Z:AE,6,FALSE)=0,"",VLOOKUP(A:A,'Pivot Table'!Z:AE,6,FALSE))</f>
        <v/>
      </c>
      <c r="C234" s="1195" t="str">
        <f>_xlfn.IFNA(VLOOKUP(B:B,'indicator lists'!L:R,3,FALSE),"")</f>
        <v/>
      </c>
      <c r="D234" s="1200" t="str">
        <f>_xlfn.IFNA(VLOOKUP(A:A,'Pivot Table'!P:X,9,FALSE),"")</f>
        <v/>
      </c>
      <c r="E234" s="59" t="s">
        <v>181</v>
      </c>
      <c r="F234" s="60">
        <f>SUM(F235:F238)</f>
        <v>0</v>
      </c>
      <c r="G234" s="61">
        <f>SUM(G235:G238)</f>
        <v>0</v>
      </c>
      <c r="H234" s="61">
        <f t="shared" ref="H234:AO234" si="46">SUM(H235:H238)</f>
        <v>0</v>
      </c>
      <c r="I234" s="61">
        <f t="shared" si="46"/>
        <v>0</v>
      </c>
      <c r="J234" s="61">
        <f t="shared" si="46"/>
        <v>0</v>
      </c>
      <c r="K234" s="61">
        <f t="shared" si="46"/>
        <v>0</v>
      </c>
      <c r="L234" s="61">
        <f t="shared" si="46"/>
        <v>0</v>
      </c>
      <c r="M234" s="61">
        <f t="shared" si="46"/>
        <v>0</v>
      </c>
      <c r="N234" s="61">
        <f t="shared" si="46"/>
        <v>0</v>
      </c>
      <c r="O234" s="61">
        <f t="shared" si="46"/>
        <v>0</v>
      </c>
      <c r="P234" s="61">
        <f t="shared" si="46"/>
        <v>0</v>
      </c>
      <c r="Q234" s="61">
        <f t="shared" si="46"/>
        <v>0</v>
      </c>
      <c r="R234" s="61">
        <f t="shared" si="46"/>
        <v>0</v>
      </c>
      <c r="S234" s="61">
        <f t="shared" si="46"/>
        <v>0</v>
      </c>
      <c r="T234" s="61">
        <f t="shared" si="46"/>
        <v>0</v>
      </c>
      <c r="U234" s="61">
        <f t="shared" si="46"/>
        <v>0</v>
      </c>
      <c r="V234" s="61">
        <f t="shared" si="46"/>
        <v>0</v>
      </c>
      <c r="W234" s="61">
        <f t="shared" si="46"/>
        <v>0</v>
      </c>
      <c r="X234" s="61">
        <f t="shared" si="46"/>
        <v>0</v>
      </c>
      <c r="Y234" s="61">
        <f t="shared" si="46"/>
        <v>0</v>
      </c>
      <c r="Z234" s="61">
        <f t="shared" si="46"/>
        <v>0</v>
      </c>
      <c r="AA234" s="61">
        <f t="shared" si="46"/>
        <v>0</v>
      </c>
      <c r="AB234" s="61">
        <f t="shared" si="46"/>
        <v>0</v>
      </c>
      <c r="AC234" s="61">
        <f t="shared" si="46"/>
        <v>0</v>
      </c>
      <c r="AD234" s="61">
        <f t="shared" si="46"/>
        <v>0</v>
      </c>
      <c r="AE234" s="61">
        <f t="shared" si="46"/>
        <v>0</v>
      </c>
      <c r="AF234" s="61">
        <f t="shared" si="46"/>
        <v>0</v>
      </c>
      <c r="AG234" s="61">
        <f t="shared" si="46"/>
        <v>0</v>
      </c>
      <c r="AH234" s="61">
        <f t="shared" si="46"/>
        <v>0</v>
      </c>
      <c r="AI234" s="61">
        <f t="shared" si="46"/>
        <v>0</v>
      </c>
      <c r="AJ234" s="61">
        <f t="shared" si="46"/>
        <v>0</v>
      </c>
      <c r="AK234" s="61">
        <f t="shared" si="46"/>
        <v>0</v>
      </c>
      <c r="AL234" s="61">
        <f t="shared" si="46"/>
        <v>0</v>
      </c>
      <c r="AM234" s="61">
        <f t="shared" si="46"/>
        <v>0</v>
      </c>
      <c r="AN234" s="61">
        <f t="shared" si="46"/>
        <v>0</v>
      </c>
      <c r="AO234" s="61">
        <f t="shared" si="46"/>
        <v>0</v>
      </c>
      <c r="AP234" s="347">
        <f>SUM(AP235:AP236)</f>
        <v>0</v>
      </c>
      <c r="AQ234" s="134"/>
      <c r="AR234" s="1184"/>
      <c r="AS234" s="1184"/>
    </row>
    <row r="235" spans="1:45" s="2" customFormat="1" x14ac:dyDescent="0.35">
      <c r="A235" s="1198"/>
      <c r="B235" s="1179"/>
      <c r="C235" s="1196"/>
      <c r="D235" s="1201"/>
      <c r="E235" s="63" t="s">
        <v>182</v>
      </c>
      <c r="F235" s="23"/>
      <c r="G235" s="26"/>
      <c r="H235" s="26"/>
      <c r="I235" s="26"/>
      <c r="J235" s="26"/>
      <c r="K235" s="26"/>
      <c r="L235" s="26"/>
      <c r="M235" s="26"/>
      <c r="N235" s="26"/>
      <c r="O235" s="26"/>
      <c r="P235" s="26"/>
      <c r="Q235" s="1086"/>
      <c r="R235" s="1082"/>
      <c r="S235" s="26"/>
      <c r="T235" s="26"/>
      <c r="U235" s="26"/>
      <c r="V235" s="26"/>
      <c r="W235" s="26"/>
      <c r="X235" s="26"/>
      <c r="Y235" s="26"/>
      <c r="Z235" s="26"/>
      <c r="AA235" s="26"/>
      <c r="AB235" s="26"/>
      <c r="AC235" s="1086"/>
      <c r="AD235" s="26"/>
      <c r="AE235" s="26"/>
      <c r="AF235" s="26"/>
      <c r="AG235" s="26"/>
      <c r="AH235" s="26"/>
      <c r="AI235" s="26"/>
      <c r="AJ235" s="26"/>
      <c r="AK235" s="26"/>
      <c r="AL235" s="26"/>
      <c r="AM235" s="26"/>
      <c r="AN235" s="26"/>
      <c r="AO235" s="26"/>
      <c r="AP235" s="344">
        <f>SUM(F235:AO235)</f>
        <v>0</v>
      </c>
      <c r="AQ235" s="135"/>
      <c r="AR235" s="1185"/>
      <c r="AS235" s="1185"/>
    </row>
    <row r="236" spans="1:45" s="2" customFormat="1" x14ac:dyDescent="0.35">
      <c r="A236" s="1198"/>
      <c r="B236" s="1179"/>
      <c r="C236" s="1196"/>
      <c r="D236" s="1201"/>
      <c r="E236" s="336" t="s">
        <v>183</v>
      </c>
      <c r="F236" s="337"/>
      <c r="G236" s="338"/>
      <c r="H236" s="338"/>
      <c r="I236" s="338"/>
      <c r="J236" s="338"/>
      <c r="K236" s="338"/>
      <c r="L236" s="338"/>
      <c r="M236" s="338"/>
      <c r="N236" s="338"/>
      <c r="O236" s="338"/>
      <c r="P236" s="338"/>
      <c r="Q236" s="1087"/>
      <c r="R236" s="1083"/>
      <c r="S236" s="338"/>
      <c r="T236" s="338"/>
      <c r="U236" s="338"/>
      <c r="V236" s="338"/>
      <c r="W236" s="338"/>
      <c r="X236" s="338"/>
      <c r="Y236" s="338"/>
      <c r="Z236" s="338"/>
      <c r="AA236" s="338"/>
      <c r="AB236" s="338"/>
      <c r="AC236" s="1087"/>
      <c r="AD236" s="338"/>
      <c r="AE236" s="338"/>
      <c r="AF236" s="338"/>
      <c r="AG236" s="338"/>
      <c r="AH236" s="338"/>
      <c r="AI236" s="338"/>
      <c r="AJ236" s="338"/>
      <c r="AK236" s="338"/>
      <c r="AL236" s="338"/>
      <c r="AM236" s="338"/>
      <c r="AN236" s="338"/>
      <c r="AO236" s="338"/>
      <c r="AP236" s="344">
        <f>SUM(F236:AO236)</f>
        <v>0</v>
      </c>
      <c r="AQ236" s="335"/>
      <c r="AR236" s="1185"/>
      <c r="AS236" s="1185"/>
    </row>
    <row r="237" spans="1:45" s="2" customFormat="1" x14ac:dyDescent="0.35">
      <c r="A237" s="1198"/>
      <c r="B237" s="1179"/>
      <c r="C237" s="1196"/>
      <c r="D237" s="1201"/>
      <c r="E237" s="36" t="s">
        <v>184</v>
      </c>
      <c r="F237" s="29"/>
      <c r="G237" s="30"/>
      <c r="H237" s="30"/>
      <c r="I237" s="30"/>
      <c r="J237" s="30"/>
      <c r="K237" s="30"/>
      <c r="L237" s="30"/>
      <c r="M237" s="30"/>
      <c r="N237" s="30"/>
      <c r="O237" s="30"/>
      <c r="P237" s="30"/>
      <c r="Q237" s="1088"/>
      <c r="R237" s="1084"/>
      <c r="S237" s="30"/>
      <c r="T237" s="30"/>
      <c r="U237" s="30"/>
      <c r="V237" s="30"/>
      <c r="W237" s="30"/>
      <c r="X237" s="30"/>
      <c r="Y237" s="30"/>
      <c r="Z237" s="30"/>
      <c r="AA237" s="30"/>
      <c r="AB237" s="30"/>
      <c r="AC237" s="1088"/>
      <c r="AD237" s="30"/>
      <c r="AE237" s="30"/>
      <c r="AF237" s="30"/>
      <c r="AG237" s="30"/>
      <c r="AH237" s="30"/>
      <c r="AI237" s="30"/>
      <c r="AJ237" s="30"/>
      <c r="AK237" s="30"/>
      <c r="AL237" s="30"/>
      <c r="AM237" s="30"/>
      <c r="AN237" s="30"/>
      <c r="AO237" s="30"/>
      <c r="AP237" s="344"/>
      <c r="AQ237" s="335"/>
      <c r="AR237" s="1185"/>
      <c r="AS237" s="1185"/>
    </row>
    <row r="238" spans="1:45" s="2" customFormat="1" ht="15" thickBot="1" x14ac:dyDescent="0.4">
      <c r="A238" s="1198"/>
      <c r="B238" s="1179"/>
      <c r="C238" s="1196"/>
      <c r="D238" s="1201"/>
      <c r="E238" s="340" t="s">
        <v>185</v>
      </c>
      <c r="F238" s="341"/>
      <c r="G238" s="342"/>
      <c r="H238" s="342"/>
      <c r="I238" s="342"/>
      <c r="J238" s="342"/>
      <c r="K238" s="342"/>
      <c r="L238" s="342"/>
      <c r="M238" s="342"/>
      <c r="N238" s="342"/>
      <c r="O238" s="342"/>
      <c r="P238" s="342"/>
      <c r="Q238" s="1089"/>
      <c r="R238" s="1085"/>
      <c r="S238" s="342"/>
      <c r="T238" s="342"/>
      <c r="U238" s="342"/>
      <c r="V238" s="342"/>
      <c r="W238" s="342"/>
      <c r="X238" s="342"/>
      <c r="Y238" s="342"/>
      <c r="Z238" s="342"/>
      <c r="AA238" s="342"/>
      <c r="AB238" s="342"/>
      <c r="AC238" s="1089"/>
      <c r="AD238" s="342"/>
      <c r="AE238" s="342"/>
      <c r="AF238" s="342"/>
      <c r="AG238" s="342"/>
      <c r="AH238" s="342"/>
      <c r="AI238" s="342"/>
      <c r="AJ238" s="342"/>
      <c r="AK238" s="342"/>
      <c r="AL238" s="342"/>
      <c r="AM238" s="342"/>
      <c r="AN238" s="342"/>
      <c r="AO238" s="342"/>
      <c r="AP238" s="344"/>
      <c r="AQ238" s="335"/>
      <c r="AR238" s="1185"/>
      <c r="AS238" s="1185"/>
    </row>
    <row r="239" spans="1:45" s="2" customFormat="1" ht="26.5" thickBot="1" x14ac:dyDescent="0.4">
      <c r="A239" s="1198"/>
      <c r="B239" s="1179"/>
      <c r="C239" s="1196"/>
      <c r="D239" s="1201"/>
      <c r="E239" s="1193" t="s">
        <v>175</v>
      </c>
      <c r="F239" s="1194"/>
      <c r="G239" s="1194"/>
      <c r="H239" s="1194"/>
      <c r="I239" s="1194"/>
      <c r="J239" s="1194"/>
      <c r="K239" s="1194"/>
      <c r="L239" s="1194"/>
      <c r="M239" s="1194"/>
      <c r="N239" s="1194"/>
      <c r="O239" s="1194"/>
      <c r="P239" s="1194"/>
      <c r="Q239" s="1194"/>
      <c r="R239" s="1194"/>
      <c r="S239" s="1194"/>
      <c r="T239" s="1194"/>
      <c r="U239" s="1194"/>
      <c r="V239" s="1194"/>
      <c r="W239" s="1194"/>
      <c r="X239" s="1194"/>
      <c r="Y239" s="1194"/>
      <c r="Z239" s="1194"/>
      <c r="AA239" s="1194"/>
      <c r="AB239" s="1194"/>
      <c r="AC239" s="1194"/>
      <c r="AD239" s="1194"/>
      <c r="AE239" s="1194"/>
      <c r="AF239" s="1194"/>
      <c r="AG239" s="1194"/>
      <c r="AH239" s="1194"/>
      <c r="AI239" s="1194"/>
      <c r="AJ239" s="1194"/>
      <c r="AK239" s="1194"/>
      <c r="AL239" s="1194"/>
      <c r="AM239" s="1194"/>
      <c r="AN239" s="1194"/>
      <c r="AO239" s="1194"/>
      <c r="AP239" s="348" t="e">
        <f>SUM(AP241:AP242)/AP234</f>
        <v>#DIV/0!</v>
      </c>
      <c r="AQ239" s="349" t="s">
        <v>186</v>
      </c>
      <c r="AR239" s="1185"/>
      <c r="AS239" s="1185"/>
    </row>
    <row r="240" spans="1:45" s="2" customFormat="1" x14ac:dyDescent="0.35">
      <c r="A240" s="1198"/>
      <c r="B240" s="1179"/>
      <c r="C240" s="1196"/>
      <c r="D240" s="1201"/>
      <c r="E240" s="62" t="s">
        <v>187</v>
      </c>
      <c r="F240" s="44">
        <f>SUM(F241:F244)</f>
        <v>0</v>
      </c>
      <c r="G240" s="43">
        <f>SUM(G241:G244)</f>
        <v>0</v>
      </c>
      <c r="H240" s="43">
        <f t="shared" ref="H240:AO240" si="47">SUM(H241:H244)</f>
        <v>0</v>
      </c>
      <c r="I240" s="43">
        <f t="shared" si="47"/>
        <v>0</v>
      </c>
      <c r="J240" s="43">
        <f t="shared" si="47"/>
        <v>0</v>
      </c>
      <c r="K240" s="43">
        <f t="shared" si="47"/>
        <v>0</v>
      </c>
      <c r="L240" s="43">
        <f t="shared" si="47"/>
        <v>0</v>
      </c>
      <c r="M240" s="43">
        <f t="shared" si="47"/>
        <v>0</v>
      </c>
      <c r="N240" s="43">
        <f t="shared" si="47"/>
        <v>0</v>
      </c>
      <c r="O240" s="43">
        <f t="shared" si="47"/>
        <v>0</v>
      </c>
      <c r="P240" s="43">
        <f t="shared" si="47"/>
        <v>0</v>
      </c>
      <c r="Q240" s="43">
        <f t="shared" si="47"/>
        <v>0</v>
      </c>
      <c r="R240" s="43">
        <f t="shared" si="47"/>
        <v>0</v>
      </c>
      <c r="S240" s="43">
        <f t="shared" si="47"/>
        <v>0</v>
      </c>
      <c r="T240" s="43">
        <f t="shared" si="47"/>
        <v>0</v>
      </c>
      <c r="U240" s="43">
        <f t="shared" si="47"/>
        <v>0</v>
      </c>
      <c r="V240" s="43">
        <f t="shared" si="47"/>
        <v>0</v>
      </c>
      <c r="W240" s="43">
        <f t="shared" si="47"/>
        <v>0</v>
      </c>
      <c r="X240" s="43">
        <f t="shared" si="47"/>
        <v>0</v>
      </c>
      <c r="Y240" s="43">
        <f t="shared" si="47"/>
        <v>0</v>
      </c>
      <c r="Z240" s="43">
        <f t="shared" si="47"/>
        <v>0</v>
      </c>
      <c r="AA240" s="43">
        <f t="shared" si="47"/>
        <v>0</v>
      </c>
      <c r="AB240" s="43">
        <f t="shared" si="47"/>
        <v>0</v>
      </c>
      <c r="AC240" s="43">
        <f t="shared" si="47"/>
        <v>0</v>
      </c>
      <c r="AD240" s="43">
        <f t="shared" si="47"/>
        <v>0</v>
      </c>
      <c r="AE240" s="43">
        <f t="shared" si="47"/>
        <v>0</v>
      </c>
      <c r="AF240" s="43">
        <f t="shared" si="47"/>
        <v>0</v>
      </c>
      <c r="AG240" s="43">
        <f t="shared" si="47"/>
        <v>0</v>
      </c>
      <c r="AH240" s="43">
        <f t="shared" si="47"/>
        <v>0</v>
      </c>
      <c r="AI240" s="43">
        <f t="shared" si="47"/>
        <v>0</v>
      </c>
      <c r="AJ240" s="43">
        <f t="shared" si="47"/>
        <v>0</v>
      </c>
      <c r="AK240" s="43">
        <f t="shared" si="47"/>
        <v>0</v>
      </c>
      <c r="AL240" s="43">
        <f t="shared" si="47"/>
        <v>0</v>
      </c>
      <c r="AM240" s="43">
        <f t="shared" si="47"/>
        <v>0</v>
      </c>
      <c r="AN240" s="43">
        <f t="shared" si="47"/>
        <v>0</v>
      </c>
      <c r="AO240" s="43">
        <f t="shared" si="47"/>
        <v>0</v>
      </c>
      <c r="AP240" s="65"/>
      <c r="AQ240" s="65"/>
      <c r="AR240" s="1185"/>
      <c r="AS240" s="1185"/>
    </row>
    <row r="241" spans="1:45" s="2" customFormat="1" x14ac:dyDescent="0.35">
      <c r="A241" s="1198"/>
      <c r="B241" s="1179"/>
      <c r="C241" s="1196"/>
      <c r="D241" s="1201"/>
      <c r="E241" s="63" t="s">
        <v>188</v>
      </c>
      <c r="F241" s="23"/>
      <c r="G241" s="26"/>
      <c r="H241" s="26"/>
      <c r="I241" s="26"/>
      <c r="J241" s="26"/>
      <c r="K241" s="26"/>
      <c r="L241" s="26"/>
      <c r="M241" s="26"/>
      <c r="N241" s="26"/>
      <c r="O241" s="26"/>
      <c r="P241" s="26"/>
      <c r="Q241" s="1086"/>
      <c r="R241" s="1082"/>
      <c r="S241" s="26"/>
      <c r="T241" s="26"/>
      <c r="U241" s="26"/>
      <c r="V241" s="26"/>
      <c r="W241" s="26"/>
      <c r="X241" s="26"/>
      <c r="Y241" s="26"/>
      <c r="Z241" s="26"/>
      <c r="AA241" s="26"/>
      <c r="AB241" s="26"/>
      <c r="AC241" s="1086"/>
      <c r="AD241" s="26"/>
      <c r="AE241" s="26"/>
      <c r="AF241" s="26"/>
      <c r="AG241" s="26"/>
      <c r="AH241" s="26"/>
      <c r="AI241" s="26"/>
      <c r="AJ241" s="26"/>
      <c r="AK241" s="26"/>
      <c r="AL241" s="26"/>
      <c r="AM241" s="26"/>
      <c r="AN241" s="26"/>
      <c r="AO241" s="26"/>
      <c r="AP241" s="65">
        <f>SUM(F241:AO241)</f>
        <v>0</v>
      </c>
      <c r="AQ241" s="346" t="e">
        <f>AP241/AP235</f>
        <v>#DIV/0!</v>
      </c>
      <c r="AR241" s="1185"/>
      <c r="AS241" s="1185"/>
    </row>
    <row r="242" spans="1:45" s="2" customFormat="1" x14ac:dyDescent="0.35">
      <c r="A242" s="1198"/>
      <c r="B242" s="1179"/>
      <c r="C242" s="1196"/>
      <c r="D242" s="1201"/>
      <c r="E242" s="37" t="s">
        <v>189</v>
      </c>
      <c r="F242" s="33"/>
      <c r="G242" s="32"/>
      <c r="H242" s="32"/>
      <c r="I242" s="32"/>
      <c r="J242" s="32"/>
      <c r="K242" s="32"/>
      <c r="L242" s="32"/>
      <c r="M242" s="32"/>
      <c r="N242" s="32"/>
      <c r="O242" s="32"/>
      <c r="P242" s="32"/>
      <c r="Q242" s="1092"/>
      <c r="R242" s="1090"/>
      <c r="S242" s="32"/>
      <c r="T242" s="32"/>
      <c r="U242" s="32"/>
      <c r="V242" s="32"/>
      <c r="W242" s="32"/>
      <c r="X242" s="32"/>
      <c r="Y242" s="32"/>
      <c r="Z242" s="32"/>
      <c r="AA242" s="32"/>
      <c r="AB242" s="32"/>
      <c r="AC242" s="1092"/>
      <c r="AD242" s="32"/>
      <c r="AE242" s="32"/>
      <c r="AF242" s="32"/>
      <c r="AG242" s="32"/>
      <c r="AH242" s="32"/>
      <c r="AI242" s="32"/>
      <c r="AJ242" s="32"/>
      <c r="AK242" s="32"/>
      <c r="AL242" s="32"/>
      <c r="AM242" s="32"/>
      <c r="AN242" s="32"/>
      <c r="AO242" s="32"/>
      <c r="AP242" s="65">
        <f>SUM(F242:AO242)</f>
        <v>0</v>
      </c>
      <c r="AQ242" s="346" t="e">
        <f>AP242/AP236</f>
        <v>#DIV/0!</v>
      </c>
      <c r="AR242" s="1185"/>
      <c r="AS242" s="1185"/>
    </row>
    <row r="243" spans="1:45" s="2" customFormat="1" x14ac:dyDescent="0.35">
      <c r="A243" s="1198"/>
      <c r="B243" s="1179"/>
      <c r="C243" s="1196"/>
      <c r="D243" s="1201"/>
      <c r="E243" s="36" t="s">
        <v>190</v>
      </c>
      <c r="F243" s="29"/>
      <c r="G243" s="30"/>
      <c r="H243" s="30"/>
      <c r="I243" s="30"/>
      <c r="J243" s="30"/>
      <c r="K243" s="30"/>
      <c r="L243" s="30"/>
      <c r="M243" s="30"/>
      <c r="N243" s="30"/>
      <c r="O243" s="30"/>
      <c r="P243" s="30"/>
      <c r="Q243" s="1088"/>
      <c r="R243" s="1084"/>
      <c r="S243" s="30"/>
      <c r="T243" s="30"/>
      <c r="U243" s="30"/>
      <c r="V243" s="30"/>
      <c r="W243" s="30"/>
      <c r="X243" s="30"/>
      <c r="Y243" s="30"/>
      <c r="Z243" s="30"/>
      <c r="AA243" s="30"/>
      <c r="AB243" s="30"/>
      <c r="AC243" s="1088"/>
      <c r="AD243" s="30"/>
      <c r="AE243" s="30"/>
      <c r="AF243" s="30"/>
      <c r="AG243" s="30"/>
      <c r="AH243" s="30"/>
      <c r="AI243" s="30"/>
      <c r="AJ243" s="30"/>
      <c r="AK243" s="30"/>
      <c r="AL243" s="30"/>
      <c r="AM243" s="30"/>
      <c r="AN243" s="30"/>
      <c r="AO243" s="30"/>
      <c r="AP243" s="65"/>
      <c r="AQ243" s="65"/>
      <c r="AR243" s="1185"/>
      <c r="AS243" s="1185"/>
    </row>
    <row r="244" spans="1:45" s="2" customFormat="1" ht="15" thickBot="1" x14ac:dyDescent="0.4">
      <c r="A244" s="1199"/>
      <c r="B244" s="1180"/>
      <c r="C244" s="1197"/>
      <c r="D244" s="1202"/>
      <c r="E244" s="64" t="s">
        <v>191</v>
      </c>
      <c r="F244" s="25"/>
      <c r="G244" s="28"/>
      <c r="H244" s="28"/>
      <c r="I244" s="28"/>
      <c r="J244" s="28"/>
      <c r="K244" s="28"/>
      <c r="L244" s="28"/>
      <c r="M244" s="28"/>
      <c r="N244" s="28"/>
      <c r="O244" s="28"/>
      <c r="P244" s="28"/>
      <c r="Q244" s="1093"/>
      <c r="R244" s="1091"/>
      <c r="S244" s="28"/>
      <c r="T244" s="28"/>
      <c r="U244" s="28"/>
      <c r="V244" s="28"/>
      <c r="W244" s="28"/>
      <c r="X244" s="28"/>
      <c r="Y244" s="28"/>
      <c r="Z244" s="28"/>
      <c r="AA244" s="28"/>
      <c r="AB244" s="28"/>
      <c r="AC244" s="1093"/>
      <c r="AD244" s="28"/>
      <c r="AE244" s="28"/>
      <c r="AF244" s="28"/>
      <c r="AG244" s="28"/>
      <c r="AH244" s="28"/>
      <c r="AI244" s="28"/>
      <c r="AJ244" s="28"/>
      <c r="AK244" s="28"/>
      <c r="AL244" s="28"/>
      <c r="AM244" s="28"/>
      <c r="AN244" s="28"/>
      <c r="AO244" s="28"/>
      <c r="AP244" s="137"/>
      <c r="AQ244" s="137"/>
      <c r="AR244" s="1186"/>
      <c r="AS244" s="1186"/>
    </row>
    <row r="245" spans="1:45" s="2" customFormat="1" x14ac:dyDescent="0.35">
      <c r="A245" s="1198">
        <v>23</v>
      </c>
      <c r="B245" s="1178" t="str">
        <f>IF(VLOOKUP(A:A,'Pivot Table'!Z:AE,6,FALSE)=0,"",VLOOKUP(A:A,'Pivot Table'!Z:AE,6,FALSE))</f>
        <v/>
      </c>
      <c r="C245" s="1195" t="str">
        <f>_xlfn.IFNA(VLOOKUP(B:B,'indicator lists'!L:R,3,FALSE),"")</f>
        <v/>
      </c>
      <c r="D245" s="1200" t="str">
        <f>_xlfn.IFNA(VLOOKUP(A:A,'Pivot Table'!P:X,9,FALSE),"")</f>
        <v/>
      </c>
      <c r="E245" s="59" t="s">
        <v>181</v>
      </c>
      <c r="F245" s="60">
        <f>SUM(F246:F249)</f>
        <v>0</v>
      </c>
      <c r="G245" s="61">
        <f>SUM(G246:G249)</f>
        <v>0</v>
      </c>
      <c r="H245" s="61">
        <f t="shared" ref="H245:AO245" si="48">SUM(H246:H249)</f>
        <v>0</v>
      </c>
      <c r="I245" s="61">
        <f t="shared" si="48"/>
        <v>0</v>
      </c>
      <c r="J245" s="61">
        <f t="shared" si="48"/>
        <v>0</v>
      </c>
      <c r="K245" s="61">
        <f t="shared" si="48"/>
        <v>0</v>
      </c>
      <c r="L245" s="61">
        <f t="shared" si="48"/>
        <v>0</v>
      </c>
      <c r="M245" s="61">
        <f t="shared" si="48"/>
        <v>0</v>
      </c>
      <c r="N245" s="61">
        <f t="shared" si="48"/>
        <v>0</v>
      </c>
      <c r="O245" s="61">
        <f t="shared" si="48"/>
        <v>0</v>
      </c>
      <c r="P245" s="61">
        <f t="shared" si="48"/>
        <v>0</v>
      </c>
      <c r="Q245" s="61">
        <f t="shared" si="48"/>
        <v>0</v>
      </c>
      <c r="R245" s="61">
        <f t="shared" si="48"/>
        <v>0</v>
      </c>
      <c r="S245" s="61">
        <f t="shared" si="48"/>
        <v>0</v>
      </c>
      <c r="T245" s="61">
        <f t="shared" si="48"/>
        <v>0</v>
      </c>
      <c r="U245" s="61">
        <f t="shared" si="48"/>
        <v>0</v>
      </c>
      <c r="V245" s="61">
        <f t="shared" si="48"/>
        <v>0</v>
      </c>
      <c r="W245" s="61">
        <f t="shared" si="48"/>
        <v>0</v>
      </c>
      <c r="X245" s="61">
        <f t="shared" si="48"/>
        <v>0</v>
      </c>
      <c r="Y245" s="61">
        <f t="shared" si="48"/>
        <v>0</v>
      </c>
      <c r="Z245" s="61">
        <f t="shared" si="48"/>
        <v>0</v>
      </c>
      <c r="AA245" s="61">
        <f t="shared" si="48"/>
        <v>0</v>
      </c>
      <c r="AB245" s="61">
        <f t="shared" si="48"/>
        <v>0</v>
      </c>
      <c r="AC245" s="61">
        <f t="shared" si="48"/>
        <v>0</v>
      </c>
      <c r="AD245" s="61">
        <f t="shared" si="48"/>
        <v>0</v>
      </c>
      <c r="AE245" s="61">
        <f t="shared" si="48"/>
        <v>0</v>
      </c>
      <c r="AF245" s="61">
        <f t="shared" si="48"/>
        <v>0</v>
      </c>
      <c r="AG245" s="61">
        <f t="shared" si="48"/>
        <v>0</v>
      </c>
      <c r="AH245" s="61">
        <f t="shared" si="48"/>
        <v>0</v>
      </c>
      <c r="AI245" s="61">
        <f t="shared" si="48"/>
        <v>0</v>
      </c>
      <c r="AJ245" s="61">
        <f t="shared" si="48"/>
        <v>0</v>
      </c>
      <c r="AK245" s="61">
        <f t="shared" si="48"/>
        <v>0</v>
      </c>
      <c r="AL245" s="61">
        <f t="shared" si="48"/>
        <v>0</v>
      </c>
      <c r="AM245" s="61">
        <f t="shared" si="48"/>
        <v>0</v>
      </c>
      <c r="AN245" s="61">
        <f t="shared" si="48"/>
        <v>0</v>
      </c>
      <c r="AO245" s="61">
        <f t="shared" si="48"/>
        <v>0</v>
      </c>
      <c r="AP245" s="347">
        <f>SUM(AP246:AP247)</f>
        <v>0</v>
      </c>
      <c r="AQ245" s="134"/>
      <c r="AR245" s="1184"/>
      <c r="AS245" s="1184"/>
    </row>
    <row r="246" spans="1:45" s="2" customFormat="1" x14ac:dyDescent="0.35">
      <c r="A246" s="1198"/>
      <c r="B246" s="1179"/>
      <c r="C246" s="1196"/>
      <c r="D246" s="1201"/>
      <c r="E246" s="63" t="s">
        <v>182</v>
      </c>
      <c r="F246" s="23"/>
      <c r="G246" s="26"/>
      <c r="H246" s="26"/>
      <c r="I246" s="26"/>
      <c r="J246" s="26"/>
      <c r="K246" s="26"/>
      <c r="L246" s="26"/>
      <c r="M246" s="26"/>
      <c r="N246" s="26"/>
      <c r="O246" s="26"/>
      <c r="P246" s="26"/>
      <c r="Q246" s="1086"/>
      <c r="R246" s="1082"/>
      <c r="S246" s="26"/>
      <c r="T246" s="26"/>
      <c r="U246" s="26"/>
      <c r="V246" s="26"/>
      <c r="W246" s="26"/>
      <c r="X246" s="26"/>
      <c r="Y246" s="26"/>
      <c r="Z246" s="26"/>
      <c r="AA246" s="26"/>
      <c r="AB246" s="26"/>
      <c r="AC246" s="1086"/>
      <c r="AD246" s="26"/>
      <c r="AE246" s="26"/>
      <c r="AF246" s="26"/>
      <c r="AG246" s="26"/>
      <c r="AH246" s="26"/>
      <c r="AI246" s="26"/>
      <c r="AJ246" s="26"/>
      <c r="AK246" s="26"/>
      <c r="AL246" s="26"/>
      <c r="AM246" s="26"/>
      <c r="AN246" s="26"/>
      <c r="AO246" s="26"/>
      <c r="AP246" s="344">
        <f>SUM(F246:AO246)</f>
        <v>0</v>
      </c>
      <c r="AQ246" s="135"/>
      <c r="AR246" s="1185"/>
      <c r="AS246" s="1185"/>
    </row>
    <row r="247" spans="1:45" s="2" customFormat="1" x14ac:dyDescent="0.35">
      <c r="A247" s="1198"/>
      <c r="B247" s="1179"/>
      <c r="C247" s="1196"/>
      <c r="D247" s="1201"/>
      <c r="E247" s="336" t="s">
        <v>183</v>
      </c>
      <c r="F247" s="337"/>
      <c r="G247" s="338"/>
      <c r="H247" s="338"/>
      <c r="I247" s="338"/>
      <c r="J247" s="338"/>
      <c r="K247" s="338"/>
      <c r="L247" s="338"/>
      <c r="M247" s="338"/>
      <c r="N247" s="338"/>
      <c r="O247" s="338"/>
      <c r="P247" s="338"/>
      <c r="Q247" s="1087"/>
      <c r="R247" s="1083"/>
      <c r="S247" s="338"/>
      <c r="T247" s="338"/>
      <c r="U247" s="338"/>
      <c r="V247" s="338"/>
      <c r="W247" s="338"/>
      <c r="X247" s="338"/>
      <c r="Y247" s="338"/>
      <c r="Z247" s="338"/>
      <c r="AA247" s="338"/>
      <c r="AB247" s="338"/>
      <c r="AC247" s="1087"/>
      <c r="AD247" s="338"/>
      <c r="AE247" s="338"/>
      <c r="AF247" s="338"/>
      <c r="AG247" s="338"/>
      <c r="AH247" s="338"/>
      <c r="AI247" s="338"/>
      <c r="AJ247" s="338"/>
      <c r="AK247" s="338"/>
      <c r="AL247" s="338"/>
      <c r="AM247" s="338"/>
      <c r="AN247" s="338"/>
      <c r="AO247" s="338"/>
      <c r="AP247" s="344">
        <f>SUM(F247:AO247)</f>
        <v>0</v>
      </c>
      <c r="AQ247" s="335"/>
      <c r="AR247" s="1185"/>
      <c r="AS247" s="1185"/>
    </row>
    <row r="248" spans="1:45" s="2" customFormat="1" x14ac:dyDescent="0.35">
      <c r="A248" s="1198"/>
      <c r="B248" s="1179"/>
      <c r="C248" s="1196"/>
      <c r="D248" s="1201"/>
      <c r="E248" s="36" t="s">
        <v>184</v>
      </c>
      <c r="F248" s="29"/>
      <c r="G248" s="30"/>
      <c r="H248" s="30"/>
      <c r="I248" s="30"/>
      <c r="J248" s="30"/>
      <c r="K248" s="30"/>
      <c r="L248" s="30"/>
      <c r="M248" s="30"/>
      <c r="N248" s="30"/>
      <c r="O248" s="30"/>
      <c r="P248" s="30"/>
      <c r="Q248" s="1088"/>
      <c r="R248" s="1084"/>
      <c r="S248" s="30"/>
      <c r="T248" s="30"/>
      <c r="U248" s="30"/>
      <c r="V248" s="30"/>
      <c r="W248" s="30"/>
      <c r="X248" s="30"/>
      <c r="Y248" s="30"/>
      <c r="Z248" s="30"/>
      <c r="AA248" s="30"/>
      <c r="AB248" s="30"/>
      <c r="AC248" s="1088"/>
      <c r="AD248" s="30"/>
      <c r="AE248" s="30"/>
      <c r="AF248" s="30"/>
      <c r="AG248" s="30"/>
      <c r="AH248" s="30"/>
      <c r="AI248" s="30"/>
      <c r="AJ248" s="30"/>
      <c r="AK248" s="30"/>
      <c r="AL248" s="30"/>
      <c r="AM248" s="30"/>
      <c r="AN248" s="30"/>
      <c r="AO248" s="30"/>
      <c r="AP248" s="344"/>
      <c r="AQ248" s="335"/>
      <c r="AR248" s="1185"/>
      <c r="AS248" s="1185"/>
    </row>
    <row r="249" spans="1:45" s="2" customFormat="1" ht="15" thickBot="1" x14ac:dyDescent="0.4">
      <c r="A249" s="1198"/>
      <c r="B249" s="1179"/>
      <c r="C249" s="1196"/>
      <c r="D249" s="1201"/>
      <c r="E249" s="340" t="s">
        <v>185</v>
      </c>
      <c r="F249" s="341"/>
      <c r="G249" s="342"/>
      <c r="H249" s="342"/>
      <c r="I249" s="342"/>
      <c r="J249" s="342"/>
      <c r="K249" s="342"/>
      <c r="L249" s="342"/>
      <c r="M249" s="342"/>
      <c r="N249" s="342"/>
      <c r="O249" s="342"/>
      <c r="P249" s="342"/>
      <c r="Q249" s="1089"/>
      <c r="R249" s="1085"/>
      <c r="S249" s="342"/>
      <c r="T249" s="342"/>
      <c r="U249" s="342"/>
      <c r="V249" s="342"/>
      <c r="W249" s="342"/>
      <c r="X249" s="342"/>
      <c r="Y249" s="342"/>
      <c r="Z249" s="342"/>
      <c r="AA249" s="342"/>
      <c r="AB249" s="342"/>
      <c r="AC249" s="1089"/>
      <c r="AD249" s="342"/>
      <c r="AE249" s="342"/>
      <c r="AF249" s="342"/>
      <c r="AG249" s="342"/>
      <c r="AH249" s="342"/>
      <c r="AI249" s="342"/>
      <c r="AJ249" s="342"/>
      <c r="AK249" s="342"/>
      <c r="AL249" s="342"/>
      <c r="AM249" s="342"/>
      <c r="AN249" s="342"/>
      <c r="AO249" s="342"/>
      <c r="AP249" s="344"/>
      <c r="AQ249" s="335"/>
      <c r="AR249" s="1185"/>
      <c r="AS249" s="1185"/>
    </row>
    <row r="250" spans="1:45" s="2" customFormat="1" ht="26.5" thickBot="1" x14ac:dyDescent="0.4">
      <c r="A250" s="1198"/>
      <c r="B250" s="1179"/>
      <c r="C250" s="1196"/>
      <c r="D250" s="1201"/>
      <c r="E250" s="1193" t="s">
        <v>175</v>
      </c>
      <c r="F250" s="1194"/>
      <c r="G250" s="1194"/>
      <c r="H250" s="1194"/>
      <c r="I250" s="1194"/>
      <c r="J250" s="1194"/>
      <c r="K250" s="1194"/>
      <c r="L250" s="1194"/>
      <c r="M250" s="1194"/>
      <c r="N250" s="1194"/>
      <c r="O250" s="1194"/>
      <c r="P250" s="1194"/>
      <c r="Q250" s="1194"/>
      <c r="R250" s="1194"/>
      <c r="S250" s="1194"/>
      <c r="T250" s="1194"/>
      <c r="U250" s="1194"/>
      <c r="V250" s="1194"/>
      <c r="W250" s="1194"/>
      <c r="X250" s="1194"/>
      <c r="Y250" s="1194"/>
      <c r="Z250" s="1194"/>
      <c r="AA250" s="1194"/>
      <c r="AB250" s="1194"/>
      <c r="AC250" s="1194"/>
      <c r="AD250" s="1194"/>
      <c r="AE250" s="1194"/>
      <c r="AF250" s="1194"/>
      <c r="AG250" s="1194"/>
      <c r="AH250" s="1194"/>
      <c r="AI250" s="1194"/>
      <c r="AJ250" s="1194"/>
      <c r="AK250" s="1194"/>
      <c r="AL250" s="1194"/>
      <c r="AM250" s="1194"/>
      <c r="AN250" s="1194"/>
      <c r="AO250" s="1194"/>
      <c r="AP250" s="348" t="e">
        <f>SUM(AP252:AP253)/AP245</f>
        <v>#DIV/0!</v>
      </c>
      <c r="AQ250" s="349" t="s">
        <v>186</v>
      </c>
      <c r="AR250" s="1185"/>
      <c r="AS250" s="1185"/>
    </row>
    <row r="251" spans="1:45" s="2" customFormat="1" x14ac:dyDescent="0.35">
      <c r="A251" s="1198"/>
      <c r="B251" s="1179"/>
      <c r="C251" s="1196"/>
      <c r="D251" s="1201"/>
      <c r="E251" s="62" t="s">
        <v>187</v>
      </c>
      <c r="F251" s="44">
        <f>SUM(F252:F255)</f>
        <v>0</v>
      </c>
      <c r="G251" s="43">
        <f>SUM(G252:G255)</f>
        <v>0</v>
      </c>
      <c r="H251" s="43">
        <f t="shared" ref="H251:AO251" si="49">SUM(H252:H255)</f>
        <v>0</v>
      </c>
      <c r="I251" s="43">
        <f t="shared" si="49"/>
        <v>0</v>
      </c>
      <c r="J251" s="43">
        <f t="shared" si="49"/>
        <v>0</v>
      </c>
      <c r="K251" s="43">
        <f t="shared" si="49"/>
        <v>0</v>
      </c>
      <c r="L251" s="43">
        <f t="shared" si="49"/>
        <v>0</v>
      </c>
      <c r="M251" s="43">
        <f t="shared" si="49"/>
        <v>0</v>
      </c>
      <c r="N251" s="43">
        <f t="shared" si="49"/>
        <v>0</v>
      </c>
      <c r="O251" s="43">
        <f t="shared" si="49"/>
        <v>0</v>
      </c>
      <c r="P251" s="43">
        <f t="shared" si="49"/>
        <v>0</v>
      </c>
      <c r="Q251" s="43">
        <f t="shared" si="49"/>
        <v>0</v>
      </c>
      <c r="R251" s="43">
        <f t="shared" si="49"/>
        <v>0</v>
      </c>
      <c r="S251" s="43">
        <f t="shared" si="49"/>
        <v>0</v>
      </c>
      <c r="T251" s="43">
        <f t="shared" si="49"/>
        <v>0</v>
      </c>
      <c r="U251" s="43">
        <f t="shared" si="49"/>
        <v>0</v>
      </c>
      <c r="V251" s="43">
        <f t="shared" si="49"/>
        <v>0</v>
      </c>
      <c r="W251" s="43">
        <f t="shared" si="49"/>
        <v>0</v>
      </c>
      <c r="X251" s="43">
        <f t="shared" si="49"/>
        <v>0</v>
      </c>
      <c r="Y251" s="43">
        <f t="shared" si="49"/>
        <v>0</v>
      </c>
      <c r="Z251" s="43">
        <f t="shared" si="49"/>
        <v>0</v>
      </c>
      <c r="AA251" s="43">
        <f t="shared" si="49"/>
        <v>0</v>
      </c>
      <c r="AB251" s="43">
        <f t="shared" si="49"/>
        <v>0</v>
      </c>
      <c r="AC251" s="43">
        <f t="shared" si="49"/>
        <v>0</v>
      </c>
      <c r="AD251" s="43">
        <f t="shared" si="49"/>
        <v>0</v>
      </c>
      <c r="AE251" s="43">
        <f t="shared" si="49"/>
        <v>0</v>
      </c>
      <c r="AF251" s="43">
        <f t="shared" si="49"/>
        <v>0</v>
      </c>
      <c r="AG251" s="43">
        <f t="shared" si="49"/>
        <v>0</v>
      </c>
      <c r="AH251" s="43">
        <f t="shared" si="49"/>
        <v>0</v>
      </c>
      <c r="AI251" s="43">
        <f t="shared" si="49"/>
        <v>0</v>
      </c>
      <c r="AJ251" s="43">
        <f t="shared" si="49"/>
        <v>0</v>
      </c>
      <c r="AK251" s="43">
        <f t="shared" si="49"/>
        <v>0</v>
      </c>
      <c r="AL251" s="43">
        <f t="shared" si="49"/>
        <v>0</v>
      </c>
      <c r="AM251" s="43">
        <f t="shared" si="49"/>
        <v>0</v>
      </c>
      <c r="AN251" s="43">
        <f t="shared" si="49"/>
        <v>0</v>
      </c>
      <c r="AO251" s="43">
        <f t="shared" si="49"/>
        <v>0</v>
      </c>
      <c r="AP251" s="65"/>
      <c r="AQ251" s="65"/>
      <c r="AR251" s="1185"/>
      <c r="AS251" s="1185"/>
    </row>
    <row r="252" spans="1:45" s="2" customFormat="1" x14ac:dyDescent="0.35">
      <c r="A252" s="1198"/>
      <c r="B252" s="1179"/>
      <c r="C252" s="1196"/>
      <c r="D252" s="1201"/>
      <c r="E252" s="63" t="s">
        <v>188</v>
      </c>
      <c r="F252" s="23"/>
      <c r="G252" s="26"/>
      <c r="H252" s="26"/>
      <c r="I252" s="26"/>
      <c r="J252" s="26"/>
      <c r="K252" s="26"/>
      <c r="L252" s="26"/>
      <c r="M252" s="26"/>
      <c r="N252" s="26"/>
      <c r="O252" s="26"/>
      <c r="P252" s="26"/>
      <c r="Q252" s="1086"/>
      <c r="R252" s="1082"/>
      <c r="S252" s="26"/>
      <c r="T252" s="26"/>
      <c r="U252" s="26"/>
      <c r="V252" s="26"/>
      <c r="W252" s="26"/>
      <c r="X252" s="26"/>
      <c r="Y252" s="26"/>
      <c r="Z252" s="26"/>
      <c r="AA252" s="26"/>
      <c r="AB252" s="26"/>
      <c r="AC252" s="1086"/>
      <c r="AD252" s="26"/>
      <c r="AE252" s="26"/>
      <c r="AF252" s="26"/>
      <c r="AG252" s="26"/>
      <c r="AH252" s="26"/>
      <c r="AI252" s="26"/>
      <c r="AJ252" s="26"/>
      <c r="AK252" s="26"/>
      <c r="AL252" s="26"/>
      <c r="AM252" s="26"/>
      <c r="AN252" s="26"/>
      <c r="AO252" s="26"/>
      <c r="AP252" s="65">
        <f>SUM(F252:AO252)</f>
        <v>0</v>
      </c>
      <c r="AQ252" s="346" t="e">
        <f>AP252/AP246</f>
        <v>#DIV/0!</v>
      </c>
      <c r="AR252" s="1185"/>
      <c r="AS252" s="1185"/>
    </row>
    <row r="253" spans="1:45" s="2" customFormat="1" x14ac:dyDescent="0.35">
      <c r="A253" s="1198"/>
      <c r="B253" s="1179"/>
      <c r="C253" s="1196"/>
      <c r="D253" s="1201"/>
      <c r="E253" s="37" t="s">
        <v>189</v>
      </c>
      <c r="F253" s="33"/>
      <c r="G253" s="32"/>
      <c r="H253" s="32"/>
      <c r="I253" s="32"/>
      <c r="J253" s="32"/>
      <c r="K253" s="32"/>
      <c r="L253" s="32"/>
      <c r="M253" s="32"/>
      <c r="N253" s="32"/>
      <c r="O253" s="32"/>
      <c r="P253" s="32"/>
      <c r="Q253" s="1092"/>
      <c r="R253" s="1090"/>
      <c r="S253" s="32"/>
      <c r="T253" s="32"/>
      <c r="U253" s="32"/>
      <c r="V253" s="32"/>
      <c r="W253" s="32"/>
      <c r="X253" s="32"/>
      <c r="Y253" s="32"/>
      <c r="Z253" s="32"/>
      <c r="AA253" s="32"/>
      <c r="AB253" s="32"/>
      <c r="AC253" s="1092"/>
      <c r="AD253" s="32"/>
      <c r="AE253" s="32"/>
      <c r="AF253" s="32"/>
      <c r="AG253" s="32"/>
      <c r="AH253" s="32"/>
      <c r="AI253" s="32"/>
      <c r="AJ253" s="32"/>
      <c r="AK253" s="32"/>
      <c r="AL253" s="32"/>
      <c r="AM253" s="32"/>
      <c r="AN253" s="32"/>
      <c r="AO253" s="32"/>
      <c r="AP253" s="65">
        <f>SUM(F253:AO253)</f>
        <v>0</v>
      </c>
      <c r="AQ253" s="346" t="e">
        <f>AP253/AP247</f>
        <v>#DIV/0!</v>
      </c>
      <c r="AR253" s="1185"/>
      <c r="AS253" s="1185"/>
    </row>
    <row r="254" spans="1:45" s="2" customFormat="1" x14ac:dyDescent="0.35">
      <c r="A254" s="1198"/>
      <c r="B254" s="1179"/>
      <c r="C254" s="1196"/>
      <c r="D254" s="1201"/>
      <c r="E254" s="36" t="s">
        <v>190</v>
      </c>
      <c r="F254" s="29"/>
      <c r="G254" s="30"/>
      <c r="H254" s="30"/>
      <c r="I254" s="30"/>
      <c r="J254" s="30"/>
      <c r="K254" s="30"/>
      <c r="L254" s="30"/>
      <c r="M254" s="30"/>
      <c r="N254" s="30"/>
      <c r="O254" s="30"/>
      <c r="P254" s="30"/>
      <c r="Q254" s="1088"/>
      <c r="R254" s="1084"/>
      <c r="S254" s="30"/>
      <c r="T254" s="30"/>
      <c r="U254" s="30"/>
      <c r="V254" s="30"/>
      <c r="W254" s="30"/>
      <c r="X254" s="30"/>
      <c r="Y254" s="30"/>
      <c r="Z254" s="30"/>
      <c r="AA254" s="30"/>
      <c r="AB254" s="30"/>
      <c r="AC254" s="1088"/>
      <c r="AD254" s="30"/>
      <c r="AE254" s="30"/>
      <c r="AF254" s="30"/>
      <c r="AG254" s="30"/>
      <c r="AH254" s="30"/>
      <c r="AI254" s="30"/>
      <c r="AJ254" s="30"/>
      <c r="AK254" s="30"/>
      <c r="AL254" s="30"/>
      <c r="AM254" s="30"/>
      <c r="AN254" s="30"/>
      <c r="AO254" s="30"/>
      <c r="AP254" s="65"/>
      <c r="AQ254" s="65"/>
      <c r="AR254" s="1185"/>
      <c r="AS254" s="1185"/>
    </row>
    <row r="255" spans="1:45" s="2" customFormat="1" ht="15" thickBot="1" x14ac:dyDescent="0.4">
      <c r="A255" s="1199"/>
      <c r="B255" s="1180"/>
      <c r="C255" s="1197"/>
      <c r="D255" s="1202"/>
      <c r="E255" s="64" t="s">
        <v>191</v>
      </c>
      <c r="F255" s="25"/>
      <c r="G255" s="28"/>
      <c r="H255" s="28"/>
      <c r="I255" s="28"/>
      <c r="J255" s="28"/>
      <c r="K255" s="28"/>
      <c r="L255" s="28"/>
      <c r="M255" s="28"/>
      <c r="N255" s="28"/>
      <c r="O255" s="28"/>
      <c r="P255" s="28"/>
      <c r="Q255" s="1093"/>
      <c r="R255" s="1091"/>
      <c r="S255" s="28"/>
      <c r="T255" s="28"/>
      <c r="U255" s="28"/>
      <c r="V255" s="28"/>
      <c r="W255" s="28"/>
      <c r="X255" s="28"/>
      <c r="Y255" s="28"/>
      <c r="Z255" s="28"/>
      <c r="AA255" s="28"/>
      <c r="AB255" s="28"/>
      <c r="AC255" s="1093"/>
      <c r="AD255" s="28"/>
      <c r="AE255" s="28"/>
      <c r="AF255" s="28"/>
      <c r="AG255" s="28"/>
      <c r="AH255" s="28"/>
      <c r="AI255" s="28"/>
      <c r="AJ255" s="28"/>
      <c r="AK255" s="28"/>
      <c r="AL255" s="28"/>
      <c r="AM255" s="28"/>
      <c r="AN255" s="28"/>
      <c r="AO255" s="28"/>
      <c r="AP255" s="137"/>
      <c r="AQ255" s="137"/>
      <c r="AR255" s="1186"/>
      <c r="AS255" s="1186"/>
    </row>
    <row r="256" spans="1:45" s="2" customFormat="1" x14ac:dyDescent="0.35">
      <c r="A256" s="1198">
        <v>24</v>
      </c>
      <c r="B256" s="1178" t="str">
        <f>IF(VLOOKUP(A:A,'Pivot Table'!Z:AE,6,FALSE)=0,"",VLOOKUP(A:A,'Pivot Table'!Z:AE,6,FALSE))</f>
        <v/>
      </c>
      <c r="C256" s="1195" t="str">
        <f>_xlfn.IFNA(VLOOKUP(B:B,'indicator lists'!L:R,3,FALSE),"")</f>
        <v/>
      </c>
      <c r="D256" s="1200" t="str">
        <f>_xlfn.IFNA(VLOOKUP(A:A,'Pivot Table'!P:X,9,FALSE),"")</f>
        <v/>
      </c>
      <c r="E256" s="59" t="s">
        <v>181</v>
      </c>
      <c r="F256" s="60">
        <f>SUM(F257:F260)</f>
        <v>0</v>
      </c>
      <c r="G256" s="61">
        <f>SUM(G257:G260)</f>
        <v>0</v>
      </c>
      <c r="H256" s="61">
        <f t="shared" ref="H256:AO256" si="50">SUM(H257:H260)</f>
        <v>0</v>
      </c>
      <c r="I256" s="61">
        <f t="shared" si="50"/>
        <v>0</v>
      </c>
      <c r="J256" s="61">
        <f t="shared" si="50"/>
        <v>0</v>
      </c>
      <c r="K256" s="61">
        <f t="shared" si="50"/>
        <v>0</v>
      </c>
      <c r="L256" s="61">
        <f t="shared" si="50"/>
        <v>0</v>
      </c>
      <c r="M256" s="61">
        <f t="shared" si="50"/>
        <v>0</v>
      </c>
      <c r="N256" s="61">
        <f t="shared" si="50"/>
        <v>0</v>
      </c>
      <c r="O256" s="61">
        <f t="shared" si="50"/>
        <v>0</v>
      </c>
      <c r="P256" s="61">
        <f t="shared" si="50"/>
        <v>0</v>
      </c>
      <c r="Q256" s="61">
        <f t="shared" si="50"/>
        <v>0</v>
      </c>
      <c r="R256" s="61">
        <f t="shared" si="50"/>
        <v>0</v>
      </c>
      <c r="S256" s="61">
        <f t="shared" si="50"/>
        <v>0</v>
      </c>
      <c r="T256" s="61">
        <f t="shared" si="50"/>
        <v>0</v>
      </c>
      <c r="U256" s="61">
        <f t="shared" si="50"/>
        <v>0</v>
      </c>
      <c r="V256" s="61">
        <f t="shared" si="50"/>
        <v>0</v>
      </c>
      <c r="W256" s="61">
        <f t="shared" si="50"/>
        <v>0</v>
      </c>
      <c r="X256" s="61">
        <f t="shared" si="50"/>
        <v>0</v>
      </c>
      <c r="Y256" s="61">
        <f t="shared" si="50"/>
        <v>0</v>
      </c>
      <c r="Z256" s="61">
        <f t="shared" si="50"/>
        <v>0</v>
      </c>
      <c r="AA256" s="61">
        <f t="shared" si="50"/>
        <v>0</v>
      </c>
      <c r="AB256" s="61">
        <f t="shared" si="50"/>
        <v>0</v>
      </c>
      <c r="AC256" s="61">
        <f t="shared" si="50"/>
        <v>0</v>
      </c>
      <c r="AD256" s="61">
        <f t="shared" si="50"/>
        <v>0</v>
      </c>
      <c r="AE256" s="61">
        <f t="shared" si="50"/>
        <v>0</v>
      </c>
      <c r="AF256" s="61">
        <f t="shared" si="50"/>
        <v>0</v>
      </c>
      <c r="AG256" s="61">
        <f t="shared" si="50"/>
        <v>0</v>
      </c>
      <c r="AH256" s="61">
        <f t="shared" si="50"/>
        <v>0</v>
      </c>
      <c r="AI256" s="61">
        <f t="shared" si="50"/>
        <v>0</v>
      </c>
      <c r="AJ256" s="61">
        <f t="shared" si="50"/>
        <v>0</v>
      </c>
      <c r="AK256" s="61">
        <f t="shared" si="50"/>
        <v>0</v>
      </c>
      <c r="AL256" s="61">
        <f t="shared" si="50"/>
        <v>0</v>
      </c>
      <c r="AM256" s="61">
        <f t="shared" si="50"/>
        <v>0</v>
      </c>
      <c r="AN256" s="61">
        <f t="shared" si="50"/>
        <v>0</v>
      </c>
      <c r="AO256" s="61">
        <f t="shared" si="50"/>
        <v>0</v>
      </c>
      <c r="AP256" s="347">
        <f>SUM(AP257:AP258)</f>
        <v>0</v>
      </c>
      <c r="AQ256" s="134"/>
      <c r="AR256" s="1184"/>
      <c r="AS256" s="1184"/>
    </row>
    <row r="257" spans="1:45" s="2" customFormat="1" x14ac:dyDescent="0.35">
      <c r="A257" s="1198"/>
      <c r="B257" s="1179"/>
      <c r="C257" s="1196"/>
      <c r="D257" s="1201"/>
      <c r="E257" s="63" t="s">
        <v>182</v>
      </c>
      <c r="F257" s="23"/>
      <c r="G257" s="26"/>
      <c r="H257" s="26"/>
      <c r="I257" s="26"/>
      <c r="J257" s="26"/>
      <c r="K257" s="26"/>
      <c r="L257" s="26"/>
      <c r="M257" s="26"/>
      <c r="N257" s="26"/>
      <c r="O257" s="26"/>
      <c r="P257" s="26"/>
      <c r="Q257" s="1086"/>
      <c r="R257" s="1082"/>
      <c r="S257" s="26"/>
      <c r="T257" s="26"/>
      <c r="U257" s="26"/>
      <c r="V257" s="26"/>
      <c r="W257" s="26"/>
      <c r="X257" s="26"/>
      <c r="Y257" s="26"/>
      <c r="Z257" s="26"/>
      <c r="AA257" s="26"/>
      <c r="AB257" s="26"/>
      <c r="AC257" s="1086"/>
      <c r="AD257" s="26"/>
      <c r="AE257" s="26"/>
      <c r="AF257" s="26"/>
      <c r="AG257" s="26"/>
      <c r="AH257" s="26"/>
      <c r="AI257" s="26"/>
      <c r="AJ257" s="26"/>
      <c r="AK257" s="26"/>
      <c r="AL257" s="26"/>
      <c r="AM257" s="26"/>
      <c r="AN257" s="26"/>
      <c r="AO257" s="26"/>
      <c r="AP257" s="344">
        <f>SUM(F257:AO257)</f>
        <v>0</v>
      </c>
      <c r="AQ257" s="135"/>
      <c r="AR257" s="1185"/>
      <c r="AS257" s="1185"/>
    </row>
    <row r="258" spans="1:45" s="2" customFormat="1" x14ac:dyDescent="0.35">
      <c r="A258" s="1198"/>
      <c r="B258" s="1179"/>
      <c r="C258" s="1196"/>
      <c r="D258" s="1201"/>
      <c r="E258" s="336" t="s">
        <v>183</v>
      </c>
      <c r="F258" s="337"/>
      <c r="G258" s="338"/>
      <c r="H258" s="338"/>
      <c r="I258" s="338"/>
      <c r="J258" s="338"/>
      <c r="K258" s="338"/>
      <c r="L258" s="338"/>
      <c r="M258" s="338"/>
      <c r="N258" s="338"/>
      <c r="O258" s="338"/>
      <c r="P258" s="338"/>
      <c r="Q258" s="1087"/>
      <c r="R258" s="1083"/>
      <c r="S258" s="338"/>
      <c r="T258" s="338"/>
      <c r="U258" s="338"/>
      <c r="V258" s="338"/>
      <c r="W258" s="338"/>
      <c r="X258" s="338"/>
      <c r="Y258" s="338"/>
      <c r="Z258" s="338"/>
      <c r="AA258" s="338"/>
      <c r="AB258" s="338"/>
      <c r="AC258" s="1087"/>
      <c r="AD258" s="338"/>
      <c r="AE258" s="338"/>
      <c r="AF258" s="338"/>
      <c r="AG258" s="338"/>
      <c r="AH258" s="338"/>
      <c r="AI258" s="338"/>
      <c r="AJ258" s="338"/>
      <c r="AK258" s="338"/>
      <c r="AL258" s="338"/>
      <c r="AM258" s="338"/>
      <c r="AN258" s="338"/>
      <c r="AO258" s="338"/>
      <c r="AP258" s="344">
        <f>SUM(F258:AO258)</f>
        <v>0</v>
      </c>
      <c r="AQ258" s="335"/>
      <c r="AR258" s="1185"/>
      <c r="AS258" s="1185"/>
    </row>
    <row r="259" spans="1:45" s="2" customFormat="1" x14ac:dyDescent="0.35">
      <c r="A259" s="1198"/>
      <c r="B259" s="1179"/>
      <c r="C259" s="1196"/>
      <c r="D259" s="1201"/>
      <c r="E259" s="36" t="s">
        <v>184</v>
      </c>
      <c r="F259" s="29"/>
      <c r="G259" s="30"/>
      <c r="H259" s="30"/>
      <c r="I259" s="30"/>
      <c r="J259" s="30"/>
      <c r="K259" s="30"/>
      <c r="L259" s="30"/>
      <c r="M259" s="30"/>
      <c r="N259" s="30"/>
      <c r="O259" s="30"/>
      <c r="P259" s="30"/>
      <c r="Q259" s="1088"/>
      <c r="R259" s="1084"/>
      <c r="S259" s="30"/>
      <c r="T259" s="30"/>
      <c r="U259" s="30"/>
      <c r="V259" s="30"/>
      <c r="W259" s="30"/>
      <c r="X259" s="30"/>
      <c r="Y259" s="30"/>
      <c r="Z259" s="30"/>
      <c r="AA259" s="30"/>
      <c r="AB259" s="30"/>
      <c r="AC259" s="1088"/>
      <c r="AD259" s="30"/>
      <c r="AE259" s="30"/>
      <c r="AF259" s="30"/>
      <c r="AG259" s="30"/>
      <c r="AH259" s="30"/>
      <c r="AI259" s="30"/>
      <c r="AJ259" s="30"/>
      <c r="AK259" s="30"/>
      <c r="AL259" s="30"/>
      <c r="AM259" s="30"/>
      <c r="AN259" s="30"/>
      <c r="AO259" s="30"/>
      <c r="AP259" s="344"/>
      <c r="AQ259" s="335"/>
      <c r="AR259" s="1185"/>
      <c r="AS259" s="1185"/>
    </row>
    <row r="260" spans="1:45" s="2" customFormat="1" ht="15" thickBot="1" x14ac:dyDescent="0.4">
      <c r="A260" s="1198"/>
      <c r="B260" s="1179"/>
      <c r="C260" s="1196"/>
      <c r="D260" s="1201"/>
      <c r="E260" s="340" t="s">
        <v>185</v>
      </c>
      <c r="F260" s="341"/>
      <c r="G260" s="342"/>
      <c r="H260" s="342"/>
      <c r="I260" s="342"/>
      <c r="J260" s="342"/>
      <c r="K260" s="342"/>
      <c r="L260" s="342"/>
      <c r="M260" s="342"/>
      <c r="N260" s="342"/>
      <c r="O260" s="342"/>
      <c r="P260" s="342"/>
      <c r="Q260" s="1089"/>
      <c r="R260" s="1085"/>
      <c r="S260" s="342"/>
      <c r="T260" s="342"/>
      <c r="U260" s="342"/>
      <c r="V260" s="342"/>
      <c r="W260" s="342"/>
      <c r="X260" s="342"/>
      <c r="Y260" s="342"/>
      <c r="Z260" s="342"/>
      <c r="AA260" s="342"/>
      <c r="AB260" s="342"/>
      <c r="AC260" s="1089"/>
      <c r="AD260" s="342"/>
      <c r="AE260" s="342"/>
      <c r="AF260" s="342"/>
      <c r="AG260" s="342"/>
      <c r="AH260" s="342"/>
      <c r="AI260" s="342"/>
      <c r="AJ260" s="342"/>
      <c r="AK260" s="342"/>
      <c r="AL260" s="342"/>
      <c r="AM260" s="342"/>
      <c r="AN260" s="342"/>
      <c r="AO260" s="342"/>
      <c r="AP260" s="344"/>
      <c r="AQ260" s="335"/>
      <c r="AR260" s="1185"/>
      <c r="AS260" s="1185"/>
    </row>
    <row r="261" spans="1:45" s="2" customFormat="1" ht="26.5" thickBot="1" x14ac:dyDescent="0.4">
      <c r="A261" s="1198"/>
      <c r="B261" s="1179"/>
      <c r="C261" s="1196"/>
      <c r="D261" s="1201"/>
      <c r="E261" s="1193" t="s">
        <v>175</v>
      </c>
      <c r="F261" s="1194"/>
      <c r="G261" s="1194"/>
      <c r="H261" s="1194"/>
      <c r="I261" s="1194"/>
      <c r="J261" s="1194"/>
      <c r="K261" s="1194"/>
      <c r="L261" s="1194"/>
      <c r="M261" s="1194"/>
      <c r="N261" s="1194"/>
      <c r="O261" s="1194"/>
      <c r="P261" s="1194"/>
      <c r="Q261" s="1194"/>
      <c r="R261" s="1194"/>
      <c r="S261" s="1194"/>
      <c r="T261" s="1194"/>
      <c r="U261" s="1194"/>
      <c r="V261" s="1194"/>
      <c r="W261" s="1194"/>
      <c r="X261" s="1194"/>
      <c r="Y261" s="1194"/>
      <c r="Z261" s="1194"/>
      <c r="AA261" s="1194"/>
      <c r="AB261" s="1194"/>
      <c r="AC261" s="1194"/>
      <c r="AD261" s="1194"/>
      <c r="AE261" s="1194"/>
      <c r="AF261" s="1194"/>
      <c r="AG261" s="1194"/>
      <c r="AH261" s="1194"/>
      <c r="AI261" s="1194"/>
      <c r="AJ261" s="1194"/>
      <c r="AK261" s="1194"/>
      <c r="AL261" s="1194"/>
      <c r="AM261" s="1194"/>
      <c r="AN261" s="1194"/>
      <c r="AO261" s="1194"/>
      <c r="AP261" s="348" t="e">
        <f>SUM(AP263:AP264)/AP256</f>
        <v>#DIV/0!</v>
      </c>
      <c r="AQ261" s="349" t="s">
        <v>186</v>
      </c>
      <c r="AR261" s="1185"/>
      <c r="AS261" s="1185"/>
    </row>
    <row r="262" spans="1:45" s="2" customFormat="1" x14ac:dyDescent="0.35">
      <c r="A262" s="1198"/>
      <c r="B262" s="1179"/>
      <c r="C262" s="1196"/>
      <c r="D262" s="1201"/>
      <c r="E262" s="62" t="s">
        <v>187</v>
      </c>
      <c r="F262" s="44">
        <f>SUM(F263:F266)</f>
        <v>0</v>
      </c>
      <c r="G262" s="43">
        <f>SUM(G263:G266)</f>
        <v>0</v>
      </c>
      <c r="H262" s="43">
        <f t="shared" ref="H262:AO262" si="51">SUM(H263:H266)</f>
        <v>0</v>
      </c>
      <c r="I262" s="43">
        <f t="shared" si="51"/>
        <v>0</v>
      </c>
      <c r="J262" s="43">
        <f t="shared" si="51"/>
        <v>0</v>
      </c>
      <c r="K262" s="43">
        <f t="shared" si="51"/>
        <v>0</v>
      </c>
      <c r="L262" s="43">
        <f t="shared" si="51"/>
        <v>0</v>
      </c>
      <c r="M262" s="43">
        <f t="shared" si="51"/>
        <v>0</v>
      </c>
      <c r="N262" s="43">
        <f t="shared" si="51"/>
        <v>0</v>
      </c>
      <c r="O262" s="43">
        <f t="shared" si="51"/>
        <v>0</v>
      </c>
      <c r="P262" s="43">
        <f t="shared" si="51"/>
        <v>0</v>
      </c>
      <c r="Q262" s="43">
        <f t="shared" si="51"/>
        <v>0</v>
      </c>
      <c r="R262" s="43">
        <f t="shared" si="51"/>
        <v>0</v>
      </c>
      <c r="S262" s="43">
        <f t="shared" si="51"/>
        <v>0</v>
      </c>
      <c r="T262" s="43">
        <f t="shared" si="51"/>
        <v>0</v>
      </c>
      <c r="U262" s="43">
        <f t="shared" si="51"/>
        <v>0</v>
      </c>
      <c r="V262" s="43">
        <f t="shared" si="51"/>
        <v>0</v>
      </c>
      <c r="W262" s="43">
        <f t="shared" si="51"/>
        <v>0</v>
      </c>
      <c r="X262" s="43">
        <f t="shared" si="51"/>
        <v>0</v>
      </c>
      <c r="Y262" s="43">
        <f t="shared" si="51"/>
        <v>0</v>
      </c>
      <c r="Z262" s="43">
        <f t="shared" si="51"/>
        <v>0</v>
      </c>
      <c r="AA262" s="43">
        <f t="shared" si="51"/>
        <v>0</v>
      </c>
      <c r="AB262" s="43">
        <f t="shared" si="51"/>
        <v>0</v>
      </c>
      <c r="AC262" s="43">
        <f t="shared" si="51"/>
        <v>0</v>
      </c>
      <c r="AD262" s="43">
        <f t="shared" si="51"/>
        <v>0</v>
      </c>
      <c r="AE262" s="43">
        <f t="shared" si="51"/>
        <v>0</v>
      </c>
      <c r="AF262" s="43">
        <f t="shared" si="51"/>
        <v>0</v>
      </c>
      <c r="AG262" s="43">
        <f t="shared" si="51"/>
        <v>0</v>
      </c>
      <c r="AH262" s="43">
        <f t="shared" si="51"/>
        <v>0</v>
      </c>
      <c r="AI262" s="43">
        <f t="shared" si="51"/>
        <v>0</v>
      </c>
      <c r="AJ262" s="43">
        <f t="shared" si="51"/>
        <v>0</v>
      </c>
      <c r="AK262" s="43">
        <f t="shared" si="51"/>
        <v>0</v>
      </c>
      <c r="AL262" s="43">
        <f t="shared" si="51"/>
        <v>0</v>
      </c>
      <c r="AM262" s="43">
        <f t="shared" si="51"/>
        <v>0</v>
      </c>
      <c r="AN262" s="43">
        <f t="shared" si="51"/>
        <v>0</v>
      </c>
      <c r="AO262" s="43">
        <f t="shared" si="51"/>
        <v>0</v>
      </c>
      <c r="AP262" s="65"/>
      <c r="AQ262" s="65"/>
      <c r="AR262" s="1185"/>
      <c r="AS262" s="1185"/>
    </row>
    <row r="263" spans="1:45" s="2" customFormat="1" x14ac:dyDescent="0.35">
      <c r="A263" s="1198"/>
      <c r="B263" s="1179"/>
      <c r="C263" s="1196"/>
      <c r="D263" s="1201"/>
      <c r="E263" s="63" t="s">
        <v>188</v>
      </c>
      <c r="F263" s="23"/>
      <c r="G263" s="26"/>
      <c r="H263" s="26"/>
      <c r="I263" s="26"/>
      <c r="J263" s="26"/>
      <c r="K263" s="26"/>
      <c r="L263" s="26"/>
      <c r="M263" s="26"/>
      <c r="N263" s="26"/>
      <c r="O263" s="26"/>
      <c r="P263" s="26"/>
      <c r="Q263" s="1086"/>
      <c r="R263" s="1082"/>
      <c r="S263" s="26"/>
      <c r="T263" s="26"/>
      <c r="U263" s="26"/>
      <c r="V263" s="26"/>
      <c r="W263" s="26"/>
      <c r="X263" s="26"/>
      <c r="Y263" s="26"/>
      <c r="Z263" s="26"/>
      <c r="AA263" s="26"/>
      <c r="AB263" s="26"/>
      <c r="AC263" s="1086"/>
      <c r="AD263" s="26"/>
      <c r="AE263" s="26"/>
      <c r="AF263" s="26"/>
      <c r="AG263" s="26"/>
      <c r="AH263" s="26"/>
      <c r="AI263" s="26"/>
      <c r="AJ263" s="26"/>
      <c r="AK263" s="26"/>
      <c r="AL263" s="26"/>
      <c r="AM263" s="26"/>
      <c r="AN263" s="26"/>
      <c r="AO263" s="26"/>
      <c r="AP263" s="65">
        <f>SUM(F263:AO263)</f>
        <v>0</v>
      </c>
      <c r="AQ263" s="346" t="e">
        <f>AP263/AP257</f>
        <v>#DIV/0!</v>
      </c>
      <c r="AR263" s="1185"/>
      <c r="AS263" s="1185"/>
    </row>
    <row r="264" spans="1:45" s="2" customFormat="1" x14ac:dyDescent="0.35">
      <c r="A264" s="1198"/>
      <c r="B264" s="1179"/>
      <c r="C264" s="1196"/>
      <c r="D264" s="1201"/>
      <c r="E264" s="37" t="s">
        <v>189</v>
      </c>
      <c r="F264" s="33"/>
      <c r="G264" s="32"/>
      <c r="H264" s="32"/>
      <c r="I264" s="32"/>
      <c r="J264" s="32"/>
      <c r="K264" s="32"/>
      <c r="L264" s="32"/>
      <c r="M264" s="32"/>
      <c r="N264" s="32"/>
      <c r="O264" s="32"/>
      <c r="P264" s="32"/>
      <c r="Q264" s="1092"/>
      <c r="R264" s="1090"/>
      <c r="S264" s="32"/>
      <c r="T264" s="32"/>
      <c r="U264" s="32"/>
      <c r="V264" s="32"/>
      <c r="W264" s="32"/>
      <c r="X264" s="32"/>
      <c r="Y264" s="32"/>
      <c r="Z264" s="32"/>
      <c r="AA264" s="32"/>
      <c r="AB264" s="32"/>
      <c r="AC264" s="1092"/>
      <c r="AD264" s="32"/>
      <c r="AE264" s="32"/>
      <c r="AF264" s="32"/>
      <c r="AG264" s="32"/>
      <c r="AH264" s="32"/>
      <c r="AI264" s="32"/>
      <c r="AJ264" s="32"/>
      <c r="AK264" s="32"/>
      <c r="AL264" s="32"/>
      <c r="AM264" s="32"/>
      <c r="AN264" s="32"/>
      <c r="AO264" s="32"/>
      <c r="AP264" s="65">
        <f>SUM(F264:AO264)</f>
        <v>0</v>
      </c>
      <c r="AQ264" s="346" t="e">
        <f>AP264/AP258</f>
        <v>#DIV/0!</v>
      </c>
      <c r="AR264" s="1185"/>
      <c r="AS264" s="1185"/>
    </row>
    <row r="265" spans="1:45" s="2" customFormat="1" x14ac:dyDescent="0.35">
      <c r="A265" s="1198"/>
      <c r="B265" s="1179"/>
      <c r="C265" s="1196"/>
      <c r="D265" s="1201"/>
      <c r="E265" s="36" t="s">
        <v>190</v>
      </c>
      <c r="F265" s="29"/>
      <c r="G265" s="30"/>
      <c r="H265" s="30"/>
      <c r="I265" s="30"/>
      <c r="J265" s="30"/>
      <c r="K265" s="30"/>
      <c r="L265" s="30"/>
      <c r="M265" s="30"/>
      <c r="N265" s="30"/>
      <c r="O265" s="30"/>
      <c r="P265" s="30"/>
      <c r="Q265" s="1088"/>
      <c r="R265" s="1084"/>
      <c r="S265" s="30"/>
      <c r="T265" s="30"/>
      <c r="U265" s="30"/>
      <c r="V265" s="30"/>
      <c r="W265" s="30"/>
      <c r="X265" s="30"/>
      <c r="Y265" s="30"/>
      <c r="Z265" s="30"/>
      <c r="AA265" s="30"/>
      <c r="AB265" s="30"/>
      <c r="AC265" s="1088"/>
      <c r="AD265" s="30"/>
      <c r="AE265" s="30"/>
      <c r="AF265" s="30"/>
      <c r="AG265" s="30"/>
      <c r="AH265" s="30"/>
      <c r="AI265" s="30"/>
      <c r="AJ265" s="30"/>
      <c r="AK265" s="30"/>
      <c r="AL265" s="30"/>
      <c r="AM265" s="30"/>
      <c r="AN265" s="30"/>
      <c r="AO265" s="30"/>
      <c r="AP265" s="65"/>
      <c r="AQ265" s="65"/>
      <c r="AR265" s="1185"/>
      <c r="AS265" s="1185"/>
    </row>
    <row r="266" spans="1:45" s="2" customFormat="1" ht="15" thickBot="1" x14ac:dyDescent="0.4">
      <c r="A266" s="1199"/>
      <c r="B266" s="1180"/>
      <c r="C266" s="1197"/>
      <c r="D266" s="1202"/>
      <c r="E266" s="64" t="s">
        <v>191</v>
      </c>
      <c r="F266" s="25"/>
      <c r="G266" s="28"/>
      <c r="H266" s="28"/>
      <c r="I266" s="28"/>
      <c r="J266" s="28"/>
      <c r="K266" s="28"/>
      <c r="L266" s="28"/>
      <c r="M266" s="28"/>
      <c r="N266" s="28"/>
      <c r="O266" s="28"/>
      <c r="P266" s="28"/>
      <c r="Q266" s="1093"/>
      <c r="R266" s="1091"/>
      <c r="S266" s="28"/>
      <c r="T266" s="28"/>
      <c r="U266" s="28"/>
      <c r="V266" s="28"/>
      <c r="W266" s="28"/>
      <c r="X266" s="28"/>
      <c r="Y266" s="28"/>
      <c r="Z266" s="28"/>
      <c r="AA266" s="28"/>
      <c r="AB266" s="28"/>
      <c r="AC266" s="1093"/>
      <c r="AD266" s="28"/>
      <c r="AE266" s="28"/>
      <c r="AF266" s="28"/>
      <c r="AG266" s="28"/>
      <c r="AH266" s="28"/>
      <c r="AI266" s="28"/>
      <c r="AJ266" s="28"/>
      <c r="AK266" s="28"/>
      <c r="AL266" s="28"/>
      <c r="AM266" s="28"/>
      <c r="AN266" s="28"/>
      <c r="AO266" s="28"/>
      <c r="AP266" s="137"/>
      <c r="AQ266" s="137"/>
      <c r="AR266" s="1186"/>
      <c r="AS266" s="1186"/>
    </row>
    <row r="267" spans="1:45" s="2" customFormat="1" x14ac:dyDescent="0.35">
      <c r="A267" s="1198">
        <v>25</v>
      </c>
      <c r="B267" s="1178" t="str">
        <f>IF(VLOOKUP(A:A,'Pivot Table'!Z:AE,6,FALSE)=0,"",VLOOKUP(A:A,'Pivot Table'!Z:AE,6,FALSE))</f>
        <v/>
      </c>
      <c r="C267" s="1195" t="str">
        <f>_xlfn.IFNA(VLOOKUP(B:B,'indicator lists'!L:R,3,FALSE),"")</f>
        <v/>
      </c>
      <c r="D267" s="1200" t="str">
        <f>_xlfn.IFNA(VLOOKUP(B:B,Logframe!F:G,2,FALSE),"")</f>
        <v/>
      </c>
      <c r="E267" s="59" t="s">
        <v>181</v>
      </c>
      <c r="F267" s="60">
        <f>SUM(F268:F271)</f>
        <v>0</v>
      </c>
      <c r="G267" s="61">
        <f>SUM(G268:G271)</f>
        <v>0</v>
      </c>
      <c r="H267" s="61">
        <f t="shared" ref="H267:AO267" si="52">SUM(H268:H271)</f>
        <v>0</v>
      </c>
      <c r="I267" s="61">
        <f t="shared" si="52"/>
        <v>0</v>
      </c>
      <c r="J267" s="61">
        <f t="shared" si="52"/>
        <v>0</v>
      </c>
      <c r="K267" s="61">
        <f t="shared" si="52"/>
        <v>0</v>
      </c>
      <c r="L267" s="61">
        <f t="shared" si="52"/>
        <v>0</v>
      </c>
      <c r="M267" s="61">
        <f t="shared" si="52"/>
        <v>0</v>
      </c>
      <c r="N267" s="61">
        <f t="shared" si="52"/>
        <v>0</v>
      </c>
      <c r="O267" s="61">
        <f t="shared" si="52"/>
        <v>0</v>
      </c>
      <c r="P267" s="61">
        <f t="shared" si="52"/>
        <v>0</v>
      </c>
      <c r="Q267" s="61">
        <f t="shared" si="52"/>
        <v>0</v>
      </c>
      <c r="R267" s="61">
        <f t="shared" si="52"/>
        <v>0</v>
      </c>
      <c r="S267" s="61">
        <f t="shared" si="52"/>
        <v>0</v>
      </c>
      <c r="T267" s="61">
        <f t="shared" si="52"/>
        <v>0</v>
      </c>
      <c r="U267" s="61">
        <f t="shared" si="52"/>
        <v>0</v>
      </c>
      <c r="V267" s="61">
        <f t="shared" si="52"/>
        <v>0</v>
      </c>
      <c r="W267" s="61">
        <f t="shared" si="52"/>
        <v>0</v>
      </c>
      <c r="X267" s="61">
        <f t="shared" si="52"/>
        <v>0</v>
      </c>
      <c r="Y267" s="61">
        <f t="shared" si="52"/>
        <v>0</v>
      </c>
      <c r="Z267" s="61">
        <f t="shared" si="52"/>
        <v>0</v>
      </c>
      <c r="AA267" s="61">
        <f t="shared" si="52"/>
        <v>0</v>
      </c>
      <c r="AB267" s="61">
        <f t="shared" si="52"/>
        <v>0</v>
      </c>
      <c r="AC267" s="61">
        <f t="shared" si="52"/>
        <v>0</v>
      </c>
      <c r="AD267" s="61">
        <f t="shared" si="52"/>
        <v>0</v>
      </c>
      <c r="AE267" s="61">
        <f t="shared" si="52"/>
        <v>0</v>
      </c>
      <c r="AF267" s="61">
        <f t="shared" si="52"/>
        <v>0</v>
      </c>
      <c r="AG267" s="61">
        <f t="shared" si="52"/>
        <v>0</v>
      </c>
      <c r="AH267" s="61">
        <f t="shared" si="52"/>
        <v>0</v>
      </c>
      <c r="AI267" s="61">
        <f t="shared" si="52"/>
        <v>0</v>
      </c>
      <c r="AJ267" s="61">
        <f t="shared" si="52"/>
        <v>0</v>
      </c>
      <c r="AK267" s="61">
        <f t="shared" si="52"/>
        <v>0</v>
      </c>
      <c r="AL267" s="61">
        <f t="shared" si="52"/>
        <v>0</v>
      </c>
      <c r="AM267" s="61">
        <f t="shared" si="52"/>
        <v>0</v>
      </c>
      <c r="AN267" s="61">
        <f t="shared" si="52"/>
        <v>0</v>
      </c>
      <c r="AO267" s="61">
        <f t="shared" si="52"/>
        <v>0</v>
      </c>
      <c r="AP267" s="347">
        <f>SUM(AP268:AP269)</f>
        <v>0</v>
      </c>
      <c r="AQ267" s="134"/>
      <c r="AR267" s="1184"/>
      <c r="AS267" s="1184"/>
    </row>
    <row r="268" spans="1:45" s="2" customFormat="1" x14ac:dyDescent="0.35">
      <c r="A268" s="1198"/>
      <c r="B268" s="1179"/>
      <c r="C268" s="1196"/>
      <c r="D268" s="1201"/>
      <c r="E268" s="63" t="s">
        <v>182</v>
      </c>
      <c r="F268" s="23"/>
      <c r="G268" s="26"/>
      <c r="H268" s="26"/>
      <c r="I268" s="26"/>
      <c r="J268" s="26"/>
      <c r="K268" s="26"/>
      <c r="L268" s="26"/>
      <c r="M268" s="26"/>
      <c r="N268" s="26"/>
      <c r="O268" s="26"/>
      <c r="P268" s="26"/>
      <c r="Q268" s="1086"/>
      <c r="R268" s="1082"/>
      <c r="S268" s="26"/>
      <c r="T268" s="26"/>
      <c r="U268" s="26"/>
      <c r="V268" s="26"/>
      <c r="W268" s="26"/>
      <c r="X268" s="26"/>
      <c r="Y268" s="26"/>
      <c r="Z268" s="26"/>
      <c r="AA268" s="26"/>
      <c r="AB268" s="26"/>
      <c r="AC268" s="1086"/>
      <c r="AD268" s="26"/>
      <c r="AE268" s="26"/>
      <c r="AF268" s="26"/>
      <c r="AG268" s="26"/>
      <c r="AH268" s="26"/>
      <c r="AI268" s="26"/>
      <c r="AJ268" s="26"/>
      <c r="AK268" s="26"/>
      <c r="AL268" s="26"/>
      <c r="AM268" s="26"/>
      <c r="AN268" s="26"/>
      <c r="AO268" s="26"/>
      <c r="AP268" s="344">
        <f>SUM(F268:AO268)</f>
        <v>0</v>
      </c>
      <c r="AQ268" s="135"/>
      <c r="AR268" s="1185"/>
      <c r="AS268" s="1185"/>
    </row>
    <row r="269" spans="1:45" s="2" customFormat="1" x14ac:dyDescent="0.35">
      <c r="A269" s="1198"/>
      <c r="B269" s="1179"/>
      <c r="C269" s="1196"/>
      <c r="D269" s="1201"/>
      <c r="E269" s="336" t="s">
        <v>183</v>
      </c>
      <c r="F269" s="337"/>
      <c r="G269" s="338"/>
      <c r="H269" s="338"/>
      <c r="I269" s="338"/>
      <c r="J269" s="338"/>
      <c r="K269" s="338"/>
      <c r="L269" s="338"/>
      <c r="M269" s="338"/>
      <c r="N269" s="338"/>
      <c r="O269" s="338"/>
      <c r="P269" s="338"/>
      <c r="Q269" s="1087"/>
      <c r="R269" s="1083"/>
      <c r="S269" s="338"/>
      <c r="T269" s="338"/>
      <c r="U269" s="338"/>
      <c r="V269" s="338"/>
      <c r="W269" s="338"/>
      <c r="X269" s="338"/>
      <c r="Y269" s="338"/>
      <c r="Z269" s="338"/>
      <c r="AA269" s="338"/>
      <c r="AB269" s="338"/>
      <c r="AC269" s="1087"/>
      <c r="AD269" s="338"/>
      <c r="AE269" s="338"/>
      <c r="AF269" s="338"/>
      <c r="AG269" s="338"/>
      <c r="AH269" s="338"/>
      <c r="AI269" s="338"/>
      <c r="AJ269" s="338"/>
      <c r="AK269" s="338"/>
      <c r="AL269" s="338"/>
      <c r="AM269" s="338"/>
      <c r="AN269" s="338"/>
      <c r="AO269" s="338"/>
      <c r="AP269" s="344">
        <f>SUM(F269:AO269)</f>
        <v>0</v>
      </c>
      <c r="AQ269" s="335"/>
      <c r="AR269" s="1185"/>
      <c r="AS269" s="1185"/>
    </row>
    <row r="270" spans="1:45" s="2" customFormat="1" x14ac:dyDescent="0.35">
      <c r="A270" s="1198"/>
      <c r="B270" s="1179"/>
      <c r="C270" s="1196"/>
      <c r="D270" s="1201"/>
      <c r="E270" s="36" t="s">
        <v>184</v>
      </c>
      <c r="F270" s="29"/>
      <c r="G270" s="30"/>
      <c r="H270" s="30"/>
      <c r="I270" s="30"/>
      <c r="J270" s="30"/>
      <c r="K270" s="30"/>
      <c r="L270" s="30"/>
      <c r="M270" s="30"/>
      <c r="N270" s="30"/>
      <c r="O270" s="30"/>
      <c r="P270" s="30"/>
      <c r="Q270" s="1088"/>
      <c r="R270" s="1084"/>
      <c r="S270" s="30"/>
      <c r="T270" s="30"/>
      <c r="U270" s="30"/>
      <c r="V270" s="30"/>
      <c r="W270" s="30"/>
      <c r="X270" s="30"/>
      <c r="Y270" s="30"/>
      <c r="Z270" s="30"/>
      <c r="AA270" s="30"/>
      <c r="AB270" s="30"/>
      <c r="AC270" s="1088"/>
      <c r="AD270" s="30"/>
      <c r="AE270" s="30"/>
      <c r="AF270" s="30"/>
      <c r="AG270" s="30"/>
      <c r="AH270" s="30"/>
      <c r="AI270" s="30"/>
      <c r="AJ270" s="30"/>
      <c r="AK270" s="30"/>
      <c r="AL270" s="30"/>
      <c r="AM270" s="30"/>
      <c r="AN270" s="30"/>
      <c r="AO270" s="30"/>
      <c r="AP270" s="344"/>
      <c r="AQ270" s="335"/>
      <c r="AR270" s="1185"/>
      <c r="AS270" s="1185"/>
    </row>
    <row r="271" spans="1:45" s="2" customFormat="1" ht="15" thickBot="1" x14ac:dyDescent="0.4">
      <c r="A271" s="1198"/>
      <c r="B271" s="1179"/>
      <c r="C271" s="1196"/>
      <c r="D271" s="1201"/>
      <c r="E271" s="340" t="s">
        <v>185</v>
      </c>
      <c r="F271" s="341"/>
      <c r="G271" s="342"/>
      <c r="H271" s="342"/>
      <c r="I271" s="342"/>
      <c r="J271" s="342"/>
      <c r="K271" s="342"/>
      <c r="L271" s="342"/>
      <c r="M271" s="342"/>
      <c r="N271" s="342"/>
      <c r="O271" s="342"/>
      <c r="P271" s="342"/>
      <c r="Q271" s="1089"/>
      <c r="R271" s="1085"/>
      <c r="S271" s="342"/>
      <c r="T271" s="342"/>
      <c r="U271" s="342"/>
      <c r="V271" s="342"/>
      <c r="W271" s="342"/>
      <c r="X271" s="342"/>
      <c r="Y271" s="342"/>
      <c r="Z271" s="342"/>
      <c r="AA271" s="342"/>
      <c r="AB271" s="342"/>
      <c r="AC271" s="1089"/>
      <c r="AD271" s="342"/>
      <c r="AE271" s="342"/>
      <c r="AF271" s="342"/>
      <c r="AG271" s="342"/>
      <c r="AH271" s="342"/>
      <c r="AI271" s="342"/>
      <c r="AJ271" s="342"/>
      <c r="AK271" s="342"/>
      <c r="AL271" s="342"/>
      <c r="AM271" s="342"/>
      <c r="AN271" s="342"/>
      <c r="AO271" s="342"/>
      <c r="AP271" s="344"/>
      <c r="AQ271" s="335"/>
      <c r="AR271" s="1185"/>
      <c r="AS271" s="1185"/>
    </row>
    <row r="272" spans="1:45" s="2" customFormat="1" ht="26.5" thickBot="1" x14ac:dyDescent="0.4">
      <c r="A272" s="1198"/>
      <c r="B272" s="1179"/>
      <c r="C272" s="1196"/>
      <c r="D272" s="1201"/>
      <c r="E272" s="1193" t="s">
        <v>175</v>
      </c>
      <c r="F272" s="1194"/>
      <c r="G272" s="1194"/>
      <c r="H272" s="1194"/>
      <c r="I272" s="1194"/>
      <c r="J272" s="1194"/>
      <c r="K272" s="1194"/>
      <c r="L272" s="1194"/>
      <c r="M272" s="1194"/>
      <c r="N272" s="1194"/>
      <c r="O272" s="1194"/>
      <c r="P272" s="1194"/>
      <c r="Q272" s="1194"/>
      <c r="R272" s="1194"/>
      <c r="S272" s="1194"/>
      <c r="T272" s="1194"/>
      <c r="U272" s="1194"/>
      <c r="V272" s="1194"/>
      <c r="W272" s="1194"/>
      <c r="X272" s="1194"/>
      <c r="Y272" s="1194"/>
      <c r="Z272" s="1194"/>
      <c r="AA272" s="1194"/>
      <c r="AB272" s="1194"/>
      <c r="AC272" s="1194"/>
      <c r="AD272" s="1194"/>
      <c r="AE272" s="1194"/>
      <c r="AF272" s="1194"/>
      <c r="AG272" s="1194"/>
      <c r="AH272" s="1194"/>
      <c r="AI272" s="1194"/>
      <c r="AJ272" s="1194"/>
      <c r="AK272" s="1194"/>
      <c r="AL272" s="1194"/>
      <c r="AM272" s="1194"/>
      <c r="AN272" s="1194"/>
      <c r="AO272" s="1194"/>
      <c r="AP272" s="348" t="e">
        <f>SUM(AP274:AP275)/AP267</f>
        <v>#DIV/0!</v>
      </c>
      <c r="AQ272" s="349" t="s">
        <v>186</v>
      </c>
      <c r="AR272" s="1185"/>
      <c r="AS272" s="1185"/>
    </row>
    <row r="273" spans="1:45" s="2" customFormat="1" x14ac:dyDescent="0.35">
      <c r="A273" s="1198"/>
      <c r="B273" s="1179"/>
      <c r="C273" s="1196"/>
      <c r="D273" s="1201"/>
      <c r="E273" s="62" t="s">
        <v>187</v>
      </c>
      <c r="F273" s="44">
        <f>SUM(F274:F277)</f>
        <v>0</v>
      </c>
      <c r="G273" s="43">
        <f>SUM(G274:G277)</f>
        <v>0</v>
      </c>
      <c r="H273" s="43">
        <f t="shared" ref="H273:AO273" si="53">SUM(H274:H277)</f>
        <v>0</v>
      </c>
      <c r="I273" s="43">
        <f t="shared" si="53"/>
        <v>0</v>
      </c>
      <c r="J273" s="43">
        <f t="shared" si="53"/>
        <v>0</v>
      </c>
      <c r="K273" s="43">
        <f t="shared" si="53"/>
        <v>0</v>
      </c>
      <c r="L273" s="43">
        <f t="shared" si="53"/>
        <v>0</v>
      </c>
      <c r="M273" s="43">
        <f t="shared" si="53"/>
        <v>0</v>
      </c>
      <c r="N273" s="43">
        <f t="shared" si="53"/>
        <v>0</v>
      </c>
      <c r="O273" s="43">
        <f t="shared" si="53"/>
        <v>0</v>
      </c>
      <c r="P273" s="43">
        <f t="shared" si="53"/>
        <v>0</v>
      </c>
      <c r="Q273" s="43">
        <f t="shared" si="53"/>
        <v>0</v>
      </c>
      <c r="R273" s="43">
        <f t="shared" si="53"/>
        <v>0</v>
      </c>
      <c r="S273" s="43">
        <f t="shared" si="53"/>
        <v>0</v>
      </c>
      <c r="T273" s="43">
        <f t="shared" si="53"/>
        <v>0</v>
      </c>
      <c r="U273" s="43">
        <f t="shared" si="53"/>
        <v>0</v>
      </c>
      <c r="V273" s="43">
        <f t="shared" si="53"/>
        <v>0</v>
      </c>
      <c r="W273" s="43">
        <f t="shared" si="53"/>
        <v>0</v>
      </c>
      <c r="X273" s="43">
        <f t="shared" si="53"/>
        <v>0</v>
      </c>
      <c r="Y273" s="43">
        <f t="shared" si="53"/>
        <v>0</v>
      </c>
      <c r="Z273" s="43">
        <f t="shared" si="53"/>
        <v>0</v>
      </c>
      <c r="AA273" s="43">
        <f t="shared" si="53"/>
        <v>0</v>
      </c>
      <c r="AB273" s="43">
        <f t="shared" si="53"/>
        <v>0</v>
      </c>
      <c r="AC273" s="43">
        <f t="shared" si="53"/>
        <v>0</v>
      </c>
      <c r="AD273" s="43">
        <f t="shared" si="53"/>
        <v>0</v>
      </c>
      <c r="AE273" s="43">
        <f t="shared" si="53"/>
        <v>0</v>
      </c>
      <c r="AF273" s="43">
        <f t="shared" si="53"/>
        <v>0</v>
      </c>
      <c r="AG273" s="43">
        <f t="shared" si="53"/>
        <v>0</v>
      </c>
      <c r="AH273" s="43">
        <f t="shared" si="53"/>
        <v>0</v>
      </c>
      <c r="AI273" s="43">
        <f t="shared" si="53"/>
        <v>0</v>
      </c>
      <c r="AJ273" s="43">
        <f t="shared" si="53"/>
        <v>0</v>
      </c>
      <c r="AK273" s="43">
        <f t="shared" si="53"/>
        <v>0</v>
      </c>
      <c r="AL273" s="43">
        <f t="shared" si="53"/>
        <v>0</v>
      </c>
      <c r="AM273" s="43">
        <f t="shared" si="53"/>
        <v>0</v>
      </c>
      <c r="AN273" s="43">
        <f t="shared" si="53"/>
        <v>0</v>
      </c>
      <c r="AO273" s="43">
        <f t="shared" si="53"/>
        <v>0</v>
      </c>
      <c r="AP273" s="65"/>
      <c r="AQ273" s="65"/>
      <c r="AR273" s="1185"/>
      <c r="AS273" s="1185"/>
    </row>
    <row r="274" spans="1:45" s="2" customFormat="1" x14ac:dyDescent="0.35">
      <c r="A274" s="1198"/>
      <c r="B274" s="1179"/>
      <c r="C274" s="1196"/>
      <c r="D274" s="1201"/>
      <c r="E274" s="63" t="s">
        <v>188</v>
      </c>
      <c r="F274" s="23"/>
      <c r="G274" s="26"/>
      <c r="H274" s="26"/>
      <c r="I274" s="26"/>
      <c r="J274" s="26"/>
      <c r="K274" s="26"/>
      <c r="L274" s="26"/>
      <c r="M274" s="26"/>
      <c r="N274" s="26"/>
      <c r="O274" s="26"/>
      <c r="P274" s="26"/>
      <c r="Q274" s="1086"/>
      <c r="R274" s="1082"/>
      <c r="S274" s="26"/>
      <c r="T274" s="26"/>
      <c r="U274" s="26"/>
      <c r="V274" s="26"/>
      <c r="W274" s="26"/>
      <c r="X274" s="26"/>
      <c r="Y274" s="26"/>
      <c r="Z274" s="26"/>
      <c r="AA274" s="26"/>
      <c r="AB274" s="26"/>
      <c r="AC274" s="1086"/>
      <c r="AD274" s="26"/>
      <c r="AE274" s="26"/>
      <c r="AF274" s="26"/>
      <c r="AG274" s="26"/>
      <c r="AH274" s="26"/>
      <c r="AI274" s="26"/>
      <c r="AJ274" s="26"/>
      <c r="AK274" s="26"/>
      <c r="AL274" s="26"/>
      <c r="AM274" s="26"/>
      <c r="AN274" s="26"/>
      <c r="AO274" s="26"/>
      <c r="AP274" s="65">
        <f>SUM(F274:AO274)</f>
        <v>0</v>
      </c>
      <c r="AQ274" s="346" t="e">
        <f>AP274/AP268</f>
        <v>#DIV/0!</v>
      </c>
      <c r="AR274" s="1185"/>
      <c r="AS274" s="1185"/>
    </row>
    <row r="275" spans="1:45" s="2" customFormat="1" x14ac:dyDescent="0.35">
      <c r="A275" s="1198"/>
      <c r="B275" s="1179"/>
      <c r="C275" s="1196"/>
      <c r="D275" s="1201"/>
      <c r="E275" s="37" t="s">
        <v>189</v>
      </c>
      <c r="F275" s="33"/>
      <c r="G275" s="32"/>
      <c r="H275" s="32"/>
      <c r="I275" s="32"/>
      <c r="J275" s="32"/>
      <c r="K275" s="32"/>
      <c r="L275" s="32"/>
      <c r="M275" s="32"/>
      <c r="N275" s="32"/>
      <c r="O275" s="32"/>
      <c r="P275" s="32"/>
      <c r="Q275" s="1092"/>
      <c r="R275" s="1090"/>
      <c r="S275" s="32"/>
      <c r="T275" s="32"/>
      <c r="U275" s="32"/>
      <c r="V275" s="32"/>
      <c r="W275" s="32"/>
      <c r="X275" s="32"/>
      <c r="Y275" s="32"/>
      <c r="Z275" s="32"/>
      <c r="AA275" s="32"/>
      <c r="AB275" s="32"/>
      <c r="AC275" s="1092"/>
      <c r="AD275" s="32"/>
      <c r="AE275" s="32"/>
      <c r="AF275" s="32"/>
      <c r="AG275" s="32"/>
      <c r="AH275" s="32"/>
      <c r="AI275" s="32"/>
      <c r="AJ275" s="32"/>
      <c r="AK275" s="32"/>
      <c r="AL275" s="32"/>
      <c r="AM275" s="32"/>
      <c r="AN275" s="32"/>
      <c r="AO275" s="32"/>
      <c r="AP275" s="65">
        <f>SUM(F275:AO275)</f>
        <v>0</v>
      </c>
      <c r="AQ275" s="346" t="e">
        <f>AP275/AP269</f>
        <v>#DIV/0!</v>
      </c>
      <c r="AR275" s="1185"/>
      <c r="AS275" s="1185"/>
    </row>
    <row r="276" spans="1:45" s="2" customFormat="1" x14ac:dyDescent="0.35">
      <c r="A276" s="1198"/>
      <c r="B276" s="1179"/>
      <c r="C276" s="1196"/>
      <c r="D276" s="1201"/>
      <c r="E276" s="36" t="s">
        <v>190</v>
      </c>
      <c r="F276" s="29"/>
      <c r="G276" s="30"/>
      <c r="H276" s="30"/>
      <c r="I276" s="30"/>
      <c r="J276" s="30"/>
      <c r="K276" s="30"/>
      <c r="L276" s="30"/>
      <c r="M276" s="30"/>
      <c r="N276" s="30"/>
      <c r="O276" s="30"/>
      <c r="P276" s="30"/>
      <c r="Q276" s="1088"/>
      <c r="R276" s="1084"/>
      <c r="S276" s="30"/>
      <c r="T276" s="30"/>
      <c r="U276" s="30"/>
      <c r="V276" s="30"/>
      <c r="W276" s="30"/>
      <c r="X276" s="30"/>
      <c r="Y276" s="30"/>
      <c r="Z276" s="30"/>
      <c r="AA276" s="30"/>
      <c r="AB276" s="30"/>
      <c r="AC276" s="1088"/>
      <c r="AD276" s="30"/>
      <c r="AE276" s="30"/>
      <c r="AF276" s="30"/>
      <c r="AG276" s="30"/>
      <c r="AH276" s="30"/>
      <c r="AI276" s="30"/>
      <c r="AJ276" s="30"/>
      <c r="AK276" s="30"/>
      <c r="AL276" s="30"/>
      <c r="AM276" s="30"/>
      <c r="AN276" s="30"/>
      <c r="AO276" s="30"/>
      <c r="AP276" s="65"/>
      <c r="AQ276" s="65"/>
      <c r="AR276" s="1185"/>
      <c r="AS276" s="1185"/>
    </row>
    <row r="277" spans="1:45" s="2" customFormat="1" ht="15" thickBot="1" x14ac:dyDescent="0.4">
      <c r="A277" s="1199"/>
      <c r="B277" s="1180"/>
      <c r="C277" s="1197"/>
      <c r="D277" s="1202"/>
      <c r="E277" s="64" t="s">
        <v>191</v>
      </c>
      <c r="F277" s="25"/>
      <c r="G277" s="28"/>
      <c r="H277" s="28"/>
      <c r="I277" s="28"/>
      <c r="J277" s="28"/>
      <c r="K277" s="28"/>
      <c r="L277" s="28"/>
      <c r="M277" s="28"/>
      <c r="N277" s="28"/>
      <c r="O277" s="28"/>
      <c r="P277" s="28"/>
      <c r="Q277" s="1093"/>
      <c r="R277" s="1091"/>
      <c r="S277" s="28"/>
      <c r="T277" s="28"/>
      <c r="U277" s="28"/>
      <c r="V277" s="28"/>
      <c r="W277" s="28"/>
      <c r="X277" s="28"/>
      <c r="Y277" s="28"/>
      <c r="Z277" s="28"/>
      <c r="AA277" s="28"/>
      <c r="AB277" s="28"/>
      <c r="AC277" s="1093"/>
      <c r="AD277" s="28"/>
      <c r="AE277" s="28"/>
      <c r="AF277" s="28"/>
      <c r="AG277" s="28"/>
      <c r="AH277" s="28"/>
      <c r="AI277" s="28"/>
      <c r="AJ277" s="28"/>
      <c r="AK277" s="28"/>
      <c r="AL277" s="28"/>
      <c r="AM277" s="28"/>
      <c r="AN277" s="28"/>
      <c r="AO277" s="28"/>
      <c r="AP277" s="137"/>
      <c r="AQ277" s="137"/>
      <c r="AR277" s="1186"/>
      <c r="AS277" s="1186"/>
    </row>
    <row r="278" spans="1:45" s="2" customFormat="1" x14ac:dyDescent="0.35">
      <c r="A278" s="1206">
        <v>26</v>
      </c>
      <c r="B278" s="1178" t="str">
        <f>IF(VLOOKUP(A:A,'Pivot Table'!Z:AE,6,FALSE)=0,"",VLOOKUP(A:A,'Pivot Table'!Z:AE,6,FALSE))</f>
        <v/>
      </c>
      <c r="C278" s="1190" t="str">
        <f>_xlfn.IFNA(VLOOKUP(B:B,'indicator lists'!L:R,3,FALSE),"")</f>
        <v/>
      </c>
      <c r="D278" s="1195" t="str">
        <f>_xlfn.IFNA(VLOOKUP(B:B,Logframe!F:G,2,FALSE),"")</f>
        <v/>
      </c>
      <c r="E278" s="59" t="s">
        <v>181</v>
      </c>
      <c r="F278" s="60">
        <f>SUM(F279:F282)</f>
        <v>0</v>
      </c>
      <c r="G278" s="61">
        <f>SUM(G279:G282)</f>
        <v>0</v>
      </c>
      <c r="H278" s="61">
        <f t="shared" ref="H278:AO278" si="54">SUM(H279:H282)</f>
        <v>0</v>
      </c>
      <c r="I278" s="61">
        <f t="shared" si="54"/>
        <v>0</v>
      </c>
      <c r="J278" s="61">
        <f t="shared" si="54"/>
        <v>0</v>
      </c>
      <c r="K278" s="61">
        <f t="shared" si="54"/>
        <v>0</v>
      </c>
      <c r="L278" s="61">
        <f t="shared" si="54"/>
        <v>0</v>
      </c>
      <c r="M278" s="61">
        <f t="shared" si="54"/>
        <v>0</v>
      </c>
      <c r="N278" s="61">
        <f t="shared" si="54"/>
        <v>0</v>
      </c>
      <c r="O278" s="61">
        <f t="shared" si="54"/>
        <v>0</v>
      </c>
      <c r="P278" s="61">
        <f t="shared" si="54"/>
        <v>0</v>
      </c>
      <c r="Q278" s="61">
        <f t="shared" si="54"/>
        <v>0</v>
      </c>
      <c r="R278" s="61">
        <f t="shared" si="54"/>
        <v>0</v>
      </c>
      <c r="S278" s="61">
        <f t="shared" si="54"/>
        <v>0</v>
      </c>
      <c r="T278" s="61">
        <f t="shared" si="54"/>
        <v>0</v>
      </c>
      <c r="U278" s="61">
        <f t="shared" si="54"/>
        <v>0</v>
      </c>
      <c r="V278" s="61">
        <f t="shared" si="54"/>
        <v>0</v>
      </c>
      <c r="W278" s="61">
        <f t="shared" si="54"/>
        <v>0</v>
      </c>
      <c r="X278" s="61">
        <f t="shared" si="54"/>
        <v>0</v>
      </c>
      <c r="Y278" s="61">
        <f t="shared" si="54"/>
        <v>0</v>
      </c>
      <c r="Z278" s="61">
        <f t="shared" si="54"/>
        <v>0</v>
      </c>
      <c r="AA278" s="61">
        <f t="shared" si="54"/>
        <v>0</v>
      </c>
      <c r="AB278" s="61">
        <f t="shared" si="54"/>
        <v>0</v>
      </c>
      <c r="AC278" s="61">
        <f t="shared" si="54"/>
        <v>0</v>
      </c>
      <c r="AD278" s="61">
        <f t="shared" si="54"/>
        <v>0</v>
      </c>
      <c r="AE278" s="61">
        <f t="shared" si="54"/>
        <v>0</v>
      </c>
      <c r="AF278" s="61">
        <f t="shared" si="54"/>
        <v>0</v>
      </c>
      <c r="AG278" s="61">
        <f t="shared" si="54"/>
        <v>0</v>
      </c>
      <c r="AH278" s="61">
        <f t="shared" si="54"/>
        <v>0</v>
      </c>
      <c r="AI278" s="61">
        <f t="shared" si="54"/>
        <v>0</v>
      </c>
      <c r="AJ278" s="61">
        <f t="shared" si="54"/>
        <v>0</v>
      </c>
      <c r="AK278" s="61">
        <f t="shared" si="54"/>
        <v>0</v>
      </c>
      <c r="AL278" s="61">
        <f t="shared" si="54"/>
        <v>0</v>
      </c>
      <c r="AM278" s="61">
        <f t="shared" si="54"/>
        <v>0</v>
      </c>
      <c r="AN278" s="61">
        <f t="shared" si="54"/>
        <v>0</v>
      </c>
      <c r="AO278" s="61">
        <f t="shared" si="54"/>
        <v>0</v>
      </c>
      <c r="AP278" s="347">
        <f>SUM(AP279:AP280)</f>
        <v>0</v>
      </c>
      <c r="AQ278" s="134"/>
      <c r="AR278" s="1184"/>
      <c r="AS278" s="1184"/>
    </row>
    <row r="279" spans="1:45" s="2" customFormat="1" x14ac:dyDescent="0.35">
      <c r="A279" s="1207"/>
      <c r="B279" s="1179"/>
      <c r="C279" s="1191"/>
      <c r="D279" s="1196"/>
      <c r="E279" s="63" t="s">
        <v>182</v>
      </c>
      <c r="F279" s="23"/>
      <c r="G279" s="26"/>
      <c r="H279" s="26"/>
      <c r="I279" s="26"/>
      <c r="J279" s="26"/>
      <c r="K279" s="26"/>
      <c r="L279" s="26"/>
      <c r="M279" s="26"/>
      <c r="N279" s="26"/>
      <c r="O279" s="26"/>
      <c r="P279" s="26"/>
      <c r="Q279" s="1086"/>
      <c r="R279" s="1082"/>
      <c r="S279" s="26"/>
      <c r="T279" s="26"/>
      <c r="U279" s="26"/>
      <c r="V279" s="26"/>
      <c r="W279" s="26"/>
      <c r="X279" s="26"/>
      <c r="Y279" s="26"/>
      <c r="Z279" s="26"/>
      <c r="AA279" s="26"/>
      <c r="AB279" s="26"/>
      <c r="AC279" s="1086"/>
      <c r="AD279" s="26"/>
      <c r="AE279" s="26"/>
      <c r="AF279" s="26"/>
      <c r="AG279" s="26"/>
      <c r="AH279" s="26"/>
      <c r="AI279" s="26"/>
      <c r="AJ279" s="26"/>
      <c r="AK279" s="26"/>
      <c r="AL279" s="26"/>
      <c r="AM279" s="26"/>
      <c r="AN279" s="26"/>
      <c r="AO279" s="26"/>
      <c r="AP279" s="344">
        <f>SUM(F279:AO279)</f>
        <v>0</v>
      </c>
      <c r="AQ279" s="135"/>
      <c r="AR279" s="1185"/>
      <c r="AS279" s="1185"/>
    </row>
    <row r="280" spans="1:45" s="2" customFormat="1" x14ac:dyDescent="0.35">
      <c r="A280" s="1207"/>
      <c r="B280" s="1179"/>
      <c r="C280" s="1191"/>
      <c r="D280" s="1196"/>
      <c r="E280" s="336" t="s">
        <v>183</v>
      </c>
      <c r="F280" s="337"/>
      <c r="G280" s="338"/>
      <c r="H280" s="338"/>
      <c r="I280" s="338"/>
      <c r="J280" s="338"/>
      <c r="K280" s="338"/>
      <c r="L280" s="338"/>
      <c r="M280" s="338"/>
      <c r="N280" s="338"/>
      <c r="O280" s="338"/>
      <c r="P280" s="338"/>
      <c r="Q280" s="1087"/>
      <c r="R280" s="1083"/>
      <c r="S280" s="338"/>
      <c r="T280" s="338"/>
      <c r="U280" s="338"/>
      <c r="V280" s="338"/>
      <c r="W280" s="338"/>
      <c r="X280" s="338"/>
      <c r="Y280" s="338"/>
      <c r="Z280" s="338"/>
      <c r="AA280" s="338"/>
      <c r="AB280" s="338"/>
      <c r="AC280" s="1087"/>
      <c r="AD280" s="338"/>
      <c r="AE280" s="338"/>
      <c r="AF280" s="338"/>
      <c r="AG280" s="338"/>
      <c r="AH280" s="338"/>
      <c r="AI280" s="338"/>
      <c r="AJ280" s="338"/>
      <c r="AK280" s="338"/>
      <c r="AL280" s="338"/>
      <c r="AM280" s="338"/>
      <c r="AN280" s="338"/>
      <c r="AO280" s="338"/>
      <c r="AP280" s="344">
        <f>SUM(F280:AO280)</f>
        <v>0</v>
      </c>
      <c r="AQ280" s="335"/>
      <c r="AR280" s="1185"/>
      <c r="AS280" s="1185"/>
    </row>
    <row r="281" spans="1:45" s="2" customFormat="1" x14ac:dyDescent="0.35">
      <c r="A281" s="1207"/>
      <c r="B281" s="1179"/>
      <c r="C281" s="1191"/>
      <c r="D281" s="1196"/>
      <c r="E281" s="36" t="s">
        <v>184</v>
      </c>
      <c r="F281" s="29"/>
      <c r="G281" s="30"/>
      <c r="H281" s="30"/>
      <c r="I281" s="30"/>
      <c r="J281" s="30"/>
      <c r="K281" s="30"/>
      <c r="L281" s="30"/>
      <c r="M281" s="30"/>
      <c r="N281" s="30"/>
      <c r="O281" s="30"/>
      <c r="P281" s="30"/>
      <c r="Q281" s="1088"/>
      <c r="R281" s="1084"/>
      <c r="S281" s="30"/>
      <c r="T281" s="30"/>
      <c r="U281" s="30"/>
      <c r="V281" s="30"/>
      <c r="W281" s="30"/>
      <c r="X281" s="30"/>
      <c r="Y281" s="30"/>
      <c r="Z281" s="30"/>
      <c r="AA281" s="30"/>
      <c r="AB281" s="30"/>
      <c r="AC281" s="1088"/>
      <c r="AD281" s="30"/>
      <c r="AE281" s="30"/>
      <c r="AF281" s="30"/>
      <c r="AG281" s="30"/>
      <c r="AH281" s="30"/>
      <c r="AI281" s="30"/>
      <c r="AJ281" s="30"/>
      <c r="AK281" s="30"/>
      <c r="AL281" s="30"/>
      <c r="AM281" s="30"/>
      <c r="AN281" s="30"/>
      <c r="AO281" s="30"/>
      <c r="AP281" s="344"/>
      <c r="AQ281" s="335"/>
      <c r="AR281" s="1185"/>
      <c r="AS281" s="1185"/>
    </row>
    <row r="282" spans="1:45" s="2" customFormat="1" ht="15" thickBot="1" x14ac:dyDescent="0.4">
      <c r="A282" s="1207"/>
      <c r="B282" s="1179"/>
      <c r="C282" s="1191"/>
      <c r="D282" s="1196"/>
      <c r="E282" s="340" t="s">
        <v>185</v>
      </c>
      <c r="F282" s="341"/>
      <c r="G282" s="342"/>
      <c r="H282" s="342"/>
      <c r="I282" s="342"/>
      <c r="J282" s="342"/>
      <c r="K282" s="342"/>
      <c r="L282" s="342"/>
      <c r="M282" s="342"/>
      <c r="N282" s="342"/>
      <c r="O282" s="342"/>
      <c r="P282" s="342"/>
      <c r="Q282" s="1089"/>
      <c r="R282" s="1085"/>
      <c r="S282" s="342"/>
      <c r="T282" s="342"/>
      <c r="U282" s="342"/>
      <c r="V282" s="342"/>
      <c r="W282" s="342"/>
      <c r="X282" s="342"/>
      <c r="Y282" s="342"/>
      <c r="Z282" s="342"/>
      <c r="AA282" s="342"/>
      <c r="AB282" s="342"/>
      <c r="AC282" s="1089"/>
      <c r="AD282" s="342"/>
      <c r="AE282" s="342"/>
      <c r="AF282" s="342"/>
      <c r="AG282" s="342"/>
      <c r="AH282" s="342"/>
      <c r="AI282" s="342"/>
      <c r="AJ282" s="342"/>
      <c r="AK282" s="342"/>
      <c r="AL282" s="342"/>
      <c r="AM282" s="342"/>
      <c r="AN282" s="342"/>
      <c r="AO282" s="342"/>
      <c r="AP282" s="344"/>
      <c r="AQ282" s="335"/>
      <c r="AR282" s="1185"/>
      <c r="AS282" s="1185"/>
    </row>
    <row r="283" spans="1:45" s="2" customFormat="1" ht="26.5" thickBot="1" x14ac:dyDescent="0.4">
      <c r="A283" s="1207"/>
      <c r="B283" s="1179"/>
      <c r="C283" s="1191"/>
      <c r="D283" s="1196"/>
      <c r="E283" s="1193" t="s">
        <v>175</v>
      </c>
      <c r="F283" s="1194"/>
      <c r="G283" s="1194"/>
      <c r="H283" s="1194"/>
      <c r="I283" s="1194"/>
      <c r="J283" s="1194"/>
      <c r="K283" s="1194"/>
      <c r="L283" s="1194"/>
      <c r="M283" s="1194"/>
      <c r="N283" s="1194"/>
      <c r="O283" s="1194"/>
      <c r="P283" s="1194"/>
      <c r="Q283" s="1194"/>
      <c r="R283" s="1194"/>
      <c r="S283" s="1194"/>
      <c r="T283" s="1194"/>
      <c r="U283" s="1194"/>
      <c r="V283" s="1194"/>
      <c r="W283" s="1194"/>
      <c r="X283" s="1194"/>
      <c r="Y283" s="1194"/>
      <c r="Z283" s="1194"/>
      <c r="AA283" s="1194"/>
      <c r="AB283" s="1194"/>
      <c r="AC283" s="1194"/>
      <c r="AD283" s="1194"/>
      <c r="AE283" s="1194"/>
      <c r="AF283" s="1194"/>
      <c r="AG283" s="1194"/>
      <c r="AH283" s="1194"/>
      <c r="AI283" s="1194"/>
      <c r="AJ283" s="1194"/>
      <c r="AK283" s="1194"/>
      <c r="AL283" s="1194"/>
      <c r="AM283" s="1194"/>
      <c r="AN283" s="1194"/>
      <c r="AO283" s="1194"/>
      <c r="AP283" s="348" t="e">
        <f>SUM(AP285+AP290)/AP278</f>
        <v>#DIV/0!</v>
      </c>
      <c r="AQ283" s="349" t="s">
        <v>186</v>
      </c>
      <c r="AR283" s="1185"/>
      <c r="AS283" s="1185"/>
    </row>
    <row r="284" spans="1:45" s="2" customFormat="1" x14ac:dyDescent="0.35">
      <c r="A284" s="1207"/>
      <c r="B284" s="1179"/>
      <c r="C284" s="1191"/>
      <c r="D284" s="1196"/>
      <c r="E284" s="62" t="s">
        <v>187</v>
      </c>
      <c r="F284" s="44">
        <f t="shared" ref="F284:M284" si="55">SUM(F285:F300)</f>
        <v>0</v>
      </c>
      <c r="G284" s="43">
        <f t="shared" si="55"/>
        <v>0</v>
      </c>
      <c r="H284" s="43">
        <f t="shared" si="55"/>
        <v>0</v>
      </c>
      <c r="I284" s="43">
        <f t="shared" si="55"/>
        <v>0</v>
      </c>
      <c r="J284" s="43">
        <f t="shared" si="55"/>
        <v>0</v>
      </c>
      <c r="K284" s="43">
        <f t="shared" si="55"/>
        <v>0</v>
      </c>
      <c r="L284" s="43">
        <f t="shared" si="55"/>
        <v>0</v>
      </c>
      <c r="M284" s="43">
        <f t="shared" si="55"/>
        <v>0</v>
      </c>
      <c r="N284" s="43">
        <f t="shared" ref="N284:AA284" si="56">SUM(N285:N300)</f>
        <v>0</v>
      </c>
      <c r="O284" s="43">
        <f t="shared" si="56"/>
        <v>0</v>
      </c>
      <c r="P284" s="43">
        <f t="shared" si="56"/>
        <v>0</v>
      </c>
      <c r="Q284" s="43">
        <f t="shared" si="56"/>
        <v>0</v>
      </c>
      <c r="R284" s="43">
        <f t="shared" si="56"/>
        <v>0</v>
      </c>
      <c r="S284" s="43">
        <f t="shared" si="56"/>
        <v>0</v>
      </c>
      <c r="T284" s="43">
        <f t="shared" si="56"/>
        <v>0</v>
      </c>
      <c r="U284" s="43">
        <f t="shared" si="56"/>
        <v>0</v>
      </c>
      <c r="V284" s="43">
        <f t="shared" si="56"/>
        <v>0</v>
      </c>
      <c r="W284" s="43">
        <f t="shared" si="56"/>
        <v>0</v>
      </c>
      <c r="X284" s="43">
        <f t="shared" si="56"/>
        <v>0</v>
      </c>
      <c r="Y284" s="43">
        <f t="shared" si="56"/>
        <v>0</v>
      </c>
      <c r="Z284" s="43">
        <f t="shared" si="56"/>
        <v>0</v>
      </c>
      <c r="AA284" s="43">
        <f t="shared" si="56"/>
        <v>0</v>
      </c>
      <c r="AB284" s="43">
        <f t="shared" ref="AB284:AO284" si="57">SUM(AB285:AB300)</f>
        <v>0</v>
      </c>
      <c r="AC284" s="43">
        <f t="shared" si="57"/>
        <v>0</v>
      </c>
      <c r="AD284" s="43">
        <f t="shared" si="57"/>
        <v>0</v>
      </c>
      <c r="AE284" s="43">
        <f t="shared" si="57"/>
        <v>0</v>
      </c>
      <c r="AF284" s="43">
        <f t="shared" si="57"/>
        <v>0</v>
      </c>
      <c r="AG284" s="43">
        <f t="shared" si="57"/>
        <v>0</v>
      </c>
      <c r="AH284" s="43">
        <f t="shared" si="57"/>
        <v>0</v>
      </c>
      <c r="AI284" s="43">
        <f t="shared" si="57"/>
        <v>0</v>
      </c>
      <c r="AJ284" s="43">
        <f t="shared" si="57"/>
        <v>0</v>
      </c>
      <c r="AK284" s="43">
        <f t="shared" si="57"/>
        <v>0</v>
      </c>
      <c r="AL284" s="43">
        <f t="shared" si="57"/>
        <v>0</v>
      </c>
      <c r="AM284" s="43">
        <f t="shared" si="57"/>
        <v>0</v>
      </c>
      <c r="AN284" s="43">
        <f t="shared" si="57"/>
        <v>0</v>
      </c>
      <c r="AO284" s="43">
        <f t="shared" si="57"/>
        <v>0</v>
      </c>
      <c r="AP284" s="65"/>
      <c r="AQ284" s="65"/>
      <c r="AR284" s="1185"/>
      <c r="AS284" s="1185"/>
    </row>
    <row r="285" spans="1:45" s="2" customFormat="1" x14ac:dyDescent="0.35">
      <c r="A285" s="1207"/>
      <c r="B285" s="1179"/>
      <c r="C285" s="1191"/>
      <c r="D285" s="1196"/>
      <c r="E285" s="36" t="s">
        <v>188</v>
      </c>
      <c r="F285" s="350">
        <f>SUM(F286:F289)</f>
        <v>0</v>
      </c>
      <c r="G285" s="351">
        <f>SUM(G286:G289)</f>
        <v>0</v>
      </c>
      <c r="H285" s="351">
        <f t="shared" ref="H285:M285" si="58">SUM(H286:H289)</f>
        <v>0</v>
      </c>
      <c r="I285" s="351">
        <f t="shared" si="58"/>
        <v>0</v>
      </c>
      <c r="J285" s="351">
        <f t="shared" si="58"/>
        <v>0</v>
      </c>
      <c r="K285" s="351">
        <f t="shared" si="58"/>
        <v>0</v>
      </c>
      <c r="L285" s="351">
        <f t="shared" si="58"/>
        <v>0</v>
      </c>
      <c r="M285" s="351">
        <f t="shared" si="58"/>
        <v>0</v>
      </c>
      <c r="N285" s="351">
        <f t="shared" ref="N285:AA285" si="59">SUM(N286:N289)</f>
        <v>0</v>
      </c>
      <c r="O285" s="351">
        <f t="shared" si="59"/>
        <v>0</v>
      </c>
      <c r="P285" s="351">
        <f t="shared" si="59"/>
        <v>0</v>
      </c>
      <c r="Q285" s="1097">
        <f t="shared" si="59"/>
        <v>0</v>
      </c>
      <c r="R285" s="1094">
        <f t="shared" si="59"/>
        <v>0</v>
      </c>
      <c r="S285" s="351">
        <f t="shared" si="59"/>
        <v>0</v>
      </c>
      <c r="T285" s="351">
        <f t="shared" si="59"/>
        <v>0</v>
      </c>
      <c r="U285" s="351">
        <f t="shared" si="59"/>
        <v>0</v>
      </c>
      <c r="V285" s="351">
        <f t="shared" si="59"/>
        <v>0</v>
      </c>
      <c r="W285" s="351">
        <f t="shared" si="59"/>
        <v>0</v>
      </c>
      <c r="X285" s="351">
        <f t="shared" si="59"/>
        <v>0</v>
      </c>
      <c r="Y285" s="351">
        <f t="shared" si="59"/>
        <v>0</v>
      </c>
      <c r="Z285" s="351">
        <f t="shared" si="59"/>
        <v>0</v>
      </c>
      <c r="AA285" s="351">
        <f t="shared" si="59"/>
        <v>0</v>
      </c>
      <c r="AB285" s="351">
        <f t="shared" ref="AB285:AO285" si="60">SUM(AB286:AB289)</f>
        <v>0</v>
      </c>
      <c r="AC285" s="1097">
        <f t="shared" si="60"/>
        <v>0</v>
      </c>
      <c r="AD285" s="1094">
        <f t="shared" si="60"/>
        <v>0</v>
      </c>
      <c r="AE285" s="351">
        <f t="shared" si="60"/>
        <v>0</v>
      </c>
      <c r="AF285" s="351">
        <f t="shared" si="60"/>
        <v>0</v>
      </c>
      <c r="AG285" s="351">
        <f t="shared" si="60"/>
        <v>0</v>
      </c>
      <c r="AH285" s="351">
        <f t="shared" si="60"/>
        <v>0</v>
      </c>
      <c r="AI285" s="351">
        <f t="shared" si="60"/>
        <v>0</v>
      </c>
      <c r="AJ285" s="351">
        <f t="shared" si="60"/>
        <v>0</v>
      </c>
      <c r="AK285" s="351">
        <f t="shared" si="60"/>
        <v>0</v>
      </c>
      <c r="AL285" s="351">
        <f t="shared" si="60"/>
        <v>0</v>
      </c>
      <c r="AM285" s="351">
        <f t="shared" si="60"/>
        <v>0</v>
      </c>
      <c r="AN285" s="351">
        <f t="shared" si="60"/>
        <v>0</v>
      </c>
      <c r="AO285" s="351">
        <f t="shared" si="60"/>
        <v>0</v>
      </c>
      <c r="AP285" s="65">
        <f>SUM(F285:AO285)</f>
        <v>0</v>
      </c>
      <c r="AQ285" s="65" t="e">
        <f>AP285/AP279</f>
        <v>#DIV/0!</v>
      </c>
      <c r="AR285" s="1185"/>
      <c r="AS285" s="1185"/>
    </row>
    <row r="286" spans="1:45" s="2" customFormat="1" x14ac:dyDescent="0.35">
      <c r="A286" s="1207"/>
      <c r="B286" s="1179"/>
      <c r="C286" s="1191"/>
      <c r="D286" s="1196"/>
      <c r="E286" s="66" t="s">
        <v>192</v>
      </c>
      <c r="F286" s="24"/>
      <c r="G286" s="27"/>
      <c r="H286" s="27"/>
      <c r="I286" s="27"/>
      <c r="J286" s="27"/>
      <c r="K286" s="27"/>
      <c r="L286" s="27"/>
      <c r="M286" s="27"/>
      <c r="N286" s="27"/>
      <c r="O286" s="27"/>
      <c r="P286" s="27"/>
      <c r="Q286" s="1098"/>
      <c r="R286" s="1095"/>
      <c r="S286" s="27"/>
      <c r="T286" s="27"/>
      <c r="U286" s="27"/>
      <c r="V286" s="27"/>
      <c r="W286" s="27"/>
      <c r="X286" s="27"/>
      <c r="Y286" s="27"/>
      <c r="Z286" s="27"/>
      <c r="AA286" s="27"/>
      <c r="AB286" s="27"/>
      <c r="AC286" s="1098"/>
      <c r="AD286" s="1095"/>
      <c r="AE286" s="27"/>
      <c r="AF286" s="27"/>
      <c r="AG286" s="27"/>
      <c r="AH286" s="27"/>
      <c r="AI286" s="27"/>
      <c r="AJ286" s="27"/>
      <c r="AK286" s="27"/>
      <c r="AL286" s="27"/>
      <c r="AM286" s="27"/>
      <c r="AN286" s="27"/>
      <c r="AO286" s="27"/>
      <c r="AP286" s="65"/>
      <c r="AQ286" s="65"/>
      <c r="AR286" s="1185"/>
      <c r="AS286" s="1185"/>
    </row>
    <row r="287" spans="1:45" s="2" customFormat="1" x14ac:dyDescent="0.35">
      <c r="A287" s="1207"/>
      <c r="B287" s="1179"/>
      <c r="C287" s="1191"/>
      <c r="D287" s="1196"/>
      <c r="E287" s="66" t="s">
        <v>193</v>
      </c>
      <c r="F287" s="24"/>
      <c r="G287" s="27"/>
      <c r="H287" s="27"/>
      <c r="I287" s="27"/>
      <c r="J287" s="27"/>
      <c r="K287" s="27"/>
      <c r="L287" s="27"/>
      <c r="M287" s="27"/>
      <c r="N287" s="27"/>
      <c r="O287" s="27"/>
      <c r="P287" s="27"/>
      <c r="Q287" s="1098"/>
      <c r="R287" s="1095"/>
      <c r="S287" s="27"/>
      <c r="T287" s="27"/>
      <c r="U287" s="27"/>
      <c r="V287" s="27"/>
      <c r="W287" s="27"/>
      <c r="X287" s="27"/>
      <c r="Y287" s="27"/>
      <c r="Z287" s="27"/>
      <c r="AA287" s="27"/>
      <c r="AB287" s="27"/>
      <c r="AC287" s="1098"/>
      <c r="AD287" s="1095"/>
      <c r="AE287" s="27"/>
      <c r="AF287" s="27"/>
      <c r="AG287" s="27"/>
      <c r="AH287" s="27"/>
      <c r="AI287" s="27"/>
      <c r="AJ287" s="27"/>
      <c r="AK287" s="27"/>
      <c r="AL287" s="27"/>
      <c r="AM287" s="27"/>
      <c r="AN287" s="27"/>
      <c r="AO287" s="27"/>
      <c r="AP287" s="65"/>
      <c r="AQ287" s="65"/>
      <c r="AR287" s="1185"/>
      <c r="AS287" s="1185"/>
    </row>
    <row r="288" spans="1:45" s="2" customFormat="1" ht="15" thickBot="1" x14ac:dyDescent="0.4">
      <c r="A288" s="1207"/>
      <c r="B288" s="1179"/>
      <c r="C288" s="1191"/>
      <c r="D288" s="1196"/>
      <c r="E288" s="66" t="s">
        <v>194</v>
      </c>
      <c r="F288" s="24"/>
      <c r="G288" s="27"/>
      <c r="H288" s="27"/>
      <c r="I288" s="27"/>
      <c r="J288" s="27"/>
      <c r="K288" s="27"/>
      <c r="L288" s="27"/>
      <c r="M288" s="27"/>
      <c r="N288" s="27"/>
      <c r="O288" s="27"/>
      <c r="P288" s="27"/>
      <c r="Q288" s="1098"/>
      <c r="R288" s="1095"/>
      <c r="S288" s="27"/>
      <c r="T288" s="27"/>
      <c r="U288" s="27"/>
      <c r="V288" s="27"/>
      <c r="W288" s="27"/>
      <c r="X288" s="27"/>
      <c r="Y288" s="27"/>
      <c r="Z288" s="27"/>
      <c r="AA288" s="27"/>
      <c r="AB288" s="27"/>
      <c r="AC288" s="1098"/>
      <c r="AD288" s="1095"/>
      <c r="AE288" s="27"/>
      <c r="AF288" s="27"/>
      <c r="AG288" s="27"/>
      <c r="AH288" s="27"/>
      <c r="AI288" s="27"/>
      <c r="AJ288" s="27"/>
      <c r="AK288" s="27"/>
      <c r="AL288" s="27"/>
      <c r="AM288" s="27"/>
      <c r="AN288" s="27"/>
      <c r="AO288" s="27"/>
      <c r="AP288" s="65"/>
      <c r="AQ288" s="65"/>
      <c r="AR288" s="1186"/>
      <c r="AS288" s="1186"/>
    </row>
    <row r="289" spans="1:45" s="2" customFormat="1" x14ac:dyDescent="0.35">
      <c r="A289" s="1207"/>
      <c r="B289" s="1179"/>
      <c r="C289" s="1191"/>
      <c r="D289" s="1196"/>
      <c r="E289" s="66" t="s">
        <v>195</v>
      </c>
      <c r="F289" s="24"/>
      <c r="G289" s="27"/>
      <c r="H289" s="27"/>
      <c r="I289" s="27"/>
      <c r="J289" s="27"/>
      <c r="K289" s="27"/>
      <c r="L289" s="27"/>
      <c r="M289" s="27"/>
      <c r="N289" s="27"/>
      <c r="O289" s="27"/>
      <c r="P289" s="27"/>
      <c r="Q289" s="1098"/>
      <c r="R289" s="1095"/>
      <c r="S289" s="27"/>
      <c r="T289" s="27"/>
      <c r="U289" s="27"/>
      <c r="V289" s="27"/>
      <c r="W289" s="27"/>
      <c r="X289" s="27"/>
      <c r="Y289" s="27"/>
      <c r="Z289" s="27"/>
      <c r="AA289" s="27"/>
      <c r="AB289" s="27"/>
      <c r="AC289" s="1098"/>
      <c r="AD289" s="1095"/>
      <c r="AE289" s="27"/>
      <c r="AF289" s="27"/>
      <c r="AG289" s="27"/>
      <c r="AH289" s="27"/>
      <c r="AI289" s="27"/>
      <c r="AJ289" s="27"/>
      <c r="AK289" s="27"/>
      <c r="AL289" s="27"/>
      <c r="AM289" s="27"/>
      <c r="AN289" s="27"/>
      <c r="AO289" s="27"/>
      <c r="AP289" s="65"/>
      <c r="AQ289" s="352"/>
      <c r="AR289"/>
      <c r="AS289"/>
    </row>
    <row r="290" spans="1:45" s="2" customFormat="1" x14ac:dyDescent="0.35">
      <c r="A290" s="1207"/>
      <c r="B290" s="1179"/>
      <c r="C290" s="1191"/>
      <c r="D290" s="1196"/>
      <c r="E290" s="37" t="s">
        <v>189</v>
      </c>
      <c r="F290" s="350">
        <f>SUM(F291:F294)</f>
        <v>0</v>
      </c>
      <c r="G290" s="351">
        <f>SUM(G291:G294)</f>
        <v>0</v>
      </c>
      <c r="H290" s="351">
        <f t="shared" ref="H290:M290" si="61">SUM(H291:H294)</f>
        <v>0</v>
      </c>
      <c r="I290" s="351">
        <f t="shared" si="61"/>
        <v>0</v>
      </c>
      <c r="J290" s="351">
        <f t="shared" si="61"/>
        <v>0</v>
      </c>
      <c r="K290" s="351">
        <f t="shared" si="61"/>
        <v>0</v>
      </c>
      <c r="L290" s="351">
        <f t="shared" si="61"/>
        <v>0</v>
      </c>
      <c r="M290" s="351">
        <f t="shared" si="61"/>
        <v>0</v>
      </c>
      <c r="N290" s="351">
        <f t="shared" ref="N290:AA290" si="62">SUM(N291:N294)</f>
        <v>0</v>
      </c>
      <c r="O290" s="351">
        <f t="shared" si="62"/>
        <v>0</v>
      </c>
      <c r="P290" s="351">
        <f t="shared" si="62"/>
        <v>0</v>
      </c>
      <c r="Q290" s="1099">
        <f t="shared" si="62"/>
        <v>0</v>
      </c>
      <c r="R290" s="1094">
        <f t="shared" si="62"/>
        <v>0</v>
      </c>
      <c r="S290" s="351">
        <f t="shared" si="62"/>
        <v>0</v>
      </c>
      <c r="T290" s="351">
        <f t="shared" si="62"/>
        <v>0</v>
      </c>
      <c r="U290" s="351">
        <f t="shared" si="62"/>
        <v>0</v>
      </c>
      <c r="V290" s="351">
        <f t="shared" si="62"/>
        <v>0</v>
      </c>
      <c r="W290" s="351">
        <f t="shared" si="62"/>
        <v>0</v>
      </c>
      <c r="X290" s="351">
        <f t="shared" si="62"/>
        <v>0</v>
      </c>
      <c r="Y290" s="351">
        <f t="shared" si="62"/>
        <v>0</v>
      </c>
      <c r="Z290" s="351">
        <f t="shared" si="62"/>
        <v>0</v>
      </c>
      <c r="AA290" s="351">
        <f t="shared" si="62"/>
        <v>0</v>
      </c>
      <c r="AB290" s="351">
        <f t="shared" ref="AB290:AO290" si="63">SUM(AB291:AB294)</f>
        <v>0</v>
      </c>
      <c r="AC290" s="1099">
        <f t="shared" si="63"/>
        <v>0</v>
      </c>
      <c r="AD290" s="1094">
        <f t="shared" si="63"/>
        <v>0</v>
      </c>
      <c r="AE290" s="351">
        <f t="shared" si="63"/>
        <v>0</v>
      </c>
      <c r="AF290" s="351">
        <f t="shared" si="63"/>
        <v>0</v>
      </c>
      <c r="AG290" s="351">
        <f t="shared" si="63"/>
        <v>0</v>
      </c>
      <c r="AH290" s="351">
        <f t="shared" si="63"/>
        <v>0</v>
      </c>
      <c r="AI290" s="351">
        <f t="shared" si="63"/>
        <v>0</v>
      </c>
      <c r="AJ290" s="351">
        <f t="shared" si="63"/>
        <v>0</v>
      </c>
      <c r="AK290" s="351">
        <f t="shared" si="63"/>
        <v>0</v>
      </c>
      <c r="AL290" s="351">
        <f t="shared" si="63"/>
        <v>0</v>
      </c>
      <c r="AM290" s="351">
        <f t="shared" si="63"/>
        <v>0</v>
      </c>
      <c r="AN290" s="351">
        <f t="shared" si="63"/>
        <v>0</v>
      </c>
      <c r="AO290" s="351">
        <f t="shared" si="63"/>
        <v>0</v>
      </c>
      <c r="AP290" s="65">
        <f>SUM(F290:AO290)</f>
        <v>0</v>
      </c>
      <c r="AQ290" s="352" t="e">
        <f>AP290/AP280</f>
        <v>#DIV/0!</v>
      </c>
      <c r="AR290"/>
      <c r="AS290"/>
    </row>
    <row r="291" spans="1:45" s="2" customFormat="1" x14ac:dyDescent="0.35">
      <c r="A291" s="1207"/>
      <c r="B291" s="1179"/>
      <c r="C291" s="1191"/>
      <c r="D291" s="1196"/>
      <c r="E291" s="66" t="s">
        <v>196</v>
      </c>
      <c r="F291" s="24"/>
      <c r="G291" s="27"/>
      <c r="H291" s="27"/>
      <c r="I291" s="27"/>
      <c r="J291" s="27"/>
      <c r="K291" s="27"/>
      <c r="L291" s="27"/>
      <c r="M291" s="27"/>
      <c r="N291" s="27"/>
      <c r="O291" s="27"/>
      <c r="P291" s="27"/>
      <c r="Q291" s="1098"/>
      <c r="R291" s="1095"/>
      <c r="S291" s="27"/>
      <c r="T291" s="27"/>
      <c r="U291" s="27"/>
      <c r="V291" s="27"/>
      <c r="W291" s="27"/>
      <c r="X291" s="27"/>
      <c r="Y291" s="27"/>
      <c r="Z291" s="27"/>
      <c r="AA291" s="27"/>
      <c r="AB291" s="27"/>
      <c r="AC291" s="1098"/>
      <c r="AD291" s="1095"/>
      <c r="AE291" s="27"/>
      <c r="AF291" s="27"/>
      <c r="AG291" s="27"/>
      <c r="AH291" s="27"/>
      <c r="AI291" s="27"/>
      <c r="AJ291" s="27"/>
      <c r="AK291" s="27"/>
      <c r="AL291" s="27"/>
      <c r="AM291" s="27"/>
      <c r="AN291" s="27"/>
      <c r="AO291" s="27"/>
      <c r="AP291" s="65"/>
      <c r="AQ291" s="352"/>
      <c r="AR291"/>
      <c r="AS291"/>
    </row>
    <row r="292" spans="1:45" s="2" customFormat="1" x14ac:dyDescent="0.35">
      <c r="A292" s="1207"/>
      <c r="B292" s="1179"/>
      <c r="C292" s="1191"/>
      <c r="D292" s="1196"/>
      <c r="E292" s="66" t="s">
        <v>197</v>
      </c>
      <c r="F292" s="24"/>
      <c r="G292" s="27"/>
      <c r="H292" s="27"/>
      <c r="I292" s="27"/>
      <c r="J292" s="27"/>
      <c r="K292" s="27"/>
      <c r="L292" s="27"/>
      <c r="M292" s="27"/>
      <c r="N292" s="27"/>
      <c r="O292" s="27"/>
      <c r="P292" s="27"/>
      <c r="Q292" s="1098"/>
      <c r="R292" s="1095"/>
      <c r="S292" s="27"/>
      <c r="T292" s="27"/>
      <c r="U292" s="27"/>
      <c r="V292" s="27"/>
      <c r="W292" s="27"/>
      <c r="X292" s="27"/>
      <c r="Y292" s="27"/>
      <c r="Z292" s="27"/>
      <c r="AA292" s="27"/>
      <c r="AB292" s="27"/>
      <c r="AC292" s="1098"/>
      <c r="AD292" s="1095"/>
      <c r="AE292" s="27"/>
      <c r="AF292" s="27"/>
      <c r="AG292" s="27"/>
      <c r="AH292" s="27"/>
      <c r="AI292" s="27"/>
      <c r="AJ292" s="27"/>
      <c r="AK292" s="27"/>
      <c r="AL292" s="27"/>
      <c r="AM292" s="27"/>
      <c r="AN292" s="27"/>
      <c r="AO292" s="27"/>
      <c r="AP292" s="65"/>
      <c r="AQ292" s="352"/>
      <c r="AR292"/>
      <c r="AS292"/>
    </row>
    <row r="293" spans="1:45" s="2" customFormat="1" x14ac:dyDescent="0.35">
      <c r="A293" s="1207"/>
      <c r="B293" s="1179"/>
      <c r="C293" s="1191"/>
      <c r="D293" s="1196"/>
      <c r="E293" s="66" t="s">
        <v>198</v>
      </c>
      <c r="F293" s="24"/>
      <c r="G293" s="27"/>
      <c r="H293" s="27"/>
      <c r="I293" s="27"/>
      <c r="J293" s="27"/>
      <c r="K293" s="27"/>
      <c r="L293" s="27"/>
      <c r="M293" s="27"/>
      <c r="N293" s="27"/>
      <c r="O293" s="27"/>
      <c r="P293" s="27"/>
      <c r="Q293" s="1098"/>
      <c r="R293" s="1095"/>
      <c r="S293" s="27"/>
      <c r="T293" s="27"/>
      <c r="U293" s="27"/>
      <c r="V293" s="27"/>
      <c r="W293" s="27"/>
      <c r="X293" s="27"/>
      <c r="Y293" s="27"/>
      <c r="Z293" s="27"/>
      <c r="AA293" s="27"/>
      <c r="AB293" s="27"/>
      <c r="AC293" s="1098"/>
      <c r="AD293" s="1095"/>
      <c r="AE293" s="27"/>
      <c r="AF293" s="27"/>
      <c r="AG293" s="27"/>
      <c r="AH293" s="27"/>
      <c r="AI293" s="27"/>
      <c r="AJ293" s="27"/>
      <c r="AK293" s="27"/>
      <c r="AL293" s="27"/>
      <c r="AM293" s="27"/>
      <c r="AN293" s="27"/>
      <c r="AO293" s="27"/>
      <c r="AP293" s="65"/>
      <c r="AQ293" s="352"/>
      <c r="AR293"/>
      <c r="AS293"/>
    </row>
    <row r="294" spans="1:45" s="2" customFormat="1" x14ac:dyDescent="0.35">
      <c r="A294" s="1207"/>
      <c r="B294" s="1179"/>
      <c r="C294" s="1191"/>
      <c r="D294" s="1196"/>
      <c r="E294" s="66" t="s">
        <v>199</v>
      </c>
      <c r="F294" s="24"/>
      <c r="G294" s="27"/>
      <c r="H294" s="27"/>
      <c r="I294" s="27"/>
      <c r="J294" s="27"/>
      <c r="K294" s="27"/>
      <c r="L294" s="27"/>
      <c r="M294" s="27"/>
      <c r="N294" s="27"/>
      <c r="O294" s="27"/>
      <c r="P294" s="27"/>
      <c r="Q294" s="1098"/>
      <c r="R294" s="1095"/>
      <c r="S294" s="27"/>
      <c r="T294" s="27"/>
      <c r="U294" s="27"/>
      <c r="V294" s="27"/>
      <c r="W294" s="27"/>
      <c r="X294" s="27"/>
      <c r="Y294" s="27"/>
      <c r="Z294" s="27"/>
      <c r="AA294" s="27"/>
      <c r="AB294" s="27"/>
      <c r="AC294" s="1098"/>
      <c r="AD294" s="1095"/>
      <c r="AE294" s="27"/>
      <c r="AF294" s="27"/>
      <c r="AG294" s="27"/>
      <c r="AH294" s="27"/>
      <c r="AI294" s="27"/>
      <c r="AJ294" s="27"/>
      <c r="AK294" s="27"/>
      <c r="AL294" s="27"/>
      <c r="AM294" s="27"/>
      <c r="AN294" s="27"/>
      <c r="AO294" s="27"/>
      <c r="AP294" s="65"/>
      <c r="AQ294" s="352"/>
      <c r="AR294"/>
      <c r="AS294"/>
    </row>
    <row r="295" spans="1:45" s="2" customFormat="1" x14ac:dyDescent="0.35">
      <c r="A295" s="1207"/>
      <c r="B295" s="1179"/>
      <c r="C295" s="1191"/>
      <c r="D295" s="1196"/>
      <c r="E295" s="36" t="s">
        <v>190</v>
      </c>
      <c r="F295" s="33"/>
      <c r="G295" s="32"/>
      <c r="H295" s="32"/>
      <c r="I295" s="32"/>
      <c r="J295" s="32"/>
      <c r="K295" s="32"/>
      <c r="L295" s="32"/>
      <c r="M295" s="32"/>
      <c r="N295" s="32"/>
      <c r="O295" s="32"/>
      <c r="P295" s="32"/>
      <c r="Q295" s="1092"/>
      <c r="R295" s="1090"/>
      <c r="S295" s="32"/>
      <c r="T295" s="32"/>
      <c r="U295" s="32"/>
      <c r="V295" s="32"/>
      <c r="W295" s="32"/>
      <c r="X295" s="32"/>
      <c r="Y295" s="32"/>
      <c r="Z295" s="32"/>
      <c r="AA295" s="32"/>
      <c r="AB295" s="32"/>
      <c r="AC295" s="1092"/>
      <c r="AD295" s="1090"/>
      <c r="AE295" s="32"/>
      <c r="AF295" s="32"/>
      <c r="AG295" s="32"/>
      <c r="AH295" s="32"/>
      <c r="AI295" s="32"/>
      <c r="AJ295" s="32"/>
      <c r="AK295" s="32"/>
      <c r="AL295" s="32"/>
      <c r="AM295" s="32"/>
      <c r="AN295" s="32"/>
      <c r="AO295" s="32"/>
      <c r="AP295" s="65"/>
      <c r="AQ295" s="352"/>
      <c r="AR295"/>
      <c r="AS295"/>
    </row>
    <row r="296" spans="1:45" s="2" customFormat="1" x14ac:dyDescent="0.35">
      <c r="A296" s="1207"/>
      <c r="B296" s="1179"/>
      <c r="C296" s="1191"/>
      <c r="D296" s="1196"/>
      <c r="E296" s="66" t="s">
        <v>192</v>
      </c>
      <c r="F296" s="24"/>
      <c r="G296" s="27"/>
      <c r="H296" s="27"/>
      <c r="I296" s="27"/>
      <c r="J296" s="27"/>
      <c r="K296" s="27"/>
      <c r="L296" s="27"/>
      <c r="M296" s="27"/>
      <c r="N296" s="27"/>
      <c r="O296" s="27"/>
      <c r="P296" s="27"/>
      <c r="Q296" s="1098"/>
      <c r="R296" s="1095"/>
      <c r="S296" s="27"/>
      <c r="T296" s="27"/>
      <c r="U296" s="27"/>
      <c r="V296" s="27"/>
      <c r="W296" s="27"/>
      <c r="X296" s="27"/>
      <c r="Y296" s="27"/>
      <c r="Z296" s="27"/>
      <c r="AA296" s="27"/>
      <c r="AB296" s="27"/>
      <c r="AC296" s="1098"/>
      <c r="AD296" s="1095"/>
      <c r="AE296" s="27"/>
      <c r="AF296" s="27"/>
      <c r="AG296" s="27"/>
      <c r="AH296" s="27"/>
      <c r="AI296" s="27"/>
      <c r="AJ296" s="27"/>
      <c r="AK296" s="27"/>
      <c r="AL296" s="27"/>
      <c r="AM296" s="27"/>
      <c r="AN296" s="27"/>
      <c r="AO296" s="27"/>
      <c r="AP296" s="65"/>
      <c r="AQ296" s="352"/>
      <c r="AR296"/>
      <c r="AS296"/>
    </row>
    <row r="297" spans="1:45" s="2" customFormat="1" x14ac:dyDescent="0.35">
      <c r="A297" s="1207"/>
      <c r="B297" s="1179"/>
      <c r="C297" s="1191"/>
      <c r="D297" s="1196"/>
      <c r="E297" s="66" t="s">
        <v>193</v>
      </c>
      <c r="F297" s="24"/>
      <c r="G297" s="27"/>
      <c r="H297" s="27"/>
      <c r="I297" s="27"/>
      <c r="J297" s="27"/>
      <c r="K297" s="27"/>
      <c r="L297" s="27"/>
      <c r="M297" s="27"/>
      <c r="N297" s="27"/>
      <c r="O297" s="27"/>
      <c r="P297" s="27"/>
      <c r="Q297" s="1098"/>
      <c r="R297" s="1095"/>
      <c r="S297" s="27"/>
      <c r="T297" s="27"/>
      <c r="U297" s="27"/>
      <c r="V297" s="27"/>
      <c r="W297" s="27"/>
      <c r="X297" s="27"/>
      <c r="Y297" s="27"/>
      <c r="Z297" s="27"/>
      <c r="AA297" s="27"/>
      <c r="AB297" s="27"/>
      <c r="AC297" s="1098"/>
      <c r="AD297" s="1095"/>
      <c r="AE297" s="27"/>
      <c r="AF297" s="27"/>
      <c r="AG297" s="27"/>
      <c r="AH297" s="27"/>
      <c r="AI297" s="27"/>
      <c r="AJ297" s="27"/>
      <c r="AK297" s="27"/>
      <c r="AL297" s="27"/>
      <c r="AM297" s="27"/>
      <c r="AN297" s="27"/>
      <c r="AO297" s="27"/>
      <c r="AP297" s="65"/>
      <c r="AQ297" s="352"/>
      <c r="AR297"/>
      <c r="AS297"/>
    </row>
    <row r="298" spans="1:45" s="2" customFormat="1" x14ac:dyDescent="0.35">
      <c r="A298" s="1207"/>
      <c r="B298" s="1179"/>
      <c r="C298" s="1191"/>
      <c r="D298" s="1196"/>
      <c r="E298" s="66" t="s">
        <v>194</v>
      </c>
      <c r="F298" s="24"/>
      <c r="G298" s="27"/>
      <c r="H298" s="27"/>
      <c r="I298" s="27"/>
      <c r="J298" s="27"/>
      <c r="K298" s="27"/>
      <c r="L298" s="27"/>
      <c r="M298" s="27"/>
      <c r="N298" s="27"/>
      <c r="O298" s="27"/>
      <c r="P298" s="27"/>
      <c r="Q298" s="1098"/>
      <c r="R298" s="1095"/>
      <c r="S298" s="27"/>
      <c r="T298" s="27"/>
      <c r="U298" s="27"/>
      <c r="V298" s="27"/>
      <c r="W298" s="27"/>
      <c r="X298" s="27"/>
      <c r="Y298" s="27"/>
      <c r="Z298" s="27"/>
      <c r="AA298" s="27"/>
      <c r="AB298" s="27"/>
      <c r="AC298" s="1098"/>
      <c r="AD298" s="1095"/>
      <c r="AE298" s="27"/>
      <c r="AF298" s="27"/>
      <c r="AG298" s="27"/>
      <c r="AH298" s="27"/>
      <c r="AI298" s="27"/>
      <c r="AJ298" s="27"/>
      <c r="AK298" s="27"/>
      <c r="AL298" s="27"/>
      <c r="AM298" s="27"/>
      <c r="AN298" s="27"/>
      <c r="AO298" s="27"/>
      <c r="AP298" s="65"/>
      <c r="AQ298" s="352"/>
      <c r="AR298"/>
      <c r="AS298"/>
    </row>
    <row r="299" spans="1:45" s="2" customFormat="1" x14ac:dyDescent="0.35">
      <c r="A299" s="1207"/>
      <c r="B299" s="1179"/>
      <c r="C299" s="1191"/>
      <c r="D299" s="1196"/>
      <c r="E299" s="66" t="s">
        <v>195</v>
      </c>
      <c r="F299" s="24"/>
      <c r="G299" s="27"/>
      <c r="H299" s="27"/>
      <c r="I299" s="27"/>
      <c r="J299" s="27"/>
      <c r="K299" s="27"/>
      <c r="L299" s="27"/>
      <c r="M299" s="27"/>
      <c r="N299" s="27"/>
      <c r="O299" s="27"/>
      <c r="P299" s="27"/>
      <c r="Q299" s="1098"/>
      <c r="R299" s="1095"/>
      <c r="S299" s="27"/>
      <c r="T299" s="27"/>
      <c r="U299" s="27"/>
      <c r="V299" s="27"/>
      <c r="W299" s="27"/>
      <c r="X299" s="27"/>
      <c r="Y299" s="27"/>
      <c r="Z299" s="27"/>
      <c r="AA299" s="27"/>
      <c r="AB299" s="27"/>
      <c r="AC299" s="1098"/>
      <c r="AD299" s="1095"/>
      <c r="AE299" s="27"/>
      <c r="AF299" s="27"/>
      <c r="AG299" s="27"/>
      <c r="AH299" s="27"/>
      <c r="AI299" s="27"/>
      <c r="AJ299" s="27"/>
      <c r="AK299" s="27"/>
      <c r="AL299" s="27"/>
      <c r="AM299" s="27"/>
      <c r="AN299" s="27"/>
      <c r="AO299" s="27"/>
      <c r="AP299" s="65"/>
      <c r="AQ299" s="352"/>
      <c r="AR299"/>
      <c r="AS299"/>
    </row>
    <row r="300" spans="1:45" s="2" customFormat="1" x14ac:dyDescent="0.35">
      <c r="A300" s="1207"/>
      <c r="B300" s="1179"/>
      <c r="C300" s="1191"/>
      <c r="D300" s="1196"/>
      <c r="E300" s="37" t="s">
        <v>191</v>
      </c>
      <c r="F300" s="33"/>
      <c r="G300" s="32"/>
      <c r="H300" s="32"/>
      <c r="I300" s="32"/>
      <c r="J300" s="32"/>
      <c r="K300" s="32"/>
      <c r="L300" s="32"/>
      <c r="M300" s="32"/>
      <c r="N300" s="32"/>
      <c r="O300" s="32"/>
      <c r="P300" s="32"/>
      <c r="Q300" s="1092"/>
      <c r="R300" s="1090"/>
      <c r="S300" s="32"/>
      <c r="T300" s="32"/>
      <c r="U300" s="32"/>
      <c r="V300" s="32"/>
      <c r="W300" s="32"/>
      <c r="X300" s="32"/>
      <c r="Y300" s="32"/>
      <c r="Z300" s="32"/>
      <c r="AA300" s="32"/>
      <c r="AB300" s="32"/>
      <c r="AC300" s="1092"/>
      <c r="AD300" s="1090"/>
      <c r="AE300" s="32"/>
      <c r="AF300" s="32"/>
      <c r="AG300" s="32"/>
      <c r="AH300" s="32"/>
      <c r="AI300" s="32"/>
      <c r="AJ300" s="32"/>
      <c r="AK300" s="32"/>
      <c r="AL300" s="32"/>
      <c r="AM300" s="32"/>
      <c r="AN300" s="32"/>
      <c r="AO300" s="32"/>
      <c r="AP300" s="65"/>
      <c r="AQ300" s="352"/>
      <c r="AR300"/>
      <c r="AS300"/>
    </row>
    <row r="301" spans="1:45" s="2" customFormat="1" x14ac:dyDescent="0.35">
      <c r="A301" s="1207"/>
      <c r="B301" s="1179"/>
      <c r="C301" s="1191"/>
      <c r="D301" s="1196"/>
      <c r="E301" s="66" t="s">
        <v>196</v>
      </c>
      <c r="F301" s="24"/>
      <c r="G301" s="27"/>
      <c r="H301" s="27"/>
      <c r="I301" s="27"/>
      <c r="J301" s="27"/>
      <c r="K301" s="27"/>
      <c r="L301" s="27"/>
      <c r="M301" s="27"/>
      <c r="N301" s="27"/>
      <c r="O301" s="27"/>
      <c r="P301" s="27"/>
      <c r="Q301" s="1098"/>
      <c r="R301" s="1095"/>
      <c r="S301" s="27"/>
      <c r="T301" s="27"/>
      <c r="U301" s="27"/>
      <c r="V301" s="27"/>
      <c r="W301" s="27"/>
      <c r="X301" s="27"/>
      <c r="Y301" s="27"/>
      <c r="Z301" s="27"/>
      <c r="AA301" s="27"/>
      <c r="AB301" s="27"/>
      <c r="AC301" s="1098"/>
      <c r="AD301" s="1095"/>
      <c r="AE301" s="27"/>
      <c r="AF301" s="27"/>
      <c r="AG301" s="27"/>
      <c r="AH301" s="27"/>
      <c r="AI301" s="27"/>
      <c r="AJ301" s="27"/>
      <c r="AK301" s="27"/>
      <c r="AL301" s="27"/>
      <c r="AM301" s="27"/>
      <c r="AN301" s="27"/>
      <c r="AO301" s="27"/>
      <c r="AP301" s="65"/>
      <c r="AQ301" s="352"/>
      <c r="AR301"/>
      <c r="AS301"/>
    </row>
    <row r="302" spans="1:45" s="2" customFormat="1" x14ac:dyDescent="0.35">
      <c r="A302" s="1207"/>
      <c r="B302" s="1179"/>
      <c r="C302" s="1191"/>
      <c r="D302" s="1196"/>
      <c r="E302" s="66" t="s">
        <v>197</v>
      </c>
      <c r="F302" s="24"/>
      <c r="G302" s="27"/>
      <c r="H302" s="27"/>
      <c r="I302" s="27"/>
      <c r="J302" s="27"/>
      <c r="K302" s="27"/>
      <c r="L302" s="27"/>
      <c r="M302" s="27"/>
      <c r="N302" s="27"/>
      <c r="O302" s="27"/>
      <c r="P302" s="27"/>
      <c r="Q302" s="1098"/>
      <c r="R302" s="1095"/>
      <c r="S302" s="27"/>
      <c r="T302" s="27"/>
      <c r="U302" s="27"/>
      <c r="V302" s="27"/>
      <c r="W302" s="27"/>
      <c r="X302" s="27"/>
      <c r="Y302" s="27"/>
      <c r="Z302" s="27"/>
      <c r="AA302" s="27"/>
      <c r="AB302" s="27"/>
      <c r="AC302" s="1098"/>
      <c r="AD302" s="1095"/>
      <c r="AE302" s="27"/>
      <c r="AF302" s="27"/>
      <c r="AG302" s="27"/>
      <c r="AH302" s="27"/>
      <c r="AI302" s="27"/>
      <c r="AJ302" s="27"/>
      <c r="AK302" s="27"/>
      <c r="AL302" s="27"/>
      <c r="AM302" s="27"/>
      <c r="AN302" s="27"/>
      <c r="AO302" s="27"/>
      <c r="AP302" s="65"/>
      <c r="AQ302" s="352"/>
      <c r="AR302"/>
      <c r="AS302"/>
    </row>
    <row r="303" spans="1:45" s="2" customFormat="1" x14ac:dyDescent="0.35">
      <c r="A303" s="1207"/>
      <c r="B303" s="1179"/>
      <c r="C303" s="1191"/>
      <c r="D303" s="1196"/>
      <c r="E303" s="66" t="s">
        <v>198</v>
      </c>
      <c r="F303" s="24"/>
      <c r="G303" s="27"/>
      <c r="H303" s="27"/>
      <c r="I303" s="27"/>
      <c r="J303" s="27"/>
      <c r="K303" s="27"/>
      <c r="L303" s="27"/>
      <c r="M303" s="27"/>
      <c r="N303" s="27"/>
      <c r="O303" s="27"/>
      <c r="P303" s="27"/>
      <c r="Q303" s="1098"/>
      <c r="R303" s="1095"/>
      <c r="S303" s="27"/>
      <c r="T303" s="27"/>
      <c r="U303" s="27"/>
      <c r="V303" s="27"/>
      <c r="W303" s="27"/>
      <c r="X303" s="27"/>
      <c r="Y303" s="27"/>
      <c r="Z303" s="27"/>
      <c r="AA303" s="27"/>
      <c r="AB303" s="27"/>
      <c r="AC303" s="1098"/>
      <c r="AD303" s="1095"/>
      <c r="AE303" s="27"/>
      <c r="AF303" s="27"/>
      <c r="AG303" s="27"/>
      <c r="AH303" s="27"/>
      <c r="AI303" s="27"/>
      <c r="AJ303" s="27"/>
      <c r="AK303" s="27"/>
      <c r="AL303" s="27"/>
      <c r="AM303" s="27"/>
      <c r="AN303" s="27"/>
      <c r="AO303" s="27"/>
      <c r="AP303" s="65"/>
      <c r="AQ303" s="352"/>
      <c r="AR303"/>
      <c r="AS303"/>
    </row>
    <row r="304" spans="1:45" s="2" customFormat="1" ht="15" thickBot="1" x14ac:dyDescent="0.4">
      <c r="A304" s="1208"/>
      <c r="B304" s="1205"/>
      <c r="C304" s="1192"/>
      <c r="D304" s="1197"/>
      <c r="E304" s="168" t="s">
        <v>199</v>
      </c>
      <c r="F304" s="359"/>
      <c r="G304" s="360"/>
      <c r="H304" s="360"/>
      <c r="I304" s="360"/>
      <c r="J304" s="360"/>
      <c r="K304" s="360"/>
      <c r="L304" s="360"/>
      <c r="M304" s="360"/>
      <c r="N304" s="360"/>
      <c r="O304" s="360"/>
      <c r="P304" s="360"/>
      <c r="Q304" s="1100"/>
      <c r="R304" s="1096"/>
      <c r="S304" s="360"/>
      <c r="T304" s="360"/>
      <c r="U304" s="360"/>
      <c r="V304" s="360"/>
      <c r="W304" s="360"/>
      <c r="X304" s="360"/>
      <c r="Y304" s="360"/>
      <c r="Z304" s="360"/>
      <c r="AA304" s="360"/>
      <c r="AB304" s="360"/>
      <c r="AC304" s="1100"/>
      <c r="AD304" s="1096"/>
      <c r="AE304" s="360"/>
      <c r="AF304" s="360"/>
      <c r="AG304" s="360"/>
      <c r="AH304" s="360"/>
      <c r="AI304" s="360"/>
      <c r="AJ304" s="360"/>
      <c r="AK304" s="360"/>
      <c r="AL304" s="360"/>
      <c r="AM304" s="360"/>
      <c r="AN304" s="360"/>
      <c r="AO304" s="360"/>
      <c r="AP304" s="137"/>
      <c r="AQ304" s="362"/>
      <c r="AR304"/>
      <c r="AS304"/>
    </row>
    <row r="305" spans="1:43" x14ac:dyDescent="0.35">
      <c r="A305" s="6"/>
      <c r="B305" s="13"/>
      <c r="C305" s="81"/>
      <c r="D305" s="4"/>
      <c r="E305" s="8"/>
      <c r="F305" s="17"/>
      <c r="G305" s="17"/>
      <c r="H305" s="17"/>
      <c r="I305" s="17"/>
      <c r="J305" s="17"/>
      <c r="K305" s="17"/>
      <c r="L305" s="17"/>
      <c r="M305" s="17"/>
      <c r="N305" s="17"/>
      <c r="O305" s="17"/>
      <c r="P305" s="17"/>
      <c r="Q305" s="17"/>
      <c r="R305" s="17"/>
      <c r="S305" s="17"/>
      <c r="T305" s="17"/>
      <c r="U305" s="17"/>
      <c r="V305" s="17"/>
      <c r="W305" s="17"/>
      <c r="X305" s="17"/>
      <c r="Y305" s="17"/>
      <c r="Z305" s="17"/>
      <c r="AA305" s="17"/>
      <c r="AB305" s="17"/>
      <c r="AC305" s="17"/>
      <c r="AD305" s="17"/>
      <c r="AE305" s="17"/>
      <c r="AF305" s="17"/>
      <c r="AG305" s="17"/>
      <c r="AH305" s="17"/>
      <c r="AI305" s="17"/>
      <c r="AJ305" s="17"/>
      <c r="AK305" s="17"/>
      <c r="AL305" s="17"/>
      <c r="AM305" s="17"/>
      <c r="AN305" s="17"/>
      <c r="AO305" s="17"/>
      <c r="AP305" s="1"/>
      <c r="AQ305" s="1"/>
    </row>
    <row r="306" spans="1:43" x14ac:dyDescent="0.35">
      <c r="A306" s="6"/>
      <c r="B306" s="13"/>
      <c r="C306" s="81"/>
      <c r="D306" s="4"/>
      <c r="E306" s="8"/>
      <c r="F306" s="17"/>
      <c r="G306" s="17"/>
      <c r="H306" s="17"/>
      <c r="I306" s="17"/>
      <c r="J306" s="17"/>
      <c r="K306" s="17"/>
      <c r="L306" s="17"/>
      <c r="M306" s="17"/>
      <c r="N306" s="17"/>
      <c r="O306" s="17"/>
      <c r="P306" s="17"/>
      <c r="Q306" s="17"/>
      <c r="R306" s="17"/>
      <c r="S306" s="17"/>
      <c r="T306" s="17"/>
      <c r="U306" s="17"/>
      <c r="V306" s="17"/>
      <c r="W306" s="17"/>
      <c r="X306" s="17"/>
      <c r="Y306" s="17"/>
      <c r="Z306" s="17"/>
      <c r="AA306" s="17"/>
      <c r="AB306" s="17"/>
      <c r="AC306" s="17"/>
      <c r="AD306" s="17"/>
      <c r="AE306" s="17"/>
      <c r="AF306" s="17"/>
      <c r="AG306" s="17"/>
      <c r="AH306" s="17"/>
      <c r="AI306" s="17"/>
      <c r="AJ306" s="17"/>
      <c r="AK306" s="17"/>
      <c r="AL306" s="17"/>
      <c r="AM306" s="17"/>
      <c r="AN306" s="17"/>
      <c r="AO306" s="17"/>
      <c r="AP306" s="1"/>
      <c r="AQ306" s="1"/>
    </row>
    <row r="307" spans="1:43" x14ac:dyDescent="0.35">
      <c r="A307" s="6"/>
      <c r="B307" s="13"/>
      <c r="C307" s="81"/>
      <c r="D307" s="4"/>
      <c r="E307" s="8"/>
      <c r="F307" s="17"/>
      <c r="G307" s="17"/>
      <c r="H307" s="17"/>
      <c r="I307" s="17"/>
      <c r="J307" s="17"/>
      <c r="K307" s="17"/>
      <c r="L307" s="17"/>
      <c r="M307" s="17"/>
      <c r="N307" s="17"/>
      <c r="O307" s="17"/>
      <c r="P307" s="17"/>
      <c r="Q307" s="17"/>
      <c r="R307" s="17"/>
      <c r="S307" s="17"/>
      <c r="T307" s="17"/>
      <c r="U307" s="17"/>
      <c r="V307" s="17"/>
      <c r="W307" s="17"/>
      <c r="X307" s="17"/>
      <c r="Y307" s="17"/>
      <c r="Z307" s="17"/>
      <c r="AA307" s="17"/>
      <c r="AB307" s="17"/>
      <c r="AC307" s="17"/>
      <c r="AD307" s="17"/>
      <c r="AE307" s="17"/>
      <c r="AF307" s="17"/>
      <c r="AG307" s="17"/>
      <c r="AH307" s="17"/>
      <c r="AI307" s="17"/>
      <c r="AJ307" s="17"/>
      <c r="AK307" s="17"/>
      <c r="AL307" s="17"/>
      <c r="AM307" s="17"/>
      <c r="AN307" s="17"/>
      <c r="AO307" s="17"/>
      <c r="AP307" s="1"/>
      <c r="AQ307" s="1"/>
    </row>
    <row r="308" spans="1:43" x14ac:dyDescent="0.35">
      <c r="A308" s="6"/>
      <c r="B308" s="13"/>
      <c r="C308" s="81"/>
      <c r="D308" s="4"/>
      <c r="E308" s="8"/>
      <c r="F308" s="17"/>
      <c r="G308" s="17"/>
      <c r="H308" s="17"/>
      <c r="I308" s="17"/>
      <c r="J308" s="17"/>
      <c r="K308" s="17"/>
      <c r="L308" s="17"/>
      <c r="M308" s="17"/>
      <c r="N308" s="17"/>
      <c r="O308" s="17"/>
      <c r="P308" s="17"/>
      <c r="Q308" s="17"/>
      <c r="R308" s="17"/>
      <c r="S308" s="17"/>
      <c r="T308" s="17"/>
      <c r="U308" s="17"/>
      <c r="V308" s="17"/>
      <c r="W308" s="17"/>
      <c r="X308" s="17"/>
      <c r="Y308" s="17"/>
      <c r="Z308" s="17"/>
      <c r="AA308" s="17"/>
      <c r="AB308" s="17"/>
      <c r="AC308" s="17"/>
      <c r="AD308" s="17"/>
      <c r="AE308" s="17"/>
      <c r="AF308" s="17"/>
      <c r="AG308" s="17"/>
      <c r="AH308" s="17"/>
      <c r="AI308" s="17"/>
      <c r="AJ308" s="17"/>
      <c r="AK308" s="17"/>
      <c r="AL308" s="17"/>
      <c r="AM308" s="17"/>
      <c r="AN308" s="17"/>
      <c r="AO308" s="17"/>
      <c r="AP308" s="1"/>
      <c r="AQ308" s="1"/>
    </row>
    <row r="309" spans="1:43" x14ac:dyDescent="0.35">
      <c r="A309" s="6"/>
      <c r="B309" s="13"/>
      <c r="C309" s="81"/>
      <c r="D309" s="4"/>
      <c r="E309" s="8"/>
      <c r="F309" s="17"/>
      <c r="G309" s="17"/>
      <c r="H309" s="17"/>
      <c r="I309" s="17"/>
      <c r="J309" s="17"/>
      <c r="K309" s="17"/>
      <c r="L309" s="17"/>
      <c r="M309" s="17"/>
      <c r="N309" s="17"/>
      <c r="O309" s="17"/>
      <c r="P309" s="17"/>
      <c r="Q309" s="17"/>
      <c r="R309" s="17"/>
      <c r="S309" s="17"/>
      <c r="T309" s="17"/>
      <c r="U309" s="17"/>
      <c r="V309" s="17"/>
      <c r="W309" s="17"/>
      <c r="X309" s="17"/>
      <c r="Y309" s="17"/>
      <c r="Z309" s="17"/>
      <c r="AA309" s="17"/>
      <c r="AB309" s="17"/>
      <c r="AC309" s="17"/>
      <c r="AD309" s="17"/>
      <c r="AE309" s="17"/>
      <c r="AF309" s="17"/>
      <c r="AG309" s="17"/>
      <c r="AH309" s="17"/>
      <c r="AI309" s="17"/>
      <c r="AJ309" s="17"/>
      <c r="AK309" s="17"/>
      <c r="AL309" s="17"/>
      <c r="AM309" s="17"/>
      <c r="AN309" s="17"/>
      <c r="AO309" s="17"/>
      <c r="AP309" s="1"/>
      <c r="AQ309" s="1"/>
    </row>
    <row r="310" spans="1:43" x14ac:dyDescent="0.35">
      <c r="A310" s="6"/>
      <c r="B310" s="13"/>
      <c r="C310" s="81"/>
      <c r="D310" s="4"/>
      <c r="E310" s="8"/>
      <c r="F310" s="17"/>
      <c r="G310" s="17"/>
      <c r="H310" s="17"/>
      <c r="I310" s="17"/>
      <c r="J310" s="17"/>
      <c r="K310" s="17"/>
      <c r="L310" s="17"/>
      <c r="M310" s="17"/>
      <c r="N310" s="17"/>
      <c r="O310" s="17"/>
      <c r="P310" s="17"/>
      <c r="Q310" s="17"/>
      <c r="R310" s="17"/>
      <c r="S310" s="17"/>
      <c r="T310" s="17"/>
      <c r="U310" s="17"/>
      <c r="V310" s="17"/>
      <c r="W310" s="17"/>
      <c r="X310" s="17"/>
      <c r="Y310" s="17"/>
      <c r="Z310" s="17"/>
      <c r="AA310" s="17"/>
      <c r="AB310" s="17"/>
      <c r="AC310" s="17"/>
      <c r="AD310" s="17"/>
      <c r="AE310" s="17"/>
      <c r="AF310" s="17"/>
      <c r="AG310" s="17"/>
      <c r="AH310" s="17"/>
      <c r="AI310" s="17"/>
      <c r="AJ310" s="17"/>
      <c r="AK310" s="17"/>
      <c r="AL310" s="17"/>
      <c r="AM310" s="17"/>
      <c r="AN310" s="17"/>
      <c r="AO310" s="17"/>
      <c r="AP310" s="1"/>
      <c r="AQ310" s="1"/>
    </row>
    <row r="311" spans="1:43" x14ac:dyDescent="0.35">
      <c r="A311" s="6"/>
      <c r="B311" s="13"/>
      <c r="C311" s="81"/>
      <c r="D311" s="4"/>
      <c r="E311" s="8"/>
      <c r="F311" s="17"/>
      <c r="G311" s="17"/>
      <c r="H311" s="17"/>
      <c r="I311" s="17"/>
      <c r="J311" s="17"/>
      <c r="K311" s="17"/>
      <c r="L311" s="17"/>
      <c r="M311" s="17"/>
      <c r="N311" s="17"/>
      <c r="O311" s="17"/>
      <c r="P311" s="17"/>
      <c r="Q311" s="17"/>
      <c r="R311" s="17"/>
      <c r="S311" s="17"/>
      <c r="T311" s="17"/>
      <c r="U311" s="17"/>
      <c r="V311" s="17"/>
      <c r="W311" s="17"/>
      <c r="X311" s="17"/>
      <c r="Y311" s="17"/>
      <c r="Z311" s="17"/>
      <c r="AA311" s="17"/>
      <c r="AB311" s="17"/>
      <c r="AC311" s="17"/>
      <c r="AD311" s="17"/>
      <c r="AE311" s="17"/>
      <c r="AF311" s="17"/>
      <c r="AG311" s="17"/>
      <c r="AH311" s="17"/>
      <c r="AI311" s="17"/>
      <c r="AJ311" s="17"/>
      <c r="AK311" s="17"/>
      <c r="AL311" s="17"/>
      <c r="AM311" s="17"/>
      <c r="AN311" s="17"/>
      <c r="AO311" s="17"/>
      <c r="AP311" s="1"/>
      <c r="AQ311" s="1"/>
    </row>
    <row r="312" spans="1:43" x14ac:dyDescent="0.35">
      <c r="A312" s="6"/>
      <c r="B312" s="13"/>
      <c r="C312" s="81"/>
      <c r="D312" s="4"/>
      <c r="E312" s="8"/>
      <c r="F312" s="17"/>
      <c r="G312" s="17"/>
      <c r="H312" s="17"/>
      <c r="I312" s="17"/>
      <c r="J312" s="17"/>
      <c r="K312" s="17"/>
      <c r="L312" s="17"/>
      <c r="M312" s="17"/>
      <c r="N312" s="17"/>
      <c r="O312" s="17"/>
      <c r="P312" s="17"/>
      <c r="Q312" s="17"/>
      <c r="R312" s="17"/>
      <c r="S312" s="17"/>
      <c r="T312" s="17"/>
      <c r="U312" s="17"/>
      <c r="V312" s="17"/>
      <c r="W312" s="17"/>
      <c r="X312" s="17"/>
      <c r="Y312" s="17"/>
      <c r="Z312" s="17"/>
      <c r="AA312" s="17"/>
      <c r="AB312" s="17"/>
      <c r="AC312" s="17"/>
      <c r="AD312" s="17"/>
      <c r="AE312" s="17"/>
      <c r="AF312" s="17"/>
      <c r="AG312" s="17"/>
      <c r="AH312" s="17"/>
      <c r="AI312" s="17"/>
      <c r="AJ312" s="17"/>
      <c r="AK312" s="17"/>
      <c r="AL312" s="17"/>
      <c r="AM312" s="17"/>
      <c r="AN312" s="17"/>
      <c r="AO312" s="17"/>
      <c r="AP312" s="1"/>
      <c r="AQ312" s="1"/>
    </row>
    <row r="313" spans="1:43" x14ac:dyDescent="0.35">
      <c r="A313" s="6"/>
      <c r="B313" s="13"/>
      <c r="C313" s="81"/>
      <c r="D313" s="4"/>
      <c r="E313" s="8"/>
      <c r="F313" s="17"/>
      <c r="G313" s="17"/>
      <c r="H313" s="17"/>
      <c r="I313" s="17"/>
      <c r="J313" s="17"/>
      <c r="K313" s="17"/>
      <c r="L313" s="17"/>
      <c r="M313" s="17"/>
      <c r="N313" s="17"/>
      <c r="O313" s="17"/>
      <c r="P313" s="17"/>
      <c r="Q313" s="17"/>
      <c r="R313" s="17"/>
      <c r="S313" s="17"/>
      <c r="T313" s="17"/>
      <c r="U313" s="17"/>
      <c r="V313" s="17"/>
      <c r="W313" s="17"/>
      <c r="X313" s="17"/>
      <c r="Y313" s="17"/>
      <c r="Z313" s="17"/>
      <c r="AA313" s="17"/>
      <c r="AB313" s="17"/>
      <c r="AC313" s="17"/>
      <c r="AD313" s="17"/>
      <c r="AE313" s="17"/>
      <c r="AF313" s="17"/>
      <c r="AG313" s="17"/>
      <c r="AH313" s="17"/>
      <c r="AI313" s="17"/>
      <c r="AJ313" s="17"/>
      <c r="AK313" s="17"/>
      <c r="AL313" s="17"/>
      <c r="AM313" s="17"/>
      <c r="AN313" s="17"/>
      <c r="AO313" s="17"/>
      <c r="AP313" s="1"/>
      <c r="AQ313" s="1"/>
    </row>
    <row r="314" spans="1:43" x14ac:dyDescent="0.35">
      <c r="A314" s="6"/>
      <c r="B314" s="13"/>
      <c r="C314" s="81"/>
      <c r="D314" s="4"/>
      <c r="E314" s="8"/>
      <c r="F314" s="17"/>
      <c r="G314" s="17"/>
      <c r="H314" s="17"/>
      <c r="I314" s="17"/>
      <c r="J314" s="17"/>
      <c r="K314" s="17"/>
      <c r="L314" s="17"/>
      <c r="M314" s="17"/>
      <c r="N314" s="17"/>
      <c r="O314" s="17"/>
      <c r="P314" s="17"/>
      <c r="Q314" s="17"/>
      <c r="R314" s="17"/>
      <c r="S314" s="17"/>
      <c r="T314" s="17"/>
      <c r="U314" s="17"/>
      <c r="V314" s="17"/>
      <c r="W314" s="17"/>
      <c r="X314" s="17"/>
      <c r="Y314" s="17"/>
      <c r="Z314" s="17"/>
      <c r="AA314" s="17"/>
      <c r="AB314" s="17"/>
      <c r="AC314" s="17"/>
      <c r="AD314" s="17"/>
      <c r="AE314" s="17"/>
      <c r="AF314" s="17"/>
      <c r="AG314" s="17"/>
      <c r="AH314" s="17"/>
      <c r="AI314" s="17"/>
      <c r="AJ314" s="17"/>
      <c r="AK314" s="17"/>
      <c r="AL314" s="17"/>
      <c r="AM314" s="17"/>
      <c r="AN314" s="17"/>
      <c r="AO314" s="17"/>
      <c r="AP314" s="1"/>
      <c r="AQ314" s="1"/>
    </row>
    <row r="315" spans="1:43" x14ac:dyDescent="0.35">
      <c r="A315" s="6"/>
      <c r="B315" s="13"/>
      <c r="C315" s="81"/>
      <c r="D315" s="4"/>
      <c r="E315" s="8"/>
      <c r="F315" s="17"/>
      <c r="G315" s="17"/>
      <c r="H315" s="17"/>
      <c r="I315" s="17"/>
      <c r="J315" s="17"/>
      <c r="K315" s="17"/>
      <c r="L315" s="17"/>
      <c r="M315" s="17"/>
      <c r="N315" s="17"/>
      <c r="O315" s="17"/>
      <c r="P315" s="17"/>
      <c r="Q315" s="17"/>
      <c r="R315" s="17"/>
      <c r="S315" s="17"/>
      <c r="T315" s="17"/>
      <c r="U315" s="17"/>
      <c r="V315" s="17"/>
      <c r="W315" s="17"/>
      <c r="X315" s="17"/>
      <c r="Y315" s="17"/>
      <c r="Z315" s="17"/>
      <c r="AA315" s="17"/>
      <c r="AB315" s="17"/>
      <c r="AC315" s="17"/>
      <c r="AD315" s="17"/>
      <c r="AE315" s="17"/>
      <c r="AF315" s="17"/>
      <c r="AG315" s="17"/>
      <c r="AH315" s="17"/>
      <c r="AI315" s="17"/>
      <c r="AJ315" s="17"/>
      <c r="AK315" s="17"/>
      <c r="AL315" s="17"/>
      <c r="AM315" s="17"/>
      <c r="AN315" s="17"/>
      <c r="AO315" s="17"/>
      <c r="AP315" s="1"/>
      <c r="AQ315" s="1"/>
    </row>
    <row r="316" spans="1:43" x14ac:dyDescent="0.35">
      <c r="A316" s="6"/>
      <c r="B316" s="13"/>
      <c r="C316" s="81"/>
      <c r="D316" s="4"/>
      <c r="E316" s="8"/>
      <c r="F316" s="17"/>
      <c r="G316" s="17"/>
      <c r="H316" s="17"/>
      <c r="I316" s="17"/>
      <c r="J316" s="17"/>
      <c r="K316" s="17"/>
      <c r="L316" s="17"/>
      <c r="M316" s="17"/>
      <c r="N316" s="17"/>
      <c r="O316" s="17"/>
      <c r="P316" s="17"/>
      <c r="Q316" s="17"/>
      <c r="R316" s="17"/>
      <c r="S316" s="17"/>
      <c r="T316" s="17"/>
      <c r="U316" s="17"/>
      <c r="V316" s="17"/>
      <c r="W316" s="17"/>
      <c r="X316" s="17"/>
      <c r="Y316" s="17"/>
      <c r="Z316" s="17"/>
      <c r="AA316" s="17"/>
      <c r="AB316" s="17"/>
      <c r="AC316" s="17"/>
      <c r="AD316" s="17"/>
      <c r="AE316" s="17"/>
      <c r="AF316" s="17"/>
      <c r="AG316" s="17"/>
      <c r="AH316" s="17"/>
      <c r="AI316" s="17"/>
      <c r="AJ316" s="17"/>
      <c r="AK316" s="17"/>
      <c r="AL316" s="17"/>
      <c r="AM316" s="17"/>
      <c r="AN316" s="17"/>
      <c r="AO316" s="17"/>
      <c r="AP316" s="1"/>
      <c r="AQ316" s="1"/>
    </row>
    <row r="317" spans="1:43" x14ac:dyDescent="0.35">
      <c r="A317" s="6"/>
      <c r="B317" s="13"/>
      <c r="C317" s="81"/>
      <c r="D317" s="4"/>
      <c r="E317" s="8"/>
      <c r="F317" s="17"/>
      <c r="G317" s="17"/>
      <c r="H317" s="17"/>
      <c r="I317" s="17"/>
      <c r="J317" s="17"/>
      <c r="K317" s="17"/>
      <c r="L317" s="17"/>
      <c r="M317" s="17"/>
      <c r="N317" s="17"/>
      <c r="O317" s="17"/>
      <c r="P317" s="17"/>
      <c r="Q317" s="17"/>
      <c r="R317" s="17"/>
      <c r="S317" s="17"/>
      <c r="T317" s="17"/>
      <c r="U317" s="17"/>
      <c r="V317" s="17"/>
      <c r="W317" s="17"/>
      <c r="X317" s="17"/>
      <c r="Y317" s="17"/>
      <c r="Z317" s="17"/>
      <c r="AA317" s="17"/>
      <c r="AB317" s="17"/>
      <c r="AC317" s="17"/>
      <c r="AD317" s="17"/>
      <c r="AE317" s="17"/>
      <c r="AF317" s="17"/>
      <c r="AG317" s="17"/>
      <c r="AH317" s="17"/>
      <c r="AI317" s="17"/>
      <c r="AJ317" s="17"/>
      <c r="AK317" s="17"/>
      <c r="AL317" s="17"/>
      <c r="AM317" s="17"/>
      <c r="AN317" s="17"/>
      <c r="AO317" s="17"/>
      <c r="AP317" s="1"/>
      <c r="AQ317" s="1"/>
    </row>
    <row r="318" spans="1:43" x14ac:dyDescent="0.35">
      <c r="A318" s="6"/>
      <c r="B318" s="13"/>
      <c r="C318" s="81"/>
      <c r="D318" s="4"/>
      <c r="E318" s="8"/>
      <c r="F318" s="17"/>
      <c r="G318" s="17"/>
      <c r="H318" s="17"/>
      <c r="I318" s="17"/>
      <c r="J318" s="17"/>
      <c r="K318" s="17"/>
      <c r="L318" s="17"/>
      <c r="M318" s="17"/>
      <c r="N318" s="17"/>
      <c r="O318" s="17"/>
      <c r="P318" s="17"/>
      <c r="Q318" s="17"/>
      <c r="R318" s="17"/>
      <c r="S318" s="17"/>
      <c r="T318" s="17"/>
      <c r="U318" s="17"/>
      <c r="V318" s="17"/>
      <c r="W318" s="17"/>
      <c r="X318" s="17"/>
      <c r="Y318" s="17"/>
      <c r="Z318" s="17"/>
      <c r="AA318" s="17"/>
      <c r="AB318" s="17"/>
      <c r="AC318" s="17"/>
      <c r="AD318" s="17"/>
      <c r="AE318" s="17"/>
      <c r="AF318" s="17"/>
      <c r="AG318" s="17"/>
      <c r="AH318" s="17"/>
      <c r="AI318" s="17"/>
      <c r="AJ318" s="17"/>
      <c r="AK318" s="17"/>
      <c r="AL318" s="17"/>
      <c r="AM318" s="17"/>
      <c r="AN318" s="17"/>
      <c r="AO318" s="17"/>
      <c r="AP318" s="1"/>
      <c r="AQ318" s="1"/>
    </row>
    <row r="319" spans="1:43" x14ac:dyDescent="0.35">
      <c r="A319" s="6"/>
      <c r="B319" s="13"/>
      <c r="C319" s="81"/>
      <c r="D319" s="4"/>
      <c r="E319" s="8"/>
      <c r="F319" s="17"/>
      <c r="G319" s="17"/>
      <c r="H319" s="17"/>
      <c r="I319" s="17"/>
      <c r="J319" s="17"/>
      <c r="K319" s="17"/>
      <c r="L319" s="17"/>
      <c r="M319" s="17"/>
      <c r="N319" s="17"/>
      <c r="O319" s="17"/>
      <c r="P319" s="17"/>
      <c r="Q319" s="17"/>
      <c r="R319" s="17"/>
      <c r="S319" s="17"/>
      <c r="T319" s="17"/>
      <c r="U319" s="17"/>
      <c r="V319" s="17"/>
      <c r="W319" s="17"/>
      <c r="X319" s="17"/>
      <c r="Y319" s="17"/>
      <c r="Z319" s="17"/>
      <c r="AA319" s="17"/>
      <c r="AB319" s="17"/>
      <c r="AC319" s="17"/>
      <c r="AD319" s="17"/>
      <c r="AE319" s="17"/>
      <c r="AF319" s="17"/>
      <c r="AG319" s="17"/>
      <c r="AH319" s="17"/>
      <c r="AI319" s="17"/>
      <c r="AJ319" s="17"/>
      <c r="AK319" s="17"/>
      <c r="AL319" s="17"/>
      <c r="AM319" s="17"/>
      <c r="AN319" s="17"/>
      <c r="AO319" s="17"/>
      <c r="AP319" s="1"/>
      <c r="AQ319" s="1"/>
    </row>
    <row r="320" spans="1:43" x14ac:dyDescent="0.35">
      <c r="A320" s="6"/>
      <c r="B320" s="13"/>
      <c r="C320" s="81"/>
      <c r="D320" s="4"/>
      <c r="E320" s="8"/>
      <c r="F320" s="17"/>
      <c r="G320" s="17"/>
      <c r="H320" s="17"/>
      <c r="I320" s="17"/>
      <c r="J320" s="17"/>
      <c r="K320" s="17"/>
      <c r="L320" s="17"/>
      <c r="M320" s="17"/>
      <c r="N320" s="17"/>
      <c r="O320" s="17"/>
      <c r="P320" s="17"/>
      <c r="Q320" s="17"/>
      <c r="R320" s="17"/>
      <c r="S320" s="17"/>
      <c r="T320" s="17"/>
      <c r="U320" s="17"/>
      <c r="V320" s="17"/>
      <c r="W320" s="17"/>
      <c r="X320" s="17"/>
      <c r="Y320" s="17"/>
      <c r="Z320" s="17"/>
      <c r="AA320" s="17"/>
      <c r="AB320" s="17"/>
      <c r="AC320" s="17"/>
      <c r="AD320" s="17"/>
      <c r="AE320" s="17"/>
      <c r="AF320" s="17"/>
      <c r="AG320" s="17"/>
      <c r="AH320" s="17"/>
      <c r="AI320" s="17"/>
      <c r="AJ320" s="17"/>
      <c r="AK320" s="17"/>
      <c r="AL320" s="17"/>
      <c r="AM320" s="17"/>
      <c r="AN320" s="17"/>
      <c r="AO320" s="17"/>
      <c r="AP320" s="1"/>
      <c r="AQ320" s="1"/>
    </row>
    <row r="321" spans="1:43" x14ac:dyDescent="0.35">
      <c r="A321" s="6"/>
      <c r="B321" s="13"/>
      <c r="C321" s="81"/>
      <c r="D321" s="4"/>
      <c r="E321" s="8"/>
      <c r="F321" s="17"/>
      <c r="G321" s="17"/>
      <c r="H321" s="17"/>
      <c r="I321" s="17"/>
      <c r="J321" s="17"/>
      <c r="K321" s="17"/>
      <c r="L321" s="17"/>
      <c r="M321" s="17"/>
      <c r="N321" s="17"/>
      <c r="O321" s="17"/>
      <c r="P321" s="17"/>
      <c r="Q321" s="17"/>
      <c r="R321" s="17"/>
      <c r="S321" s="17"/>
      <c r="T321" s="17"/>
      <c r="U321" s="17"/>
      <c r="V321" s="17"/>
      <c r="W321" s="17"/>
      <c r="X321" s="17"/>
      <c r="Y321" s="17"/>
      <c r="Z321" s="17"/>
      <c r="AA321" s="17"/>
      <c r="AB321" s="17"/>
      <c r="AC321" s="17"/>
      <c r="AD321" s="17"/>
      <c r="AE321" s="17"/>
      <c r="AF321" s="17"/>
      <c r="AG321" s="17"/>
      <c r="AH321" s="17"/>
      <c r="AI321" s="17"/>
      <c r="AJ321" s="17"/>
      <c r="AK321" s="17"/>
      <c r="AL321" s="17"/>
      <c r="AM321" s="17"/>
      <c r="AN321" s="17"/>
      <c r="AO321" s="17"/>
      <c r="AP321" s="1"/>
      <c r="AQ321" s="1"/>
    </row>
    <row r="322" spans="1:43" x14ac:dyDescent="0.35">
      <c r="A322" s="6"/>
      <c r="B322" s="13"/>
      <c r="C322" s="81"/>
      <c r="D322" s="4"/>
      <c r="E322" s="8"/>
      <c r="F322" s="17"/>
      <c r="G322" s="17"/>
      <c r="H322" s="17"/>
      <c r="I322" s="17"/>
      <c r="J322" s="17"/>
      <c r="K322" s="17"/>
      <c r="L322" s="17"/>
      <c r="M322" s="17"/>
      <c r="N322" s="17"/>
      <c r="O322" s="17"/>
      <c r="P322" s="17"/>
      <c r="Q322" s="17"/>
      <c r="R322" s="17"/>
      <c r="S322" s="17"/>
      <c r="T322" s="17"/>
      <c r="U322" s="17"/>
      <c r="V322" s="17"/>
      <c r="W322" s="17"/>
      <c r="X322" s="17"/>
      <c r="Y322" s="17"/>
      <c r="Z322" s="17"/>
      <c r="AA322" s="17"/>
      <c r="AB322" s="17"/>
      <c r="AC322" s="17"/>
      <c r="AD322" s="17"/>
      <c r="AE322" s="17"/>
      <c r="AF322" s="17"/>
      <c r="AG322" s="17"/>
      <c r="AH322" s="17"/>
      <c r="AI322" s="17"/>
      <c r="AJ322" s="17"/>
      <c r="AK322" s="17"/>
      <c r="AL322" s="17"/>
      <c r="AM322" s="17"/>
      <c r="AN322" s="17"/>
      <c r="AO322" s="17"/>
      <c r="AP322" s="1"/>
      <c r="AQ322" s="1"/>
    </row>
    <row r="323" spans="1:43" x14ac:dyDescent="0.35">
      <c r="A323" s="6"/>
      <c r="B323" s="13"/>
      <c r="C323" s="81"/>
      <c r="D323" s="4"/>
      <c r="E323" s="8"/>
      <c r="F323" s="17"/>
      <c r="G323" s="17"/>
      <c r="H323" s="17"/>
      <c r="I323" s="17"/>
      <c r="J323" s="17"/>
      <c r="K323" s="17"/>
      <c r="L323" s="17"/>
      <c r="M323" s="17"/>
      <c r="N323" s="17"/>
      <c r="O323" s="17"/>
      <c r="P323" s="17"/>
      <c r="Q323" s="17"/>
      <c r="R323" s="17"/>
      <c r="S323" s="17"/>
      <c r="T323" s="17"/>
      <c r="U323" s="17"/>
      <c r="V323" s="17"/>
      <c r="W323" s="17"/>
      <c r="X323" s="17"/>
      <c r="Y323" s="17"/>
      <c r="Z323" s="17"/>
      <c r="AA323" s="17"/>
      <c r="AB323" s="17"/>
      <c r="AC323" s="17"/>
      <c r="AD323" s="17"/>
      <c r="AE323" s="17"/>
      <c r="AF323" s="17"/>
      <c r="AG323" s="17"/>
      <c r="AH323" s="17"/>
      <c r="AI323" s="17"/>
      <c r="AJ323" s="17"/>
      <c r="AK323" s="17"/>
      <c r="AL323" s="17"/>
      <c r="AM323" s="17"/>
      <c r="AN323" s="17"/>
      <c r="AO323" s="17"/>
      <c r="AP323" s="1"/>
      <c r="AQ323" s="1"/>
    </row>
    <row r="324" spans="1:43" x14ac:dyDescent="0.35">
      <c r="A324" s="6"/>
      <c r="B324" s="13"/>
      <c r="C324" s="81"/>
      <c r="D324" s="4"/>
      <c r="E324" s="8"/>
      <c r="F324" s="17"/>
      <c r="G324" s="17"/>
      <c r="H324" s="17"/>
      <c r="I324" s="17"/>
      <c r="J324" s="17"/>
      <c r="K324" s="17"/>
      <c r="L324" s="17"/>
      <c r="M324" s="17"/>
      <c r="N324" s="17"/>
      <c r="O324" s="17"/>
      <c r="P324" s="17"/>
      <c r="Q324" s="17"/>
      <c r="R324" s="17"/>
      <c r="S324" s="17"/>
      <c r="T324" s="17"/>
      <c r="U324" s="17"/>
      <c r="V324" s="17"/>
      <c r="W324" s="17"/>
      <c r="X324" s="17"/>
      <c r="Y324" s="17"/>
      <c r="Z324" s="17"/>
      <c r="AA324" s="17"/>
      <c r="AB324" s="17"/>
      <c r="AC324" s="17"/>
      <c r="AD324" s="17"/>
      <c r="AE324" s="17"/>
      <c r="AF324" s="17"/>
      <c r="AG324" s="17"/>
      <c r="AH324" s="17"/>
      <c r="AI324" s="17"/>
      <c r="AJ324" s="17"/>
      <c r="AK324" s="17"/>
      <c r="AL324" s="17"/>
      <c r="AM324" s="17"/>
      <c r="AN324" s="17"/>
      <c r="AO324" s="17"/>
      <c r="AP324" s="1"/>
      <c r="AQ324" s="1"/>
    </row>
    <row r="325" spans="1:43" x14ac:dyDescent="0.35">
      <c r="A325" s="6"/>
      <c r="B325" s="13"/>
      <c r="C325" s="81"/>
      <c r="D325" s="4"/>
      <c r="E325" s="8"/>
      <c r="F325" s="17"/>
      <c r="G325" s="17"/>
      <c r="H325" s="17"/>
      <c r="I325" s="17"/>
      <c r="J325" s="17"/>
      <c r="K325" s="17"/>
      <c r="L325" s="17"/>
      <c r="M325" s="17"/>
      <c r="N325" s="17"/>
      <c r="O325" s="17"/>
      <c r="P325" s="17"/>
      <c r="Q325" s="17"/>
      <c r="R325" s="17"/>
      <c r="S325" s="17"/>
      <c r="T325" s="17"/>
      <c r="U325" s="17"/>
      <c r="V325" s="17"/>
      <c r="W325" s="17"/>
      <c r="X325" s="17"/>
      <c r="Y325" s="17"/>
      <c r="Z325" s="17"/>
      <c r="AA325" s="17"/>
      <c r="AB325" s="17"/>
      <c r="AC325" s="17"/>
      <c r="AD325" s="17"/>
      <c r="AE325" s="17"/>
      <c r="AF325" s="17"/>
      <c r="AG325" s="17"/>
      <c r="AH325" s="17"/>
      <c r="AI325" s="17"/>
      <c r="AJ325" s="17"/>
      <c r="AK325" s="17"/>
      <c r="AL325" s="17"/>
      <c r="AM325" s="17"/>
      <c r="AN325" s="17"/>
      <c r="AO325" s="17"/>
      <c r="AP325" s="1"/>
      <c r="AQ325" s="1"/>
    </row>
    <row r="326" spans="1:43" x14ac:dyDescent="0.35">
      <c r="A326" s="6"/>
      <c r="B326" s="13"/>
      <c r="C326" s="81"/>
      <c r="D326" s="4"/>
      <c r="E326" s="8"/>
      <c r="F326" s="17"/>
      <c r="G326" s="17"/>
      <c r="H326" s="17"/>
      <c r="I326" s="17"/>
      <c r="J326" s="17"/>
      <c r="K326" s="17"/>
      <c r="L326" s="17"/>
      <c r="M326" s="17"/>
      <c r="N326" s="17"/>
      <c r="O326" s="17"/>
      <c r="P326" s="17"/>
      <c r="Q326" s="17"/>
      <c r="R326" s="17"/>
      <c r="S326" s="17"/>
      <c r="T326" s="17"/>
      <c r="U326" s="17"/>
      <c r="V326" s="17"/>
      <c r="W326" s="17"/>
      <c r="X326" s="17"/>
      <c r="Y326" s="17"/>
      <c r="Z326" s="17"/>
      <c r="AA326" s="17"/>
      <c r="AB326" s="17"/>
      <c r="AC326" s="17"/>
      <c r="AD326" s="17"/>
      <c r="AE326" s="17"/>
      <c r="AF326" s="17"/>
      <c r="AG326" s="17"/>
      <c r="AH326" s="17"/>
      <c r="AI326" s="17"/>
      <c r="AJ326" s="17"/>
      <c r="AK326" s="17"/>
      <c r="AL326" s="17"/>
      <c r="AM326" s="17"/>
      <c r="AN326" s="17"/>
      <c r="AO326" s="17"/>
      <c r="AP326" s="1"/>
      <c r="AQ326" s="1"/>
    </row>
    <row r="327" spans="1:43" x14ac:dyDescent="0.35">
      <c r="A327" s="6"/>
      <c r="B327" s="13"/>
      <c r="C327" s="81"/>
      <c r="D327" s="4"/>
      <c r="E327" s="8"/>
      <c r="F327" s="17"/>
      <c r="G327" s="17"/>
      <c r="H327" s="17"/>
      <c r="I327" s="17"/>
      <c r="J327" s="17"/>
      <c r="K327" s="17"/>
      <c r="L327" s="17"/>
      <c r="M327" s="17"/>
      <c r="N327" s="17"/>
      <c r="O327" s="17"/>
      <c r="P327" s="17"/>
      <c r="Q327" s="17"/>
      <c r="R327" s="17"/>
      <c r="S327" s="17"/>
      <c r="T327" s="17"/>
      <c r="U327" s="17"/>
      <c r="V327" s="17"/>
      <c r="W327" s="17"/>
      <c r="X327" s="17"/>
      <c r="Y327" s="17"/>
      <c r="Z327" s="17"/>
      <c r="AA327" s="17"/>
      <c r="AB327" s="17"/>
      <c r="AC327" s="17"/>
      <c r="AD327" s="17"/>
      <c r="AE327" s="17"/>
      <c r="AF327" s="17"/>
      <c r="AG327" s="17"/>
      <c r="AH327" s="17"/>
      <c r="AI327" s="17"/>
      <c r="AJ327" s="17"/>
      <c r="AK327" s="17"/>
      <c r="AL327" s="17"/>
      <c r="AM327" s="17"/>
      <c r="AN327" s="17"/>
      <c r="AO327" s="17"/>
      <c r="AP327" s="1"/>
      <c r="AQ327" s="1"/>
    </row>
    <row r="328" spans="1:43" x14ac:dyDescent="0.35">
      <c r="A328" s="6"/>
      <c r="B328" s="13"/>
      <c r="C328" s="81"/>
      <c r="D328" s="4"/>
      <c r="E328" s="8"/>
      <c r="F328" s="17"/>
      <c r="G328" s="17"/>
      <c r="H328" s="17"/>
      <c r="I328" s="17"/>
      <c r="J328" s="17"/>
      <c r="K328" s="17"/>
      <c r="L328" s="17"/>
      <c r="M328" s="17"/>
      <c r="N328" s="17"/>
      <c r="O328" s="17"/>
      <c r="P328" s="17"/>
      <c r="Q328" s="17"/>
      <c r="R328" s="17"/>
      <c r="S328" s="17"/>
      <c r="T328" s="17"/>
      <c r="U328" s="17"/>
      <c r="V328" s="17"/>
      <c r="W328" s="17"/>
      <c r="X328" s="17"/>
      <c r="Y328" s="17"/>
      <c r="Z328" s="17"/>
      <c r="AA328" s="17"/>
      <c r="AB328" s="17"/>
      <c r="AC328" s="17"/>
      <c r="AD328" s="17"/>
      <c r="AE328" s="17"/>
      <c r="AF328" s="17"/>
      <c r="AG328" s="17"/>
      <c r="AH328" s="17"/>
      <c r="AI328" s="17"/>
      <c r="AJ328" s="17"/>
      <c r="AK328" s="17"/>
      <c r="AL328" s="17"/>
      <c r="AM328" s="17"/>
      <c r="AN328" s="17"/>
      <c r="AO328" s="17"/>
      <c r="AP328" s="1"/>
      <c r="AQ328" s="1"/>
    </row>
    <row r="329" spans="1:43" x14ac:dyDescent="0.35">
      <c r="A329" s="6"/>
      <c r="B329" s="13"/>
      <c r="C329" s="81"/>
      <c r="D329" s="4"/>
      <c r="E329" s="8"/>
      <c r="F329" s="17"/>
      <c r="G329" s="17"/>
      <c r="H329" s="17"/>
      <c r="I329" s="17"/>
      <c r="J329" s="17"/>
      <c r="K329" s="17"/>
      <c r="L329" s="17"/>
      <c r="M329" s="17"/>
      <c r="N329" s="17"/>
      <c r="O329" s="17"/>
      <c r="P329" s="17"/>
      <c r="Q329" s="17"/>
      <c r="R329" s="17"/>
      <c r="S329" s="17"/>
      <c r="T329" s="17"/>
      <c r="U329" s="17"/>
      <c r="V329" s="17"/>
      <c r="W329" s="17"/>
      <c r="X329" s="17"/>
      <c r="Y329" s="17"/>
      <c r="Z329" s="17"/>
      <c r="AA329" s="17"/>
      <c r="AB329" s="17"/>
      <c r="AC329" s="17"/>
      <c r="AD329" s="17"/>
      <c r="AE329" s="17"/>
      <c r="AF329" s="17"/>
      <c r="AG329" s="17"/>
      <c r="AH329" s="17"/>
      <c r="AI329" s="17"/>
      <c r="AJ329" s="17"/>
      <c r="AK329" s="17"/>
      <c r="AL329" s="17"/>
      <c r="AM329" s="17"/>
      <c r="AN329" s="17"/>
      <c r="AO329" s="17"/>
      <c r="AP329" s="1"/>
      <c r="AQ329" s="1"/>
    </row>
    <row r="330" spans="1:43" x14ac:dyDescent="0.35">
      <c r="A330" s="6"/>
      <c r="B330" s="13"/>
      <c r="C330" s="81"/>
      <c r="D330" s="4"/>
      <c r="E330" s="8"/>
      <c r="F330" s="17"/>
      <c r="G330" s="17"/>
      <c r="H330" s="17"/>
      <c r="I330" s="17"/>
      <c r="J330" s="17"/>
      <c r="K330" s="17"/>
      <c r="L330" s="17"/>
      <c r="M330" s="17"/>
      <c r="N330" s="17"/>
      <c r="O330" s="17"/>
      <c r="P330" s="17"/>
      <c r="Q330" s="17"/>
      <c r="R330" s="17"/>
      <c r="S330" s="17"/>
      <c r="T330" s="17"/>
      <c r="U330" s="17"/>
      <c r="V330" s="17"/>
      <c r="W330" s="17"/>
      <c r="X330" s="17"/>
      <c r="Y330" s="17"/>
      <c r="Z330" s="17"/>
      <c r="AA330" s="17"/>
      <c r="AB330" s="17"/>
      <c r="AC330" s="17"/>
      <c r="AD330" s="17"/>
      <c r="AE330" s="17"/>
      <c r="AF330" s="17"/>
      <c r="AG330" s="17"/>
      <c r="AH330" s="17"/>
      <c r="AI330" s="17"/>
      <c r="AJ330" s="17"/>
      <c r="AK330" s="17"/>
      <c r="AL330" s="17"/>
      <c r="AM330" s="17"/>
      <c r="AN330" s="17"/>
      <c r="AO330" s="17"/>
      <c r="AP330" s="1"/>
      <c r="AQ330" s="1"/>
    </row>
    <row r="331" spans="1:43" x14ac:dyDescent="0.35">
      <c r="A331" s="6"/>
      <c r="B331" s="13"/>
      <c r="C331" s="81"/>
      <c r="D331" s="4"/>
      <c r="E331" s="8"/>
      <c r="F331" s="17"/>
      <c r="G331" s="17"/>
      <c r="H331" s="17"/>
      <c r="I331" s="17"/>
      <c r="J331" s="17"/>
      <c r="K331" s="17"/>
      <c r="L331" s="17"/>
      <c r="M331" s="17"/>
      <c r="N331" s="17"/>
      <c r="O331" s="17"/>
      <c r="P331" s="17"/>
      <c r="Q331" s="17"/>
      <c r="R331" s="17"/>
      <c r="S331" s="17"/>
      <c r="T331" s="17"/>
      <c r="U331" s="17"/>
      <c r="V331" s="17"/>
      <c r="W331" s="17"/>
      <c r="X331" s="17"/>
      <c r="Y331" s="17"/>
      <c r="Z331" s="17"/>
      <c r="AA331" s="17"/>
      <c r="AB331" s="17"/>
      <c r="AC331" s="17"/>
      <c r="AD331" s="17"/>
      <c r="AE331" s="17"/>
      <c r="AF331" s="17"/>
      <c r="AG331" s="17"/>
      <c r="AH331" s="17"/>
      <c r="AI331" s="17"/>
      <c r="AJ331" s="17"/>
      <c r="AK331" s="17"/>
      <c r="AL331" s="17"/>
      <c r="AM331" s="17"/>
      <c r="AN331" s="17"/>
      <c r="AO331" s="17"/>
      <c r="AP331" s="1"/>
      <c r="AQ331" s="1"/>
    </row>
    <row r="332" spans="1:43" x14ac:dyDescent="0.35">
      <c r="A332" s="6"/>
      <c r="B332" s="13"/>
      <c r="C332" s="81"/>
      <c r="D332" s="4"/>
      <c r="E332" s="8"/>
      <c r="F332" s="17"/>
      <c r="G332" s="17"/>
      <c r="H332" s="17"/>
      <c r="I332" s="17"/>
      <c r="J332" s="17"/>
      <c r="K332" s="17"/>
      <c r="L332" s="17"/>
      <c r="M332" s="17"/>
      <c r="N332" s="17"/>
      <c r="O332" s="17"/>
      <c r="P332" s="17"/>
      <c r="Q332" s="17"/>
      <c r="R332" s="17"/>
      <c r="S332" s="17"/>
      <c r="T332" s="17"/>
      <c r="U332" s="17"/>
      <c r="V332" s="17"/>
      <c r="W332" s="17"/>
      <c r="X332" s="17"/>
      <c r="Y332" s="17"/>
      <c r="Z332" s="17"/>
      <c r="AA332" s="17"/>
      <c r="AB332" s="17"/>
      <c r="AC332" s="17"/>
      <c r="AD332" s="17"/>
      <c r="AE332" s="17"/>
      <c r="AF332" s="17"/>
      <c r="AG332" s="17"/>
      <c r="AH332" s="17"/>
      <c r="AI332" s="17"/>
      <c r="AJ332" s="17"/>
      <c r="AK332" s="17"/>
      <c r="AL332" s="17"/>
      <c r="AM332" s="17"/>
      <c r="AN332" s="17"/>
      <c r="AO332" s="17"/>
      <c r="AP332" s="1"/>
      <c r="AQ332" s="1"/>
    </row>
    <row r="333" spans="1:43" x14ac:dyDescent="0.35">
      <c r="A333" s="6"/>
      <c r="B333" s="13"/>
      <c r="C333" s="81"/>
      <c r="D333" s="4"/>
      <c r="E333" s="8"/>
      <c r="F333" s="17"/>
      <c r="G333" s="17"/>
      <c r="H333" s="17"/>
      <c r="I333" s="17"/>
      <c r="J333" s="17"/>
      <c r="K333" s="17"/>
      <c r="L333" s="17"/>
      <c r="M333" s="17"/>
      <c r="N333" s="17"/>
      <c r="O333" s="17"/>
      <c r="P333" s="17"/>
      <c r="Q333" s="17"/>
      <c r="R333" s="17"/>
      <c r="S333" s="17"/>
      <c r="T333" s="17"/>
      <c r="U333" s="17"/>
      <c r="V333" s="17"/>
      <c r="W333" s="17"/>
      <c r="X333" s="17"/>
      <c r="Y333" s="17"/>
      <c r="Z333" s="17"/>
      <c r="AA333" s="17"/>
      <c r="AB333" s="17"/>
      <c r="AC333" s="17"/>
      <c r="AD333" s="17"/>
      <c r="AE333" s="17"/>
      <c r="AF333" s="17"/>
      <c r="AG333" s="17"/>
      <c r="AH333" s="17"/>
      <c r="AI333" s="17"/>
      <c r="AJ333" s="17"/>
      <c r="AK333" s="17"/>
      <c r="AL333" s="17"/>
      <c r="AM333" s="17"/>
      <c r="AN333" s="17"/>
      <c r="AO333" s="17"/>
      <c r="AP333" s="1"/>
      <c r="AQ333" s="1"/>
    </row>
    <row r="334" spans="1:43" x14ac:dyDescent="0.35">
      <c r="A334" s="6"/>
      <c r="B334" s="13"/>
      <c r="C334" s="81"/>
      <c r="D334" s="4"/>
      <c r="E334" s="8"/>
      <c r="F334" s="17"/>
      <c r="G334" s="17"/>
      <c r="H334" s="17"/>
      <c r="I334" s="17"/>
      <c r="J334" s="17"/>
      <c r="K334" s="17"/>
      <c r="L334" s="17"/>
      <c r="M334" s="17"/>
      <c r="N334" s="17"/>
      <c r="O334" s="17"/>
      <c r="P334" s="17"/>
      <c r="Q334" s="17"/>
      <c r="R334" s="17"/>
      <c r="S334" s="17"/>
      <c r="T334" s="17"/>
      <c r="U334" s="17"/>
      <c r="V334" s="17"/>
      <c r="W334" s="17"/>
      <c r="X334" s="17"/>
      <c r="Y334" s="17"/>
      <c r="Z334" s="17"/>
      <c r="AA334" s="17"/>
      <c r="AB334" s="17"/>
      <c r="AC334" s="17"/>
      <c r="AD334" s="17"/>
      <c r="AE334" s="17"/>
      <c r="AF334" s="17"/>
      <c r="AG334" s="17"/>
      <c r="AH334" s="17"/>
      <c r="AI334" s="17"/>
      <c r="AJ334" s="17"/>
      <c r="AK334" s="17"/>
      <c r="AL334" s="17"/>
      <c r="AM334" s="17"/>
      <c r="AN334" s="17"/>
      <c r="AO334" s="17"/>
      <c r="AP334" s="1"/>
      <c r="AQ334" s="1"/>
    </row>
    <row r="335" spans="1:43" x14ac:dyDescent="0.35">
      <c r="A335" s="6"/>
      <c r="B335" s="13"/>
      <c r="C335" s="81"/>
      <c r="D335" s="4"/>
      <c r="E335" s="8"/>
      <c r="F335" s="17"/>
      <c r="G335" s="17"/>
      <c r="H335" s="17"/>
      <c r="I335" s="17"/>
      <c r="J335" s="17"/>
      <c r="K335" s="17"/>
      <c r="L335" s="17"/>
      <c r="M335" s="17"/>
      <c r="N335" s="17"/>
      <c r="O335" s="17"/>
      <c r="P335" s="17"/>
      <c r="Q335" s="17"/>
      <c r="R335" s="17"/>
      <c r="S335" s="17"/>
      <c r="T335" s="17"/>
      <c r="U335" s="17"/>
      <c r="V335" s="17"/>
      <c r="W335" s="17"/>
      <c r="X335" s="17"/>
      <c r="Y335" s="17"/>
      <c r="Z335" s="17"/>
      <c r="AA335" s="17"/>
      <c r="AB335" s="17"/>
      <c r="AC335" s="17"/>
      <c r="AD335" s="17"/>
      <c r="AE335" s="17"/>
      <c r="AF335" s="17"/>
      <c r="AG335" s="17"/>
      <c r="AH335" s="17"/>
      <c r="AI335" s="17"/>
      <c r="AJ335" s="17"/>
      <c r="AK335" s="17"/>
      <c r="AL335" s="17"/>
      <c r="AM335" s="17"/>
      <c r="AN335" s="17"/>
      <c r="AO335" s="17"/>
      <c r="AP335" s="1"/>
      <c r="AQ335" s="1"/>
    </row>
    <row r="336" spans="1:43" x14ac:dyDescent="0.35">
      <c r="A336" s="6"/>
      <c r="B336" s="13"/>
      <c r="C336" s="81"/>
      <c r="D336" s="4"/>
      <c r="E336" s="8"/>
      <c r="F336" s="17"/>
      <c r="G336" s="17"/>
      <c r="H336" s="17"/>
      <c r="I336" s="17"/>
      <c r="J336" s="17"/>
      <c r="K336" s="17"/>
      <c r="L336" s="17"/>
      <c r="M336" s="17"/>
      <c r="N336" s="17"/>
      <c r="O336" s="17"/>
      <c r="P336" s="17"/>
      <c r="Q336" s="17"/>
      <c r="R336" s="17"/>
      <c r="S336" s="17"/>
      <c r="T336" s="17"/>
      <c r="U336" s="17"/>
      <c r="V336" s="17"/>
      <c r="W336" s="17"/>
      <c r="X336" s="17"/>
      <c r="Y336" s="17"/>
      <c r="Z336" s="17"/>
      <c r="AA336" s="17"/>
      <c r="AB336" s="17"/>
      <c r="AC336" s="17"/>
      <c r="AD336" s="17"/>
      <c r="AE336" s="17"/>
      <c r="AF336" s="17"/>
      <c r="AG336" s="17"/>
      <c r="AH336" s="17"/>
      <c r="AI336" s="17"/>
      <c r="AJ336" s="17"/>
      <c r="AK336" s="17"/>
      <c r="AL336" s="17"/>
      <c r="AM336" s="17"/>
      <c r="AN336" s="17"/>
      <c r="AO336" s="17"/>
      <c r="AP336" s="1"/>
      <c r="AQ336" s="1"/>
    </row>
    <row r="337" spans="1:43" x14ac:dyDescent="0.35">
      <c r="A337" s="6"/>
      <c r="B337" s="13"/>
      <c r="C337" s="81"/>
      <c r="D337" s="4"/>
      <c r="E337" s="8"/>
      <c r="F337" s="17"/>
      <c r="G337" s="17"/>
      <c r="H337" s="17"/>
      <c r="I337" s="17"/>
      <c r="J337" s="17"/>
      <c r="K337" s="17"/>
      <c r="L337" s="17"/>
      <c r="M337" s="17"/>
      <c r="N337" s="17"/>
      <c r="O337" s="17"/>
      <c r="P337" s="17"/>
      <c r="Q337" s="17"/>
      <c r="R337" s="17"/>
      <c r="S337" s="17"/>
      <c r="T337" s="17"/>
      <c r="U337" s="17"/>
      <c r="V337" s="17"/>
      <c r="W337" s="17"/>
      <c r="X337" s="17"/>
      <c r="Y337" s="17"/>
      <c r="Z337" s="17"/>
      <c r="AA337" s="17"/>
      <c r="AB337" s="17"/>
      <c r="AC337" s="17"/>
      <c r="AD337" s="17"/>
      <c r="AE337" s="17"/>
      <c r="AF337" s="17"/>
      <c r="AG337" s="17"/>
      <c r="AH337" s="17"/>
      <c r="AI337" s="17"/>
      <c r="AJ337" s="17"/>
      <c r="AK337" s="17"/>
      <c r="AL337" s="17"/>
      <c r="AM337" s="17"/>
      <c r="AN337" s="17"/>
      <c r="AO337" s="17"/>
      <c r="AP337" s="1"/>
      <c r="AQ337" s="1"/>
    </row>
    <row r="338" spans="1:43" x14ac:dyDescent="0.35">
      <c r="A338" s="6"/>
      <c r="B338" s="13"/>
      <c r="C338" s="81"/>
      <c r="D338" s="4"/>
      <c r="E338" s="8"/>
      <c r="F338" s="17"/>
      <c r="G338" s="17"/>
      <c r="H338" s="17"/>
      <c r="I338" s="17"/>
      <c r="J338" s="17"/>
      <c r="K338" s="17"/>
      <c r="L338" s="17"/>
      <c r="M338" s="17"/>
      <c r="N338" s="17"/>
      <c r="O338" s="17"/>
      <c r="P338" s="17"/>
      <c r="Q338" s="17"/>
      <c r="R338" s="17"/>
      <c r="S338" s="17"/>
      <c r="T338" s="17"/>
      <c r="U338" s="17"/>
      <c r="V338" s="17"/>
      <c r="W338" s="17"/>
      <c r="X338" s="17"/>
      <c r="Y338" s="17"/>
      <c r="Z338" s="17"/>
      <c r="AA338" s="17"/>
      <c r="AB338" s="17"/>
      <c r="AC338" s="17"/>
      <c r="AD338" s="17"/>
      <c r="AE338" s="17"/>
      <c r="AF338" s="17"/>
      <c r="AG338" s="17"/>
      <c r="AH338" s="17"/>
      <c r="AI338" s="17"/>
      <c r="AJ338" s="17"/>
      <c r="AK338" s="17"/>
      <c r="AL338" s="17"/>
      <c r="AM338" s="17"/>
      <c r="AN338" s="17"/>
      <c r="AO338" s="17"/>
      <c r="AP338" s="1"/>
      <c r="AQ338" s="1"/>
    </row>
    <row r="339" spans="1:43" x14ac:dyDescent="0.35">
      <c r="A339" s="6"/>
      <c r="B339" s="13"/>
      <c r="C339" s="81"/>
      <c r="D339" s="4"/>
      <c r="E339" s="8"/>
      <c r="F339" s="17"/>
      <c r="G339" s="17"/>
      <c r="H339" s="17"/>
      <c r="I339" s="17"/>
      <c r="J339" s="17"/>
      <c r="K339" s="17"/>
      <c r="L339" s="17"/>
      <c r="M339" s="17"/>
      <c r="N339" s="17"/>
      <c r="O339" s="17"/>
      <c r="P339" s="17"/>
      <c r="Q339" s="17"/>
      <c r="R339" s="17"/>
      <c r="S339" s="17"/>
      <c r="T339" s="17"/>
      <c r="U339" s="17"/>
      <c r="V339" s="17"/>
      <c r="W339" s="17"/>
      <c r="X339" s="17"/>
      <c r="Y339" s="17"/>
      <c r="Z339" s="17"/>
      <c r="AA339" s="17"/>
      <c r="AB339" s="17"/>
      <c r="AC339" s="17"/>
      <c r="AD339" s="17"/>
      <c r="AE339" s="17"/>
      <c r="AF339" s="17"/>
      <c r="AG339" s="17"/>
      <c r="AH339" s="17"/>
      <c r="AI339" s="17"/>
      <c r="AJ339" s="17"/>
      <c r="AK339" s="17"/>
      <c r="AL339" s="17"/>
      <c r="AM339" s="17"/>
      <c r="AN339" s="17"/>
      <c r="AO339" s="17"/>
      <c r="AP339" s="1"/>
      <c r="AQ339" s="1"/>
    </row>
    <row r="340" spans="1:43" x14ac:dyDescent="0.35">
      <c r="A340" s="6"/>
      <c r="B340" s="13"/>
      <c r="C340" s="81"/>
      <c r="D340" s="4"/>
      <c r="E340" s="8"/>
      <c r="F340" s="17"/>
      <c r="G340" s="17"/>
      <c r="H340" s="17"/>
      <c r="I340" s="17"/>
      <c r="J340" s="17"/>
      <c r="K340" s="17"/>
      <c r="L340" s="17"/>
      <c r="M340" s="17"/>
      <c r="N340" s="17"/>
      <c r="O340" s="17"/>
      <c r="P340" s="17"/>
      <c r="Q340" s="17"/>
      <c r="R340" s="17"/>
      <c r="S340" s="17"/>
      <c r="T340" s="17"/>
      <c r="U340" s="17"/>
      <c r="V340" s="17"/>
      <c r="W340" s="17"/>
      <c r="X340" s="17"/>
      <c r="Y340" s="17"/>
      <c r="Z340" s="17"/>
      <c r="AA340" s="17"/>
      <c r="AB340" s="17"/>
      <c r="AC340" s="17"/>
      <c r="AD340" s="17"/>
      <c r="AE340" s="17"/>
      <c r="AF340" s="17"/>
      <c r="AG340" s="17"/>
      <c r="AH340" s="17"/>
      <c r="AI340" s="17"/>
      <c r="AJ340" s="17"/>
      <c r="AK340" s="17"/>
      <c r="AL340" s="17"/>
      <c r="AM340" s="17"/>
      <c r="AN340" s="17"/>
      <c r="AO340" s="17"/>
      <c r="AP340" s="1"/>
      <c r="AQ340" s="1"/>
    </row>
    <row r="341" spans="1:43" x14ac:dyDescent="0.35">
      <c r="A341" s="6"/>
      <c r="B341" s="13"/>
      <c r="C341" s="81"/>
      <c r="D341" s="4"/>
      <c r="E341" s="8"/>
      <c r="F341" s="17"/>
      <c r="G341" s="17"/>
      <c r="H341" s="17"/>
      <c r="I341" s="17"/>
      <c r="J341" s="17"/>
      <c r="K341" s="17"/>
      <c r="L341" s="17"/>
      <c r="M341" s="17"/>
      <c r="N341" s="17"/>
      <c r="O341" s="17"/>
      <c r="P341" s="17"/>
      <c r="Q341" s="17"/>
      <c r="R341" s="17"/>
      <c r="S341" s="17"/>
      <c r="T341" s="17"/>
      <c r="U341" s="17"/>
      <c r="V341" s="17"/>
      <c r="W341" s="17"/>
      <c r="X341" s="17"/>
      <c r="Y341" s="17"/>
      <c r="Z341" s="17"/>
      <c r="AA341" s="17"/>
      <c r="AB341" s="17"/>
      <c r="AC341" s="17"/>
      <c r="AD341" s="17"/>
      <c r="AE341" s="17"/>
      <c r="AF341" s="17"/>
      <c r="AG341" s="17"/>
      <c r="AH341" s="17"/>
      <c r="AI341" s="17"/>
      <c r="AJ341" s="17"/>
      <c r="AK341" s="17"/>
      <c r="AL341" s="17"/>
      <c r="AM341" s="17"/>
      <c r="AN341" s="17"/>
      <c r="AO341" s="17"/>
      <c r="AP341" s="1"/>
      <c r="AQ341" s="1"/>
    </row>
    <row r="342" spans="1:43" x14ac:dyDescent="0.35">
      <c r="A342" s="6"/>
      <c r="B342" s="13"/>
      <c r="C342" s="81"/>
      <c r="D342" s="4"/>
      <c r="E342" s="8"/>
      <c r="F342" s="17"/>
      <c r="G342" s="17"/>
      <c r="H342" s="17"/>
      <c r="I342" s="17"/>
      <c r="J342" s="17"/>
      <c r="K342" s="17"/>
      <c r="L342" s="17"/>
      <c r="M342" s="17"/>
      <c r="N342" s="17"/>
      <c r="O342" s="17"/>
      <c r="P342" s="17"/>
      <c r="Q342" s="17"/>
      <c r="R342" s="17"/>
      <c r="S342" s="17"/>
      <c r="T342" s="17"/>
      <c r="U342" s="17"/>
      <c r="V342" s="17"/>
      <c r="W342" s="17"/>
      <c r="X342" s="17"/>
      <c r="Y342" s="17"/>
      <c r="Z342" s="17"/>
      <c r="AA342" s="17"/>
      <c r="AB342" s="17"/>
      <c r="AC342" s="17"/>
      <c r="AD342" s="17"/>
      <c r="AE342" s="17"/>
      <c r="AF342" s="17"/>
      <c r="AG342" s="17"/>
      <c r="AH342" s="17"/>
      <c r="AI342" s="17"/>
      <c r="AJ342" s="17"/>
      <c r="AK342" s="17"/>
      <c r="AL342" s="17"/>
      <c r="AM342" s="17"/>
      <c r="AN342" s="17"/>
      <c r="AO342" s="17"/>
      <c r="AP342" s="1"/>
      <c r="AQ342" s="1"/>
    </row>
    <row r="343" spans="1:43" x14ac:dyDescent="0.35">
      <c r="A343" s="6"/>
      <c r="B343" s="13"/>
      <c r="C343" s="81"/>
      <c r="D343" s="4"/>
      <c r="E343" s="8"/>
      <c r="F343" s="17"/>
      <c r="G343" s="17"/>
      <c r="H343" s="17"/>
      <c r="I343" s="17"/>
      <c r="J343" s="17"/>
      <c r="K343" s="17"/>
      <c r="L343" s="17"/>
      <c r="M343" s="17"/>
      <c r="N343" s="17"/>
      <c r="O343" s="17"/>
      <c r="P343" s="17"/>
      <c r="Q343" s="17"/>
      <c r="R343" s="17"/>
      <c r="S343" s="17"/>
      <c r="T343" s="17"/>
      <c r="U343" s="17"/>
      <c r="V343" s="17"/>
      <c r="W343" s="17"/>
      <c r="X343" s="17"/>
      <c r="Y343" s="17"/>
      <c r="Z343" s="17"/>
      <c r="AA343" s="17"/>
      <c r="AB343" s="17"/>
      <c r="AC343" s="17"/>
      <c r="AD343" s="17"/>
      <c r="AE343" s="17"/>
      <c r="AF343" s="17"/>
      <c r="AG343" s="17"/>
      <c r="AH343" s="17"/>
      <c r="AI343" s="17"/>
      <c r="AJ343" s="17"/>
      <c r="AK343" s="17"/>
      <c r="AL343" s="17"/>
      <c r="AM343" s="17"/>
      <c r="AN343" s="17"/>
      <c r="AO343" s="17"/>
      <c r="AP343" s="1"/>
      <c r="AQ343" s="1"/>
    </row>
    <row r="344" spans="1:43" x14ac:dyDescent="0.35">
      <c r="A344" s="6"/>
      <c r="B344" s="13"/>
      <c r="C344" s="81"/>
      <c r="D344" s="4"/>
      <c r="E344" s="8"/>
      <c r="F344" s="17"/>
      <c r="G344" s="17"/>
      <c r="H344" s="17"/>
      <c r="I344" s="17"/>
      <c r="J344" s="17"/>
      <c r="K344" s="17"/>
      <c r="L344" s="17"/>
      <c r="M344" s="17"/>
      <c r="N344" s="17"/>
      <c r="O344" s="17"/>
      <c r="P344" s="17"/>
      <c r="Q344" s="17"/>
      <c r="R344" s="17"/>
      <c r="S344" s="17"/>
      <c r="T344" s="17"/>
      <c r="U344" s="17"/>
      <c r="V344" s="17"/>
      <c r="W344" s="17"/>
      <c r="X344" s="17"/>
      <c r="Y344" s="17"/>
      <c r="Z344" s="17"/>
      <c r="AA344" s="17"/>
      <c r="AB344" s="17"/>
      <c r="AC344" s="17"/>
      <c r="AD344" s="17"/>
      <c r="AE344" s="17"/>
      <c r="AF344" s="17"/>
      <c r="AG344" s="17"/>
      <c r="AH344" s="17"/>
      <c r="AI344" s="17"/>
      <c r="AJ344" s="17"/>
      <c r="AK344" s="17"/>
      <c r="AL344" s="17"/>
      <c r="AM344" s="17"/>
      <c r="AN344" s="17"/>
      <c r="AO344" s="17"/>
      <c r="AP344" s="1"/>
      <c r="AQ344" s="1"/>
    </row>
    <row r="345" spans="1:43" x14ac:dyDescent="0.35">
      <c r="A345" s="6"/>
      <c r="B345" s="13"/>
      <c r="C345" s="81"/>
      <c r="D345" s="4"/>
      <c r="E345" s="8"/>
      <c r="F345" s="17"/>
      <c r="G345" s="17"/>
      <c r="H345" s="17"/>
      <c r="I345" s="17"/>
      <c r="J345" s="17"/>
      <c r="K345" s="17"/>
      <c r="L345" s="17"/>
      <c r="M345" s="17"/>
      <c r="N345" s="17"/>
      <c r="O345" s="17"/>
      <c r="P345" s="17"/>
      <c r="Q345" s="17"/>
      <c r="R345" s="17"/>
      <c r="S345" s="17"/>
      <c r="T345" s="17"/>
      <c r="U345" s="17"/>
      <c r="V345" s="17"/>
      <c r="W345" s="17"/>
      <c r="X345" s="17"/>
      <c r="Y345" s="17"/>
      <c r="Z345" s="17"/>
      <c r="AA345" s="17"/>
      <c r="AB345" s="17"/>
      <c r="AC345" s="17"/>
      <c r="AD345" s="17"/>
      <c r="AE345" s="17"/>
      <c r="AF345" s="17"/>
      <c r="AG345" s="17"/>
      <c r="AH345" s="17"/>
      <c r="AI345" s="17"/>
      <c r="AJ345" s="17"/>
      <c r="AK345" s="17"/>
      <c r="AL345" s="17"/>
      <c r="AM345" s="17"/>
      <c r="AN345" s="17"/>
      <c r="AO345" s="17"/>
      <c r="AP345" s="1"/>
      <c r="AQ345" s="1"/>
    </row>
    <row r="346" spans="1:43" x14ac:dyDescent="0.35">
      <c r="A346" s="6"/>
      <c r="B346" s="13"/>
      <c r="C346" s="81"/>
      <c r="D346" s="4"/>
      <c r="E346" s="8"/>
      <c r="F346" s="17"/>
      <c r="G346" s="17"/>
      <c r="H346" s="17"/>
      <c r="I346" s="17"/>
      <c r="J346" s="17"/>
      <c r="K346" s="17"/>
      <c r="L346" s="17"/>
      <c r="M346" s="17"/>
      <c r="N346" s="17"/>
      <c r="O346" s="17"/>
      <c r="P346" s="17"/>
      <c r="Q346" s="17"/>
      <c r="R346" s="17"/>
      <c r="S346" s="17"/>
      <c r="T346" s="17"/>
      <c r="U346" s="17"/>
      <c r="V346" s="17"/>
      <c r="W346" s="17"/>
      <c r="X346" s="17"/>
      <c r="Y346" s="17"/>
      <c r="Z346" s="17"/>
      <c r="AA346" s="17"/>
      <c r="AB346" s="17"/>
      <c r="AC346" s="17"/>
      <c r="AD346" s="17"/>
      <c r="AE346" s="17"/>
      <c r="AF346" s="17"/>
      <c r="AG346" s="17"/>
      <c r="AH346" s="17"/>
      <c r="AI346" s="17"/>
      <c r="AJ346" s="17"/>
      <c r="AK346" s="17"/>
      <c r="AL346" s="17"/>
      <c r="AM346" s="17"/>
      <c r="AN346" s="17"/>
      <c r="AO346" s="17"/>
      <c r="AP346" s="1"/>
      <c r="AQ346" s="1"/>
    </row>
    <row r="347" spans="1:43" x14ac:dyDescent="0.35">
      <c r="A347" s="6"/>
      <c r="B347" s="13"/>
      <c r="C347" s="81"/>
      <c r="D347" s="4"/>
      <c r="E347" s="8"/>
      <c r="F347" s="17"/>
      <c r="G347" s="17"/>
      <c r="H347" s="17"/>
      <c r="I347" s="17"/>
      <c r="J347" s="17"/>
      <c r="K347" s="17"/>
      <c r="L347" s="17"/>
      <c r="M347" s="17"/>
      <c r="N347" s="17"/>
      <c r="O347" s="17"/>
      <c r="P347" s="17"/>
      <c r="Q347" s="17"/>
      <c r="R347" s="17"/>
      <c r="S347" s="17"/>
      <c r="T347" s="17"/>
      <c r="U347" s="17"/>
      <c r="V347" s="17"/>
      <c r="W347" s="17"/>
      <c r="X347" s="17"/>
      <c r="Y347" s="17"/>
      <c r="Z347" s="17"/>
      <c r="AA347" s="17"/>
      <c r="AB347" s="17"/>
      <c r="AC347" s="17"/>
      <c r="AD347" s="17"/>
      <c r="AE347" s="17"/>
      <c r="AF347" s="17"/>
      <c r="AG347" s="17"/>
      <c r="AH347" s="17"/>
      <c r="AI347" s="17"/>
      <c r="AJ347" s="17"/>
      <c r="AK347" s="17"/>
      <c r="AL347" s="17"/>
      <c r="AM347" s="17"/>
      <c r="AN347" s="17"/>
      <c r="AO347" s="17"/>
      <c r="AP347" s="1"/>
      <c r="AQ347" s="1"/>
    </row>
    <row r="348" spans="1:43" x14ac:dyDescent="0.35">
      <c r="A348" s="6"/>
      <c r="B348" s="13"/>
      <c r="C348" s="81"/>
      <c r="D348" s="4"/>
      <c r="E348" s="8"/>
      <c r="F348" s="17"/>
      <c r="G348" s="17"/>
      <c r="H348" s="17"/>
      <c r="I348" s="17"/>
      <c r="J348" s="17"/>
      <c r="K348" s="17"/>
      <c r="L348" s="17"/>
      <c r="M348" s="17"/>
      <c r="N348" s="17"/>
      <c r="O348" s="17"/>
      <c r="P348" s="17"/>
      <c r="Q348" s="17"/>
      <c r="R348" s="17"/>
      <c r="S348" s="17"/>
      <c r="T348" s="17"/>
      <c r="U348" s="17"/>
      <c r="V348" s="17"/>
      <c r="W348" s="17"/>
      <c r="X348" s="17"/>
      <c r="Y348" s="17"/>
      <c r="Z348" s="17"/>
      <c r="AA348" s="17"/>
      <c r="AB348" s="17"/>
      <c r="AC348" s="17"/>
      <c r="AD348" s="17"/>
      <c r="AE348" s="17"/>
      <c r="AF348" s="17"/>
      <c r="AG348" s="17"/>
      <c r="AH348" s="17"/>
      <c r="AI348" s="17"/>
      <c r="AJ348" s="17"/>
      <c r="AK348" s="17"/>
      <c r="AL348" s="17"/>
      <c r="AM348" s="17"/>
      <c r="AN348" s="17"/>
      <c r="AO348" s="17"/>
      <c r="AP348" s="1"/>
      <c r="AQ348" s="1"/>
    </row>
    <row r="349" spans="1:43" x14ac:dyDescent="0.35">
      <c r="A349" s="6"/>
      <c r="B349" s="13"/>
      <c r="C349" s="81"/>
      <c r="D349" s="4"/>
      <c r="E349" s="8"/>
      <c r="F349" s="17"/>
      <c r="G349" s="17"/>
      <c r="H349" s="17"/>
      <c r="I349" s="17"/>
      <c r="J349" s="17"/>
      <c r="K349" s="17"/>
      <c r="L349" s="17"/>
      <c r="M349" s="17"/>
      <c r="N349" s="17"/>
      <c r="O349" s="17"/>
      <c r="P349" s="17"/>
      <c r="Q349" s="17"/>
      <c r="R349" s="17"/>
      <c r="S349" s="17"/>
      <c r="T349" s="17"/>
      <c r="U349" s="17"/>
      <c r="V349" s="17"/>
      <c r="W349" s="17"/>
      <c r="X349" s="17"/>
      <c r="Y349" s="17"/>
      <c r="Z349" s="17"/>
      <c r="AA349" s="17"/>
      <c r="AB349" s="17"/>
      <c r="AC349" s="17"/>
      <c r="AD349" s="17"/>
      <c r="AE349" s="17"/>
      <c r="AF349" s="17"/>
      <c r="AG349" s="17"/>
      <c r="AH349" s="17"/>
      <c r="AI349" s="17"/>
      <c r="AJ349" s="17"/>
      <c r="AK349" s="17"/>
      <c r="AL349" s="17"/>
      <c r="AM349" s="17"/>
      <c r="AN349" s="17"/>
      <c r="AO349" s="17"/>
      <c r="AP349" s="1"/>
      <c r="AQ349" s="1"/>
    </row>
    <row r="350" spans="1:43" x14ac:dyDescent="0.35">
      <c r="A350" s="6"/>
      <c r="B350" s="13"/>
      <c r="C350" s="81"/>
      <c r="D350" s="4"/>
      <c r="E350" s="8"/>
      <c r="F350" s="17"/>
      <c r="G350" s="17"/>
      <c r="H350" s="17"/>
      <c r="I350" s="17"/>
      <c r="J350" s="17"/>
      <c r="K350" s="17"/>
      <c r="L350" s="17"/>
      <c r="M350" s="17"/>
      <c r="N350" s="17"/>
      <c r="O350" s="17"/>
      <c r="P350" s="17"/>
      <c r="Q350" s="17"/>
      <c r="R350" s="17"/>
      <c r="S350" s="17"/>
      <c r="T350" s="17"/>
      <c r="U350" s="17"/>
      <c r="V350" s="17"/>
      <c r="W350" s="17"/>
      <c r="X350" s="17"/>
      <c r="Y350" s="17"/>
      <c r="Z350" s="17"/>
      <c r="AA350" s="17"/>
      <c r="AB350" s="17"/>
      <c r="AC350" s="17"/>
      <c r="AD350" s="17"/>
      <c r="AE350" s="17"/>
      <c r="AF350" s="17"/>
      <c r="AG350" s="17"/>
      <c r="AH350" s="17"/>
      <c r="AI350" s="17"/>
      <c r="AJ350" s="17"/>
      <c r="AK350" s="17"/>
      <c r="AL350" s="17"/>
      <c r="AM350" s="17"/>
      <c r="AN350" s="17"/>
      <c r="AO350" s="17"/>
      <c r="AP350" s="1"/>
      <c r="AQ350" s="1"/>
    </row>
    <row r="351" spans="1:43" x14ac:dyDescent="0.35">
      <c r="A351" s="6"/>
      <c r="B351" s="13"/>
      <c r="C351" s="81"/>
      <c r="D351" s="4"/>
      <c r="E351" s="8"/>
      <c r="F351" s="17"/>
      <c r="G351" s="17"/>
      <c r="H351" s="17"/>
      <c r="I351" s="17"/>
      <c r="J351" s="17"/>
      <c r="K351" s="17"/>
      <c r="L351" s="17"/>
      <c r="M351" s="17"/>
      <c r="N351" s="17"/>
      <c r="O351" s="17"/>
      <c r="P351" s="17"/>
      <c r="Q351" s="17"/>
      <c r="R351" s="17"/>
      <c r="S351" s="17"/>
      <c r="T351" s="17"/>
      <c r="U351" s="17"/>
      <c r="V351" s="17"/>
      <c r="W351" s="17"/>
      <c r="X351" s="17"/>
      <c r="Y351" s="17"/>
      <c r="Z351" s="17"/>
      <c r="AA351" s="17"/>
      <c r="AB351" s="17"/>
      <c r="AC351" s="17"/>
      <c r="AD351" s="17"/>
      <c r="AE351" s="17"/>
      <c r="AF351" s="17"/>
      <c r="AG351" s="17"/>
      <c r="AH351" s="17"/>
      <c r="AI351" s="17"/>
      <c r="AJ351" s="17"/>
      <c r="AK351" s="17"/>
      <c r="AL351" s="17"/>
      <c r="AM351" s="17"/>
      <c r="AN351" s="17"/>
      <c r="AO351" s="17"/>
      <c r="AP351" s="1"/>
      <c r="AQ351" s="1"/>
    </row>
    <row r="352" spans="1:43" x14ac:dyDescent="0.35">
      <c r="A352" s="6"/>
      <c r="B352" s="13"/>
      <c r="C352" s="81"/>
      <c r="D352" s="4"/>
      <c r="E352" s="8"/>
      <c r="F352" s="17"/>
      <c r="G352" s="17"/>
      <c r="H352" s="17"/>
      <c r="I352" s="17"/>
      <c r="J352" s="17"/>
      <c r="K352" s="17"/>
      <c r="L352" s="17"/>
      <c r="M352" s="17"/>
      <c r="N352" s="17"/>
      <c r="O352" s="17"/>
      <c r="P352" s="17"/>
      <c r="Q352" s="17"/>
      <c r="R352" s="17"/>
      <c r="S352" s="17"/>
      <c r="T352" s="17"/>
      <c r="U352" s="17"/>
      <c r="V352" s="17"/>
      <c r="W352" s="17"/>
      <c r="X352" s="17"/>
      <c r="Y352" s="17"/>
      <c r="Z352" s="17"/>
      <c r="AA352" s="17"/>
      <c r="AB352" s="17"/>
      <c r="AC352" s="17"/>
      <c r="AD352" s="17"/>
      <c r="AE352" s="17"/>
      <c r="AF352" s="17"/>
      <c r="AG352" s="17"/>
      <c r="AH352" s="17"/>
      <c r="AI352" s="17"/>
      <c r="AJ352" s="17"/>
      <c r="AK352" s="17"/>
      <c r="AL352" s="17"/>
      <c r="AM352" s="17"/>
      <c r="AN352" s="17"/>
      <c r="AO352" s="17"/>
      <c r="AP352" s="1"/>
      <c r="AQ352" s="1"/>
    </row>
    <row r="353" spans="1:43" x14ac:dyDescent="0.35">
      <c r="A353" s="6"/>
      <c r="B353" s="13"/>
      <c r="C353" s="81"/>
      <c r="D353" s="4"/>
      <c r="E353" s="8"/>
      <c r="F353" s="17"/>
      <c r="G353" s="17"/>
      <c r="H353" s="17"/>
      <c r="I353" s="17"/>
      <c r="J353" s="17"/>
      <c r="K353" s="17"/>
      <c r="L353" s="17"/>
      <c r="M353" s="17"/>
      <c r="N353" s="17"/>
      <c r="O353" s="17"/>
      <c r="P353" s="17"/>
      <c r="Q353" s="17"/>
      <c r="R353" s="17"/>
      <c r="S353" s="17"/>
      <c r="T353" s="17"/>
      <c r="U353" s="17"/>
      <c r="V353" s="17"/>
      <c r="W353" s="17"/>
      <c r="X353" s="17"/>
      <c r="Y353" s="17"/>
      <c r="Z353" s="17"/>
      <c r="AA353" s="17"/>
      <c r="AB353" s="17"/>
      <c r="AC353" s="17"/>
      <c r="AD353" s="17"/>
      <c r="AE353" s="17"/>
      <c r="AF353" s="17"/>
      <c r="AG353" s="17"/>
      <c r="AH353" s="17"/>
      <c r="AI353" s="17"/>
      <c r="AJ353" s="17"/>
      <c r="AK353" s="17"/>
      <c r="AL353" s="17"/>
      <c r="AM353" s="17"/>
      <c r="AN353" s="17"/>
      <c r="AO353" s="17"/>
      <c r="AP353" s="1"/>
      <c r="AQ353" s="1"/>
    </row>
    <row r="354" spans="1:43" x14ac:dyDescent="0.35">
      <c r="A354" s="6"/>
      <c r="B354" s="13"/>
      <c r="C354" s="81"/>
      <c r="D354" s="4"/>
      <c r="E354" s="8"/>
      <c r="F354" s="17"/>
      <c r="G354" s="17"/>
      <c r="H354" s="17"/>
      <c r="I354" s="17"/>
      <c r="J354" s="17"/>
      <c r="K354" s="17"/>
      <c r="L354" s="17"/>
      <c r="M354" s="17"/>
      <c r="N354" s="17"/>
      <c r="O354" s="17"/>
      <c r="P354" s="17"/>
      <c r="Q354" s="17"/>
      <c r="R354" s="17"/>
      <c r="S354" s="17"/>
      <c r="T354" s="17"/>
      <c r="U354" s="17"/>
      <c r="V354" s="17"/>
      <c r="W354" s="17"/>
      <c r="X354" s="17"/>
      <c r="Y354" s="17"/>
      <c r="Z354" s="17"/>
      <c r="AA354" s="17"/>
      <c r="AB354" s="17"/>
      <c r="AC354" s="17"/>
      <c r="AD354" s="17"/>
      <c r="AE354" s="17"/>
      <c r="AF354" s="17"/>
      <c r="AG354" s="17"/>
      <c r="AH354" s="17"/>
      <c r="AI354" s="17"/>
      <c r="AJ354" s="17"/>
      <c r="AK354" s="17"/>
      <c r="AL354" s="17"/>
      <c r="AM354" s="17"/>
      <c r="AN354" s="17"/>
      <c r="AO354" s="17"/>
      <c r="AP354" s="1"/>
      <c r="AQ354" s="1"/>
    </row>
    <row r="355" spans="1:43" x14ac:dyDescent="0.35">
      <c r="A355" s="6"/>
      <c r="B355" s="13"/>
      <c r="C355" s="81"/>
      <c r="D355" s="4"/>
      <c r="E355" s="8"/>
      <c r="F355" s="17"/>
      <c r="G355" s="17"/>
      <c r="H355" s="17"/>
      <c r="I355" s="17"/>
      <c r="J355" s="17"/>
      <c r="K355" s="17"/>
      <c r="L355" s="17"/>
      <c r="M355" s="17"/>
      <c r="N355" s="17"/>
      <c r="O355" s="17"/>
      <c r="P355" s="17"/>
      <c r="Q355" s="17"/>
      <c r="R355" s="17"/>
      <c r="S355" s="17"/>
      <c r="T355" s="17"/>
      <c r="U355" s="17"/>
      <c r="V355" s="17"/>
      <c r="W355" s="17"/>
      <c r="X355" s="17"/>
      <c r="Y355" s="17"/>
      <c r="Z355" s="17"/>
      <c r="AA355" s="17"/>
      <c r="AB355" s="17"/>
      <c r="AC355" s="17"/>
      <c r="AD355" s="17"/>
      <c r="AE355" s="17"/>
      <c r="AF355" s="17"/>
      <c r="AG355" s="17"/>
      <c r="AH355" s="17"/>
      <c r="AI355" s="17"/>
      <c r="AJ355" s="17"/>
      <c r="AK355" s="17"/>
      <c r="AL355" s="17"/>
      <c r="AM355" s="17"/>
      <c r="AN355" s="17"/>
      <c r="AO355" s="17"/>
      <c r="AP355" s="1"/>
      <c r="AQ355" s="1"/>
    </row>
    <row r="356" spans="1:43" x14ac:dyDescent="0.35">
      <c r="A356" s="6"/>
      <c r="B356" s="13"/>
      <c r="C356" s="81"/>
      <c r="D356" s="4"/>
      <c r="E356" s="8"/>
      <c r="F356" s="17"/>
      <c r="G356" s="17"/>
      <c r="H356" s="17"/>
      <c r="I356" s="17"/>
      <c r="J356" s="17"/>
      <c r="K356" s="17"/>
      <c r="L356" s="17"/>
      <c r="M356" s="17"/>
      <c r="N356" s="17"/>
      <c r="O356" s="17"/>
      <c r="P356" s="17"/>
      <c r="Q356" s="17"/>
      <c r="R356" s="17"/>
      <c r="S356" s="17"/>
      <c r="T356" s="17"/>
      <c r="U356" s="17"/>
      <c r="V356" s="17"/>
      <c r="W356" s="17"/>
      <c r="X356" s="17"/>
      <c r="Y356" s="17"/>
      <c r="Z356" s="17"/>
      <c r="AA356" s="17"/>
      <c r="AB356" s="17"/>
      <c r="AC356" s="17"/>
      <c r="AD356" s="17"/>
      <c r="AE356" s="17"/>
      <c r="AF356" s="17"/>
      <c r="AG356" s="17"/>
      <c r="AH356" s="17"/>
      <c r="AI356" s="17"/>
      <c r="AJ356" s="17"/>
      <c r="AK356" s="17"/>
      <c r="AL356" s="17"/>
      <c r="AM356" s="17"/>
      <c r="AN356" s="17"/>
      <c r="AO356" s="17"/>
      <c r="AP356" s="1"/>
      <c r="AQ356" s="1"/>
    </row>
    <row r="357" spans="1:43" x14ac:dyDescent="0.35">
      <c r="A357" s="6"/>
      <c r="B357" s="13"/>
      <c r="C357" s="81"/>
      <c r="D357" s="4"/>
      <c r="E357" s="8"/>
      <c r="F357" s="17"/>
      <c r="G357" s="17"/>
      <c r="H357" s="17"/>
      <c r="I357" s="17"/>
      <c r="J357" s="17"/>
      <c r="K357" s="17"/>
      <c r="L357" s="17"/>
      <c r="M357" s="17"/>
      <c r="N357" s="17"/>
      <c r="O357" s="17"/>
      <c r="P357" s="17"/>
      <c r="Q357" s="17"/>
      <c r="R357" s="17"/>
      <c r="S357" s="17"/>
      <c r="T357" s="17"/>
      <c r="U357" s="17"/>
      <c r="V357" s="17"/>
      <c r="W357" s="17"/>
      <c r="X357" s="17"/>
      <c r="Y357" s="17"/>
      <c r="Z357" s="17"/>
      <c r="AA357" s="17"/>
      <c r="AB357" s="17"/>
      <c r="AC357" s="17"/>
      <c r="AD357" s="17"/>
      <c r="AE357" s="17"/>
      <c r="AF357" s="17"/>
      <c r="AG357" s="17"/>
      <c r="AH357" s="17"/>
      <c r="AI357" s="17"/>
      <c r="AJ357" s="17"/>
      <c r="AK357" s="17"/>
      <c r="AL357" s="17"/>
      <c r="AM357" s="17"/>
      <c r="AN357" s="17"/>
      <c r="AO357" s="17"/>
      <c r="AP357" s="1"/>
      <c r="AQ357" s="1"/>
    </row>
    <row r="358" spans="1:43" x14ac:dyDescent="0.35">
      <c r="A358" s="6"/>
      <c r="B358" s="13"/>
      <c r="C358" s="81"/>
      <c r="D358" s="4"/>
      <c r="E358" s="8"/>
      <c r="F358" s="17"/>
      <c r="G358" s="17"/>
      <c r="H358" s="17"/>
      <c r="I358" s="17"/>
      <c r="J358" s="17"/>
      <c r="K358" s="17"/>
      <c r="L358" s="17"/>
      <c r="M358" s="17"/>
      <c r="N358" s="17"/>
      <c r="O358" s="17"/>
      <c r="P358" s="17"/>
      <c r="Q358" s="17"/>
      <c r="R358" s="17"/>
      <c r="S358" s="17"/>
      <c r="T358" s="17"/>
      <c r="U358" s="17"/>
      <c r="V358" s="17"/>
      <c r="W358" s="17"/>
      <c r="X358" s="17"/>
      <c r="Y358" s="17"/>
      <c r="Z358" s="17"/>
      <c r="AA358" s="17"/>
      <c r="AB358" s="17"/>
      <c r="AC358" s="17"/>
      <c r="AD358" s="17"/>
      <c r="AE358" s="17"/>
      <c r="AF358" s="17"/>
      <c r="AG358" s="17"/>
      <c r="AH358" s="17"/>
      <c r="AI358" s="17"/>
      <c r="AJ358" s="17"/>
      <c r="AK358" s="17"/>
      <c r="AL358" s="17"/>
      <c r="AM358" s="17"/>
      <c r="AN358" s="17"/>
      <c r="AO358" s="17"/>
      <c r="AP358" s="1"/>
      <c r="AQ358" s="1"/>
    </row>
    <row r="359" spans="1:43" x14ac:dyDescent="0.35">
      <c r="A359" s="6"/>
      <c r="B359" s="13"/>
      <c r="C359" s="81"/>
      <c r="D359" s="4"/>
      <c r="E359" s="8"/>
      <c r="F359" s="17"/>
      <c r="G359" s="17"/>
      <c r="H359" s="17"/>
      <c r="I359" s="17"/>
      <c r="J359" s="17"/>
      <c r="K359" s="17"/>
      <c r="L359" s="17"/>
      <c r="M359" s="17"/>
      <c r="N359" s="17"/>
      <c r="O359" s="17"/>
      <c r="P359" s="17"/>
      <c r="Q359" s="17"/>
      <c r="R359" s="17"/>
      <c r="S359" s="17"/>
      <c r="T359" s="17"/>
      <c r="U359" s="17"/>
      <c r="V359" s="17"/>
      <c r="W359" s="17"/>
      <c r="X359" s="17"/>
      <c r="Y359" s="17"/>
      <c r="Z359" s="17"/>
      <c r="AA359" s="17"/>
      <c r="AB359" s="17"/>
      <c r="AC359" s="17"/>
      <c r="AD359" s="17"/>
      <c r="AE359" s="17"/>
      <c r="AF359" s="17"/>
      <c r="AG359" s="17"/>
      <c r="AH359" s="17"/>
      <c r="AI359" s="17"/>
      <c r="AJ359" s="17"/>
      <c r="AK359" s="17"/>
      <c r="AL359" s="17"/>
      <c r="AM359" s="17"/>
      <c r="AN359" s="17"/>
      <c r="AO359" s="17"/>
      <c r="AP359" s="1"/>
      <c r="AQ359" s="1"/>
    </row>
    <row r="360" spans="1:43" x14ac:dyDescent="0.35">
      <c r="A360" s="6"/>
      <c r="B360" s="13"/>
      <c r="C360" s="81"/>
      <c r="D360" s="4"/>
      <c r="E360" s="8"/>
      <c r="F360" s="17"/>
      <c r="G360" s="17"/>
      <c r="H360" s="17"/>
      <c r="I360" s="17"/>
      <c r="J360" s="17"/>
      <c r="K360" s="17"/>
      <c r="L360" s="17"/>
      <c r="M360" s="17"/>
      <c r="N360" s="17"/>
      <c r="O360" s="17"/>
      <c r="P360" s="17"/>
      <c r="Q360" s="17"/>
      <c r="R360" s="17"/>
      <c r="S360" s="17"/>
      <c r="T360" s="17"/>
      <c r="U360" s="17"/>
      <c r="V360" s="17"/>
      <c r="W360" s="17"/>
      <c r="X360" s="17"/>
      <c r="Y360" s="17"/>
      <c r="Z360" s="17"/>
      <c r="AA360" s="17"/>
      <c r="AB360" s="17"/>
      <c r="AC360" s="17"/>
      <c r="AD360" s="17"/>
      <c r="AE360" s="17"/>
      <c r="AF360" s="17"/>
      <c r="AG360" s="17"/>
      <c r="AH360" s="17"/>
      <c r="AI360" s="17"/>
      <c r="AJ360" s="17"/>
      <c r="AK360" s="17"/>
      <c r="AL360" s="17"/>
      <c r="AM360" s="17"/>
      <c r="AN360" s="17"/>
      <c r="AO360" s="17"/>
      <c r="AP360" s="1"/>
      <c r="AQ360" s="1"/>
    </row>
    <row r="361" spans="1:43" x14ac:dyDescent="0.35">
      <c r="A361" s="6"/>
      <c r="B361" s="13"/>
      <c r="C361" s="81"/>
      <c r="D361" s="4"/>
      <c r="E361" s="8"/>
      <c r="F361" s="17"/>
      <c r="G361" s="17"/>
      <c r="H361" s="17"/>
      <c r="I361" s="17"/>
      <c r="J361" s="17"/>
      <c r="K361" s="17"/>
      <c r="L361" s="17"/>
      <c r="M361" s="17"/>
      <c r="N361" s="17"/>
      <c r="O361" s="17"/>
      <c r="P361" s="17"/>
      <c r="Q361" s="17"/>
      <c r="R361" s="17"/>
      <c r="S361" s="17"/>
      <c r="T361" s="17"/>
      <c r="U361" s="17"/>
      <c r="V361" s="17"/>
      <c r="W361" s="17"/>
      <c r="X361" s="17"/>
      <c r="Y361" s="17"/>
      <c r="Z361" s="17"/>
      <c r="AA361" s="17"/>
      <c r="AB361" s="17"/>
      <c r="AC361" s="17"/>
      <c r="AD361" s="17"/>
      <c r="AE361" s="17"/>
      <c r="AF361" s="17"/>
      <c r="AG361" s="17"/>
      <c r="AH361" s="17"/>
      <c r="AI361" s="17"/>
      <c r="AJ361" s="17"/>
      <c r="AK361" s="17"/>
      <c r="AL361" s="17"/>
      <c r="AM361" s="17"/>
      <c r="AN361" s="17"/>
      <c r="AO361" s="17"/>
      <c r="AP361" s="1"/>
      <c r="AQ361" s="1"/>
    </row>
    <row r="362" spans="1:43" x14ac:dyDescent="0.35">
      <c r="A362" s="6"/>
      <c r="B362" s="13"/>
      <c r="C362" s="81"/>
      <c r="D362" s="4"/>
      <c r="E362" s="8"/>
      <c r="F362" s="17"/>
      <c r="G362" s="17"/>
      <c r="H362" s="17"/>
      <c r="I362" s="17"/>
      <c r="J362" s="17"/>
      <c r="K362" s="17"/>
      <c r="L362" s="17"/>
      <c r="M362" s="17"/>
      <c r="N362" s="17"/>
      <c r="O362" s="17"/>
      <c r="P362" s="17"/>
      <c r="Q362" s="17"/>
      <c r="R362" s="17"/>
      <c r="S362" s="17"/>
      <c r="T362" s="17"/>
      <c r="U362" s="17"/>
      <c r="V362" s="17"/>
      <c r="W362" s="17"/>
      <c r="X362" s="17"/>
      <c r="Y362" s="17"/>
      <c r="Z362" s="17"/>
      <c r="AA362" s="17"/>
      <c r="AB362" s="17"/>
      <c r="AC362" s="17"/>
      <c r="AD362" s="17"/>
      <c r="AE362" s="17"/>
      <c r="AF362" s="17"/>
      <c r="AG362" s="17"/>
      <c r="AH362" s="17"/>
      <c r="AI362" s="17"/>
      <c r="AJ362" s="17"/>
      <c r="AK362" s="17"/>
      <c r="AL362" s="17"/>
      <c r="AM362" s="17"/>
      <c r="AN362" s="17"/>
      <c r="AO362" s="17"/>
      <c r="AP362" s="1"/>
      <c r="AQ362" s="1"/>
    </row>
    <row r="363" spans="1:43" x14ac:dyDescent="0.35">
      <c r="A363" s="6"/>
      <c r="B363" s="13"/>
      <c r="C363" s="81"/>
      <c r="D363" s="4"/>
      <c r="E363" s="8"/>
      <c r="F363" s="17"/>
      <c r="G363" s="17"/>
      <c r="H363" s="17"/>
      <c r="I363" s="17"/>
      <c r="J363" s="17"/>
      <c r="K363" s="17"/>
      <c r="L363" s="17"/>
      <c r="M363" s="17"/>
      <c r="N363" s="17"/>
      <c r="O363" s="17"/>
      <c r="P363" s="17"/>
      <c r="Q363" s="17"/>
      <c r="R363" s="17"/>
      <c r="S363" s="17"/>
      <c r="T363" s="17"/>
      <c r="U363" s="17"/>
      <c r="V363" s="17"/>
      <c r="W363" s="17"/>
      <c r="X363" s="17"/>
      <c r="Y363" s="17"/>
      <c r="Z363" s="17"/>
      <c r="AA363" s="17"/>
      <c r="AB363" s="17"/>
      <c r="AC363" s="17"/>
      <c r="AD363" s="17"/>
      <c r="AE363" s="17"/>
      <c r="AF363" s="17"/>
      <c r="AG363" s="17"/>
      <c r="AH363" s="17"/>
      <c r="AI363" s="17"/>
      <c r="AJ363" s="17"/>
      <c r="AK363" s="17"/>
      <c r="AL363" s="17"/>
      <c r="AM363" s="17"/>
      <c r="AN363" s="17"/>
      <c r="AO363" s="17"/>
      <c r="AP363" s="1"/>
      <c r="AQ363" s="1"/>
    </row>
    <row r="364" spans="1:43" x14ac:dyDescent="0.35">
      <c r="A364" s="6"/>
      <c r="B364" s="13"/>
      <c r="C364" s="81"/>
      <c r="D364" s="4"/>
      <c r="E364" s="8"/>
      <c r="F364" s="17"/>
      <c r="G364" s="17"/>
      <c r="H364" s="17"/>
      <c r="I364" s="17"/>
      <c r="J364" s="17"/>
      <c r="K364" s="17"/>
      <c r="L364" s="17"/>
      <c r="M364" s="17"/>
      <c r="N364" s="17"/>
      <c r="O364" s="17"/>
      <c r="P364" s="17"/>
      <c r="Q364" s="17"/>
      <c r="R364" s="17"/>
      <c r="S364" s="17"/>
      <c r="T364" s="17"/>
      <c r="U364" s="17"/>
      <c r="V364" s="17"/>
      <c r="W364" s="17"/>
      <c r="X364" s="17"/>
      <c r="Y364" s="17"/>
      <c r="Z364" s="17"/>
      <c r="AA364" s="17"/>
      <c r="AB364" s="17"/>
      <c r="AC364" s="17"/>
      <c r="AD364" s="17"/>
      <c r="AE364" s="17"/>
      <c r="AF364" s="17"/>
      <c r="AG364" s="17"/>
      <c r="AH364" s="17"/>
      <c r="AI364" s="17"/>
      <c r="AJ364" s="17"/>
      <c r="AK364" s="17"/>
      <c r="AL364" s="17"/>
      <c r="AM364" s="17"/>
      <c r="AN364" s="17"/>
      <c r="AO364" s="17"/>
      <c r="AP364" s="1"/>
      <c r="AQ364" s="1"/>
    </row>
    <row r="365" spans="1:43" x14ac:dyDescent="0.35">
      <c r="A365" s="6"/>
      <c r="B365" s="13"/>
      <c r="C365" s="81"/>
      <c r="D365" s="4"/>
      <c r="E365" s="8"/>
      <c r="F365" s="17"/>
      <c r="G365" s="17"/>
      <c r="H365" s="17"/>
      <c r="I365" s="17"/>
      <c r="J365" s="17"/>
      <c r="K365" s="17"/>
      <c r="L365" s="17"/>
      <c r="M365" s="17"/>
      <c r="N365" s="17"/>
      <c r="O365" s="17"/>
      <c r="P365" s="17"/>
      <c r="Q365" s="17"/>
      <c r="R365" s="17"/>
      <c r="S365" s="17"/>
      <c r="T365" s="17"/>
      <c r="U365" s="17"/>
      <c r="V365" s="17"/>
      <c r="W365" s="17"/>
      <c r="X365" s="17"/>
      <c r="Y365" s="17"/>
      <c r="Z365" s="17"/>
      <c r="AA365" s="17"/>
      <c r="AB365" s="17"/>
      <c r="AC365" s="17"/>
      <c r="AD365" s="17"/>
      <c r="AE365" s="17"/>
      <c r="AF365" s="17"/>
      <c r="AG365" s="17"/>
      <c r="AH365" s="17"/>
      <c r="AI365" s="17"/>
      <c r="AJ365" s="17"/>
      <c r="AK365" s="17"/>
      <c r="AL365" s="17"/>
      <c r="AM365" s="17"/>
      <c r="AN365" s="17"/>
      <c r="AO365" s="17"/>
      <c r="AP365" s="1"/>
      <c r="AQ365" s="1"/>
    </row>
    <row r="366" spans="1:43" x14ac:dyDescent="0.35">
      <c r="A366" s="6"/>
      <c r="B366" s="13"/>
      <c r="C366" s="81"/>
      <c r="D366" s="4"/>
      <c r="E366" s="8"/>
      <c r="F366" s="17"/>
      <c r="G366" s="17"/>
      <c r="H366" s="17"/>
      <c r="I366" s="17"/>
      <c r="J366" s="17"/>
      <c r="K366" s="17"/>
      <c r="L366" s="17"/>
      <c r="M366" s="17"/>
      <c r="N366" s="17"/>
      <c r="O366" s="17"/>
      <c r="P366" s="17"/>
      <c r="Q366" s="17"/>
      <c r="R366" s="17"/>
      <c r="S366" s="17"/>
      <c r="T366" s="17"/>
      <c r="U366" s="17"/>
      <c r="V366" s="17"/>
      <c r="W366" s="17"/>
      <c r="X366" s="17"/>
      <c r="Y366" s="17"/>
      <c r="Z366" s="17"/>
      <c r="AA366" s="17"/>
      <c r="AB366" s="17"/>
      <c r="AC366" s="17"/>
      <c r="AD366" s="17"/>
      <c r="AE366" s="17"/>
      <c r="AF366" s="17"/>
      <c r="AG366" s="17"/>
      <c r="AH366" s="17"/>
      <c r="AI366" s="17"/>
      <c r="AJ366" s="17"/>
      <c r="AK366" s="17"/>
      <c r="AL366" s="17"/>
      <c r="AM366" s="17"/>
      <c r="AN366" s="17"/>
      <c r="AO366" s="17"/>
      <c r="AP366" s="1"/>
      <c r="AQ366" s="1"/>
    </row>
    <row r="367" spans="1:43" x14ac:dyDescent="0.35">
      <c r="A367" s="6"/>
      <c r="B367" s="13"/>
      <c r="C367" s="81"/>
      <c r="D367" s="4"/>
      <c r="E367" s="8"/>
      <c r="F367" s="17"/>
      <c r="G367" s="17"/>
      <c r="H367" s="17"/>
      <c r="I367" s="17"/>
      <c r="J367" s="17"/>
      <c r="K367" s="17"/>
      <c r="L367" s="17"/>
      <c r="M367" s="17"/>
      <c r="N367" s="17"/>
      <c r="O367" s="17"/>
      <c r="P367" s="17"/>
      <c r="Q367" s="17"/>
      <c r="R367" s="17"/>
      <c r="S367" s="17"/>
      <c r="T367" s="17"/>
      <c r="U367" s="17"/>
      <c r="V367" s="17"/>
      <c r="W367" s="17"/>
      <c r="X367" s="17"/>
      <c r="Y367" s="17"/>
      <c r="Z367" s="17"/>
      <c r="AA367" s="17"/>
      <c r="AB367" s="17"/>
      <c r="AC367" s="17"/>
      <c r="AD367" s="17"/>
      <c r="AE367" s="17"/>
      <c r="AF367" s="17"/>
      <c r="AG367" s="17"/>
      <c r="AH367" s="17"/>
      <c r="AI367" s="17"/>
      <c r="AJ367" s="17"/>
      <c r="AK367" s="17"/>
      <c r="AL367" s="17"/>
      <c r="AM367" s="17"/>
      <c r="AN367" s="17"/>
      <c r="AO367" s="17"/>
      <c r="AP367" s="1"/>
      <c r="AQ367" s="1"/>
    </row>
    <row r="368" spans="1:43" x14ac:dyDescent="0.35">
      <c r="A368" s="6"/>
      <c r="B368" s="13"/>
      <c r="C368" s="81"/>
      <c r="D368" s="4"/>
      <c r="E368" s="8"/>
      <c r="F368" s="17"/>
      <c r="G368" s="17"/>
      <c r="H368" s="17"/>
      <c r="I368" s="17"/>
      <c r="J368" s="17"/>
      <c r="K368" s="17"/>
      <c r="L368" s="17"/>
      <c r="M368" s="17"/>
      <c r="N368" s="17"/>
      <c r="O368" s="17"/>
      <c r="P368" s="17"/>
      <c r="Q368" s="17"/>
      <c r="R368" s="17"/>
      <c r="S368" s="17"/>
      <c r="T368" s="17"/>
      <c r="U368" s="17"/>
      <c r="V368" s="17"/>
      <c r="W368" s="17"/>
      <c r="X368" s="17"/>
      <c r="Y368" s="17"/>
      <c r="Z368" s="17"/>
      <c r="AA368" s="17"/>
      <c r="AB368" s="17"/>
      <c r="AC368" s="17"/>
      <c r="AD368" s="17"/>
      <c r="AE368" s="17"/>
      <c r="AF368" s="17"/>
      <c r="AG368" s="17"/>
      <c r="AH368" s="17"/>
      <c r="AI368" s="17"/>
      <c r="AJ368" s="17"/>
      <c r="AK368" s="17"/>
      <c r="AL368" s="17"/>
      <c r="AM368" s="17"/>
      <c r="AN368" s="17"/>
      <c r="AO368" s="17"/>
      <c r="AP368" s="1"/>
      <c r="AQ368" s="1"/>
    </row>
    <row r="369" spans="1:43" x14ac:dyDescent="0.35">
      <c r="A369" s="6"/>
      <c r="B369" s="13"/>
      <c r="C369" s="81"/>
      <c r="D369" s="4"/>
      <c r="E369" s="8"/>
      <c r="F369" s="17"/>
      <c r="G369" s="17"/>
      <c r="H369" s="17"/>
      <c r="I369" s="17"/>
      <c r="J369" s="17"/>
      <c r="K369" s="17"/>
      <c r="L369" s="17"/>
      <c r="M369" s="17"/>
      <c r="N369" s="17"/>
      <c r="O369" s="17"/>
      <c r="P369" s="17"/>
      <c r="Q369" s="17"/>
      <c r="R369" s="17"/>
      <c r="S369" s="17"/>
      <c r="T369" s="17"/>
      <c r="U369" s="17"/>
      <c r="V369" s="17"/>
      <c r="W369" s="17"/>
      <c r="X369" s="17"/>
      <c r="Y369" s="17"/>
      <c r="Z369" s="17"/>
      <c r="AA369" s="17"/>
      <c r="AB369" s="17"/>
      <c r="AC369" s="17"/>
      <c r="AD369" s="17"/>
      <c r="AE369" s="17"/>
      <c r="AF369" s="17"/>
      <c r="AG369" s="17"/>
      <c r="AH369" s="17"/>
      <c r="AI369" s="17"/>
      <c r="AJ369" s="17"/>
      <c r="AK369" s="17"/>
      <c r="AL369" s="17"/>
      <c r="AM369" s="17"/>
      <c r="AN369" s="17"/>
      <c r="AO369" s="17"/>
      <c r="AP369" s="1"/>
      <c r="AQ369" s="1"/>
    </row>
    <row r="370" spans="1:43" x14ac:dyDescent="0.35">
      <c r="A370" s="6"/>
      <c r="B370" s="13"/>
      <c r="C370" s="81"/>
      <c r="D370" s="4"/>
      <c r="E370" s="8"/>
      <c r="F370" s="17"/>
      <c r="G370" s="17"/>
      <c r="H370" s="17"/>
      <c r="I370" s="17"/>
      <c r="J370" s="17"/>
      <c r="K370" s="17"/>
      <c r="L370" s="17"/>
      <c r="M370" s="17"/>
      <c r="N370" s="17"/>
      <c r="O370" s="17"/>
      <c r="P370" s="17"/>
      <c r="Q370" s="17"/>
      <c r="R370" s="17"/>
      <c r="S370" s="17"/>
      <c r="T370" s="17"/>
      <c r="U370" s="17"/>
      <c r="V370" s="17"/>
      <c r="W370" s="17"/>
      <c r="X370" s="17"/>
      <c r="Y370" s="17"/>
      <c r="Z370" s="17"/>
      <c r="AA370" s="17"/>
      <c r="AB370" s="17"/>
      <c r="AC370" s="17"/>
      <c r="AD370" s="17"/>
      <c r="AE370" s="17"/>
      <c r="AF370" s="17"/>
      <c r="AG370" s="17"/>
      <c r="AH370" s="17"/>
      <c r="AI370" s="17"/>
      <c r="AJ370" s="17"/>
      <c r="AK370" s="17"/>
      <c r="AL370" s="17"/>
      <c r="AM370" s="17"/>
      <c r="AN370" s="17"/>
      <c r="AO370" s="17"/>
      <c r="AP370" s="1"/>
      <c r="AQ370" s="1"/>
    </row>
    <row r="371" spans="1:43" x14ac:dyDescent="0.35">
      <c r="A371" s="6"/>
      <c r="B371" s="13"/>
      <c r="C371" s="81"/>
      <c r="D371" s="4"/>
      <c r="E371" s="8"/>
      <c r="F371" s="17"/>
      <c r="G371" s="17"/>
      <c r="H371" s="17"/>
      <c r="I371" s="17"/>
      <c r="J371" s="17"/>
      <c r="K371" s="17"/>
      <c r="L371" s="17"/>
      <c r="M371" s="17"/>
      <c r="N371" s="17"/>
      <c r="O371" s="17"/>
      <c r="P371" s="17"/>
      <c r="Q371" s="17"/>
      <c r="R371" s="17"/>
      <c r="S371" s="17"/>
      <c r="T371" s="17"/>
      <c r="U371" s="17"/>
      <c r="V371" s="17"/>
      <c r="W371" s="17"/>
      <c r="X371" s="17"/>
      <c r="Y371" s="17"/>
      <c r="Z371" s="17"/>
      <c r="AA371" s="17"/>
      <c r="AB371" s="17"/>
      <c r="AC371" s="17"/>
      <c r="AD371" s="17"/>
      <c r="AE371" s="17"/>
      <c r="AF371" s="17"/>
      <c r="AG371" s="17"/>
      <c r="AH371" s="17"/>
      <c r="AI371" s="17"/>
      <c r="AJ371" s="17"/>
      <c r="AK371" s="17"/>
      <c r="AL371" s="17"/>
      <c r="AM371" s="17"/>
      <c r="AN371" s="17"/>
      <c r="AO371" s="17"/>
      <c r="AP371" s="1"/>
      <c r="AQ371" s="1"/>
    </row>
    <row r="372" spans="1:43" x14ac:dyDescent="0.35">
      <c r="A372" s="6"/>
      <c r="B372" s="13"/>
      <c r="C372" s="81"/>
      <c r="D372" s="4"/>
      <c r="E372" s="8"/>
      <c r="F372" s="17"/>
      <c r="G372" s="17"/>
      <c r="H372" s="17"/>
      <c r="I372" s="17"/>
      <c r="J372" s="17"/>
      <c r="K372" s="17"/>
      <c r="L372" s="17"/>
      <c r="M372" s="17"/>
      <c r="N372" s="17"/>
      <c r="O372" s="17"/>
      <c r="P372" s="17"/>
      <c r="Q372" s="17"/>
      <c r="R372" s="17"/>
      <c r="S372" s="17"/>
      <c r="T372" s="17"/>
      <c r="U372" s="17"/>
      <c r="V372" s="17"/>
      <c r="W372" s="17"/>
      <c r="X372" s="17"/>
      <c r="Y372" s="17"/>
      <c r="Z372" s="17"/>
      <c r="AA372" s="17"/>
      <c r="AB372" s="17"/>
      <c r="AC372" s="17"/>
      <c r="AD372" s="17"/>
      <c r="AE372" s="17"/>
      <c r="AF372" s="17"/>
      <c r="AG372" s="17"/>
      <c r="AH372" s="17"/>
      <c r="AI372" s="17"/>
      <c r="AJ372" s="17"/>
      <c r="AK372" s="17"/>
      <c r="AL372" s="17"/>
      <c r="AM372" s="17"/>
      <c r="AN372" s="17"/>
      <c r="AO372" s="17"/>
      <c r="AP372" s="1"/>
      <c r="AQ372" s="1"/>
    </row>
    <row r="373" spans="1:43" x14ac:dyDescent="0.35">
      <c r="A373" s="6"/>
      <c r="B373" s="13"/>
      <c r="C373" s="81"/>
      <c r="D373" s="4"/>
      <c r="E373" s="8"/>
      <c r="F373" s="17"/>
      <c r="G373" s="17"/>
      <c r="H373" s="17"/>
      <c r="I373" s="17"/>
      <c r="J373" s="17"/>
      <c r="K373" s="17"/>
      <c r="L373" s="17"/>
      <c r="M373" s="17"/>
      <c r="N373" s="17"/>
      <c r="O373" s="17"/>
      <c r="P373" s="17"/>
      <c r="Q373" s="17"/>
      <c r="R373" s="17"/>
      <c r="S373" s="17"/>
      <c r="T373" s="17"/>
      <c r="U373" s="17"/>
      <c r="V373" s="17"/>
      <c r="W373" s="17"/>
      <c r="X373" s="17"/>
      <c r="Y373" s="17"/>
      <c r="Z373" s="17"/>
      <c r="AA373" s="17"/>
      <c r="AB373" s="17"/>
      <c r="AC373" s="17"/>
      <c r="AD373" s="17"/>
      <c r="AE373" s="17"/>
      <c r="AF373" s="17"/>
      <c r="AG373" s="17"/>
      <c r="AH373" s="17"/>
      <c r="AI373" s="17"/>
      <c r="AJ373" s="17"/>
      <c r="AK373" s="17"/>
      <c r="AL373" s="17"/>
      <c r="AM373" s="17"/>
      <c r="AN373" s="17"/>
      <c r="AO373" s="17"/>
      <c r="AP373" s="1"/>
      <c r="AQ373" s="1"/>
    </row>
    <row r="374" spans="1:43" x14ac:dyDescent="0.35">
      <c r="A374" s="6"/>
      <c r="B374" s="13"/>
      <c r="C374" s="81"/>
      <c r="D374" s="4"/>
      <c r="E374" s="8"/>
      <c r="F374" s="17"/>
      <c r="G374" s="17"/>
      <c r="H374" s="17"/>
      <c r="I374" s="17"/>
      <c r="J374" s="17"/>
      <c r="K374" s="17"/>
      <c r="L374" s="17"/>
      <c r="M374" s="17"/>
      <c r="N374" s="17"/>
      <c r="O374" s="17"/>
      <c r="P374" s="17"/>
      <c r="Q374" s="17"/>
      <c r="R374" s="17"/>
      <c r="S374" s="17"/>
      <c r="T374" s="17"/>
      <c r="U374" s="17"/>
      <c r="V374" s="17"/>
      <c r="W374" s="17"/>
      <c r="X374" s="17"/>
      <c r="Y374" s="17"/>
      <c r="Z374" s="17"/>
      <c r="AA374" s="17"/>
      <c r="AB374" s="17"/>
      <c r="AC374" s="17"/>
      <c r="AD374" s="17"/>
      <c r="AE374" s="17"/>
      <c r="AF374" s="17"/>
      <c r="AG374" s="17"/>
      <c r="AH374" s="17"/>
      <c r="AI374" s="17"/>
      <c r="AJ374" s="17"/>
      <c r="AK374" s="17"/>
      <c r="AL374" s="17"/>
      <c r="AM374" s="17"/>
      <c r="AN374" s="17"/>
      <c r="AO374" s="17"/>
      <c r="AP374" s="1"/>
      <c r="AQ374" s="1"/>
    </row>
    <row r="375" spans="1:43" x14ac:dyDescent="0.35">
      <c r="A375" s="6"/>
      <c r="B375" s="13"/>
      <c r="C375" s="81"/>
      <c r="D375" s="4"/>
      <c r="E375" s="8"/>
      <c r="F375" s="17"/>
      <c r="G375" s="17"/>
      <c r="H375" s="17"/>
      <c r="I375" s="17"/>
      <c r="J375" s="17"/>
      <c r="K375" s="17"/>
      <c r="L375" s="17"/>
      <c r="M375" s="17"/>
      <c r="N375" s="17"/>
      <c r="O375" s="17"/>
      <c r="P375" s="17"/>
      <c r="Q375" s="17"/>
      <c r="R375" s="17"/>
      <c r="S375" s="17"/>
      <c r="T375" s="17"/>
      <c r="U375" s="17"/>
      <c r="V375" s="17"/>
      <c r="W375" s="17"/>
      <c r="X375" s="17"/>
      <c r="Y375" s="17"/>
      <c r="Z375" s="17"/>
      <c r="AA375" s="17"/>
      <c r="AB375" s="17"/>
      <c r="AC375" s="17"/>
      <c r="AD375" s="17"/>
      <c r="AE375" s="17"/>
      <c r="AF375" s="17"/>
      <c r="AG375" s="17"/>
      <c r="AH375" s="17"/>
      <c r="AI375" s="17"/>
      <c r="AJ375" s="17"/>
      <c r="AK375" s="17"/>
      <c r="AL375" s="17"/>
      <c r="AM375" s="17"/>
      <c r="AN375" s="17"/>
      <c r="AO375" s="17"/>
      <c r="AP375" s="1"/>
      <c r="AQ375" s="1"/>
    </row>
    <row r="376" spans="1:43" x14ac:dyDescent="0.35">
      <c r="A376" s="6"/>
      <c r="B376" s="13"/>
      <c r="C376" s="81"/>
      <c r="D376" s="4"/>
      <c r="E376" s="8"/>
      <c r="F376" s="17"/>
      <c r="G376" s="17"/>
      <c r="H376" s="17"/>
      <c r="I376" s="17"/>
      <c r="J376" s="17"/>
      <c r="K376" s="17"/>
      <c r="L376" s="17"/>
      <c r="M376" s="17"/>
      <c r="N376" s="17"/>
      <c r="O376" s="17"/>
      <c r="P376" s="17"/>
      <c r="Q376" s="17"/>
      <c r="R376" s="17"/>
      <c r="S376" s="17"/>
      <c r="T376" s="17"/>
      <c r="U376" s="17"/>
      <c r="V376" s="17"/>
      <c r="W376" s="17"/>
      <c r="X376" s="17"/>
      <c r="Y376" s="17"/>
      <c r="Z376" s="17"/>
      <c r="AA376" s="17"/>
      <c r="AB376" s="17"/>
      <c r="AC376" s="17"/>
      <c r="AD376" s="17"/>
      <c r="AE376" s="17"/>
      <c r="AF376" s="17"/>
      <c r="AG376" s="17"/>
      <c r="AH376" s="17"/>
      <c r="AI376" s="17"/>
      <c r="AJ376" s="17"/>
      <c r="AK376" s="17"/>
      <c r="AL376" s="17"/>
      <c r="AM376" s="17"/>
      <c r="AN376" s="17"/>
      <c r="AO376" s="17"/>
      <c r="AP376" s="1"/>
      <c r="AQ376" s="1"/>
    </row>
    <row r="377" spans="1:43" x14ac:dyDescent="0.35">
      <c r="A377" s="6"/>
      <c r="B377" s="13"/>
      <c r="C377" s="81"/>
      <c r="D377" s="4"/>
      <c r="E377" s="8"/>
      <c r="F377" s="17"/>
      <c r="G377" s="17"/>
      <c r="H377" s="17"/>
      <c r="I377" s="17"/>
      <c r="J377" s="17"/>
      <c r="K377" s="17"/>
      <c r="L377" s="17"/>
      <c r="M377" s="17"/>
      <c r="N377" s="17"/>
      <c r="O377" s="17"/>
      <c r="P377" s="17"/>
      <c r="Q377" s="17"/>
      <c r="R377" s="17"/>
      <c r="S377" s="17"/>
      <c r="T377" s="17"/>
      <c r="U377" s="17"/>
      <c r="V377" s="17"/>
      <c r="W377" s="17"/>
      <c r="X377" s="17"/>
      <c r="Y377" s="17"/>
      <c r="Z377" s="17"/>
      <c r="AA377" s="17"/>
      <c r="AB377" s="17"/>
      <c r="AC377" s="17"/>
      <c r="AD377" s="17"/>
      <c r="AE377" s="17"/>
      <c r="AF377" s="17"/>
      <c r="AG377" s="17"/>
      <c r="AH377" s="17"/>
      <c r="AI377" s="17"/>
      <c r="AJ377" s="17"/>
      <c r="AK377" s="17"/>
      <c r="AL377" s="17"/>
      <c r="AM377" s="17"/>
      <c r="AN377" s="17"/>
      <c r="AO377" s="17"/>
      <c r="AP377" s="1"/>
      <c r="AQ377" s="1"/>
    </row>
    <row r="378" spans="1:43" x14ac:dyDescent="0.35">
      <c r="A378" s="6"/>
      <c r="B378" s="13"/>
      <c r="C378" s="81"/>
      <c r="D378" s="4"/>
      <c r="E378" s="8"/>
      <c r="F378" s="17"/>
      <c r="G378" s="17"/>
      <c r="H378" s="17"/>
      <c r="I378" s="17"/>
      <c r="J378" s="17"/>
      <c r="K378" s="17"/>
      <c r="L378" s="17"/>
      <c r="M378" s="17"/>
      <c r="N378" s="17"/>
      <c r="O378" s="17"/>
      <c r="P378" s="17"/>
      <c r="Q378" s="17"/>
      <c r="R378" s="17"/>
      <c r="S378" s="17"/>
      <c r="T378" s="17"/>
      <c r="U378" s="17"/>
      <c r="V378" s="17"/>
      <c r="W378" s="17"/>
      <c r="X378" s="17"/>
      <c r="Y378" s="17"/>
      <c r="Z378" s="17"/>
      <c r="AA378" s="17"/>
      <c r="AB378" s="17"/>
      <c r="AC378" s="17"/>
      <c r="AD378" s="17"/>
      <c r="AE378" s="17"/>
      <c r="AF378" s="17"/>
      <c r="AG378" s="17"/>
      <c r="AH378" s="17"/>
      <c r="AI378" s="17"/>
      <c r="AJ378" s="17"/>
      <c r="AK378" s="17"/>
      <c r="AL378" s="17"/>
      <c r="AM378" s="17"/>
      <c r="AN378" s="17"/>
      <c r="AO378" s="17"/>
      <c r="AP378" s="1"/>
      <c r="AQ378" s="1"/>
    </row>
    <row r="379" spans="1:43" x14ac:dyDescent="0.35">
      <c r="A379" s="6"/>
      <c r="B379" s="13"/>
      <c r="C379" s="81"/>
      <c r="D379" s="4"/>
      <c r="E379" s="8"/>
      <c r="F379" s="17"/>
      <c r="G379" s="17"/>
      <c r="H379" s="17"/>
      <c r="I379" s="17"/>
      <c r="J379" s="17"/>
      <c r="K379" s="17"/>
      <c r="L379" s="17"/>
      <c r="M379" s="17"/>
      <c r="N379" s="17"/>
      <c r="O379" s="17"/>
      <c r="P379" s="17"/>
      <c r="Q379" s="17"/>
      <c r="R379" s="17"/>
      <c r="S379" s="17"/>
      <c r="T379" s="17"/>
      <c r="U379" s="17"/>
      <c r="V379" s="17"/>
      <c r="W379" s="17"/>
      <c r="X379" s="17"/>
      <c r="Y379" s="17"/>
      <c r="Z379" s="17"/>
      <c r="AA379" s="17"/>
      <c r="AB379" s="17"/>
      <c r="AC379" s="17"/>
      <c r="AD379" s="17"/>
      <c r="AE379" s="17"/>
      <c r="AF379" s="17"/>
      <c r="AG379" s="17"/>
      <c r="AH379" s="17"/>
      <c r="AI379" s="17"/>
      <c r="AJ379" s="17"/>
      <c r="AK379" s="17"/>
      <c r="AL379" s="17"/>
      <c r="AM379" s="17"/>
      <c r="AN379" s="17"/>
      <c r="AO379" s="17"/>
      <c r="AP379" s="1"/>
      <c r="AQ379" s="1"/>
    </row>
    <row r="380" spans="1:43" x14ac:dyDescent="0.35">
      <c r="A380" s="6"/>
      <c r="B380" s="13"/>
      <c r="C380" s="81"/>
      <c r="D380" s="4"/>
      <c r="E380" s="8"/>
      <c r="F380" s="17"/>
      <c r="G380" s="17"/>
      <c r="H380" s="17"/>
      <c r="I380" s="17"/>
      <c r="J380" s="17"/>
      <c r="K380" s="17"/>
      <c r="L380" s="17"/>
      <c r="M380" s="17"/>
      <c r="N380" s="17"/>
      <c r="O380" s="17"/>
      <c r="P380" s="17"/>
      <c r="Q380" s="17"/>
      <c r="R380" s="17"/>
      <c r="S380" s="17"/>
      <c r="T380" s="17"/>
      <c r="U380" s="17"/>
      <c r="V380" s="17"/>
      <c r="W380" s="17"/>
      <c r="X380" s="17"/>
      <c r="Y380" s="17"/>
      <c r="Z380" s="17"/>
      <c r="AA380" s="17"/>
      <c r="AB380" s="17"/>
      <c r="AC380" s="17"/>
      <c r="AD380" s="17"/>
      <c r="AE380" s="17"/>
      <c r="AF380" s="17"/>
      <c r="AG380" s="17"/>
      <c r="AH380" s="17"/>
      <c r="AI380" s="17"/>
      <c r="AJ380" s="17"/>
      <c r="AK380" s="17"/>
      <c r="AL380" s="17"/>
      <c r="AM380" s="17"/>
      <c r="AN380" s="17"/>
      <c r="AO380" s="17"/>
      <c r="AP380" s="1"/>
      <c r="AQ380" s="1"/>
    </row>
    <row r="381" spans="1:43" x14ac:dyDescent="0.35">
      <c r="A381" s="6"/>
      <c r="B381" s="13"/>
      <c r="C381" s="81"/>
      <c r="D381" s="4"/>
      <c r="E381" s="8"/>
      <c r="F381" s="17"/>
      <c r="G381" s="17"/>
      <c r="H381" s="17"/>
      <c r="I381" s="17"/>
      <c r="J381" s="17"/>
      <c r="K381" s="17"/>
      <c r="L381" s="17"/>
      <c r="M381" s="17"/>
      <c r="N381" s="17"/>
      <c r="O381" s="17"/>
      <c r="P381" s="17"/>
      <c r="Q381" s="17"/>
      <c r="R381" s="17"/>
      <c r="S381" s="17"/>
      <c r="T381" s="17"/>
      <c r="U381" s="17"/>
      <c r="V381" s="17"/>
      <c r="W381" s="17"/>
      <c r="X381" s="17"/>
      <c r="Y381" s="17"/>
      <c r="Z381" s="17"/>
      <c r="AA381" s="17"/>
      <c r="AB381" s="17"/>
      <c r="AC381" s="17"/>
      <c r="AD381" s="17"/>
      <c r="AE381" s="17"/>
      <c r="AF381" s="17"/>
      <c r="AG381" s="17"/>
      <c r="AH381" s="17"/>
      <c r="AI381" s="17"/>
      <c r="AJ381" s="17"/>
      <c r="AK381" s="17"/>
      <c r="AL381" s="17"/>
      <c r="AM381" s="17"/>
      <c r="AN381" s="17"/>
      <c r="AO381" s="17"/>
      <c r="AP381" s="1"/>
      <c r="AQ381" s="1"/>
    </row>
    <row r="382" spans="1:43" x14ac:dyDescent="0.35">
      <c r="A382" s="6"/>
      <c r="B382" s="13"/>
      <c r="C382" s="81"/>
      <c r="D382" s="4"/>
      <c r="E382" s="8"/>
      <c r="F382" s="17"/>
      <c r="G382" s="17"/>
      <c r="H382" s="17"/>
      <c r="I382" s="17"/>
      <c r="J382" s="17"/>
      <c r="K382" s="17"/>
      <c r="L382" s="17"/>
      <c r="M382" s="17"/>
      <c r="N382" s="17"/>
      <c r="O382" s="17"/>
      <c r="P382" s="17"/>
      <c r="Q382" s="17"/>
      <c r="R382" s="17"/>
      <c r="S382" s="17"/>
      <c r="T382" s="17"/>
      <c r="U382" s="17"/>
      <c r="V382" s="17"/>
      <c r="W382" s="17"/>
      <c r="X382" s="17"/>
      <c r="Y382" s="17"/>
      <c r="Z382" s="17"/>
      <c r="AA382" s="17"/>
      <c r="AB382" s="17"/>
      <c r="AC382" s="17"/>
      <c r="AD382" s="17"/>
      <c r="AE382" s="17"/>
      <c r="AF382" s="17"/>
      <c r="AG382" s="17"/>
      <c r="AH382" s="17"/>
      <c r="AI382" s="17"/>
      <c r="AJ382" s="17"/>
      <c r="AK382" s="17"/>
      <c r="AL382" s="17"/>
      <c r="AM382" s="17"/>
      <c r="AN382" s="17"/>
      <c r="AO382" s="17"/>
      <c r="AP382" s="1"/>
      <c r="AQ382" s="1"/>
    </row>
    <row r="383" spans="1:43" x14ac:dyDescent="0.35">
      <c r="A383" s="6"/>
      <c r="B383" s="13"/>
      <c r="C383" s="81"/>
      <c r="D383" s="4"/>
      <c r="E383" s="8"/>
      <c r="F383" s="17"/>
      <c r="G383" s="17"/>
      <c r="H383" s="17"/>
      <c r="I383" s="17"/>
      <c r="J383" s="17"/>
      <c r="K383" s="17"/>
      <c r="L383" s="17"/>
      <c r="M383" s="17"/>
      <c r="N383" s="17"/>
      <c r="O383" s="17"/>
      <c r="P383" s="17"/>
      <c r="Q383" s="17"/>
      <c r="R383" s="17"/>
      <c r="S383" s="17"/>
      <c r="T383" s="17"/>
      <c r="U383" s="17"/>
      <c r="V383" s="17"/>
      <c r="W383" s="17"/>
      <c r="X383" s="17"/>
      <c r="Y383" s="17"/>
      <c r="Z383" s="17"/>
      <c r="AA383" s="17"/>
      <c r="AB383" s="17"/>
      <c r="AC383" s="17"/>
      <c r="AD383" s="17"/>
      <c r="AE383" s="17"/>
      <c r="AF383" s="17"/>
      <c r="AG383" s="17"/>
      <c r="AH383" s="17"/>
      <c r="AI383" s="17"/>
      <c r="AJ383" s="17"/>
      <c r="AK383" s="17"/>
      <c r="AL383" s="17"/>
      <c r="AM383" s="17"/>
      <c r="AN383" s="17"/>
      <c r="AO383" s="17"/>
      <c r="AP383" s="1"/>
      <c r="AQ383" s="1"/>
    </row>
    <row r="384" spans="1:43" x14ac:dyDescent="0.35">
      <c r="A384" s="6"/>
      <c r="B384" s="13"/>
      <c r="C384" s="81"/>
      <c r="D384" s="4"/>
      <c r="E384" s="8"/>
      <c r="F384" s="17"/>
      <c r="G384" s="17"/>
      <c r="H384" s="17"/>
      <c r="I384" s="17"/>
      <c r="J384" s="17"/>
      <c r="K384" s="17"/>
      <c r="L384" s="17"/>
      <c r="M384" s="17"/>
      <c r="N384" s="17"/>
      <c r="O384" s="17"/>
      <c r="P384" s="17"/>
      <c r="Q384" s="17"/>
      <c r="R384" s="17"/>
      <c r="S384" s="17"/>
      <c r="T384" s="17"/>
      <c r="U384" s="17"/>
      <c r="V384" s="17"/>
      <c r="W384" s="17"/>
      <c r="X384" s="17"/>
      <c r="Y384" s="17"/>
      <c r="Z384" s="17"/>
      <c r="AA384" s="17"/>
      <c r="AB384" s="17"/>
      <c r="AC384" s="17"/>
      <c r="AD384" s="17"/>
      <c r="AE384" s="17"/>
      <c r="AF384" s="17"/>
      <c r="AG384" s="17"/>
      <c r="AH384" s="17"/>
      <c r="AI384" s="17"/>
      <c r="AJ384" s="17"/>
      <c r="AK384" s="17"/>
      <c r="AL384" s="17"/>
      <c r="AM384" s="17"/>
      <c r="AN384" s="17"/>
      <c r="AO384" s="17"/>
      <c r="AP384" s="1"/>
      <c r="AQ384" s="1"/>
    </row>
    <row r="385" spans="1:43" x14ac:dyDescent="0.35">
      <c r="A385" s="6"/>
      <c r="B385" s="13"/>
      <c r="C385" s="81"/>
      <c r="D385" s="4"/>
      <c r="E385" s="8"/>
      <c r="F385" s="17"/>
      <c r="G385" s="17"/>
      <c r="H385" s="17"/>
      <c r="I385" s="17"/>
      <c r="J385" s="17"/>
      <c r="K385" s="17"/>
      <c r="L385" s="17"/>
      <c r="M385" s="17"/>
      <c r="N385" s="17"/>
      <c r="O385" s="17"/>
      <c r="P385" s="17"/>
      <c r="Q385" s="17"/>
      <c r="R385" s="17"/>
      <c r="S385" s="17"/>
      <c r="T385" s="17"/>
      <c r="U385" s="17"/>
      <c r="V385" s="17"/>
      <c r="W385" s="17"/>
      <c r="X385" s="17"/>
      <c r="Y385" s="17"/>
      <c r="Z385" s="17"/>
      <c r="AA385" s="17"/>
      <c r="AB385" s="17"/>
      <c r="AC385" s="17"/>
      <c r="AD385" s="17"/>
      <c r="AE385" s="17"/>
      <c r="AF385" s="17"/>
      <c r="AG385" s="17"/>
      <c r="AH385" s="17"/>
      <c r="AI385" s="17"/>
      <c r="AJ385" s="17"/>
      <c r="AK385" s="17"/>
      <c r="AL385" s="17"/>
      <c r="AM385" s="17"/>
      <c r="AN385" s="17"/>
      <c r="AO385" s="17"/>
      <c r="AP385" s="1"/>
      <c r="AQ385" s="1"/>
    </row>
    <row r="386" spans="1:43" x14ac:dyDescent="0.35">
      <c r="A386" s="6"/>
      <c r="B386" s="13"/>
      <c r="C386" s="81"/>
      <c r="D386" s="4"/>
      <c r="E386" s="8"/>
      <c r="F386" s="17"/>
      <c r="G386" s="17"/>
      <c r="H386" s="17"/>
      <c r="I386" s="17"/>
      <c r="J386" s="17"/>
      <c r="K386" s="17"/>
      <c r="L386" s="17"/>
      <c r="M386" s="17"/>
      <c r="N386" s="17"/>
      <c r="O386" s="17"/>
      <c r="P386" s="17"/>
      <c r="Q386" s="17"/>
      <c r="R386" s="17"/>
      <c r="S386" s="17"/>
      <c r="T386" s="17"/>
      <c r="U386" s="17"/>
      <c r="V386" s="17"/>
      <c r="W386" s="17"/>
      <c r="X386" s="17"/>
      <c r="Y386" s="17"/>
      <c r="Z386" s="17"/>
      <c r="AA386" s="17"/>
      <c r="AB386" s="17"/>
      <c r="AC386" s="17"/>
      <c r="AD386" s="17"/>
      <c r="AE386" s="17"/>
      <c r="AF386" s="17"/>
      <c r="AG386" s="17"/>
      <c r="AH386" s="17"/>
      <c r="AI386" s="17"/>
      <c r="AJ386" s="17"/>
      <c r="AK386" s="17"/>
      <c r="AL386" s="17"/>
      <c r="AM386" s="17"/>
      <c r="AN386" s="17"/>
      <c r="AO386" s="17"/>
      <c r="AP386" s="1"/>
      <c r="AQ386" s="1"/>
    </row>
    <row r="387" spans="1:43" x14ac:dyDescent="0.35">
      <c r="A387" s="6"/>
      <c r="B387" s="13"/>
      <c r="C387" s="81"/>
      <c r="D387" s="4"/>
      <c r="E387" s="8"/>
      <c r="F387" s="17"/>
      <c r="G387" s="17"/>
      <c r="H387" s="17"/>
      <c r="I387" s="17"/>
      <c r="J387" s="17"/>
      <c r="K387" s="17"/>
      <c r="L387" s="17"/>
      <c r="M387" s="17"/>
      <c r="N387" s="17"/>
      <c r="O387" s="17"/>
      <c r="P387" s="17"/>
      <c r="Q387" s="17"/>
      <c r="R387" s="17"/>
      <c r="S387" s="17"/>
      <c r="T387" s="17"/>
      <c r="U387" s="17"/>
      <c r="V387" s="17"/>
      <c r="W387" s="17"/>
      <c r="X387" s="17"/>
      <c r="Y387" s="17"/>
      <c r="Z387" s="17"/>
      <c r="AA387" s="17"/>
      <c r="AB387" s="17"/>
      <c r="AC387" s="17"/>
      <c r="AD387" s="17"/>
      <c r="AE387" s="17"/>
      <c r="AF387" s="17"/>
      <c r="AG387" s="17"/>
      <c r="AH387" s="17"/>
      <c r="AI387" s="17"/>
      <c r="AJ387" s="17"/>
      <c r="AK387" s="17"/>
      <c r="AL387" s="17"/>
      <c r="AM387" s="17"/>
      <c r="AN387" s="17"/>
      <c r="AO387" s="17"/>
      <c r="AP387" s="1"/>
      <c r="AQ387" s="1"/>
    </row>
    <row r="388" spans="1:43" x14ac:dyDescent="0.35">
      <c r="A388" s="6"/>
      <c r="B388" s="13"/>
      <c r="C388" s="81"/>
      <c r="D388" s="4"/>
      <c r="E388" s="8"/>
      <c r="F388" s="17"/>
      <c r="G388" s="17"/>
      <c r="H388" s="17"/>
      <c r="I388" s="17"/>
      <c r="J388" s="17"/>
      <c r="K388" s="17"/>
      <c r="L388" s="17"/>
      <c r="M388" s="17"/>
      <c r="N388" s="17"/>
      <c r="O388" s="17"/>
      <c r="P388" s="17"/>
      <c r="Q388" s="17"/>
      <c r="R388" s="17"/>
      <c r="S388" s="17"/>
      <c r="T388" s="17"/>
      <c r="U388" s="17"/>
      <c r="V388" s="17"/>
      <c r="W388" s="17"/>
      <c r="X388" s="17"/>
      <c r="Y388" s="17"/>
      <c r="Z388" s="17"/>
      <c r="AA388" s="17"/>
      <c r="AB388" s="17"/>
      <c r="AC388" s="17"/>
      <c r="AD388" s="17"/>
      <c r="AE388" s="17"/>
      <c r="AF388" s="17"/>
      <c r="AG388" s="17"/>
      <c r="AH388" s="17"/>
      <c r="AI388" s="17"/>
      <c r="AJ388" s="17"/>
      <c r="AK388" s="17"/>
      <c r="AL388" s="17"/>
      <c r="AM388" s="17"/>
      <c r="AN388" s="17"/>
      <c r="AO388" s="17"/>
      <c r="AP388" s="1"/>
      <c r="AQ388" s="1"/>
    </row>
    <row r="389" spans="1:43" x14ac:dyDescent="0.35">
      <c r="A389" s="6"/>
      <c r="B389" s="13"/>
      <c r="C389" s="81"/>
      <c r="D389" s="4"/>
      <c r="E389" s="8"/>
      <c r="F389" s="17"/>
      <c r="G389" s="17"/>
      <c r="H389" s="17"/>
      <c r="I389" s="17"/>
      <c r="J389" s="17"/>
      <c r="K389" s="17"/>
      <c r="L389" s="17"/>
      <c r="M389" s="17"/>
      <c r="N389" s="17"/>
      <c r="O389" s="17"/>
      <c r="P389" s="17"/>
      <c r="Q389" s="17"/>
      <c r="R389" s="17"/>
      <c r="S389" s="17"/>
      <c r="T389" s="17"/>
      <c r="U389" s="17"/>
      <c r="V389" s="17"/>
      <c r="W389" s="17"/>
      <c r="X389" s="17"/>
      <c r="Y389" s="17"/>
      <c r="Z389" s="17"/>
      <c r="AA389" s="17"/>
      <c r="AB389" s="17"/>
      <c r="AC389" s="17"/>
      <c r="AD389" s="17"/>
      <c r="AE389" s="17"/>
      <c r="AF389" s="17"/>
      <c r="AG389" s="17"/>
      <c r="AH389" s="17"/>
      <c r="AI389" s="17"/>
      <c r="AJ389" s="17"/>
      <c r="AK389" s="17"/>
      <c r="AL389" s="17"/>
      <c r="AM389" s="17"/>
      <c r="AN389" s="17"/>
      <c r="AO389" s="17"/>
      <c r="AP389" s="1"/>
      <c r="AQ389" s="1"/>
    </row>
    <row r="390" spans="1:43" x14ac:dyDescent="0.35">
      <c r="A390" s="6"/>
      <c r="B390" s="13"/>
      <c r="C390" s="81"/>
      <c r="D390" s="4"/>
      <c r="E390" s="8"/>
      <c r="F390" s="17"/>
      <c r="G390" s="17"/>
      <c r="H390" s="17"/>
      <c r="I390" s="17"/>
      <c r="J390" s="17"/>
      <c r="K390" s="17"/>
      <c r="L390" s="17"/>
      <c r="M390" s="17"/>
      <c r="N390" s="17"/>
      <c r="O390" s="17"/>
      <c r="P390" s="17"/>
      <c r="Q390" s="17"/>
      <c r="R390" s="17"/>
      <c r="S390" s="17"/>
      <c r="T390" s="17"/>
      <c r="U390" s="17"/>
      <c r="V390" s="17"/>
      <c r="W390" s="17"/>
      <c r="X390" s="17"/>
      <c r="Y390" s="17"/>
      <c r="Z390" s="17"/>
      <c r="AA390" s="17"/>
      <c r="AB390" s="17"/>
      <c r="AC390" s="17"/>
      <c r="AD390" s="17"/>
      <c r="AE390" s="17"/>
      <c r="AF390" s="17"/>
      <c r="AG390" s="17"/>
      <c r="AH390" s="17"/>
      <c r="AI390" s="17"/>
      <c r="AJ390" s="17"/>
      <c r="AK390" s="17"/>
      <c r="AL390" s="17"/>
      <c r="AM390" s="17"/>
      <c r="AN390" s="17"/>
      <c r="AO390" s="17"/>
      <c r="AP390" s="1"/>
      <c r="AQ390" s="1"/>
    </row>
    <row r="391" spans="1:43" x14ac:dyDescent="0.35">
      <c r="A391" s="6"/>
      <c r="B391" s="13"/>
      <c r="C391" s="81"/>
      <c r="D391" s="4"/>
      <c r="E391" s="8"/>
      <c r="F391" s="17"/>
      <c r="G391" s="17"/>
      <c r="H391" s="17"/>
      <c r="I391" s="17"/>
      <c r="J391" s="17"/>
      <c r="K391" s="17"/>
      <c r="L391" s="17"/>
      <c r="M391" s="17"/>
      <c r="N391" s="17"/>
      <c r="O391" s="17"/>
      <c r="P391" s="17"/>
      <c r="Q391" s="17"/>
      <c r="R391" s="17"/>
      <c r="S391" s="17"/>
      <c r="T391" s="17"/>
      <c r="U391" s="17"/>
      <c r="V391" s="17"/>
      <c r="W391" s="17"/>
      <c r="X391" s="17"/>
      <c r="Y391" s="17"/>
      <c r="Z391" s="17"/>
      <c r="AA391" s="17"/>
      <c r="AB391" s="17"/>
      <c r="AC391" s="17"/>
      <c r="AD391" s="17"/>
      <c r="AE391" s="17"/>
      <c r="AF391" s="17"/>
      <c r="AG391" s="17"/>
      <c r="AH391" s="17"/>
      <c r="AI391" s="17"/>
      <c r="AJ391" s="17"/>
      <c r="AK391" s="17"/>
      <c r="AL391" s="17"/>
      <c r="AM391" s="17"/>
      <c r="AN391" s="17"/>
      <c r="AO391" s="17"/>
      <c r="AP391" s="1"/>
      <c r="AQ391" s="1"/>
    </row>
    <row r="392" spans="1:43" x14ac:dyDescent="0.35">
      <c r="A392" s="6"/>
      <c r="B392" s="13"/>
      <c r="C392" s="81"/>
      <c r="D392" s="4"/>
      <c r="E392" s="8"/>
      <c r="F392" s="17"/>
      <c r="G392" s="17"/>
      <c r="H392" s="17"/>
      <c r="I392" s="17"/>
      <c r="J392" s="17"/>
      <c r="K392" s="17"/>
      <c r="L392" s="17"/>
      <c r="M392" s="17"/>
      <c r="N392" s="17"/>
      <c r="O392" s="17"/>
      <c r="P392" s="17"/>
      <c r="Q392" s="17"/>
      <c r="R392" s="17"/>
      <c r="S392" s="17"/>
      <c r="T392" s="17"/>
      <c r="U392" s="17"/>
      <c r="V392" s="17"/>
      <c r="W392" s="17"/>
      <c r="X392" s="17"/>
      <c r="Y392" s="17"/>
      <c r="Z392" s="17"/>
      <c r="AA392" s="17"/>
      <c r="AB392" s="17"/>
      <c r="AC392" s="17"/>
      <c r="AD392" s="17"/>
      <c r="AE392" s="17"/>
      <c r="AF392" s="17"/>
      <c r="AG392" s="17"/>
      <c r="AH392" s="17"/>
      <c r="AI392" s="17"/>
      <c r="AJ392" s="17"/>
      <c r="AK392" s="17"/>
      <c r="AL392" s="17"/>
      <c r="AM392" s="17"/>
      <c r="AN392" s="17"/>
      <c r="AO392" s="17"/>
      <c r="AP392" s="1"/>
      <c r="AQ392" s="1"/>
    </row>
    <row r="393" spans="1:43" x14ac:dyDescent="0.35">
      <c r="A393" s="6"/>
      <c r="B393" s="13"/>
      <c r="C393" s="81"/>
      <c r="D393" s="4"/>
      <c r="E393" s="8"/>
      <c r="F393" s="17"/>
      <c r="G393" s="17"/>
      <c r="H393" s="17"/>
      <c r="I393" s="17"/>
      <c r="J393" s="17"/>
      <c r="K393" s="17"/>
      <c r="L393" s="17"/>
      <c r="M393" s="17"/>
      <c r="N393" s="17"/>
      <c r="O393" s="17"/>
      <c r="P393" s="17"/>
      <c r="Q393" s="17"/>
      <c r="R393" s="17"/>
      <c r="S393" s="17"/>
      <c r="T393" s="17"/>
      <c r="U393" s="17"/>
      <c r="V393" s="17"/>
      <c r="W393" s="17"/>
      <c r="X393" s="17"/>
      <c r="Y393" s="17"/>
      <c r="Z393" s="17"/>
      <c r="AA393" s="17"/>
      <c r="AB393" s="17"/>
      <c r="AC393" s="17"/>
      <c r="AD393" s="17"/>
      <c r="AE393" s="17"/>
      <c r="AF393" s="17"/>
      <c r="AG393" s="17"/>
      <c r="AH393" s="17"/>
      <c r="AI393" s="17"/>
      <c r="AJ393" s="17"/>
      <c r="AK393" s="17"/>
      <c r="AL393" s="17"/>
      <c r="AM393" s="17"/>
      <c r="AN393" s="17"/>
      <c r="AO393" s="17"/>
      <c r="AP393" s="1"/>
      <c r="AQ393" s="1"/>
    </row>
    <row r="394" spans="1:43" x14ac:dyDescent="0.35">
      <c r="A394" s="6"/>
      <c r="B394" s="13"/>
      <c r="C394" s="81"/>
      <c r="D394" s="4"/>
      <c r="E394" s="8"/>
      <c r="F394" s="17"/>
      <c r="G394" s="17"/>
      <c r="H394" s="17"/>
      <c r="I394" s="17"/>
      <c r="J394" s="17"/>
      <c r="K394" s="17"/>
      <c r="L394" s="17"/>
      <c r="M394" s="17"/>
      <c r="N394" s="17"/>
      <c r="O394" s="17"/>
      <c r="P394" s="17"/>
      <c r="Q394" s="17"/>
      <c r="R394" s="17"/>
      <c r="S394" s="17"/>
      <c r="T394" s="17"/>
      <c r="U394" s="17"/>
      <c r="V394" s="17"/>
      <c r="W394" s="17"/>
      <c r="X394" s="17"/>
      <c r="Y394" s="17"/>
      <c r="Z394" s="17"/>
      <c r="AA394" s="17"/>
      <c r="AB394" s="17"/>
      <c r="AC394" s="17"/>
      <c r="AD394" s="17"/>
      <c r="AE394" s="17"/>
      <c r="AF394" s="17"/>
      <c r="AG394" s="17"/>
      <c r="AH394" s="17"/>
      <c r="AI394" s="17"/>
      <c r="AJ394" s="17"/>
      <c r="AK394" s="17"/>
      <c r="AL394" s="17"/>
      <c r="AM394" s="17"/>
      <c r="AN394" s="17"/>
      <c r="AO394" s="17"/>
      <c r="AP394" s="1"/>
      <c r="AQ394" s="1"/>
    </row>
    <row r="395" spans="1:43" x14ac:dyDescent="0.35">
      <c r="A395" s="6"/>
      <c r="B395" s="13"/>
      <c r="C395" s="81"/>
      <c r="D395" s="4"/>
      <c r="E395" s="8"/>
      <c r="F395" s="17"/>
      <c r="G395" s="17"/>
      <c r="H395" s="17"/>
      <c r="I395" s="17"/>
      <c r="J395" s="17"/>
      <c r="K395" s="17"/>
      <c r="L395" s="17"/>
      <c r="M395" s="17"/>
      <c r="N395" s="17"/>
      <c r="O395" s="17"/>
      <c r="P395" s="17"/>
      <c r="Q395" s="17"/>
      <c r="R395" s="17"/>
      <c r="S395" s="17"/>
      <c r="T395" s="17"/>
      <c r="U395" s="17"/>
      <c r="V395" s="17"/>
      <c r="W395" s="17"/>
      <c r="X395" s="17"/>
      <c r="Y395" s="17"/>
      <c r="Z395" s="17"/>
      <c r="AA395" s="17"/>
      <c r="AB395" s="17"/>
      <c r="AC395" s="17"/>
      <c r="AD395" s="17"/>
      <c r="AE395" s="17"/>
      <c r="AF395" s="17"/>
      <c r="AG395" s="17"/>
      <c r="AH395" s="17"/>
      <c r="AI395" s="17"/>
      <c r="AJ395" s="17"/>
      <c r="AK395" s="17"/>
      <c r="AL395" s="17"/>
      <c r="AM395" s="17"/>
      <c r="AN395" s="17"/>
      <c r="AO395" s="17"/>
      <c r="AP395" s="1"/>
      <c r="AQ395" s="1"/>
    </row>
    <row r="396" spans="1:43" x14ac:dyDescent="0.35">
      <c r="A396" s="6"/>
      <c r="B396" s="13"/>
      <c r="C396" s="81"/>
      <c r="D396" s="4"/>
      <c r="E396" s="8"/>
      <c r="F396" s="17"/>
      <c r="G396" s="17"/>
      <c r="H396" s="17"/>
      <c r="I396" s="17"/>
      <c r="J396" s="17"/>
      <c r="K396" s="17"/>
      <c r="L396" s="17"/>
      <c r="M396" s="17"/>
      <c r="N396" s="17"/>
      <c r="O396" s="17"/>
      <c r="P396" s="17"/>
      <c r="Q396" s="17"/>
      <c r="R396" s="17"/>
      <c r="S396" s="17"/>
      <c r="T396" s="17"/>
      <c r="U396" s="17"/>
      <c r="V396" s="17"/>
      <c r="W396" s="17"/>
      <c r="X396" s="17"/>
      <c r="Y396" s="17"/>
      <c r="Z396" s="17"/>
      <c r="AA396" s="17"/>
      <c r="AB396" s="17"/>
      <c r="AC396" s="17"/>
      <c r="AD396" s="17"/>
      <c r="AE396" s="17"/>
      <c r="AF396" s="17"/>
      <c r="AG396" s="17"/>
      <c r="AH396" s="17"/>
      <c r="AI396" s="17"/>
      <c r="AJ396" s="17"/>
      <c r="AK396" s="17"/>
      <c r="AL396" s="17"/>
      <c r="AM396" s="17"/>
      <c r="AN396" s="17"/>
      <c r="AO396" s="17"/>
      <c r="AP396" s="1"/>
      <c r="AQ396" s="1"/>
    </row>
    <row r="397" spans="1:43" x14ac:dyDescent="0.35">
      <c r="A397" s="6"/>
      <c r="B397" s="13"/>
      <c r="C397" s="81"/>
      <c r="D397" s="4"/>
      <c r="E397" s="8"/>
      <c r="F397" s="17"/>
      <c r="G397" s="17"/>
      <c r="H397" s="17"/>
      <c r="I397" s="17"/>
      <c r="J397" s="17"/>
      <c r="K397" s="17"/>
      <c r="L397" s="17"/>
      <c r="M397" s="17"/>
      <c r="N397" s="17"/>
      <c r="O397" s="17"/>
      <c r="P397" s="17"/>
      <c r="Q397" s="17"/>
      <c r="R397" s="17"/>
      <c r="S397" s="17"/>
      <c r="T397" s="17"/>
      <c r="U397" s="17"/>
      <c r="V397" s="17"/>
      <c r="W397" s="17"/>
      <c r="X397" s="17"/>
      <c r="Y397" s="17"/>
      <c r="Z397" s="17"/>
      <c r="AA397" s="17"/>
      <c r="AB397" s="17"/>
      <c r="AC397" s="17"/>
      <c r="AD397" s="17"/>
      <c r="AE397" s="17"/>
      <c r="AF397" s="17"/>
      <c r="AG397" s="17"/>
      <c r="AH397" s="17"/>
      <c r="AI397" s="17"/>
      <c r="AJ397" s="17"/>
      <c r="AK397" s="17"/>
      <c r="AL397" s="17"/>
      <c r="AM397" s="17"/>
      <c r="AN397" s="17"/>
      <c r="AO397" s="17"/>
      <c r="AP397" s="1"/>
      <c r="AQ397" s="1"/>
    </row>
    <row r="398" spans="1:43" x14ac:dyDescent="0.35">
      <c r="A398" s="6"/>
      <c r="B398" s="13"/>
      <c r="C398" s="81"/>
      <c r="D398" s="4"/>
      <c r="E398" s="8"/>
      <c r="F398" s="17"/>
      <c r="G398" s="17"/>
      <c r="H398" s="17"/>
      <c r="I398" s="17"/>
      <c r="J398" s="17"/>
      <c r="K398" s="17"/>
      <c r="L398" s="17"/>
      <c r="M398" s="17"/>
      <c r="N398" s="17"/>
      <c r="O398" s="17"/>
      <c r="P398" s="17"/>
      <c r="Q398" s="17"/>
      <c r="R398" s="17"/>
      <c r="S398" s="17"/>
      <c r="T398" s="17"/>
      <c r="U398" s="17"/>
      <c r="V398" s="17"/>
      <c r="W398" s="17"/>
      <c r="X398" s="17"/>
      <c r="Y398" s="17"/>
      <c r="Z398" s="17"/>
      <c r="AA398" s="17"/>
      <c r="AB398" s="17"/>
      <c r="AC398" s="17"/>
      <c r="AD398" s="17"/>
      <c r="AE398" s="17"/>
      <c r="AF398" s="17"/>
      <c r="AG398" s="17"/>
      <c r="AH398" s="17"/>
      <c r="AI398" s="17"/>
      <c r="AJ398" s="17"/>
      <c r="AK398" s="17"/>
      <c r="AL398" s="17"/>
      <c r="AM398" s="17"/>
      <c r="AN398" s="17"/>
      <c r="AO398" s="17"/>
      <c r="AP398" s="1"/>
      <c r="AQ398" s="1"/>
    </row>
    <row r="399" spans="1:43" x14ac:dyDescent="0.35">
      <c r="A399" s="6"/>
      <c r="B399" s="13"/>
      <c r="C399" s="81"/>
      <c r="D399" s="4"/>
      <c r="E399" s="8"/>
      <c r="F399" s="17"/>
      <c r="G399" s="17"/>
      <c r="H399" s="17"/>
      <c r="I399" s="17"/>
      <c r="J399" s="17"/>
      <c r="K399" s="17"/>
      <c r="L399" s="17"/>
      <c r="M399" s="17"/>
      <c r="N399" s="17"/>
      <c r="O399" s="17"/>
      <c r="P399" s="17"/>
      <c r="Q399" s="17"/>
      <c r="R399" s="17"/>
      <c r="S399" s="17"/>
      <c r="T399" s="17"/>
      <c r="U399" s="17"/>
      <c r="V399" s="17"/>
      <c r="W399" s="17"/>
      <c r="X399" s="17"/>
      <c r="Y399" s="17"/>
      <c r="Z399" s="17"/>
      <c r="AA399" s="17"/>
      <c r="AB399" s="17"/>
      <c r="AC399" s="17"/>
      <c r="AD399" s="17"/>
      <c r="AE399" s="17"/>
      <c r="AF399" s="17"/>
      <c r="AG399" s="17"/>
      <c r="AH399" s="17"/>
      <c r="AI399" s="17"/>
      <c r="AJ399" s="17"/>
      <c r="AK399" s="17"/>
      <c r="AL399" s="17"/>
      <c r="AM399" s="17"/>
      <c r="AN399" s="17"/>
      <c r="AO399" s="17"/>
      <c r="AP399" s="1"/>
      <c r="AQ399" s="1"/>
    </row>
    <row r="400" spans="1:43" x14ac:dyDescent="0.35">
      <c r="A400" s="6"/>
      <c r="B400" s="13"/>
      <c r="C400" s="81"/>
      <c r="D400" s="4"/>
      <c r="E400" s="8"/>
      <c r="F400" s="17"/>
      <c r="G400" s="17"/>
      <c r="H400" s="17"/>
      <c r="I400" s="17"/>
      <c r="J400" s="17"/>
      <c r="K400" s="17"/>
      <c r="L400" s="17"/>
      <c r="M400" s="17"/>
      <c r="N400" s="17"/>
      <c r="O400" s="17"/>
      <c r="P400" s="17"/>
      <c r="Q400" s="17"/>
      <c r="R400" s="17"/>
      <c r="S400" s="17"/>
      <c r="T400" s="17"/>
      <c r="U400" s="17"/>
      <c r="V400" s="17"/>
      <c r="W400" s="17"/>
      <c r="X400" s="17"/>
      <c r="Y400" s="17"/>
      <c r="Z400" s="17"/>
      <c r="AA400" s="17"/>
      <c r="AB400" s="17"/>
      <c r="AC400" s="17"/>
      <c r="AD400" s="17"/>
      <c r="AE400" s="17"/>
      <c r="AF400" s="17"/>
      <c r="AG400" s="17"/>
      <c r="AH400" s="17"/>
      <c r="AI400" s="17"/>
      <c r="AJ400" s="17"/>
      <c r="AK400" s="17"/>
      <c r="AL400" s="17"/>
      <c r="AM400" s="17"/>
      <c r="AN400" s="17"/>
      <c r="AO400" s="17"/>
      <c r="AP400" s="1"/>
      <c r="AQ400" s="1"/>
    </row>
    <row r="401" spans="1:43" x14ac:dyDescent="0.35">
      <c r="A401" s="6"/>
      <c r="B401" s="13"/>
      <c r="C401" s="81"/>
      <c r="D401" s="4"/>
      <c r="E401" s="8"/>
      <c r="F401" s="17"/>
      <c r="G401" s="17"/>
      <c r="H401" s="17"/>
      <c r="I401" s="17"/>
      <c r="J401" s="17"/>
      <c r="K401" s="17"/>
      <c r="L401" s="17"/>
      <c r="M401" s="17"/>
      <c r="N401" s="17"/>
      <c r="O401" s="17"/>
      <c r="P401" s="17"/>
      <c r="Q401" s="17"/>
      <c r="R401" s="17"/>
      <c r="S401" s="17"/>
      <c r="T401" s="17"/>
      <c r="U401" s="17"/>
      <c r="V401" s="17"/>
      <c r="W401" s="17"/>
      <c r="X401" s="17"/>
      <c r="Y401" s="17"/>
      <c r="Z401" s="17"/>
      <c r="AA401" s="17"/>
      <c r="AB401" s="17"/>
      <c r="AC401" s="17"/>
      <c r="AD401" s="17"/>
      <c r="AE401" s="17"/>
      <c r="AF401" s="17"/>
      <c r="AG401" s="17"/>
      <c r="AH401" s="17"/>
      <c r="AI401" s="17"/>
      <c r="AJ401" s="17"/>
      <c r="AK401" s="17"/>
      <c r="AL401" s="17"/>
      <c r="AM401" s="17"/>
      <c r="AN401" s="17"/>
      <c r="AO401" s="17"/>
      <c r="AP401" s="1"/>
      <c r="AQ401" s="1"/>
    </row>
    <row r="402" spans="1:43" x14ac:dyDescent="0.35">
      <c r="A402" s="6"/>
      <c r="B402" s="13"/>
      <c r="C402" s="81"/>
      <c r="D402" s="4"/>
      <c r="E402" s="8"/>
      <c r="F402" s="17"/>
      <c r="G402" s="17"/>
      <c r="H402" s="17"/>
      <c r="I402" s="17"/>
      <c r="J402" s="17"/>
      <c r="K402" s="17"/>
      <c r="L402" s="17"/>
      <c r="M402" s="17"/>
      <c r="N402" s="17"/>
      <c r="O402" s="17"/>
      <c r="P402" s="17"/>
      <c r="Q402" s="17"/>
      <c r="R402" s="17"/>
      <c r="S402" s="17"/>
      <c r="T402" s="17"/>
      <c r="U402" s="17"/>
      <c r="V402" s="17"/>
      <c r="W402" s="17"/>
      <c r="X402" s="17"/>
      <c r="Y402" s="17"/>
      <c r="Z402" s="17"/>
      <c r="AA402" s="17"/>
      <c r="AB402" s="17"/>
      <c r="AC402" s="17"/>
      <c r="AD402" s="17"/>
      <c r="AE402" s="17"/>
      <c r="AF402" s="17"/>
      <c r="AG402" s="17"/>
      <c r="AH402" s="17"/>
      <c r="AI402" s="17"/>
      <c r="AJ402" s="17"/>
      <c r="AK402" s="17"/>
      <c r="AL402" s="17"/>
      <c r="AM402" s="17"/>
      <c r="AN402" s="17"/>
      <c r="AO402" s="17"/>
      <c r="AP402" s="1"/>
      <c r="AQ402" s="1"/>
    </row>
    <row r="403" spans="1:43" x14ac:dyDescent="0.35">
      <c r="A403" s="6"/>
      <c r="B403" s="13"/>
      <c r="C403" s="81"/>
      <c r="D403" s="4"/>
      <c r="E403" s="8"/>
      <c r="F403" s="17"/>
      <c r="G403" s="17"/>
      <c r="H403" s="17"/>
      <c r="I403" s="17"/>
      <c r="J403" s="17"/>
      <c r="K403" s="17"/>
      <c r="L403" s="17"/>
      <c r="M403" s="17"/>
      <c r="N403" s="17"/>
      <c r="O403" s="17"/>
      <c r="P403" s="17"/>
      <c r="Q403" s="17"/>
      <c r="R403" s="17"/>
      <c r="S403" s="17"/>
      <c r="T403" s="17"/>
      <c r="U403" s="17"/>
      <c r="V403" s="17"/>
      <c r="W403" s="17"/>
      <c r="X403" s="17"/>
      <c r="Y403" s="17"/>
      <c r="Z403" s="17"/>
      <c r="AA403" s="17"/>
      <c r="AB403" s="17"/>
      <c r="AC403" s="17"/>
      <c r="AD403" s="17"/>
      <c r="AE403" s="17"/>
      <c r="AF403" s="17"/>
      <c r="AG403" s="17"/>
      <c r="AH403" s="17"/>
      <c r="AI403" s="17"/>
      <c r="AJ403" s="17"/>
      <c r="AK403" s="17"/>
      <c r="AL403" s="17"/>
      <c r="AM403" s="17"/>
      <c r="AN403" s="17"/>
      <c r="AO403" s="17"/>
      <c r="AP403" s="1"/>
      <c r="AQ403" s="1"/>
    </row>
    <row r="404" spans="1:43" x14ac:dyDescent="0.35">
      <c r="A404" s="6"/>
      <c r="B404" s="13"/>
      <c r="C404" s="81"/>
      <c r="D404" s="4"/>
      <c r="E404" s="8"/>
      <c r="F404" s="17"/>
      <c r="G404" s="17"/>
      <c r="H404" s="17"/>
      <c r="I404" s="17"/>
      <c r="J404" s="17"/>
      <c r="K404" s="17"/>
      <c r="L404" s="17"/>
      <c r="M404" s="17"/>
      <c r="N404" s="17"/>
      <c r="O404" s="17"/>
      <c r="P404" s="17"/>
      <c r="Q404" s="17"/>
      <c r="R404" s="17"/>
      <c r="S404" s="17"/>
      <c r="T404" s="17"/>
      <c r="U404" s="17"/>
      <c r="V404" s="17"/>
      <c r="W404" s="17"/>
      <c r="X404" s="17"/>
      <c r="Y404" s="17"/>
      <c r="Z404" s="17"/>
      <c r="AA404" s="17"/>
      <c r="AB404" s="17"/>
      <c r="AC404" s="17"/>
      <c r="AD404" s="17"/>
      <c r="AE404" s="17"/>
      <c r="AF404" s="17"/>
      <c r="AG404" s="17"/>
      <c r="AH404" s="17"/>
      <c r="AI404" s="17"/>
      <c r="AJ404" s="17"/>
      <c r="AK404" s="17"/>
      <c r="AL404" s="17"/>
      <c r="AM404" s="17"/>
      <c r="AN404" s="17"/>
      <c r="AO404" s="17"/>
      <c r="AP404" s="1"/>
      <c r="AQ404" s="1"/>
    </row>
    <row r="405" spans="1:43" x14ac:dyDescent="0.35">
      <c r="A405" s="6"/>
      <c r="B405" s="13"/>
      <c r="C405" s="81"/>
      <c r="D405" s="4"/>
      <c r="E405" s="8"/>
      <c r="F405" s="17"/>
      <c r="G405" s="17"/>
      <c r="H405" s="17"/>
      <c r="I405" s="17"/>
      <c r="J405" s="17"/>
      <c r="K405" s="17"/>
      <c r="L405" s="17"/>
      <c r="M405" s="17"/>
      <c r="N405" s="17"/>
      <c r="O405" s="17"/>
      <c r="P405" s="17"/>
      <c r="Q405" s="17"/>
      <c r="R405" s="17"/>
      <c r="S405" s="17"/>
      <c r="T405" s="17"/>
      <c r="U405" s="17"/>
      <c r="V405" s="17"/>
      <c r="W405" s="17"/>
      <c r="X405" s="17"/>
      <c r="Y405" s="17"/>
      <c r="Z405" s="17"/>
      <c r="AA405" s="17"/>
      <c r="AB405" s="17"/>
      <c r="AC405" s="17"/>
      <c r="AD405" s="17"/>
      <c r="AE405" s="17"/>
      <c r="AF405" s="17"/>
      <c r="AG405" s="17"/>
      <c r="AH405" s="17"/>
      <c r="AI405" s="17"/>
      <c r="AJ405" s="17"/>
      <c r="AK405" s="17"/>
      <c r="AL405" s="17"/>
      <c r="AM405" s="17"/>
      <c r="AN405" s="17"/>
      <c r="AO405" s="17"/>
      <c r="AP405" s="1"/>
      <c r="AQ405" s="1"/>
    </row>
    <row r="406" spans="1:43" x14ac:dyDescent="0.35">
      <c r="A406" s="6"/>
      <c r="B406" s="13"/>
      <c r="C406" s="81"/>
      <c r="D406" s="4"/>
      <c r="E406" s="8"/>
      <c r="F406" s="17"/>
      <c r="G406" s="17"/>
      <c r="H406" s="17"/>
      <c r="I406" s="17"/>
      <c r="J406" s="17"/>
      <c r="K406" s="17"/>
      <c r="L406" s="17"/>
      <c r="M406" s="17"/>
      <c r="N406" s="17"/>
      <c r="O406" s="17"/>
      <c r="P406" s="17"/>
      <c r="Q406" s="17"/>
      <c r="R406" s="17"/>
      <c r="S406" s="17"/>
      <c r="T406" s="17"/>
      <c r="U406" s="17"/>
      <c r="V406" s="17"/>
      <c r="W406" s="17"/>
      <c r="X406" s="17"/>
      <c r="Y406" s="17"/>
      <c r="Z406" s="17"/>
      <c r="AA406" s="17"/>
      <c r="AB406" s="17"/>
      <c r="AC406" s="17"/>
      <c r="AD406" s="17"/>
      <c r="AE406" s="17"/>
      <c r="AF406" s="17"/>
      <c r="AG406" s="17"/>
      <c r="AH406" s="17"/>
      <c r="AI406" s="17"/>
      <c r="AJ406" s="17"/>
      <c r="AK406" s="17"/>
      <c r="AL406" s="17"/>
      <c r="AM406" s="17"/>
      <c r="AN406" s="17"/>
      <c r="AO406" s="17"/>
      <c r="AP406" s="1"/>
      <c r="AQ406" s="1"/>
    </row>
    <row r="407" spans="1:43" x14ac:dyDescent="0.35">
      <c r="A407" s="6"/>
      <c r="B407" s="13"/>
      <c r="C407" s="81"/>
      <c r="D407" s="4"/>
      <c r="E407" s="8"/>
      <c r="F407" s="17"/>
      <c r="G407" s="17"/>
      <c r="H407" s="17"/>
      <c r="I407" s="17"/>
      <c r="J407" s="17"/>
      <c r="K407" s="17"/>
      <c r="L407" s="17"/>
      <c r="M407" s="17"/>
      <c r="N407" s="17"/>
      <c r="O407" s="17"/>
      <c r="P407" s="17"/>
      <c r="Q407" s="17"/>
      <c r="R407" s="17"/>
      <c r="S407" s="17"/>
      <c r="T407" s="17"/>
      <c r="U407" s="17"/>
      <c r="V407" s="17"/>
      <c r="W407" s="17"/>
      <c r="X407" s="17"/>
      <c r="Y407" s="17"/>
      <c r="Z407" s="17"/>
      <c r="AA407" s="17"/>
      <c r="AB407" s="17"/>
      <c r="AC407" s="17"/>
      <c r="AD407" s="17"/>
      <c r="AE407" s="17"/>
      <c r="AF407" s="17"/>
      <c r="AG407" s="17"/>
      <c r="AH407" s="17"/>
      <c r="AI407" s="17"/>
      <c r="AJ407" s="17"/>
      <c r="AK407" s="17"/>
      <c r="AL407" s="17"/>
      <c r="AM407" s="17"/>
      <c r="AN407" s="17"/>
      <c r="AO407" s="17"/>
      <c r="AP407" s="1"/>
      <c r="AQ407" s="1"/>
    </row>
    <row r="408" spans="1:43" x14ac:dyDescent="0.35">
      <c r="A408" s="6"/>
      <c r="B408" s="13"/>
      <c r="C408" s="81"/>
      <c r="D408" s="4"/>
      <c r="E408" s="8"/>
      <c r="F408" s="17"/>
      <c r="G408" s="17"/>
      <c r="H408" s="17"/>
      <c r="I408" s="17"/>
      <c r="J408" s="17"/>
      <c r="K408" s="17"/>
      <c r="L408" s="17"/>
      <c r="M408" s="17"/>
      <c r="N408" s="17"/>
      <c r="O408" s="17"/>
      <c r="P408" s="17"/>
      <c r="Q408" s="17"/>
      <c r="R408" s="17"/>
      <c r="S408" s="17"/>
      <c r="T408" s="17"/>
      <c r="U408" s="17"/>
      <c r="V408" s="17"/>
      <c r="W408" s="17"/>
      <c r="X408" s="17"/>
      <c r="Y408" s="17"/>
      <c r="Z408" s="17"/>
      <c r="AA408" s="17"/>
      <c r="AB408" s="17"/>
      <c r="AC408" s="17"/>
      <c r="AD408" s="17"/>
      <c r="AE408" s="17"/>
      <c r="AF408" s="17"/>
      <c r="AG408" s="17"/>
      <c r="AH408" s="17"/>
      <c r="AI408" s="17"/>
      <c r="AJ408" s="17"/>
      <c r="AK408" s="17"/>
      <c r="AL408" s="17"/>
      <c r="AM408" s="17"/>
      <c r="AN408" s="17"/>
      <c r="AO408" s="17"/>
      <c r="AP408" s="1"/>
      <c r="AQ408" s="1"/>
    </row>
    <row r="409" spans="1:43" x14ac:dyDescent="0.35">
      <c r="A409" s="6"/>
      <c r="B409" s="13"/>
      <c r="C409" s="81"/>
      <c r="D409" s="4"/>
      <c r="E409" s="8"/>
      <c r="F409" s="17"/>
      <c r="G409" s="17"/>
      <c r="H409" s="17"/>
      <c r="I409" s="17"/>
      <c r="J409" s="17"/>
      <c r="K409" s="17"/>
      <c r="L409" s="17"/>
      <c r="M409" s="17"/>
      <c r="N409" s="17"/>
      <c r="O409" s="17"/>
      <c r="P409" s="17"/>
      <c r="Q409" s="17"/>
      <c r="R409" s="17"/>
      <c r="S409" s="17"/>
      <c r="T409" s="17"/>
      <c r="U409" s="17"/>
      <c r="V409" s="17"/>
      <c r="W409" s="17"/>
      <c r="X409" s="17"/>
      <c r="Y409" s="17"/>
      <c r="Z409" s="17"/>
      <c r="AA409" s="17"/>
      <c r="AB409" s="17"/>
      <c r="AC409" s="17"/>
      <c r="AD409" s="17"/>
      <c r="AE409" s="17"/>
      <c r="AF409" s="17"/>
      <c r="AG409" s="17"/>
      <c r="AH409" s="17"/>
      <c r="AI409" s="17"/>
      <c r="AJ409" s="17"/>
      <c r="AK409" s="17"/>
      <c r="AL409" s="17"/>
      <c r="AM409" s="17"/>
      <c r="AN409" s="17"/>
      <c r="AO409" s="17"/>
      <c r="AP409" s="1"/>
      <c r="AQ409" s="1"/>
    </row>
    <row r="410" spans="1:43" x14ac:dyDescent="0.35">
      <c r="A410" s="6"/>
      <c r="B410" s="13"/>
      <c r="C410" s="81"/>
      <c r="D410" s="4"/>
      <c r="E410" s="8"/>
      <c r="F410" s="17"/>
      <c r="G410" s="17"/>
      <c r="H410" s="17"/>
      <c r="I410" s="17"/>
      <c r="J410" s="17"/>
      <c r="K410" s="17"/>
      <c r="L410" s="17"/>
      <c r="M410" s="17"/>
      <c r="N410" s="17"/>
      <c r="O410" s="17"/>
      <c r="P410" s="17"/>
      <c r="Q410" s="17"/>
      <c r="R410" s="17"/>
      <c r="S410" s="17"/>
      <c r="T410" s="17"/>
      <c r="U410" s="17"/>
      <c r="V410" s="17"/>
      <c r="W410" s="17"/>
      <c r="X410" s="17"/>
      <c r="Y410" s="17"/>
      <c r="Z410" s="17"/>
      <c r="AA410" s="17"/>
      <c r="AB410" s="17"/>
      <c r="AC410" s="17"/>
      <c r="AD410" s="17"/>
      <c r="AE410" s="17"/>
      <c r="AF410" s="17"/>
      <c r="AG410" s="17"/>
      <c r="AH410" s="17"/>
      <c r="AI410" s="17"/>
      <c r="AJ410" s="17"/>
      <c r="AK410" s="17"/>
      <c r="AL410" s="17"/>
      <c r="AM410" s="17"/>
      <c r="AN410" s="17"/>
      <c r="AO410" s="17"/>
      <c r="AP410" s="1"/>
      <c r="AQ410" s="1"/>
    </row>
    <row r="411" spans="1:43" x14ac:dyDescent="0.35">
      <c r="A411" s="6"/>
      <c r="B411" s="13"/>
      <c r="C411" s="81"/>
      <c r="D411" s="4"/>
      <c r="E411" s="8"/>
      <c r="F411" s="17"/>
      <c r="G411" s="17"/>
      <c r="H411" s="17"/>
      <c r="I411" s="17"/>
      <c r="J411" s="17"/>
      <c r="K411" s="17"/>
      <c r="L411" s="17"/>
      <c r="M411" s="17"/>
      <c r="N411" s="17"/>
      <c r="O411" s="17"/>
      <c r="P411" s="17"/>
      <c r="Q411" s="17"/>
      <c r="R411" s="17"/>
      <c r="S411" s="17"/>
      <c r="T411" s="17"/>
      <c r="U411" s="17"/>
      <c r="V411" s="17"/>
      <c r="W411" s="17"/>
      <c r="X411" s="17"/>
      <c r="Y411" s="17"/>
      <c r="Z411" s="17"/>
      <c r="AA411" s="17"/>
      <c r="AB411" s="17"/>
      <c r="AC411" s="17"/>
      <c r="AD411" s="17"/>
      <c r="AE411" s="17"/>
      <c r="AF411" s="17"/>
      <c r="AG411" s="17"/>
      <c r="AH411" s="17"/>
      <c r="AI411" s="17"/>
      <c r="AJ411" s="17"/>
      <c r="AK411" s="17"/>
      <c r="AL411" s="17"/>
      <c r="AM411" s="17"/>
      <c r="AN411" s="17"/>
      <c r="AO411" s="17"/>
      <c r="AP411" s="1"/>
      <c r="AQ411" s="1"/>
    </row>
    <row r="412" spans="1:43" x14ac:dyDescent="0.35">
      <c r="A412" s="6"/>
      <c r="B412" s="13"/>
      <c r="C412" s="81"/>
      <c r="D412" s="4"/>
      <c r="E412" s="8"/>
      <c r="F412" s="17"/>
      <c r="G412" s="17"/>
      <c r="H412" s="17"/>
      <c r="I412" s="17"/>
      <c r="J412" s="17"/>
      <c r="K412" s="17"/>
      <c r="L412" s="17"/>
      <c r="M412" s="17"/>
      <c r="N412" s="17"/>
      <c r="O412" s="17"/>
      <c r="P412" s="17"/>
      <c r="Q412" s="17"/>
      <c r="R412" s="17"/>
      <c r="S412" s="17"/>
      <c r="T412" s="17"/>
      <c r="U412" s="17"/>
      <c r="V412" s="17"/>
      <c r="W412" s="17"/>
      <c r="X412" s="17"/>
      <c r="Y412" s="17"/>
      <c r="Z412" s="17"/>
      <c r="AA412" s="17"/>
      <c r="AB412" s="17"/>
      <c r="AC412" s="17"/>
      <c r="AD412" s="17"/>
      <c r="AE412" s="17"/>
      <c r="AF412" s="17"/>
      <c r="AG412" s="17"/>
      <c r="AH412" s="17"/>
      <c r="AI412" s="17"/>
      <c r="AJ412" s="17"/>
      <c r="AK412" s="17"/>
      <c r="AL412" s="17"/>
      <c r="AM412" s="17"/>
      <c r="AN412" s="17"/>
      <c r="AO412" s="17"/>
      <c r="AP412" s="1"/>
      <c r="AQ412" s="1"/>
    </row>
    <row r="413" spans="1:43" x14ac:dyDescent="0.35">
      <c r="A413" s="6"/>
      <c r="B413" s="13"/>
      <c r="C413" s="81"/>
      <c r="D413" s="4"/>
      <c r="E413" s="8"/>
      <c r="F413" s="17"/>
      <c r="G413" s="17"/>
      <c r="H413" s="17"/>
      <c r="I413" s="17"/>
      <c r="J413" s="17"/>
      <c r="K413" s="17"/>
      <c r="L413" s="17"/>
      <c r="M413" s="17"/>
      <c r="N413" s="17"/>
      <c r="O413" s="17"/>
      <c r="P413" s="17"/>
      <c r="Q413" s="17"/>
      <c r="R413" s="17"/>
      <c r="S413" s="17"/>
      <c r="T413" s="17"/>
      <c r="U413" s="17"/>
      <c r="V413" s="17"/>
      <c r="W413" s="17"/>
      <c r="X413" s="17"/>
      <c r="Y413" s="17"/>
      <c r="Z413" s="17"/>
      <c r="AA413" s="17"/>
      <c r="AB413" s="17"/>
      <c r="AC413" s="17"/>
      <c r="AD413" s="17"/>
      <c r="AE413" s="17"/>
      <c r="AF413" s="17"/>
      <c r="AG413" s="17"/>
      <c r="AH413" s="17"/>
      <c r="AI413" s="17"/>
      <c r="AJ413" s="17"/>
      <c r="AK413" s="17"/>
      <c r="AL413" s="17"/>
      <c r="AM413" s="17"/>
      <c r="AN413" s="17"/>
      <c r="AO413" s="17"/>
      <c r="AP413" s="1"/>
      <c r="AQ413" s="1"/>
    </row>
    <row r="414" spans="1:43" x14ac:dyDescent="0.35">
      <c r="A414" s="6"/>
      <c r="B414" s="13"/>
      <c r="C414" s="81"/>
      <c r="D414" s="4"/>
      <c r="E414" s="8"/>
      <c r="F414" s="17"/>
      <c r="G414" s="17"/>
      <c r="H414" s="17"/>
      <c r="I414" s="17"/>
      <c r="J414" s="17"/>
      <c r="K414" s="17"/>
      <c r="L414" s="17"/>
      <c r="M414" s="17"/>
      <c r="N414" s="17"/>
      <c r="O414" s="17"/>
      <c r="P414" s="17"/>
      <c r="Q414" s="17"/>
      <c r="R414" s="17"/>
      <c r="S414" s="17"/>
      <c r="T414" s="17"/>
      <c r="U414" s="17"/>
      <c r="V414" s="17"/>
      <c r="W414" s="17"/>
      <c r="X414" s="17"/>
      <c r="Y414" s="17"/>
      <c r="Z414" s="17"/>
      <c r="AA414" s="17"/>
      <c r="AB414" s="17"/>
      <c r="AC414" s="17"/>
      <c r="AD414" s="17"/>
      <c r="AE414" s="17"/>
      <c r="AF414" s="17"/>
      <c r="AG414" s="17"/>
      <c r="AH414" s="17"/>
      <c r="AI414" s="17"/>
      <c r="AJ414" s="17"/>
      <c r="AK414" s="17"/>
      <c r="AL414" s="17"/>
      <c r="AM414" s="17"/>
      <c r="AN414" s="17"/>
      <c r="AO414" s="17"/>
      <c r="AP414" s="1"/>
      <c r="AQ414" s="1"/>
    </row>
    <row r="415" spans="1:43" x14ac:dyDescent="0.35">
      <c r="A415" s="6"/>
      <c r="B415" s="13"/>
      <c r="C415" s="81"/>
      <c r="D415" s="4"/>
      <c r="E415" s="8"/>
      <c r="F415" s="17"/>
      <c r="G415" s="17"/>
      <c r="H415" s="17"/>
      <c r="I415" s="17"/>
      <c r="J415" s="17"/>
      <c r="K415" s="17"/>
      <c r="L415" s="17"/>
      <c r="M415" s="17"/>
      <c r="N415" s="17"/>
      <c r="O415" s="17"/>
      <c r="P415" s="17"/>
      <c r="Q415" s="17"/>
      <c r="R415" s="17"/>
      <c r="S415" s="17"/>
      <c r="T415" s="17"/>
      <c r="U415" s="17"/>
      <c r="V415" s="17"/>
      <c r="W415" s="17"/>
      <c r="X415" s="17"/>
      <c r="Y415" s="17"/>
      <c r="Z415" s="17"/>
      <c r="AA415" s="17"/>
      <c r="AB415" s="17"/>
      <c r="AC415" s="17"/>
      <c r="AD415" s="17"/>
      <c r="AE415" s="17"/>
      <c r="AF415" s="17"/>
      <c r="AG415" s="17"/>
      <c r="AH415" s="17"/>
      <c r="AI415" s="17"/>
      <c r="AJ415" s="17"/>
      <c r="AK415" s="17"/>
      <c r="AL415" s="17"/>
      <c r="AM415" s="17"/>
      <c r="AN415" s="17"/>
      <c r="AO415" s="17"/>
      <c r="AP415" s="1"/>
      <c r="AQ415" s="1"/>
    </row>
    <row r="416" spans="1:43" x14ac:dyDescent="0.35">
      <c r="A416" s="6"/>
      <c r="B416" s="13"/>
      <c r="C416" s="81"/>
      <c r="D416" s="4"/>
      <c r="E416" s="8"/>
      <c r="F416" s="17"/>
      <c r="G416" s="17"/>
      <c r="H416" s="17"/>
      <c r="I416" s="17"/>
      <c r="J416" s="17"/>
      <c r="K416" s="17"/>
      <c r="L416" s="17"/>
      <c r="M416" s="17"/>
      <c r="N416" s="17"/>
      <c r="O416" s="17"/>
      <c r="P416" s="17"/>
      <c r="Q416" s="17"/>
      <c r="R416" s="17"/>
      <c r="S416" s="17"/>
      <c r="T416" s="17"/>
      <c r="U416" s="17"/>
      <c r="V416" s="17"/>
      <c r="W416" s="17"/>
      <c r="X416" s="17"/>
      <c r="Y416" s="17"/>
      <c r="Z416" s="17"/>
      <c r="AA416" s="17"/>
      <c r="AB416" s="17"/>
      <c r="AC416" s="17"/>
      <c r="AD416" s="17"/>
      <c r="AE416" s="17"/>
      <c r="AF416" s="17"/>
      <c r="AG416" s="17"/>
      <c r="AH416" s="17"/>
      <c r="AI416" s="17"/>
      <c r="AJ416" s="17"/>
      <c r="AK416" s="17"/>
      <c r="AL416" s="17"/>
      <c r="AM416" s="17"/>
      <c r="AN416" s="17"/>
      <c r="AO416" s="17"/>
      <c r="AP416" s="1"/>
      <c r="AQ416" s="1"/>
    </row>
    <row r="417" spans="1:43" x14ac:dyDescent="0.35">
      <c r="A417" s="6"/>
      <c r="B417" s="13"/>
      <c r="C417" s="81"/>
      <c r="D417" s="4"/>
      <c r="E417" s="8"/>
      <c r="F417" s="17"/>
      <c r="G417" s="17"/>
      <c r="H417" s="17"/>
      <c r="I417" s="17"/>
      <c r="J417" s="17"/>
      <c r="K417" s="17"/>
      <c r="L417" s="17"/>
      <c r="M417" s="17"/>
      <c r="N417" s="17"/>
      <c r="O417" s="17"/>
      <c r="P417" s="17"/>
      <c r="Q417" s="17"/>
      <c r="R417" s="17"/>
      <c r="S417" s="17"/>
      <c r="T417" s="17"/>
      <c r="U417" s="17"/>
      <c r="V417" s="17"/>
      <c r="W417" s="17"/>
      <c r="X417" s="17"/>
      <c r="Y417" s="17"/>
      <c r="Z417" s="17"/>
      <c r="AA417" s="17"/>
      <c r="AB417" s="17"/>
      <c r="AC417" s="17"/>
      <c r="AD417" s="17"/>
      <c r="AE417" s="17"/>
      <c r="AF417" s="17"/>
      <c r="AG417" s="17"/>
      <c r="AH417" s="17"/>
      <c r="AI417" s="17"/>
      <c r="AJ417" s="17"/>
      <c r="AK417" s="17"/>
      <c r="AL417" s="17"/>
      <c r="AM417" s="17"/>
      <c r="AN417" s="17"/>
      <c r="AO417" s="17"/>
      <c r="AP417" s="1"/>
      <c r="AQ417" s="1"/>
    </row>
    <row r="418" spans="1:43" x14ac:dyDescent="0.35">
      <c r="A418" s="6"/>
      <c r="B418" s="13"/>
      <c r="C418" s="81"/>
      <c r="D418" s="4"/>
      <c r="E418" s="8"/>
      <c r="F418" s="17"/>
      <c r="G418" s="17"/>
      <c r="H418" s="17"/>
      <c r="I418" s="17"/>
      <c r="J418" s="17"/>
      <c r="K418" s="17"/>
      <c r="L418" s="17"/>
      <c r="M418" s="17"/>
      <c r="N418" s="17"/>
      <c r="O418" s="17"/>
      <c r="P418" s="17"/>
      <c r="Q418" s="17"/>
      <c r="R418" s="17"/>
      <c r="S418" s="17"/>
      <c r="T418" s="17"/>
      <c r="U418" s="17"/>
      <c r="V418" s="17"/>
      <c r="W418" s="17"/>
      <c r="X418" s="17"/>
      <c r="Y418" s="17"/>
      <c r="Z418" s="17"/>
      <c r="AA418" s="17"/>
      <c r="AB418" s="17"/>
      <c r="AC418" s="17"/>
      <c r="AD418" s="17"/>
      <c r="AE418" s="17"/>
      <c r="AF418" s="17"/>
      <c r="AG418" s="17"/>
      <c r="AH418" s="17"/>
      <c r="AI418" s="17"/>
      <c r="AJ418" s="17"/>
      <c r="AK418" s="17"/>
      <c r="AL418" s="17"/>
      <c r="AM418" s="17"/>
      <c r="AN418" s="17"/>
      <c r="AO418" s="17"/>
      <c r="AP418" s="1"/>
      <c r="AQ418" s="1"/>
    </row>
    <row r="419" spans="1:43" x14ac:dyDescent="0.35">
      <c r="A419" s="6"/>
      <c r="B419" s="13"/>
      <c r="C419" s="81"/>
      <c r="D419" s="4"/>
      <c r="E419" s="8"/>
      <c r="F419" s="17"/>
      <c r="G419" s="17"/>
      <c r="H419" s="17"/>
      <c r="I419" s="17"/>
      <c r="J419" s="17"/>
      <c r="K419" s="17"/>
      <c r="L419" s="17"/>
      <c r="M419" s="17"/>
      <c r="N419" s="17"/>
      <c r="O419" s="17"/>
      <c r="P419" s="17"/>
      <c r="Q419" s="17"/>
      <c r="R419" s="17"/>
      <c r="S419" s="17"/>
      <c r="T419" s="17"/>
      <c r="U419" s="17"/>
      <c r="V419" s="17"/>
      <c r="W419" s="17"/>
      <c r="X419" s="17"/>
      <c r="Y419" s="17"/>
      <c r="Z419" s="17"/>
      <c r="AA419" s="17"/>
      <c r="AB419" s="17"/>
      <c r="AC419" s="17"/>
      <c r="AD419" s="17"/>
      <c r="AE419" s="17"/>
      <c r="AF419" s="17"/>
      <c r="AG419" s="17"/>
      <c r="AH419" s="17"/>
      <c r="AI419" s="17"/>
      <c r="AJ419" s="17"/>
      <c r="AK419" s="17"/>
      <c r="AL419" s="17"/>
      <c r="AM419" s="17"/>
      <c r="AN419" s="17"/>
      <c r="AO419" s="17"/>
      <c r="AP419" s="1"/>
      <c r="AQ419" s="1"/>
    </row>
    <row r="420" spans="1:43" x14ac:dyDescent="0.35">
      <c r="A420" s="6"/>
      <c r="B420" s="13"/>
      <c r="C420" s="81"/>
      <c r="D420" s="4"/>
      <c r="E420" s="8"/>
      <c r="F420" s="17"/>
      <c r="G420" s="17"/>
      <c r="H420" s="17"/>
      <c r="I420" s="17"/>
      <c r="J420" s="17"/>
      <c r="K420" s="17"/>
      <c r="L420" s="17"/>
      <c r="M420" s="17"/>
      <c r="N420" s="17"/>
      <c r="O420" s="17"/>
      <c r="P420" s="17"/>
      <c r="Q420" s="17"/>
      <c r="R420" s="17"/>
      <c r="S420" s="17"/>
      <c r="T420" s="17"/>
      <c r="U420" s="17"/>
      <c r="V420" s="17"/>
      <c r="W420" s="17"/>
      <c r="X420" s="17"/>
      <c r="Y420" s="17"/>
      <c r="Z420" s="17"/>
      <c r="AA420" s="17"/>
      <c r="AB420" s="17"/>
      <c r="AC420" s="17"/>
      <c r="AD420" s="17"/>
      <c r="AE420" s="17"/>
      <c r="AF420" s="17"/>
      <c r="AG420" s="17"/>
      <c r="AH420" s="17"/>
      <c r="AI420" s="17"/>
      <c r="AJ420" s="17"/>
      <c r="AK420" s="17"/>
      <c r="AL420" s="17"/>
      <c r="AM420" s="17"/>
      <c r="AN420" s="17"/>
      <c r="AO420" s="17"/>
      <c r="AP420" s="1"/>
      <c r="AQ420" s="1"/>
    </row>
    <row r="421" spans="1:43" x14ac:dyDescent="0.35">
      <c r="A421" s="6"/>
      <c r="B421" s="13"/>
      <c r="C421" s="81"/>
      <c r="D421" s="4"/>
      <c r="E421" s="8"/>
      <c r="F421" s="17"/>
      <c r="G421" s="17"/>
      <c r="H421" s="17"/>
      <c r="I421" s="17"/>
      <c r="J421" s="17"/>
      <c r="K421" s="17"/>
      <c r="L421" s="17"/>
      <c r="M421" s="17"/>
      <c r="N421" s="17"/>
      <c r="O421" s="17"/>
      <c r="P421" s="17"/>
      <c r="Q421" s="17"/>
      <c r="R421" s="17"/>
      <c r="S421" s="17"/>
      <c r="T421" s="17"/>
      <c r="U421" s="17"/>
      <c r="V421" s="17"/>
      <c r="W421" s="17"/>
      <c r="X421" s="17"/>
      <c r="Y421" s="17"/>
      <c r="Z421" s="17"/>
      <c r="AA421" s="17"/>
      <c r="AB421" s="17"/>
      <c r="AC421" s="17"/>
      <c r="AD421" s="17"/>
      <c r="AE421" s="17"/>
      <c r="AF421" s="17"/>
      <c r="AG421" s="17"/>
      <c r="AH421" s="17"/>
      <c r="AI421" s="17"/>
      <c r="AJ421" s="17"/>
      <c r="AK421" s="17"/>
      <c r="AL421" s="17"/>
      <c r="AM421" s="17"/>
      <c r="AN421" s="17"/>
      <c r="AO421" s="17"/>
      <c r="AP421" s="1"/>
      <c r="AQ421" s="1"/>
    </row>
    <row r="422" spans="1:43" x14ac:dyDescent="0.35">
      <c r="A422" s="6"/>
      <c r="B422" s="13"/>
      <c r="C422" s="81"/>
      <c r="D422" s="4"/>
      <c r="E422" s="8"/>
      <c r="F422" s="17"/>
      <c r="G422" s="17"/>
      <c r="H422" s="17"/>
      <c r="I422" s="17"/>
      <c r="J422" s="17"/>
      <c r="K422" s="17"/>
      <c r="L422" s="17"/>
      <c r="M422" s="17"/>
      <c r="N422" s="17"/>
      <c r="O422" s="17"/>
      <c r="P422" s="17"/>
      <c r="Q422" s="17"/>
      <c r="R422" s="17"/>
      <c r="S422" s="17"/>
      <c r="T422" s="17"/>
      <c r="U422" s="17"/>
      <c r="V422" s="17"/>
      <c r="W422" s="17"/>
      <c r="X422" s="17"/>
      <c r="Y422" s="17"/>
      <c r="Z422" s="17"/>
      <c r="AA422" s="17"/>
      <c r="AB422" s="17"/>
      <c r="AC422" s="17"/>
      <c r="AD422" s="17"/>
      <c r="AE422" s="17"/>
      <c r="AF422" s="17"/>
      <c r="AG422" s="17"/>
      <c r="AH422" s="17"/>
      <c r="AI422" s="17"/>
      <c r="AJ422" s="17"/>
      <c r="AK422" s="17"/>
      <c r="AL422" s="17"/>
      <c r="AM422" s="17"/>
      <c r="AN422" s="17"/>
      <c r="AO422" s="17"/>
      <c r="AP422" s="1"/>
      <c r="AQ422" s="1"/>
    </row>
    <row r="423" spans="1:43" x14ac:dyDescent="0.35">
      <c r="A423" s="6"/>
      <c r="B423" s="13"/>
      <c r="C423" s="81"/>
      <c r="D423" s="4"/>
      <c r="E423" s="8"/>
      <c r="F423" s="17"/>
      <c r="G423" s="17"/>
      <c r="H423" s="17"/>
      <c r="I423" s="17"/>
      <c r="J423" s="17"/>
      <c r="K423" s="17"/>
      <c r="L423" s="17"/>
      <c r="M423" s="17"/>
      <c r="N423" s="17"/>
      <c r="O423" s="17"/>
      <c r="P423" s="17"/>
      <c r="Q423" s="17"/>
      <c r="R423" s="17"/>
      <c r="S423" s="17"/>
      <c r="T423" s="17"/>
      <c r="U423" s="17"/>
      <c r="V423" s="17"/>
      <c r="W423" s="17"/>
      <c r="X423" s="17"/>
      <c r="Y423" s="17"/>
      <c r="Z423" s="17"/>
      <c r="AA423" s="17"/>
      <c r="AB423" s="17"/>
      <c r="AC423" s="17"/>
      <c r="AD423" s="17"/>
      <c r="AE423" s="17"/>
      <c r="AF423" s="17"/>
      <c r="AG423" s="17"/>
      <c r="AH423" s="17"/>
      <c r="AI423" s="17"/>
      <c r="AJ423" s="17"/>
      <c r="AK423" s="17"/>
      <c r="AL423" s="17"/>
      <c r="AM423" s="17"/>
      <c r="AN423" s="17"/>
      <c r="AO423" s="17"/>
      <c r="AP423" s="1"/>
      <c r="AQ423" s="1"/>
    </row>
    <row r="424" spans="1:43" x14ac:dyDescent="0.35">
      <c r="A424" s="6"/>
      <c r="B424" s="13"/>
      <c r="C424" s="81"/>
      <c r="D424" s="4"/>
      <c r="E424" s="8"/>
      <c r="F424" s="17"/>
      <c r="G424" s="17"/>
      <c r="H424" s="17"/>
      <c r="I424" s="17"/>
      <c r="J424" s="17"/>
      <c r="K424" s="17"/>
      <c r="L424" s="17"/>
      <c r="M424" s="17"/>
      <c r="N424" s="17"/>
      <c r="O424" s="17"/>
      <c r="P424" s="17"/>
      <c r="Q424" s="17"/>
      <c r="R424" s="17"/>
      <c r="S424" s="17"/>
      <c r="T424" s="17"/>
      <c r="U424" s="17"/>
      <c r="V424" s="17"/>
      <c r="W424" s="17"/>
      <c r="X424" s="17"/>
      <c r="Y424" s="17"/>
      <c r="Z424" s="17"/>
      <c r="AA424" s="17"/>
      <c r="AB424" s="17"/>
      <c r="AC424" s="17"/>
      <c r="AD424" s="17"/>
      <c r="AE424" s="17"/>
      <c r="AF424" s="17"/>
      <c r="AG424" s="17"/>
      <c r="AH424" s="17"/>
      <c r="AI424" s="17"/>
      <c r="AJ424" s="17"/>
      <c r="AK424" s="17"/>
      <c r="AL424" s="17"/>
      <c r="AM424" s="17"/>
      <c r="AN424" s="17"/>
      <c r="AO424" s="17"/>
      <c r="AP424" s="1"/>
      <c r="AQ424" s="1"/>
    </row>
    <row r="425" spans="1:43" x14ac:dyDescent="0.35">
      <c r="A425" s="6"/>
      <c r="B425" s="13"/>
      <c r="C425" s="81"/>
      <c r="D425" s="4"/>
      <c r="E425" s="8"/>
      <c r="F425" s="17"/>
      <c r="G425" s="17"/>
      <c r="H425" s="17"/>
      <c r="I425" s="17"/>
      <c r="J425" s="17"/>
      <c r="K425" s="17"/>
      <c r="L425" s="17"/>
      <c r="M425" s="17"/>
      <c r="N425" s="17"/>
      <c r="O425" s="17"/>
      <c r="P425" s="17"/>
      <c r="Q425" s="17"/>
      <c r="R425" s="17"/>
      <c r="S425" s="17"/>
      <c r="T425" s="17"/>
      <c r="U425" s="17"/>
      <c r="V425" s="17"/>
      <c r="W425" s="17"/>
      <c r="X425" s="17"/>
      <c r="Y425" s="17"/>
      <c r="Z425" s="17"/>
      <c r="AA425" s="17"/>
      <c r="AB425" s="17"/>
      <c r="AC425" s="17"/>
      <c r="AD425" s="17"/>
      <c r="AE425" s="17"/>
      <c r="AF425" s="17"/>
      <c r="AG425" s="17"/>
      <c r="AH425" s="17"/>
      <c r="AI425" s="17"/>
      <c r="AJ425" s="17"/>
      <c r="AK425" s="17"/>
      <c r="AL425" s="17"/>
      <c r="AM425" s="17"/>
      <c r="AN425" s="17"/>
      <c r="AO425" s="17"/>
      <c r="AP425" s="1"/>
      <c r="AQ425" s="1"/>
    </row>
    <row r="426" spans="1:43" x14ac:dyDescent="0.35">
      <c r="A426" s="6"/>
      <c r="B426" s="13"/>
      <c r="C426" s="81"/>
      <c r="D426" s="4"/>
      <c r="E426" s="8"/>
      <c r="F426" s="17"/>
      <c r="G426" s="17"/>
      <c r="H426" s="17"/>
      <c r="I426" s="17"/>
      <c r="J426" s="17"/>
      <c r="K426" s="17"/>
      <c r="L426" s="17"/>
      <c r="M426" s="17"/>
      <c r="N426" s="17"/>
      <c r="O426" s="17"/>
      <c r="P426" s="17"/>
      <c r="Q426" s="17"/>
      <c r="R426" s="17"/>
      <c r="S426" s="17"/>
      <c r="T426" s="17"/>
      <c r="U426" s="17"/>
      <c r="V426" s="17"/>
      <c r="W426" s="17"/>
      <c r="X426" s="17"/>
      <c r="Y426" s="17"/>
      <c r="Z426" s="17"/>
      <c r="AA426" s="17"/>
      <c r="AB426" s="17"/>
      <c r="AC426" s="17"/>
      <c r="AD426" s="17"/>
      <c r="AE426" s="17"/>
      <c r="AF426" s="17"/>
      <c r="AG426" s="17"/>
      <c r="AH426" s="17"/>
      <c r="AI426" s="17"/>
      <c r="AJ426" s="17"/>
      <c r="AK426" s="17"/>
      <c r="AL426" s="17"/>
      <c r="AM426" s="17"/>
      <c r="AN426" s="17"/>
      <c r="AO426" s="17"/>
      <c r="AP426" s="1"/>
      <c r="AQ426" s="1"/>
    </row>
    <row r="427" spans="1:43" x14ac:dyDescent="0.35">
      <c r="A427" s="6"/>
      <c r="B427" s="13"/>
      <c r="C427" s="81"/>
      <c r="D427" s="4"/>
      <c r="E427" s="8"/>
      <c r="F427" s="17"/>
      <c r="G427" s="17"/>
      <c r="H427" s="17"/>
      <c r="I427" s="17"/>
      <c r="J427" s="17"/>
      <c r="K427" s="17"/>
      <c r="L427" s="17"/>
      <c r="M427" s="17"/>
      <c r="N427" s="17"/>
      <c r="O427" s="17"/>
      <c r="P427" s="17"/>
      <c r="Q427" s="17"/>
      <c r="R427" s="17"/>
      <c r="S427" s="17"/>
      <c r="T427" s="17"/>
      <c r="U427" s="17"/>
      <c r="V427" s="17"/>
      <c r="W427" s="17"/>
      <c r="X427" s="17"/>
      <c r="Y427" s="17"/>
      <c r="Z427" s="17"/>
      <c r="AA427" s="17"/>
      <c r="AB427" s="17"/>
      <c r="AC427" s="17"/>
      <c r="AD427" s="17"/>
      <c r="AE427" s="17"/>
      <c r="AF427" s="17"/>
      <c r="AG427" s="17"/>
      <c r="AH427" s="17"/>
      <c r="AI427" s="17"/>
      <c r="AJ427" s="17"/>
      <c r="AK427" s="17"/>
      <c r="AL427" s="17"/>
      <c r="AM427" s="17"/>
      <c r="AN427" s="17"/>
      <c r="AO427" s="17"/>
      <c r="AP427" s="1"/>
      <c r="AQ427" s="1"/>
    </row>
    <row r="428" spans="1:43" x14ac:dyDescent="0.35">
      <c r="A428" s="6"/>
      <c r="B428" s="13"/>
      <c r="C428" s="81"/>
      <c r="D428" s="4"/>
      <c r="E428" s="8"/>
      <c r="F428" s="17"/>
      <c r="G428" s="17"/>
      <c r="H428" s="17"/>
      <c r="I428" s="17"/>
      <c r="J428" s="17"/>
      <c r="K428" s="17"/>
      <c r="L428" s="17"/>
      <c r="M428" s="17"/>
      <c r="N428" s="17"/>
      <c r="O428" s="17"/>
      <c r="P428" s="17"/>
      <c r="Q428" s="17"/>
      <c r="R428" s="17"/>
      <c r="S428" s="17"/>
      <c r="T428" s="17"/>
      <c r="U428" s="17"/>
      <c r="V428" s="17"/>
      <c r="W428" s="17"/>
      <c r="X428" s="17"/>
      <c r="Y428" s="17"/>
      <c r="Z428" s="17"/>
      <c r="AA428" s="17"/>
      <c r="AB428" s="17"/>
      <c r="AC428" s="17"/>
      <c r="AD428" s="17"/>
      <c r="AE428" s="17"/>
      <c r="AF428" s="17"/>
      <c r="AG428" s="17"/>
      <c r="AH428" s="17"/>
      <c r="AI428" s="17"/>
      <c r="AJ428" s="17"/>
      <c r="AK428" s="17"/>
      <c r="AL428" s="17"/>
      <c r="AM428" s="17"/>
      <c r="AN428" s="17"/>
      <c r="AO428" s="17"/>
      <c r="AP428" s="1"/>
      <c r="AQ428" s="1"/>
    </row>
    <row r="429" spans="1:43" x14ac:dyDescent="0.35">
      <c r="A429" s="6"/>
      <c r="B429" s="13"/>
      <c r="C429" s="81"/>
      <c r="D429" s="4"/>
      <c r="E429" s="8"/>
      <c r="F429" s="17"/>
      <c r="G429" s="17"/>
      <c r="H429" s="17"/>
      <c r="I429" s="17"/>
      <c r="J429" s="17"/>
      <c r="K429" s="17"/>
      <c r="L429" s="17"/>
      <c r="M429" s="17"/>
      <c r="N429" s="17"/>
      <c r="O429" s="17"/>
      <c r="P429" s="17"/>
      <c r="Q429" s="17"/>
      <c r="R429" s="17"/>
      <c r="S429" s="17"/>
      <c r="T429" s="17"/>
      <c r="U429" s="17"/>
      <c r="V429" s="17"/>
      <c r="W429" s="17"/>
      <c r="X429" s="17"/>
      <c r="Y429" s="17"/>
      <c r="Z429" s="17"/>
      <c r="AA429" s="17"/>
      <c r="AB429" s="17"/>
      <c r="AC429" s="17"/>
      <c r="AD429" s="17"/>
      <c r="AE429" s="17"/>
      <c r="AF429" s="17"/>
      <c r="AG429" s="17"/>
      <c r="AH429" s="17"/>
      <c r="AI429" s="17"/>
      <c r="AJ429" s="17"/>
      <c r="AK429" s="17"/>
      <c r="AL429" s="17"/>
      <c r="AM429" s="17"/>
      <c r="AN429" s="17"/>
      <c r="AO429" s="17"/>
      <c r="AP429" s="1"/>
      <c r="AQ429" s="1"/>
    </row>
    <row r="430" spans="1:43" x14ac:dyDescent="0.35">
      <c r="A430" s="6"/>
      <c r="B430" s="13"/>
      <c r="C430" s="81"/>
      <c r="D430" s="4"/>
      <c r="E430" s="8"/>
      <c r="F430" s="17"/>
      <c r="G430" s="17"/>
      <c r="H430" s="17"/>
      <c r="I430" s="17"/>
      <c r="J430" s="17"/>
      <c r="K430" s="17"/>
      <c r="L430" s="17"/>
      <c r="M430" s="17"/>
      <c r="N430" s="17"/>
      <c r="O430" s="17"/>
      <c r="P430" s="17"/>
      <c r="Q430" s="17"/>
      <c r="R430" s="17"/>
      <c r="S430" s="17"/>
      <c r="T430" s="17"/>
      <c r="U430" s="17"/>
      <c r="V430" s="17"/>
      <c r="W430" s="17"/>
      <c r="X430" s="17"/>
      <c r="Y430" s="17"/>
      <c r="Z430" s="17"/>
      <c r="AA430" s="17"/>
      <c r="AB430" s="17"/>
      <c r="AC430" s="17"/>
      <c r="AD430" s="17"/>
      <c r="AE430" s="17"/>
      <c r="AF430" s="17"/>
      <c r="AG430" s="17"/>
      <c r="AH430" s="17"/>
      <c r="AI430" s="17"/>
      <c r="AJ430" s="17"/>
      <c r="AK430" s="17"/>
      <c r="AL430" s="17"/>
      <c r="AM430" s="17"/>
      <c r="AN430" s="17"/>
      <c r="AO430" s="17"/>
      <c r="AP430" s="1"/>
      <c r="AQ430" s="1"/>
    </row>
    <row r="431" spans="1:43" x14ac:dyDescent="0.35">
      <c r="A431" s="6"/>
      <c r="B431" s="13"/>
      <c r="C431" s="81"/>
      <c r="D431" s="4"/>
      <c r="E431" s="8"/>
      <c r="F431" s="17"/>
      <c r="G431" s="17"/>
      <c r="H431" s="17"/>
      <c r="I431" s="17"/>
      <c r="J431" s="17"/>
      <c r="K431" s="17"/>
      <c r="L431" s="17"/>
      <c r="M431" s="17"/>
      <c r="N431" s="17"/>
      <c r="O431" s="17"/>
      <c r="P431" s="17"/>
      <c r="Q431" s="17"/>
      <c r="R431" s="17"/>
      <c r="S431" s="17"/>
      <c r="T431" s="17"/>
      <c r="U431" s="17"/>
      <c r="V431" s="17"/>
      <c r="W431" s="17"/>
      <c r="X431" s="17"/>
      <c r="Y431" s="17"/>
      <c r="Z431" s="17"/>
      <c r="AA431" s="17"/>
      <c r="AB431" s="17"/>
      <c r="AC431" s="17"/>
      <c r="AD431" s="17"/>
      <c r="AE431" s="17"/>
      <c r="AF431" s="17"/>
      <c r="AG431" s="17"/>
      <c r="AH431" s="17"/>
      <c r="AI431" s="17"/>
      <c r="AJ431" s="17"/>
      <c r="AK431" s="17"/>
      <c r="AL431" s="17"/>
      <c r="AM431" s="17"/>
      <c r="AN431" s="17"/>
      <c r="AO431" s="17"/>
      <c r="AP431" s="1"/>
      <c r="AQ431" s="1"/>
    </row>
    <row r="432" spans="1:43" x14ac:dyDescent="0.35">
      <c r="A432" s="6"/>
      <c r="B432" s="13"/>
      <c r="C432" s="81"/>
      <c r="D432" s="4"/>
      <c r="E432" s="8"/>
      <c r="F432" s="17"/>
      <c r="G432" s="17"/>
      <c r="H432" s="17"/>
      <c r="I432" s="17"/>
      <c r="J432" s="17"/>
      <c r="K432" s="17"/>
      <c r="L432" s="17"/>
      <c r="M432" s="17"/>
      <c r="N432" s="17"/>
      <c r="O432" s="17"/>
      <c r="P432" s="17"/>
      <c r="Q432" s="17"/>
      <c r="R432" s="17"/>
      <c r="S432" s="17"/>
      <c r="T432" s="17"/>
      <c r="U432" s="17"/>
      <c r="V432" s="17"/>
      <c r="W432" s="17"/>
      <c r="X432" s="17"/>
      <c r="Y432" s="17"/>
      <c r="Z432" s="17"/>
      <c r="AA432" s="17"/>
      <c r="AB432" s="17"/>
      <c r="AC432" s="17"/>
      <c r="AD432" s="17"/>
      <c r="AE432" s="17"/>
      <c r="AF432" s="17"/>
      <c r="AG432" s="17"/>
      <c r="AH432" s="17"/>
      <c r="AI432" s="17"/>
      <c r="AJ432" s="17"/>
      <c r="AK432" s="17"/>
      <c r="AL432" s="17"/>
      <c r="AM432" s="17"/>
      <c r="AN432" s="17"/>
      <c r="AO432" s="17"/>
      <c r="AP432" s="1"/>
      <c r="AQ432" s="1"/>
    </row>
    <row r="433" spans="1:43" x14ac:dyDescent="0.35">
      <c r="A433" s="6"/>
      <c r="B433" s="13"/>
      <c r="C433" s="81"/>
      <c r="D433" s="4"/>
      <c r="E433" s="8"/>
      <c r="F433" s="17"/>
      <c r="G433" s="17"/>
      <c r="H433" s="17"/>
      <c r="I433" s="17"/>
      <c r="J433" s="17"/>
      <c r="K433" s="17"/>
      <c r="L433" s="17"/>
      <c r="M433" s="17"/>
      <c r="N433" s="17"/>
      <c r="O433" s="17"/>
      <c r="P433" s="17"/>
      <c r="Q433" s="17"/>
      <c r="R433" s="17"/>
      <c r="S433" s="17"/>
      <c r="T433" s="17"/>
      <c r="U433" s="17"/>
      <c r="V433" s="17"/>
      <c r="W433" s="17"/>
      <c r="X433" s="17"/>
      <c r="Y433" s="17"/>
      <c r="Z433" s="17"/>
      <c r="AA433" s="17"/>
      <c r="AB433" s="17"/>
      <c r="AC433" s="17"/>
      <c r="AD433" s="17"/>
      <c r="AE433" s="17"/>
      <c r="AF433" s="17"/>
      <c r="AG433" s="17"/>
      <c r="AH433" s="17"/>
      <c r="AI433" s="17"/>
      <c r="AJ433" s="17"/>
      <c r="AK433" s="17"/>
      <c r="AL433" s="17"/>
      <c r="AM433" s="17"/>
      <c r="AN433" s="17"/>
      <c r="AO433" s="17"/>
      <c r="AP433" s="1"/>
      <c r="AQ433" s="1"/>
    </row>
    <row r="434" spans="1:43" x14ac:dyDescent="0.35">
      <c r="A434" s="6"/>
      <c r="B434" s="13"/>
      <c r="C434" s="81"/>
      <c r="D434" s="4"/>
      <c r="E434" s="8"/>
      <c r="F434" s="17"/>
      <c r="G434" s="17"/>
      <c r="H434" s="17"/>
      <c r="I434" s="17"/>
      <c r="J434" s="17"/>
      <c r="K434" s="17"/>
      <c r="L434" s="17"/>
      <c r="M434" s="17"/>
      <c r="N434" s="17"/>
      <c r="O434" s="17"/>
      <c r="P434" s="17"/>
      <c r="Q434" s="17"/>
      <c r="R434" s="17"/>
      <c r="S434" s="17"/>
      <c r="T434" s="17"/>
      <c r="U434" s="17"/>
      <c r="V434" s="17"/>
      <c r="W434" s="17"/>
      <c r="X434" s="17"/>
      <c r="Y434" s="17"/>
      <c r="Z434" s="17"/>
      <c r="AA434" s="17"/>
      <c r="AB434" s="17"/>
      <c r="AC434" s="17"/>
      <c r="AD434" s="17"/>
      <c r="AE434" s="17"/>
      <c r="AF434" s="17"/>
      <c r="AG434" s="17"/>
      <c r="AH434" s="17"/>
      <c r="AI434" s="17"/>
      <c r="AJ434" s="17"/>
      <c r="AK434" s="17"/>
      <c r="AL434" s="17"/>
      <c r="AM434" s="17"/>
      <c r="AN434" s="17"/>
      <c r="AO434" s="17"/>
      <c r="AP434" s="1"/>
      <c r="AQ434" s="1"/>
    </row>
    <row r="435" spans="1:43" x14ac:dyDescent="0.35">
      <c r="A435" s="6"/>
      <c r="B435" s="13"/>
      <c r="C435" s="81"/>
      <c r="D435" s="4"/>
      <c r="E435" s="8"/>
      <c r="F435" s="17"/>
      <c r="G435" s="17"/>
      <c r="H435" s="17"/>
      <c r="I435" s="17"/>
      <c r="J435" s="17"/>
      <c r="K435" s="17"/>
      <c r="L435" s="17"/>
      <c r="M435" s="17"/>
      <c r="N435" s="17"/>
      <c r="O435" s="17"/>
      <c r="P435" s="17"/>
      <c r="Q435" s="17"/>
      <c r="R435" s="17"/>
      <c r="S435" s="17"/>
      <c r="T435" s="17"/>
      <c r="U435" s="17"/>
      <c r="V435" s="17"/>
      <c r="W435" s="17"/>
      <c r="X435" s="17"/>
      <c r="Y435" s="17"/>
      <c r="Z435" s="17"/>
      <c r="AA435" s="17"/>
      <c r="AB435" s="17"/>
      <c r="AC435" s="17"/>
      <c r="AD435" s="17"/>
      <c r="AE435" s="17"/>
      <c r="AF435" s="17"/>
      <c r="AG435" s="17"/>
      <c r="AH435" s="17"/>
      <c r="AI435" s="17"/>
      <c r="AJ435" s="17"/>
      <c r="AK435" s="17"/>
      <c r="AL435" s="17"/>
      <c r="AM435" s="17"/>
      <c r="AN435" s="17"/>
      <c r="AO435" s="17"/>
      <c r="AP435" s="1"/>
      <c r="AQ435" s="1"/>
    </row>
    <row r="436" spans="1:43" x14ac:dyDescent="0.35">
      <c r="A436" s="6"/>
      <c r="B436" s="13"/>
      <c r="C436" s="81"/>
      <c r="D436" s="4"/>
      <c r="E436" s="8"/>
      <c r="F436" s="17"/>
      <c r="G436" s="17"/>
      <c r="H436" s="17"/>
      <c r="I436" s="17"/>
      <c r="J436" s="17"/>
      <c r="K436" s="17"/>
      <c r="L436" s="17"/>
      <c r="M436" s="17"/>
      <c r="N436" s="17"/>
      <c r="O436" s="17"/>
      <c r="P436" s="17"/>
      <c r="Q436" s="17"/>
      <c r="R436" s="17"/>
      <c r="S436" s="17"/>
      <c r="T436" s="17"/>
      <c r="U436" s="17"/>
      <c r="V436" s="17"/>
      <c r="W436" s="17"/>
      <c r="X436" s="17"/>
      <c r="Y436" s="17"/>
      <c r="Z436" s="17"/>
      <c r="AA436" s="17"/>
      <c r="AB436" s="17"/>
      <c r="AC436" s="17"/>
      <c r="AD436" s="17"/>
      <c r="AE436" s="17"/>
      <c r="AF436" s="17"/>
      <c r="AG436" s="17"/>
      <c r="AH436" s="17"/>
      <c r="AI436" s="17"/>
      <c r="AJ436" s="17"/>
      <c r="AK436" s="17"/>
      <c r="AL436" s="17"/>
      <c r="AM436" s="17"/>
      <c r="AN436" s="17"/>
      <c r="AO436" s="17"/>
      <c r="AP436" s="1"/>
      <c r="AQ436" s="1"/>
    </row>
    <row r="437" spans="1:43" x14ac:dyDescent="0.35">
      <c r="A437" s="6"/>
      <c r="B437" s="13"/>
      <c r="C437" s="81"/>
      <c r="D437" s="4"/>
      <c r="E437" s="8"/>
      <c r="F437" s="17"/>
      <c r="G437" s="17"/>
      <c r="H437" s="17"/>
      <c r="I437" s="17"/>
      <c r="J437" s="17"/>
      <c r="K437" s="17"/>
      <c r="L437" s="17"/>
      <c r="M437" s="17"/>
      <c r="N437" s="17"/>
      <c r="O437" s="17"/>
      <c r="P437" s="17"/>
      <c r="Q437" s="17"/>
      <c r="R437" s="17"/>
      <c r="S437" s="17"/>
      <c r="T437" s="17"/>
      <c r="U437" s="17"/>
      <c r="V437" s="17"/>
      <c r="W437" s="17"/>
      <c r="X437" s="17"/>
      <c r="Y437" s="17"/>
      <c r="Z437" s="17"/>
      <c r="AA437" s="17"/>
      <c r="AB437" s="17"/>
      <c r="AC437" s="17"/>
      <c r="AD437" s="17"/>
      <c r="AE437" s="17"/>
      <c r="AF437" s="17"/>
      <c r="AG437" s="17"/>
      <c r="AH437" s="17"/>
      <c r="AI437" s="17"/>
      <c r="AJ437" s="17"/>
      <c r="AK437" s="17"/>
      <c r="AL437" s="17"/>
      <c r="AM437" s="17"/>
      <c r="AN437" s="17"/>
      <c r="AO437" s="17"/>
      <c r="AP437" s="1"/>
      <c r="AQ437" s="1"/>
    </row>
    <row r="438" spans="1:43" x14ac:dyDescent="0.35">
      <c r="A438" s="6"/>
      <c r="B438" s="13"/>
      <c r="C438" s="81"/>
      <c r="D438" s="4"/>
      <c r="E438" s="8"/>
      <c r="F438" s="17"/>
      <c r="G438" s="17"/>
      <c r="H438" s="17"/>
      <c r="I438" s="17"/>
      <c r="J438" s="17"/>
      <c r="K438" s="17"/>
      <c r="L438" s="17"/>
      <c r="M438" s="17"/>
      <c r="N438" s="17"/>
      <c r="O438" s="17"/>
      <c r="P438" s="17"/>
      <c r="Q438" s="17"/>
      <c r="R438" s="17"/>
      <c r="S438" s="17"/>
      <c r="T438" s="17"/>
      <c r="U438" s="17"/>
      <c r="V438" s="17"/>
      <c r="W438" s="17"/>
      <c r="X438" s="17"/>
      <c r="Y438" s="17"/>
      <c r="Z438" s="17"/>
      <c r="AA438" s="17"/>
      <c r="AB438" s="17"/>
      <c r="AC438" s="17"/>
      <c r="AD438" s="17"/>
      <c r="AE438" s="17"/>
      <c r="AF438" s="17"/>
      <c r="AG438" s="17"/>
      <c r="AH438" s="17"/>
      <c r="AI438" s="17"/>
      <c r="AJ438" s="17"/>
      <c r="AK438" s="17"/>
      <c r="AL438" s="17"/>
      <c r="AM438" s="17"/>
      <c r="AN438" s="17"/>
      <c r="AO438" s="17"/>
      <c r="AP438" s="1"/>
      <c r="AQ438" s="1"/>
    </row>
    <row r="439" spans="1:43" x14ac:dyDescent="0.35">
      <c r="A439" s="6"/>
      <c r="B439" s="13"/>
      <c r="C439" s="81"/>
      <c r="D439" s="4"/>
      <c r="E439" s="8"/>
      <c r="F439" s="17"/>
      <c r="G439" s="17"/>
      <c r="H439" s="17"/>
      <c r="I439" s="17"/>
      <c r="J439" s="17"/>
      <c r="K439" s="17"/>
      <c r="L439" s="17"/>
      <c r="M439" s="17"/>
      <c r="N439" s="17"/>
      <c r="O439" s="17"/>
      <c r="P439" s="17"/>
      <c r="Q439" s="17"/>
      <c r="R439" s="17"/>
      <c r="S439" s="17"/>
      <c r="T439" s="17"/>
      <c r="U439" s="17"/>
      <c r="V439" s="17"/>
      <c r="W439" s="17"/>
      <c r="X439" s="17"/>
      <c r="Y439" s="17"/>
      <c r="Z439" s="17"/>
      <c r="AA439" s="17"/>
      <c r="AB439" s="17"/>
      <c r="AC439" s="17"/>
      <c r="AD439" s="17"/>
      <c r="AE439" s="17"/>
      <c r="AF439" s="17"/>
      <c r="AG439" s="17"/>
      <c r="AH439" s="17"/>
      <c r="AI439" s="17"/>
      <c r="AJ439" s="17"/>
      <c r="AK439" s="17"/>
      <c r="AL439" s="17"/>
      <c r="AM439" s="17"/>
      <c r="AN439" s="17"/>
      <c r="AO439" s="17"/>
      <c r="AP439" s="1"/>
      <c r="AQ439" s="1"/>
    </row>
    <row r="440" spans="1:43" x14ac:dyDescent="0.35">
      <c r="A440" s="6"/>
      <c r="B440" s="13"/>
      <c r="C440" s="81"/>
      <c r="D440" s="4"/>
      <c r="E440" s="8"/>
      <c r="F440" s="17"/>
      <c r="G440" s="17"/>
      <c r="H440" s="17"/>
      <c r="I440" s="17"/>
      <c r="J440" s="17"/>
      <c r="K440" s="17"/>
      <c r="L440" s="17"/>
      <c r="M440" s="17"/>
      <c r="N440" s="17"/>
      <c r="O440" s="17"/>
      <c r="P440" s="17"/>
      <c r="Q440" s="17"/>
      <c r="R440" s="17"/>
      <c r="S440" s="17"/>
      <c r="T440" s="17"/>
      <c r="U440" s="17"/>
      <c r="V440" s="17"/>
      <c r="W440" s="17"/>
      <c r="X440" s="17"/>
      <c r="Y440" s="17"/>
      <c r="Z440" s="17"/>
      <c r="AA440" s="17"/>
      <c r="AB440" s="17"/>
      <c r="AC440" s="17"/>
      <c r="AD440" s="17"/>
      <c r="AE440" s="17"/>
      <c r="AF440" s="17"/>
      <c r="AG440" s="17"/>
      <c r="AH440" s="17"/>
      <c r="AI440" s="17"/>
      <c r="AJ440" s="17"/>
      <c r="AK440" s="17"/>
      <c r="AL440" s="17"/>
      <c r="AM440" s="17"/>
      <c r="AN440" s="17"/>
      <c r="AO440" s="17"/>
      <c r="AP440" s="1"/>
      <c r="AQ440" s="1"/>
    </row>
    <row r="441" spans="1:43" x14ac:dyDescent="0.35">
      <c r="A441" s="6"/>
      <c r="B441" s="13"/>
      <c r="C441" s="81"/>
      <c r="D441" s="4"/>
      <c r="E441" s="8"/>
      <c r="F441" s="17"/>
      <c r="G441" s="17"/>
      <c r="H441" s="17"/>
      <c r="I441" s="17"/>
      <c r="J441" s="17"/>
      <c r="K441" s="17"/>
      <c r="L441" s="17"/>
      <c r="M441" s="17"/>
      <c r="N441" s="17"/>
      <c r="O441" s="17"/>
      <c r="P441" s="17"/>
      <c r="Q441" s="17"/>
      <c r="R441" s="17"/>
      <c r="S441" s="17"/>
      <c r="T441" s="17"/>
      <c r="U441" s="17"/>
      <c r="V441" s="17"/>
      <c r="W441" s="17"/>
      <c r="X441" s="17"/>
      <c r="Y441" s="17"/>
      <c r="Z441" s="17"/>
      <c r="AA441" s="17"/>
      <c r="AB441" s="17"/>
      <c r="AC441" s="17"/>
      <c r="AD441" s="17"/>
      <c r="AE441" s="17"/>
      <c r="AF441" s="17"/>
      <c r="AG441" s="17"/>
      <c r="AH441" s="17"/>
      <c r="AI441" s="17"/>
      <c r="AJ441" s="17"/>
      <c r="AK441" s="17"/>
      <c r="AL441" s="17"/>
      <c r="AM441" s="17"/>
      <c r="AN441" s="17"/>
      <c r="AO441" s="17"/>
      <c r="AP441" s="1"/>
      <c r="AQ441" s="1"/>
    </row>
    <row r="442" spans="1:43" x14ac:dyDescent="0.35">
      <c r="A442" s="6"/>
      <c r="B442" s="13"/>
      <c r="C442" s="81"/>
      <c r="D442" s="4"/>
      <c r="E442" s="8"/>
      <c r="F442" s="17"/>
      <c r="G442" s="17"/>
      <c r="H442" s="17"/>
      <c r="I442" s="17"/>
      <c r="J442" s="17"/>
      <c r="K442" s="17"/>
      <c r="L442" s="17"/>
      <c r="M442" s="17"/>
      <c r="N442" s="17"/>
      <c r="O442" s="17"/>
      <c r="P442" s="17"/>
      <c r="Q442" s="17"/>
      <c r="R442" s="17"/>
      <c r="S442" s="17"/>
      <c r="T442" s="17"/>
      <c r="U442" s="17"/>
      <c r="V442" s="17"/>
      <c r="W442" s="17"/>
      <c r="X442" s="17"/>
      <c r="Y442" s="17"/>
      <c r="Z442" s="17"/>
      <c r="AA442" s="17"/>
      <c r="AB442" s="17"/>
      <c r="AC442" s="17"/>
      <c r="AD442" s="17"/>
      <c r="AE442" s="17"/>
      <c r="AF442" s="17"/>
      <c r="AG442" s="17"/>
      <c r="AH442" s="17"/>
      <c r="AI442" s="17"/>
      <c r="AJ442" s="17"/>
      <c r="AK442" s="17"/>
      <c r="AL442" s="17"/>
      <c r="AM442" s="17"/>
      <c r="AN442" s="17"/>
      <c r="AO442" s="17"/>
      <c r="AP442" s="1"/>
      <c r="AQ442" s="1"/>
    </row>
    <row r="443" spans="1:43" x14ac:dyDescent="0.35">
      <c r="A443" s="6"/>
      <c r="B443" s="13"/>
      <c r="C443" s="81"/>
      <c r="D443" s="4"/>
      <c r="E443" s="8"/>
      <c r="F443" s="17"/>
      <c r="G443" s="17"/>
      <c r="H443" s="17"/>
      <c r="I443" s="17"/>
      <c r="J443" s="17"/>
      <c r="K443" s="17"/>
      <c r="L443" s="17"/>
      <c r="M443" s="17"/>
      <c r="N443" s="17"/>
      <c r="O443" s="17"/>
      <c r="P443" s="17"/>
      <c r="Q443" s="17"/>
      <c r="R443" s="17"/>
      <c r="S443" s="17"/>
      <c r="T443" s="17"/>
      <c r="U443" s="17"/>
      <c r="V443" s="17"/>
      <c r="W443" s="17"/>
      <c r="X443" s="17"/>
      <c r="Y443" s="17"/>
      <c r="Z443" s="17"/>
      <c r="AA443" s="17"/>
      <c r="AB443" s="17"/>
      <c r="AC443" s="17"/>
      <c r="AD443" s="17"/>
      <c r="AE443" s="17"/>
      <c r="AF443" s="17"/>
      <c r="AG443" s="17"/>
      <c r="AH443" s="17"/>
      <c r="AI443" s="17"/>
      <c r="AJ443" s="17"/>
      <c r="AK443" s="17"/>
      <c r="AL443" s="17"/>
      <c r="AM443" s="17"/>
      <c r="AN443" s="17"/>
      <c r="AO443" s="17"/>
      <c r="AP443" s="1"/>
      <c r="AQ443" s="1"/>
    </row>
    <row r="444" spans="1:43" x14ac:dyDescent="0.35">
      <c r="A444" s="6"/>
      <c r="B444" s="13"/>
      <c r="C444" s="81"/>
      <c r="D444" s="4"/>
      <c r="E444" s="8"/>
      <c r="F444" s="17"/>
      <c r="G444" s="17"/>
      <c r="H444" s="17"/>
      <c r="I444" s="17"/>
      <c r="J444" s="17"/>
      <c r="K444" s="17"/>
      <c r="L444" s="17"/>
      <c r="M444" s="17"/>
      <c r="N444" s="17"/>
      <c r="O444" s="17"/>
      <c r="P444" s="17"/>
      <c r="Q444" s="17"/>
      <c r="R444" s="17"/>
      <c r="S444" s="17"/>
      <c r="T444" s="17"/>
      <c r="U444" s="17"/>
      <c r="V444" s="17"/>
      <c r="W444" s="17"/>
      <c r="X444" s="17"/>
      <c r="Y444" s="17"/>
      <c r="Z444" s="17"/>
      <c r="AA444" s="17"/>
      <c r="AB444" s="17"/>
      <c r="AC444" s="17"/>
      <c r="AD444" s="17"/>
      <c r="AE444" s="17"/>
      <c r="AF444" s="17"/>
      <c r="AG444" s="17"/>
      <c r="AH444" s="17"/>
      <c r="AI444" s="17"/>
      <c r="AJ444" s="17"/>
      <c r="AK444" s="17"/>
      <c r="AL444" s="17"/>
      <c r="AM444" s="17"/>
      <c r="AN444" s="17"/>
      <c r="AO444" s="17"/>
      <c r="AP444" s="1"/>
      <c r="AQ444" s="1"/>
    </row>
    <row r="445" spans="1:43" x14ac:dyDescent="0.35">
      <c r="A445" s="6"/>
      <c r="B445" s="13"/>
      <c r="C445" s="81"/>
      <c r="D445" s="4"/>
      <c r="E445" s="8"/>
      <c r="F445" s="17"/>
      <c r="G445" s="17"/>
      <c r="H445" s="17"/>
      <c r="I445" s="17"/>
      <c r="J445" s="17"/>
      <c r="K445" s="17"/>
      <c r="L445" s="17"/>
      <c r="M445" s="17"/>
      <c r="N445" s="17"/>
      <c r="O445" s="17"/>
      <c r="P445" s="17"/>
      <c r="Q445" s="17"/>
      <c r="R445" s="17"/>
      <c r="S445" s="17"/>
      <c r="T445" s="17"/>
      <c r="U445" s="17"/>
      <c r="V445" s="17"/>
      <c r="W445" s="17"/>
      <c r="X445" s="17"/>
      <c r="Y445" s="17"/>
      <c r="Z445" s="17"/>
      <c r="AA445" s="17"/>
      <c r="AB445" s="17"/>
      <c r="AC445" s="17"/>
      <c r="AD445" s="17"/>
      <c r="AE445" s="17"/>
      <c r="AF445" s="17"/>
      <c r="AG445" s="17"/>
      <c r="AH445" s="17"/>
      <c r="AI445" s="17"/>
      <c r="AJ445" s="17"/>
      <c r="AK445" s="17"/>
      <c r="AL445" s="17"/>
      <c r="AM445" s="17"/>
      <c r="AN445" s="17"/>
      <c r="AO445" s="17"/>
      <c r="AP445" s="1"/>
      <c r="AQ445" s="1"/>
    </row>
    <row r="446" spans="1:43" x14ac:dyDescent="0.35">
      <c r="A446" s="6"/>
      <c r="B446" s="13"/>
      <c r="C446" s="81"/>
      <c r="D446" s="4"/>
      <c r="E446" s="8"/>
      <c r="F446" s="17"/>
      <c r="G446" s="17"/>
      <c r="H446" s="17"/>
      <c r="I446" s="17"/>
      <c r="J446" s="17"/>
      <c r="K446" s="17"/>
      <c r="L446" s="17"/>
      <c r="M446" s="17"/>
      <c r="N446" s="17"/>
      <c r="O446" s="17"/>
      <c r="P446" s="17"/>
      <c r="Q446" s="17"/>
      <c r="R446" s="17"/>
      <c r="S446" s="17"/>
      <c r="T446" s="17"/>
      <c r="U446" s="17"/>
      <c r="V446" s="17"/>
      <c r="W446" s="17"/>
      <c r="X446" s="17"/>
      <c r="Y446" s="17"/>
      <c r="Z446" s="17"/>
      <c r="AA446" s="17"/>
      <c r="AB446" s="17"/>
      <c r="AC446" s="17"/>
      <c r="AD446" s="17"/>
      <c r="AE446" s="17"/>
      <c r="AF446" s="17"/>
      <c r="AG446" s="17"/>
      <c r="AH446" s="17"/>
      <c r="AI446" s="17"/>
      <c r="AJ446" s="17"/>
      <c r="AK446" s="17"/>
      <c r="AL446" s="17"/>
      <c r="AM446" s="17"/>
      <c r="AN446" s="17"/>
      <c r="AO446" s="17"/>
      <c r="AP446" s="1"/>
      <c r="AQ446" s="1"/>
    </row>
    <row r="447" spans="1:43" x14ac:dyDescent="0.35">
      <c r="A447" s="6"/>
      <c r="B447" s="13"/>
      <c r="C447" s="81"/>
      <c r="D447" s="4"/>
      <c r="E447" s="8"/>
      <c r="F447" s="17"/>
      <c r="G447" s="17"/>
      <c r="H447" s="17"/>
      <c r="I447" s="17"/>
      <c r="J447" s="17"/>
      <c r="K447" s="17"/>
      <c r="L447" s="17"/>
      <c r="M447" s="17"/>
      <c r="N447" s="17"/>
      <c r="O447" s="17"/>
      <c r="P447" s="17"/>
      <c r="Q447" s="17"/>
      <c r="R447" s="17"/>
      <c r="S447" s="17"/>
      <c r="T447" s="17"/>
      <c r="U447" s="17"/>
      <c r="V447" s="17"/>
      <c r="W447" s="17"/>
      <c r="X447" s="17"/>
      <c r="Y447" s="17"/>
      <c r="Z447" s="17"/>
      <c r="AA447" s="17"/>
      <c r="AB447" s="17"/>
      <c r="AC447" s="17"/>
      <c r="AD447" s="17"/>
      <c r="AE447" s="17"/>
      <c r="AF447" s="17"/>
      <c r="AG447" s="17"/>
      <c r="AH447" s="17"/>
      <c r="AI447" s="17"/>
      <c r="AJ447" s="17"/>
      <c r="AK447" s="17"/>
      <c r="AL447" s="17"/>
      <c r="AM447" s="17"/>
      <c r="AN447" s="17"/>
      <c r="AO447" s="17"/>
      <c r="AP447" s="1"/>
      <c r="AQ447" s="1"/>
    </row>
    <row r="448" spans="1:43" x14ac:dyDescent="0.35">
      <c r="A448" s="6"/>
      <c r="B448" s="13"/>
      <c r="C448" s="81"/>
      <c r="D448" s="4"/>
      <c r="E448" s="8"/>
      <c r="F448" s="17"/>
      <c r="G448" s="17"/>
      <c r="H448" s="17"/>
      <c r="I448" s="17"/>
      <c r="J448" s="17"/>
      <c r="K448" s="17"/>
      <c r="L448" s="17"/>
      <c r="M448" s="17"/>
      <c r="N448" s="17"/>
      <c r="O448" s="17"/>
      <c r="P448" s="17"/>
      <c r="Q448" s="17"/>
      <c r="R448" s="17"/>
      <c r="S448" s="17"/>
      <c r="T448" s="17"/>
      <c r="U448" s="17"/>
      <c r="V448" s="17"/>
      <c r="W448" s="17"/>
      <c r="X448" s="17"/>
      <c r="Y448" s="17"/>
      <c r="Z448" s="17"/>
      <c r="AA448" s="17"/>
      <c r="AB448" s="17"/>
      <c r="AC448" s="17"/>
      <c r="AD448" s="17"/>
      <c r="AE448" s="17"/>
      <c r="AF448" s="17"/>
      <c r="AG448" s="17"/>
      <c r="AH448" s="17"/>
      <c r="AI448" s="17"/>
      <c r="AJ448" s="17"/>
      <c r="AK448" s="17"/>
      <c r="AL448" s="17"/>
      <c r="AM448" s="17"/>
      <c r="AN448" s="17"/>
      <c r="AO448" s="17"/>
      <c r="AP448" s="1"/>
      <c r="AQ448" s="1"/>
    </row>
    <row r="449" spans="1:43" x14ac:dyDescent="0.35">
      <c r="A449" s="6"/>
      <c r="B449" s="13"/>
      <c r="C449" s="81"/>
      <c r="D449" s="4"/>
      <c r="E449" s="8"/>
      <c r="F449" s="17"/>
      <c r="G449" s="17"/>
      <c r="H449" s="17"/>
      <c r="I449" s="17"/>
      <c r="J449" s="17"/>
      <c r="K449" s="17"/>
      <c r="L449" s="17"/>
      <c r="M449" s="17"/>
      <c r="N449" s="17"/>
      <c r="O449" s="17"/>
      <c r="P449" s="17"/>
      <c r="Q449" s="17"/>
      <c r="R449" s="17"/>
      <c r="S449" s="17"/>
      <c r="T449" s="17"/>
      <c r="U449" s="17"/>
      <c r="V449" s="17"/>
      <c r="W449" s="17"/>
      <c r="X449" s="17"/>
      <c r="Y449" s="17"/>
      <c r="Z449" s="17"/>
      <c r="AA449" s="17"/>
      <c r="AB449" s="17"/>
      <c r="AC449" s="17"/>
      <c r="AD449" s="17"/>
      <c r="AE449" s="17"/>
      <c r="AF449" s="17"/>
      <c r="AG449" s="17"/>
      <c r="AH449" s="17"/>
      <c r="AI449" s="17"/>
      <c r="AJ449" s="17"/>
      <c r="AK449" s="17"/>
      <c r="AL449" s="17"/>
      <c r="AM449" s="17"/>
      <c r="AN449" s="17"/>
      <c r="AO449" s="17"/>
      <c r="AP449" s="1"/>
      <c r="AQ449" s="1"/>
    </row>
    <row r="450" spans="1:43" x14ac:dyDescent="0.35">
      <c r="A450" s="6"/>
      <c r="B450" s="13"/>
      <c r="C450" s="81"/>
      <c r="D450" s="4"/>
      <c r="E450" s="8"/>
      <c r="F450" s="17"/>
      <c r="G450" s="17"/>
      <c r="H450" s="17"/>
      <c r="I450" s="17"/>
      <c r="J450" s="17"/>
      <c r="K450" s="17"/>
      <c r="L450" s="17"/>
      <c r="M450" s="17"/>
      <c r="N450" s="17"/>
      <c r="O450" s="17"/>
      <c r="P450" s="17"/>
      <c r="Q450" s="17"/>
      <c r="R450" s="17"/>
      <c r="S450" s="17"/>
      <c r="T450" s="17"/>
      <c r="U450" s="17"/>
      <c r="V450" s="17"/>
      <c r="W450" s="17"/>
      <c r="X450" s="17"/>
      <c r="Y450" s="17"/>
      <c r="Z450" s="17"/>
      <c r="AA450" s="17"/>
      <c r="AB450" s="17"/>
      <c r="AC450" s="17"/>
      <c r="AD450" s="17"/>
      <c r="AE450" s="17"/>
      <c r="AF450" s="17"/>
      <c r="AG450" s="17"/>
      <c r="AH450" s="17"/>
      <c r="AI450" s="17"/>
      <c r="AJ450" s="17"/>
      <c r="AK450" s="17"/>
      <c r="AL450" s="17"/>
      <c r="AM450" s="17"/>
      <c r="AN450" s="17"/>
      <c r="AO450" s="17"/>
      <c r="AP450" s="1"/>
      <c r="AQ450" s="1"/>
    </row>
    <row r="451" spans="1:43" x14ac:dyDescent="0.35">
      <c r="A451" s="6"/>
      <c r="B451" s="13"/>
      <c r="C451" s="81"/>
      <c r="D451" s="4"/>
      <c r="E451" s="8"/>
      <c r="F451" s="17"/>
      <c r="G451" s="17"/>
      <c r="H451" s="17"/>
      <c r="I451" s="17"/>
      <c r="J451" s="17"/>
      <c r="K451" s="17"/>
      <c r="L451" s="17"/>
      <c r="M451" s="17"/>
      <c r="N451" s="17"/>
      <c r="O451" s="17"/>
      <c r="P451" s="17"/>
      <c r="Q451" s="17"/>
      <c r="R451" s="17"/>
      <c r="S451" s="17"/>
      <c r="T451" s="17"/>
      <c r="U451" s="17"/>
      <c r="V451" s="17"/>
      <c r="W451" s="17"/>
      <c r="X451" s="17"/>
      <c r="Y451" s="17"/>
      <c r="Z451" s="17"/>
      <c r="AA451" s="17"/>
      <c r="AB451" s="17"/>
      <c r="AC451" s="17"/>
      <c r="AD451" s="17"/>
      <c r="AE451" s="17"/>
      <c r="AF451" s="17"/>
      <c r="AG451" s="17"/>
      <c r="AH451" s="17"/>
      <c r="AI451" s="17"/>
      <c r="AJ451" s="17"/>
      <c r="AK451" s="17"/>
      <c r="AL451" s="17"/>
      <c r="AM451" s="17"/>
      <c r="AN451" s="17"/>
      <c r="AO451" s="17"/>
      <c r="AP451" s="1"/>
      <c r="AQ451" s="1"/>
    </row>
    <row r="452" spans="1:43" x14ac:dyDescent="0.35">
      <c r="A452" s="6"/>
      <c r="B452" s="13"/>
      <c r="C452" s="81"/>
      <c r="D452" s="4"/>
      <c r="E452" s="8"/>
      <c r="F452" s="17"/>
      <c r="G452" s="17"/>
      <c r="H452" s="17"/>
      <c r="I452" s="17"/>
      <c r="J452" s="17"/>
      <c r="K452" s="17"/>
      <c r="L452" s="17"/>
      <c r="M452" s="17"/>
      <c r="N452" s="17"/>
      <c r="O452" s="17"/>
      <c r="P452" s="17"/>
      <c r="Q452" s="17"/>
      <c r="R452" s="17"/>
      <c r="S452" s="17"/>
      <c r="T452" s="17"/>
      <c r="U452" s="17"/>
      <c r="V452" s="17"/>
      <c r="W452" s="17"/>
      <c r="X452" s="17"/>
      <c r="Y452" s="17"/>
      <c r="Z452" s="17"/>
      <c r="AA452" s="17"/>
      <c r="AB452" s="17"/>
      <c r="AC452" s="17"/>
      <c r="AD452" s="17"/>
      <c r="AE452" s="17"/>
      <c r="AF452" s="17"/>
      <c r="AG452" s="17"/>
      <c r="AH452" s="17"/>
      <c r="AI452" s="17"/>
      <c r="AJ452" s="17"/>
      <c r="AK452" s="17"/>
      <c r="AL452" s="17"/>
      <c r="AM452" s="17"/>
      <c r="AN452" s="17"/>
      <c r="AO452" s="17"/>
      <c r="AP452" s="1"/>
      <c r="AQ452" s="1"/>
    </row>
    <row r="453" spans="1:43" x14ac:dyDescent="0.35">
      <c r="A453" s="6"/>
      <c r="B453" s="13"/>
      <c r="C453" s="81"/>
      <c r="D453" s="4"/>
      <c r="E453" s="8"/>
      <c r="F453" s="17"/>
      <c r="G453" s="17"/>
      <c r="H453" s="17"/>
      <c r="I453" s="17"/>
      <c r="J453" s="17"/>
      <c r="K453" s="17"/>
      <c r="L453" s="17"/>
      <c r="M453" s="17"/>
      <c r="N453" s="17"/>
      <c r="O453" s="17"/>
      <c r="P453" s="17"/>
      <c r="Q453" s="17"/>
      <c r="R453" s="17"/>
      <c r="S453" s="17"/>
      <c r="T453" s="17"/>
      <c r="U453" s="17"/>
      <c r="V453" s="17"/>
      <c r="W453" s="17"/>
      <c r="X453" s="17"/>
      <c r="Y453" s="17"/>
      <c r="Z453" s="17"/>
      <c r="AA453" s="17"/>
      <c r="AB453" s="17"/>
      <c r="AC453" s="17"/>
      <c r="AD453" s="17"/>
      <c r="AE453" s="17"/>
      <c r="AF453" s="17"/>
      <c r="AG453" s="17"/>
      <c r="AH453" s="17"/>
      <c r="AI453" s="17"/>
      <c r="AJ453" s="17"/>
      <c r="AK453" s="17"/>
      <c r="AL453" s="17"/>
      <c r="AM453" s="17"/>
      <c r="AN453" s="17"/>
      <c r="AO453" s="17"/>
      <c r="AP453" s="1"/>
      <c r="AQ453" s="1"/>
    </row>
    <row r="454" spans="1:43" x14ac:dyDescent="0.35">
      <c r="A454" s="6"/>
      <c r="B454" s="13"/>
      <c r="C454" s="81"/>
      <c r="D454" s="4"/>
      <c r="E454" s="8"/>
      <c r="F454" s="17"/>
      <c r="G454" s="17"/>
      <c r="H454" s="17"/>
      <c r="I454" s="17"/>
      <c r="J454" s="17"/>
      <c r="K454" s="17"/>
      <c r="L454" s="17"/>
      <c r="M454" s="17"/>
      <c r="N454" s="17"/>
      <c r="O454" s="17"/>
      <c r="P454" s="17"/>
      <c r="Q454" s="17"/>
      <c r="R454" s="17"/>
      <c r="S454" s="17"/>
      <c r="T454" s="17"/>
      <c r="U454" s="17"/>
      <c r="V454" s="17"/>
      <c r="W454" s="17"/>
      <c r="X454" s="17"/>
      <c r="Y454" s="17"/>
      <c r="Z454" s="17"/>
      <c r="AA454" s="17"/>
      <c r="AB454" s="17"/>
      <c r="AC454" s="17"/>
      <c r="AD454" s="17"/>
      <c r="AE454" s="17"/>
      <c r="AF454" s="17"/>
      <c r="AG454" s="17"/>
      <c r="AH454" s="17"/>
      <c r="AI454" s="17"/>
      <c r="AJ454" s="17"/>
      <c r="AK454" s="17"/>
      <c r="AL454" s="17"/>
      <c r="AM454" s="17"/>
      <c r="AN454" s="17"/>
      <c r="AO454" s="17"/>
      <c r="AP454" s="1"/>
      <c r="AQ454" s="1"/>
    </row>
    <row r="455" spans="1:43" x14ac:dyDescent="0.35">
      <c r="A455" s="6"/>
      <c r="B455" s="13"/>
      <c r="C455" s="81"/>
      <c r="D455" s="4"/>
      <c r="E455" s="8"/>
      <c r="F455" s="17"/>
      <c r="G455" s="17"/>
      <c r="H455" s="17"/>
      <c r="I455" s="17"/>
      <c r="J455" s="17"/>
      <c r="K455" s="17"/>
      <c r="L455" s="17"/>
      <c r="M455" s="17"/>
      <c r="N455" s="17"/>
      <c r="O455" s="17"/>
      <c r="P455" s="17"/>
      <c r="Q455" s="17"/>
      <c r="R455" s="17"/>
      <c r="S455" s="17"/>
      <c r="T455" s="17"/>
      <c r="U455" s="17"/>
      <c r="V455" s="17"/>
      <c r="W455" s="17"/>
      <c r="X455" s="17"/>
      <c r="Y455" s="17"/>
      <c r="Z455" s="17"/>
      <c r="AA455" s="17"/>
      <c r="AB455" s="17"/>
      <c r="AC455" s="17"/>
      <c r="AD455" s="17"/>
      <c r="AE455" s="17"/>
      <c r="AF455" s="17"/>
      <c r="AG455" s="17"/>
      <c r="AH455" s="17"/>
      <c r="AI455" s="17"/>
      <c r="AJ455" s="17"/>
      <c r="AK455" s="17"/>
      <c r="AL455" s="17"/>
      <c r="AM455" s="17"/>
      <c r="AN455" s="17"/>
      <c r="AO455" s="17"/>
      <c r="AP455" s="1"/>
      <c r="AQ455" s="1"/>
    </row>
    <row r="456" spans="1:43" x14ac:dyDescent="0.35">
      <c r="A456" s="6"/>
      <c r="B456" s="13"/>
      <c r="C456" s="81"/>
      <c r="D456" s="4"/>
      <c r="E456" s="8"/>
      <c r="F456" s="17"/>
      <c r="G456" s="17"/>
      <c r="H456" s="17"/>
      <c r="I456" s="17"/>
      <c r="J456" s="17"/>
      <c r="K456" s="17"/>
      <c r="L456" s="17"/>
      <c r="M456" s="17"/>
      <c r="N456" s="17"/>
      <c r="O456" s="17"/>
      <c r="P456" s="17"/>
      <c r="Q456" s="17"/>
      <c r="R456" s="17"/>
      <c r="S456" s="17"/>
      <c r="T456" s="17"/>
      <c r="U456" s="17"/>
      <c r="V456" s="17"/>
      <c r="W456" s="17"/>
      <c r="X456" s="17"/>
      <c r="Y456" s="17"/>
      <c r="Z456" s="17"/>
      <c r="AA456" s="17"/>
      <c r="AB456" s="17"/>
      <c r="AC456" s="17"/>
      <c r="AD456" s="17"/>
      <c r="AE456" s="17"/>
      <c r="AF456" s="17"/>
      <c r="AG456" s="17"/>
      <c r="AH456" s="17"/>
      <c r="AI456" s="17"/>
      <c r="AJ456" s="17"/>
      <c r="AK456" s="17"/>
      <c r="AL456" s="17"/>
      <c r="AM456" s="17"/>
      <c r="AN456" s="17"/>
      <c r="AO456" s="17"/>
      <c r="AP456" s="1"/>
      <c r="AQ456" s="1"/>
    </row>
    <row r="457" spans="1:43" x14ac:dyDescent="0.35">
      <c r="A457" s="6"/>
      <c r="B457" s="13"/>
      <c r="C457" s="81"/>
      <c r="D457" s="4"/>
      <c r="E457" s="8"/>
      <c r="F457" s="17"/>
      <c r="G457" s="17"/>
      <c r="H457" s="17"/>
      <c r="I457" s="17"/>
      <c r="J457" s="17"/>
      <c r="K457" s="17"/>
      <c r="L457" s="17"/>
      <c r="M457" s="17"/>
      <c r="N457" s="17"/>
      <c r="O457" s="17"/>
      <c r="P457" s="17"/>
      <c r="Q457" s="17"/>
      <c r="R457" s="17"/>
      <c r="S457" s="17"/>
      <c r="T457" s="17"/>
      <c r="U457" s="17"/>
      <c r="V457" s="17"/>
      <c r="W457" s="17"/>
      <c r="X457" s="17"/>
      <c r="Y457" s="17"/>
      <c r="Z457" s="17"/>
      <c r="AA457" s="17"/>
      <c r="AB457" s="17"/>
      <c r="AC457" s="17"/>
      <c r="AD457" s="17"/>
      <c r="AE457" s="17"/>
      <c r="AF457" s="17"/>
      <c r="AG457" s="17"/>
      <c r="AH457" s="17"/>
      <c r="AI457" s="17"/>
      <c r="AJ457" s="17"/>
      <c r="AK457" s="17"/>
      <c r="AL457" s="17"/>
      <c r="AM457" s="17"/>
      <c r="AN457" s="17"/>
      <c r="AO457" s="17"/>
      <c r="AP457" s="1"/>
      <c r="AQ457" s="1"/>
    </row>
    <row r="458" spans="1:43" x14ac:dyDescent="0.35">
      <c r="A458" s="6"/>
      <c r="B458" s="13"/>
      <c r="C458" s="81"/>
      <c r="D458" s="4"/>
      <c r="E458" s="8"/>
      <c r="F458" s="17"/>
      <c r="G458" s="17"/>
      <c r="H458" s="17"/>
      <c r="I458" s="17"/>
      <c r="J458" s="17"/>
      <c r="K458" s="17"/>
      <c r="L458" s="17"/>
      <c r="M458" s="17"/>
      <c r="N458" s="17"/>
      <c r="O458" s="17"/>
      <c r="P458" s="17"/>
      <c r="Q458" s="17"/>
      <c r="R458" s="17"/>
      <c r="S458" s="17"/>
      <c r="T458" s="17"/>
      <c r="U458" s="17"/>
      <c r="V458" s="17"/>
      <c r="W458" s="17"/>
      <c r="X458" s="17"/>
      <c r="Y458" s="17"/>
      <c r="Z458" s="17"/>
      <c r="AA458" s="17"/>
      <c r="AB458" s="17"/>
      <c r="AC458" s="17"/>
      <c r="AD458" s="17"/>
      <c r="AE458" s="17"/>
      <c r="AF458" s="17"/>
      <c r="AG458" s="17"/>
      <c r="AH458" s="17"/>
      <c r="AI458" s="17"/>
      <c r="AJ458" s="17"/>
      <c r="AK458" s="17"/>
      <c r="AL458" s="17"/>
      <c r="AM458" s="17"/>
      <c r="AN458" s="17"/>
      <c r="AO458" s="17"/>
      <c r="AP458" s="1"/>
      <c r="AQ458" s="1"/>
    </row>
    <row r="459" spans="1:43" x14ac:dyDescent="0.35">
      <c r="A459" s="6"/>
      <c r="B459" s="13"/>
      <c r="C459" s="81"/>
      <c r="D459" s="4"/>
      <c r="E459" s="8"/>
      <c r="F459" s="17"/>
      <c r="G459" s="17"/>
      <c r="H459" s="17"/>
      <c r="I459" s="17"/>
      <c r="J459" s="17"/>
      <c r="K459" s="17"/>
      <c r="L459" s="17"/>
      <c r="M459" s="17"/>
      <c r="N459" s="17"/>
      <c r="O459" s="17"/>
      <c r="P459" s="17"/>
      <c r="Q459" s="17"/>
      <c r="R459" s="17"/>
      <c r="S459" s="17"/>
      <c r="T459" s="17"/>
      <c r="U459" s="17"/>
      <c r="V459" s="17"/>
      <c r="W459" s="17"/>
      <c r="X459" s="17"/>
      <c r="Y459" s="17"/>
      <c r="Z459" s="17"/>
      <c r="AA459" s="17"/>
      <c r="AB459" s="17"/>
      <c r="AC459" s="17"/>
      <c r="AD459" s="17"/>
      <c r="AE459" s="17"/>
      <c r="AF459" s="17"/>
      <c r="AG459" s="17"/>
      <c r="AH459" s="17"/>
      <c r="AI459" s="17"/>
      <c r="AJ459" s="17"/>
      <c r="AK459" s="17"/>
      <c r="AL459" s="17"/>
      <c r="AM459" s="17"/>
      <c r="AN459" s="17"/>
      <c r="AO459" s="17"/>
      <c r="AP459" s="1"/>
      <c r="AQ459" s="1"/>
    </row>
    <row r="460" spans="1:43" x14ac:dyDescent="0.35">
      <c r="A460" s="6"/>
      <c r="B460" s="13"/>
      <c r="C460" s="81"/>
      <c r="D460" s="4"/>
      <c r="E460" s="8"/>
      <c r="F460" s="17"/>
      <c r="G460" s="17"/>
      <c r="H460" s="17"/>
      <c r="I460" s="17"/>
      <c r="J460" s="17"/>
      <c r="K460" s="17"/>
      <c r="L460" s="17"/>
      <c r="M460" s="17"/>
      <c r="N460" s="17"/>
      <c r="O460" s="17"/>
      <c r="P460" s="17"/>
      <c r="Q460" s="17"/>
      <c r="R460" s="17"/>
      <c r="S460" s="17"/>
      <c r="T460" s="17"/>
      <c r="U460" s="17"/>
      <c r="V460" s="17"/>
      <c r="W460" s="17"/>
      <c r="X460" s="17"/>
      <c r="Y460" s="17"/>
      <c r="Z460" s="17"/>
      <c r="AA460" s="17"/>
      <c r="AB460" s="17"/>
      <c r="AC460" s="17"/>
      <c r="AD460" s="17"/>
      <c r="AE460" s="17"/>
      <c r="AF460" s="17"/>
      <c r="AG460" s="17"/>
      <c r="AH460" s="17"/>
      <c r="AI460" s="17"/>
      <c r="AJ460" s="17"/>
      <c r="AK460" s="17"/>
      <c r="AL460" s="17"/>
      <c r="AM460" s="17"/>
      <c r="AN460" s="17"/>
      <c r="AO460" s="17"/>
      <c r="AP460" s="1"/>
      <c r="AQ460" s="1"/>
    </row>
    <row r="461" spans="1:43" x14ac:dyDescent="0.35">
      <c r="A461" s="6"/>
      <c r="B461" s="13"/>
      <c r="C461" s="81"/>
      <c r="D461" s="4"/>
      <c r="E461" s="8"/>
      <c r="F461" s="17"/>
      <c r="G461" s="17"/>
      <c r="H461" s="17"/>
      <c r="I461" s="17"/>
      <c r="J461" s="17"/>
      <c r="K461" s="17"/>
      <c r="L461" s="17"/>
      <c r="M461" s="17"/>
      <c r="N461" s="17"/>
      <c r="O461" s="17"/>
      <c r="P461" s="17"/>
      <c r="Q461" s="17"/>
      <c r="R461" s="17"/>
      <c r="S461" s="17"/>
      <c r="T461" s="17"/>
      <c r="U461" s="17"/>
      <c r="V461" s="17"/>
      <c r="W461" s="17"/>
      <c r="X461" s="17"/>
      <c r="Y461" s="17"/>
      <c r="Z461" s="17"/>
      <c r="AA461" s="17"/>
      <c r="AB461" s="17"/>
      <c r="AC461" s="17"/>
      <c r="AD461" s="17"/>
      <c r="AE461" s="17"/>
      <c r="AF461" s="17"/>
      <c r="AG461" s="17"/>
      <c r="AH461" s="17"/>
      <c r="AI461" s="17"/>
      <c r="AJ461" s="17"/>
      <c r="AK461" s="17"/>
      <c r="AL461" s="17"/>
      <c r="AM461" s="17"/>
      <c r="AN461" s="17"/>
      <c r="AO461" s="17"/>
      <c r="AP461" s="1"/>
      <c r="AQ461" s="1"/>
    </row>
    <row r="462" spans="1:43" x14ac:dyDescent="0.35">
      <c r="A462" s="6"/>
      <c r="B462" s="13"/>
      <c r="C462" s="81"/>
      <c r="D462" s="4"/>
      <c r="E462" s="8"/>
      <c r="F462" s="17"/>
      <c r="G462" s="17"/>
      <c r="H462" s="17"/>
      <c r="I462" s="17"/>
      <c r="J462" s="17"/>
      <c r="K462" s="17"/>
      <c r="L462" s="17"/>
      <c r="M462" s="17"/>
      <c r="N462" s="17"/>
      <c r="O462" s="17"/>
      <c r="P462" s="17"/>
      <c r="Q462" s="17"/>
      <c r="R462" s="17"/>
      <c r="S462" s="17"/>
      <c r="T462" s="17"/>
      <c r="U462" s="17"/>
      <c r="V462" s="17"/>
      <c r="W462" s="17"/>
      <c r="X462" s="17"/>
      <c r="Y462" s="17"/>
      <c r="Z462" s="17"/>
      <c r="AA462" s="17"/>
      <c r="AB462" s="17"/>
      <c r="AC462" s="17"/>
      <c r="AD462" s="17"/>
      <c r="AE462" s="17"/>
      <c r="AF462" s="17"/>
      <c r="AG462" s="17"/>
      <c r="AH462" s="17"/>
      <c r="AI462" s="17"/>
      <c r="AJ462" s="17"/>
      <c r="AK462" s="17"/>
      <c r="AL462" s="17"/>
      <c r="AM462" s="17"/>
      <c r="AN462" s="17"/>
      <c r="AO462" s="17"/>
      <c r="AP462" s="1"/>
      <c r="AQ462" s="1"/>
    </row>
    <row r="463" spans="1:43" x14ac:dyDescent="0.35">
      <c r="A463" s="6"/>
      <c r="B463" s="13"/>
      <c r="C463" s="81"/>
      <c r="D463" s="4"/>
      <c r="E463" s="8"/>
      <c r="F463" s="17"/>
      <c r="G463" s="17"/>
      <c r="H463" s="17"/>
      <c r="I463" s="17"/>
      <c r="J463" s="17"/>
      <c r="K463" s="17"/>
      <c r="L463" s="17"/>
      <c r="M463" s="17"/>
      <c r="N463" s="17"/>
      <c r="O463" s="17"/>
      <c r="P463" s="17"/>
      <c r="Q463" s="17"/>
      <c r="R463" s="17"/>
      <c r="S463" s="17"/>
      <c r="T463" s="17"/>
      <c r="U463" s="17"/>
      <c r="V463" s="17"/>
      <c r="W463" s="17"/>
      <c r="X463" s="17"/>
      <c r="Y463" s="17"/>
      <c r="Z463" s="17"/>
      <c r="AA463" s="17"/>
      <c r="AB463" s="17"/>
      <c r="AC463" s="17"/>
      <c r="AD463" s="17"/>
      <c r="AE463" s="17"/>
      <c r="AF463" s="17"/>
      <c r="AG463" s="17"/>
      <c r="AH463" s="17"/>
      <c r="AI463" s="17"/>
      <c r="AJ463" s="17"/>
      <c r="AK463" s="17"/>
      <c r="AL463" s="17"/>
      <c r="AM463" s="17"/>
      <c r="AN463" s="17"/>
      <c r="AO463" s="17"/>
      <c r="AP463" s="1"/>
      <c r="AQ463" s="1"/>
    </row>
    <row r="464" spans="1:43" x14ac:dyDescent="0.35">
      <c r="A464" s="6"/>
      <c r="B464" s="13"/>
      <c r="C464" s="81"/>
      <c r="D464" s="4"/>
      <c r="E464" s="8"/>
      <c r="F464" s="17"/>
      <c r="G464" s="17"/>
      <c r="H464" s="17"/>
      <c r="I464" s="17"/>
      <c r="J464" s="17"/>
      <c r="K464" s="17"/>
      <c r="L464" s="17"/>
      <c r="M464" s="17"/>
      <c r="N464" s="17"/>
      <c r="O464" s="17"/>
      <c r="P464" s="17"/>
      <c r="Q464" s="17"/>
      <c r="R464" s="17"/>
      <c r="S464" s="17"/>
      <c r="T464" s="17"/>
      <c r="U464" s="17"/>
      <c r="V464" s="17"/>
      <c r="W464" s="17"/>
      <c r="X464" s="17"/>
      <c r="Y464" s="17"/>
      <c r="Z464" s="17"/>
      <c r="AA464" s="17"/>
      <c r="AB464" s="17"/>
      <c r="AC464" s="17"/>
      <c r="AD464" s="17"/>
      <c r="AE464" s="17"/>
      <c r="AF464" s="17"/>
      <c r="AG464" s="17"/>
      <c r="AH464" s="17"/>
      <c r="AI464" s="17"/>
      <c r="AJ464" s="17"/>
      <c r="AK464" s="17"/>
      <c r="AL464" s="17"/>
      <c r="AM464" s="17"/>
      <c r="AN464" s="17"/>
      <c r="AO464" s="17"/>
      <c r="AP464" s="1"/>
      <c r="AQ464" s="1"/>
    </row>
    <row r="465" spans="1:43" x14ac:dyDescent="0.35">
      <c r="A465" s="6"/>
      <c r="B465" s="13"/>
      <c r="C465" s="81"/>
      <c r="D465" s="4"/>
      <c r="E465" s="8"/>
      <c r="F465" s="17"/>
      <c r="G465" s="17"/>
      <c r="H465" s="17"/>
      <c r="I465" s="17"/>
      <c r="J465" s="17"/>
      <c r="K465" s="17"/>
      <c r="L465" s="17"/>
      <c r="M465" s="17"/>
      <c r="N465" s="17"/>
      <c r="O465" s="17"/>
      <c r="P465" s="17"/>
      <c r="Q465" s="17"/>
      <c r="R465" s="17"/>
      <c r="S465" s="17"/>
      <c r="T465" s="17"/>
      <c r="U465" s="17"/>
      <c r="V465" s="17"/>
      <c r="W465" s="17"/>
      <c r="X465" s="17"/>
      <c r="Y465" s="17"/>
      <c r="Z465" s="17"/>
      <c r="AA465" s="17"/>
      <c r="AB465" s="17"/>
      <c r="AC465" s="17"/>
      <c r="AD465" s="17"/>
      <c r="AE465" s="17"/>
      <c r="AF465" s="17"/>
      <c r="AG465" s="17"/>
      <c r="AH465" s="17"/>
      <c r="AI465" s="17"/>
      <c r="AJ465" s="17"/>
      <c r="AK465" s="17"/>
      <c r="AL465" s="17"/>
      <c r="AM465" s="17"/>
      <c r="AN465" s="17"/>
      <c r="AO465" s="17"/>
      <c r="AP465" s="1"/>
      <c r="AQ465" s="1"/>
    </row>
    <row r="466" spans="1:43" x14ac:dyDescent="0.35">
      <c r="A466" s="6"/>
      <c r="B466" s="13"/>
      <c r="C466" s="81"/>
      <c r="D466" s="4"/>
      <c r="E466" s="8"/>
      <c r="F466" s="17"/>
      <c r="G466" s="17"/>
      <c r="H466" s="17"/>
      <c r="I466" s="17"/>
      <c r="J466" s="17"/>
      <c r="K466" s="17"/>
      <c r="L466" s="17"/>
      <c r="M466" s="17"/>
      <c r="N466" s="17"/>
      <c r="O466" s="17"/>
      <c r="P466" s="17"/>
      <c r="Q466" s="17"/>
      <c r="R466" s="17"/>
      <c r="S466" s="17"/>
      <c r="T466" s="17"/>
      <c r="U466" s="17"/>
      <c r="V466" s="17"/>
      <c r="W466" s="17"/>
      <c r="X466" s="17"/>
      <c r="Y466" s="17"/>
      <c r="Z466" s="17"/>
      <c r="AA466" s="17"/>
      <c r="AB466" s="17"/>
      <c r="AC466" s="17"/>
      <c r="AD466" s="17"/>
      <c r="AE466" s="17"/>
      <c r="AF466" s="17"/>
      <c r="AG466" s="17"/>
      <c r="AH466" s="17"/>
      <c r="AI466" s="17"/>
      <c r="AJ466" s="17"/>
      <c r="AK466" s="17"/>
      <c r="AL466" s="17"/>
      <c r="AM466" s="17"/>
      <c r="AN466" s="17"/>
      <c r="AO466" s="17"/>
      <c r="AP466" s="1"/>
      <c r="AQ466" s="1"/>
    </row>
    <row r="467" spans="1:43" x14ac:dyDescent="0.35">
      <c r="A467" s="6"/>
      <c r="B467" s="13"/>
      <c r="C467" s="81"/>
      <c r="D467" s="4"/>
      <c r="E467" s="8"/>
      <c r="F467" s="17"/>
      <c r="G467" s="17"/>
      <c r="H467" s="17"/>
      <c r="I467" s="17"/>
      <c r="J467" s="17"/>
      <c r="K467" s="17"/>
      <c r="L467" s="17"/>
      <c r="M467" s="17"/>
      <c r="N467" s="17"/>
      <c r="O467" s="17"/>
      <c r="P467" s="17"/>
      <c r="Q467" s="17"/>
      <c r="R467" s="17"/>
      <c r="S467" s="17"/>
      <c r="T467" s="17"/>
      <c r="U467" s="17"/>
      <c r="V467" s="17"/>
      <c r="W467" s="17"/>
      <c r="X467" s="17"/>
      <c r="Y467" s="17"/>
      <c r="Z467" s="17"/>
      <c r="AA467" s="17"/>
      <c r="AB467" s="17"/>
      <c r="AC467" s="17"/>
      <c r="AD467" s="17"/>
      <c r="AE467" s="17"/>
      <c r="AF467" s="17"/>
      <c r="AG467" s="17"/>
      <c r="AH467" s="17"/>
      <c r="AI467" s="17"/>
      <c r="AJ467" s="17"/>
      <c r="AK467" s="17"/>
      <c r="AL467" s="17"/>
      <c r="AM467" s="17"/>
      <c r="AN467" s="17"/>
      <c r="AO467" s="17"/>
      <c r="AP467" s="1"/>
      <c r="AQ467" s="1"/>
    </row>
    <row r="468" spans="1:43" x14ac:dyDescent="0.35">
      <c r="A468" s="6"/>
      <c r="B468" s="13"/>
      <c r="C468" s="81"/>
      <c r="D468" s="4"/>
      <c r="E468" s="8"/>
      <c r="F468" s="17"/>
      <c r="G468" s="17"/>
      <c r="H468" s="17"/>
      <c r="I468" s="17"/>
      <c r="J468" s="17"/>
      <c r="K468" s="17"/>
      <c r="L468" s="17"/>
      <c r="M468" s="17"/>
      <c r="N468" s="17"/>
      <c r="O468" s="17"/>
      <c r="P468" s="17"/>
      <c r="Q468" s="17"/>
      <c r="R468" s="17"/>
      <c r="S468" s="17"/>
      <c r="T468" s="17"/>
      <c r="U468" s="17"/>
      <c r="V468" s="17"/>
      <c r="W468" s="17"/>
      <c r="X468" s="17"/>
      <c r="Y468" s="17"/>
      <c r="Z468" s="17"/>
      <c r="AA468" s="17"/>
      <c r="AB468" s="17"/>
      <c r="AC468" s="17"/>
      <c r="AD468" s="17"/>
      <c r="AE468" s="17"/>
      <c r="AF468" s="17"/>
      <c r="AG468" s="17"/>
      <c r="AH468" s="17"/>
      <c r="AI468" s="17"/>
      <c r="AJ468" s="17"/>
      <c r="AK468" s="17"/>
      <c r="AL468" s="17"/>
      <c r="AM468" s="17"/>
      <c r="AN468" s="17"/>
      <c r="AO468" s="17"/>
      <c r="AP468" s="1"/>
      <c r="AQ468" s="1"/>
    </row>
    <row r="469" spans="1:43" x14ac:dyDescent="0.35">
      <c r="A469" s="6"/>
      <c r="B469" s="13"/>
      <c r="C469" s="81"/>
      <c r="D469" s="4"/>
      <c r="E469" s="8"/>
      <c r="F469" s="17"/>
      <c r="G469" s="17"/>
      <c r="H469" s="17"/>
      <c r="I469" s="17"/>
      <c r="J469" s="17"/>
      <c r="K469" s="17"/>
      <c r="L469" s="17"/>
      <c r="M469" s="17"/>
      <c r="N469" s="17"/>
      <c r="O469" s="17"/>
      <c r="P469" s="17"/>
      <c r="Q469" s="17"/>
      <c r="R469" s="17"/>
      <c r="S469" s="17"/>
      <c r="T469" s="17"/>
      <c r="U469" s="17"/>
      <c r="V469" s="17"/>
      <c r="W469" s="17"/>
      <c r="X469" s="17"/>
      <c r="Y469" s="17"/>
      <c r="Z469" s="17"/>
      <c r="AA469" s="17"/>
      <c r="AB469" s="17"/>
      <c r="AC469" s="17"/>
      <c r="AD469" s="17"/>
      <c r="AE469" s="17"/>
      <c r="AF469" s="17"/>
      <c r="AG469" s="17"/>
      <c r="AH469" s="17"/>
      <c r="AI469" s="17"/>
      <c r="AJ469" s="17"/>
      <c r="AK469" s="17"/>
      <c r="AL469" s="17"/>
      <c r="AM469" s="17"/>
      <c r="AN469" s="17"/>
      <c r="AO469" s="17"/>
      <c r="AP469" s="1"/>
      <c r="AQ469" s="1"/>
    </row>
    <row r="470" spans="1:43" x14ac:dyDescent="0.35">
      <c r="A470" s="6"/>
      <c r="B470" s="13"/>
      <c r="C470" s="81"/>
      <c r="D470" s="4"/>
      <c r="E470" s="8"/>
      <c r="F470" s="17"/>
      <c r="G470" s="17"/>
      <c r="H470" s="17"/>
      <c r="I470" s="17"/>
      <c r="J470" s="17"/>
      <c r="K470" s="17"/>
      <c r="L470" s="17"/>
      <c r="M470" s="17"/>
      <c r="N470" s="17"/>
      <c r="O470" s="17"/>
      <c r="P470" s="17"/>
      <c r="Q470" s="17"/>
      <c r="R470" s="17"/>
      <c r="S470" s="17"/>
      <c r="T470" s="17"/>
      <c r="U470" s="17"/>
      <c r="V470" s="17"/>
      <c r="W470" s="17"/>
      <c r="X470" s="17"/>
      <c r="Y470" s="17"/>
      <c r="Z470" s="17"/>
      <c r="AA470" s="17"/>
      <c r="AB470" s="17"/>
      <c r="AC470" s="17"/>
      <c r="AD470" s="17"/>
      <c r="AE470" s="17"/>
      <c r="AF470" s="17"/>
      <c r="AG470" s="17"/>
      <c r="AH470" s="17"/>
      <c r="AI470" s="17"/>
      <c r="AJ470" s="17"/>
      <c r="AK470" s="17"/>
      <c r="AL470" s="17"/>
      <c r="AM470" s="17"/>
      <c r="AN470" s="17"/>
      <c r="AO470" s="17"/>
      <c r="AP470" s="1"/>
      <c r="AQ470" s="1"/>
    </row>
    <row r="471" spans="1:43" x14ac:dyDescent="0.35">
      <c r="A471" s="6"/>
      <c r="B471" s="13"/>
      <c r="C471" s="81"/>
      <c r="D471" s="4"/>
      <c r="E471" s="8"/>
      <c r="F471" s="17"/>
      <c r="G471" s="17"/>
      <c r="H471" s="17"/>
      <c r="I471" s="17"/>
      <c r="J471" s="17"/>
      <c r="K471" s="17"/>
      <c r="L471" s="17"/>
      <c r="M471" s="17"/>
      <c r="N471" s="17"/>
      <c r="O471" s="17"/>
      <c r="P471" s="17"/>
      <c r="Q471" s="17"/>
      <c r="R471" s="17"/>
      <c r="S471" s="17"/>
      <c r="T471" s="17"/>
      <c r="U471" s="17"/>
      <c r="V471" s="17"/>
      <c r="W471" s="17"/>
      <c r="X471" s="17"/>
      <c r="Y471" s="17"/>
      <c r="Z471" s="17"/>
      <c r="AA471" s="17"/>
      <c r="AB471" s="17"/>
      <c r="AC471" s="17"/>
      <c r="AD471" s="17"/>
      <c r="AE471" s="17"/>
      <c r="AF471" s="17"/>
      <c r="AG471" s="17"/>
      <c r="AH471" s="17"/>
      <c r="AI471" s="17"/>
      <c r="AJ471" s="17"/>
      <c r="AK471" s="17"/>
      <c r="AL471" s="17"/>
      <c r="AM471" s="17"/>
      <c r="AN471" s="17"/>
      <c r="AO471" s="17"/>
      <c r="AP471" s="1"/>
      <c r="AQ471" s="1"/>
    </row>
    <row r="472" spans="1:43" x14ac:dyDescent="0.35">
      <c r="A472" s="6"/>
      <c r="B472" s="13"/>
      <c r="C472" s="81"/>
      <c r="D472" s="4"/>
      <c r="E472" s="8"/>
      <c r="F472" s="17"/>
      <c r="G472" s="17"/>
      <c r="H472" s="17"/>
      <c r="I472" s="17"/>
      <c r="J472" s="17"/>
      <c r="K472" s="17"/>
      <c r="L472" s="17"/>
      <c r="M472" s="17"/>
      <c r="N472" s="17"/>
      <c r="O472" s="17"/>
      <c r="P472" s="17"/>
      <c r="Q472" s="17"/>
      <c r="R472" s="17"/>
      <c r="S472" s="17"/>
      <c r="T472" s="17"/>
      <c r="U472" s="17"/>
      <c r="V472" s="17"/>
      <c r="W472" s="17"/>
      <c r="X472" s="17"/>
      <c r="Y472" s="17"/>
      <c r="Z472" s="17"/>
      <c r="AA472" s="17"/>
      <c r="AB472" s="17"/>
      <c r="AC472" s="17"/>
      <c r="AD472" s="17"/>
      <c r="AE472" s="17"/>
      <c r="AF472" s="17"/>
      <c r="AG472" s="17"/>
      <c r="AH472" s="17"/>
      <c r="AI472" s="17"/>
      <c r="AJ472" s="17"/>
      <c r="AK472" s="17"/>
      <c r="AL472" s="17"/>
      <c r="AM472" s="17"/>
      <c r="AN472" s="17"/>
      <c r="AO472" s="17"/>
      <c r="AP472" s="1"/>
      <c r="AQ472" s="1"/>
    </row>
    <row r="473" spans="1:43" x14ac:dyDescent="0.35">
      <c r="A473" s="6"/>
      <c r="B473" s="13"/>
      <c r="C473" s="81"/>
      <c r="D473" s="4"/>
      <c r="E473" s="8"/>
      <c r="F473" s="17"/>
      <c r="G473" s="17"/>
      <c r="H473" s="17"/>
      <c r="I473" s="17"/>
      <c r="J473" s="17"/>
      <c r="K473" s="17"/>
      <c r="L473" s="17"/>
      <c r="M473" s="17"/>
      <c r="N473" s="17"/>
      <c r="O473" s="17"/>
      <c r="P473" s="17"/>
      <c r="Q473" s="17"/>
      <c r="R473" s="17"/>
      <c r="S473" s="17"/>
      <c r="T473" s="17"/>
      <c r="U473" s="17"/>
      <c r="V473" s="17"/>
      <c r="W473" s="17"/>
      <c r="X473" s="17"/>
      <c r="Y473" s="17"/>
      <c r="Z473" s="17"/>
      <c r="AA473" s="17"/>
      <c r="AB473" s="17"/>
      <c r="AC473" s="17"/>
      <c r="AD473" s="17"/>
      <c r="AE473" s="17"/>
      <c r="AF473" s="17"/>
      <c r="AG473" s="17"/>
      <c r="AH473" s="17"/>
      <c r="AI473" s="17"/>
      <c r="AJ473" s="17"/>
      <c r="AK473" s="17"/>
      <c r="AL473" s="17"/>
      <c r="AM473" s="17"/>
      <c r="AN473" s="17"/>
      <c r="AO473" s="17"/>
      <c r="AP473" s="1"/>
      <c r="AQ473" s="1"/>
    </row>
    <row r="474" spans="1:43" x14ac:dyDescent="0.35">
      <c r="A474" s="6"/>
      <c r="B474" s="13"/>
      <c r="C474" s="81"/>
      <c r="D474" s="4"/>
      <c r="E474" s="8"/>
      <c r="F474" s="17"/>
      <c r="G474" s="17"/>
      <c r="H474" s="17"/>
      <c r="I474" s="17"/>
      <c r="J474" s="17"/>
      <c r="K474" s="17"/>
      <c r="L474" s="17"/>
      <c r="M474" s="17"/>
      <c r="N474" s="17"/>
      <c r="O474" s="17"/>
      <c r="P474" s="17"/>
      <c r="Q474" s="17"/>
      <c r="R474" s="17"/>
      <c r="S474" s="17"/>
      <c r="T474" s="17"/>
      <c r="U474" s="17"/>
      <c r="V474" s="17"/>
      <c r="W474" s="17"/>
      <c r="X474" s="17"/>
      <c r="Y474" s="17"/>
      <c r="Z474" s="17"/>
      <c r="AA474" s="17"/>
      <c r="AB474" s="17"/>
      <c r="AC474" s="17"/>
      <c r="AD474" s="17"/>
      <c r="AE474" s="17"/>
      <c r="AF474" s="17"/>
      <c r="AG474" s="17"/>
      <c r="AH474" s="17"/>
      <c r="AI474" s="17"/>
      <c r="AJ474" s="17"/>
      <c r="AK474" s="17"/>
      <c r="AL474" s="17"/>
      <c r="AM474" s="17"/>
      <c r="AN474" s="17"/>
      <c r="AO474" s="17"/>
      <c r="AP474" s="1"/>
      <c r="AQ474" s="1"/>
    </row>
    <row r="475" spans="1:43" x14ac:dyDescent="0.35">
      <c r="A475" s="6"/>
      <c r="B475" s="13"/>
      <c r="C475" s="81"/>
      <c r="D475" s="4"/>
      <c r="E475" s="8"/>
      <c r="F475" s="17"/>
      <c r="G475" s="17"/>
      <c r="H475" s="17"/>
      <c r="I475" s="17"/>
      <c r="J475" s="17"/>
      <c r="K475" s="17"/>
      <c r="L475" s="17"/>
      <c r="M475" s="17"/>
      <c r="N475" s="17"/>
      <c r="O475" s="17"/>
      <c r="P475" s="17"/>
      <c r="Q475" s="17"/>
      <c r="R475" s="17"/>
      <c r="S475" s="17"/>
      <c r="T475" s="17"/>
      <c r="U475" s="17"/>
      <c r="V475" s="17"/>
      <c r="W475" s="17"/>
      <c r="X475" s="17"/>
      <c r="Y475" s="17"/>
      <c r="Z475" s="17"/>
      <c r="AA475" s="17"/>
      <c r="AB475" s="17"/>
      <c r="AC475" s="17"/>
      <c r="AD475" s="17"/>
      <c r="AE475" s="17"/>
      <c r="AF475" s="17"/>
      <c r="AG475" s="17"/>
      <c r="AH475" s="17"/>
      <c r="AI475" s="17"/>
      <c r="AJ475" s="17"/>
      <c r="AK475" s="17"/>
      <c r="AL475" s="17"/>
      <c r="AM475" s="17"/>
      <c r="AN475" s="17"/>
      <c r="AO475" s="17"/>
      <c r="AP475" s="1"/>
      <c r="AQ475" s="1"/>
    </row>
    <row r="476" spans="1:43" x14ac:dyDescent="0.35">
      <c r="A476" s="6"/>
      <c r="B476" s="13"/>
      <c r="C476" s="81"/>
      <c r="D476" s="4"/>
      <c r="E476" s="8"/>
      <c r="F476" s="17"/>
      <c r="G476" s="17"/>
      <c r="H476" s="17"/>
      <c r="I476" s="17"/>
      <c r="J476" s="17"/>
      <c r="K476" s="17"/>
      <c r="L476" s="17"/>
      <c r="M476" s="17"/>
      <c r="N476" s="17"/>
      <c r="O476" s="17"/>
      <c r="P476" s="17"/>
      <c r="Q476" s="17"/>
      <c r="R476" s="17"/>
      <c r="S476" s="17"/>
      <c r="T476" s="17"/>
      <c r="U476" s="17"/>
      <c r="V476" s="17"/>
      <c r="W476" s="17"/>
      <c r="X476" s="17"/>
      <c r="Y476" s="17"/>
      <c r="Z476" s="17"/>
      <c r="AA476" s="17"/>
      <c r="AB476" s="17"/>
      <c r="AC476" s="17"/>
      <c r="AD476" s="17"/>
      <c r="AE476" s="17"/>
      <c r="AF476" s="17"/>
      <c r="AG476" s="17"/>
      <c r="AH476" s="17"/>
      <c r="AI476" s="17"/>
      <c r="AJ476" s="17"/>
      <c r="AK476" s="17"/>
      <c r="AL476" s="17"/>
      <c r="AM476" s="17"/>
      <c r="AN476" s="17"/>
      <c r="AO476" s="17"/>
      <c r="AP476" s="1"/>
      <c r="AQ476" s="1"/>
    </row>
    <row r="477" spans="1:43" x14ac:dyDescent="0.35">
      <c r="A477" s="6"/>
      <c r="B477" s="13"/>
      <c r="C477" s="81"/>
      <c r="D477" s="4"/>
      <c r="E477" s="8"/>
      <c r="F477" s="17"/>
      <c r="G477" s="17"/>
      <c r="H477" s="17"/>
      <c r="I477" s="17"/>
      <c r="J477" s="17"/>
      <c r="K477" s="17"/>
      <c r="L477" s="17"/>
      <c r="M477" s="17"/>
      <c r="N477" s="17"/>
      <c r="O477" s="17"/>
      <c r="P477" s="17"/>
      <c r="Q477" s="17"/>
      <c r="R477" s="17"/>
      <c r="S477" s="17"/>
      <c r="T477" s="17"/>
      <c r="U477" s="17"/>
      <c r="V477" s="17"/>
      <c r="W477" s="17"/>
      <c r="X477" s="17"/>
      <c r="Y477" s="17"/>
      <c r="Z477" s="17"/>
      <c r="AA477" s="17"/>
      <c r="AB477" s="17"/>
      <c r="AC477" s="17"/>
      <c r="AD477" s="17"/>
      <c r="AE477" s="17"/>
      <c r="AF477" s="17"/>
      <c r="AG477" s="17"/>
      <c r="AH477" s="17"/>
      <c r="AI477" s="17"/>
      <c r="AJ477" s="17"/>
      <c r="AK477" s="17"/>
      <c r="AL477" s="17"/>
      <c r="AM477" s="17"/>
      <c r="AN477" s="17"/>
      <c r="AO477" s="17"/>
      <c r="AP477" s="1"/>
      <c r="AQ477" s="1"/>
    </row>
    <row r="478" spans="1:43" x14ac:dyDescent="0.35">
      <c r="A478" s="6"/>
      <c r="B478" s="13"/>
      <c r="C478" s="81"/>
      <c r="D478" s="4"/>
      <c r="E478" s="8"/>
      <c r="F478" s="17"/>
      <c r="G478" s="17"/>
      <c r="H478" s="17"/>
      <c r="I478" s="17"/>
      <c r="J478" s="17"/>
      <c r="K478" s="17"/>
      <c r="L478" s="17"/>
      <c r="M478" s="17"/>
      <c r="N478" s="17"/>
      <c r="O478" s="17"/>
      <c r="P478" s="17"/>
      <c r="Q478" s="17"/>
      <c r="R478" s="17"/>
      <c r="S478" s="17"/>
      <c r="T478" s="17"/>
      <c r="U478" s="17"/>
      <c r="V478" s="17"/>
      <c r="W478" s="17"/>
      <c r="X478" s="17"/>
      <c r="Y478" s="17"/>
      <c r="Z478" s="17"/>
      <c r="AA478" s="17"/>
      <c r="AB478" s="17"/>
      <c r="AC478" s="17"/>
      <c r="AD478" s="17"/>
      <c r="AE478" s="17"/>
      <c r="AF478" s="17"/>
      <c r="AG478" s="17"/>
      <c r="AH478" s="17"/>
      <c r="AI478" s="17"/>
      <c r="AJ478" s="17"/>
      <c r="AK478" s="17"/>
      <c r="AL478" s="17"/>
      <c r="AM478" s="17"/>
      <c r="AN478" s="17"/>
      <c r="AO478" s="17"/>
      <c r="AP478" s="1"/>
      <c r="AQ478" s="1"/>
    </row>
    <row r="479" spans="1:43" x14ac:dyDescent="0.35">
      <c r="A479" s="6"/>
      <c r="B479" s="13"/>
      <c r="C479" s="81"/>
      <c r="D479" s="4"/>
      <c r="E479" s="8"/>
      <c r="F479" s="17"/>
      <c r="G479" s="17"/>
      <c r="H479" s="17"/>
      <c r="I479" s="17"/>
      <c r="J479" s="17"/>
      <c r="K479" s="17"/>
      <c r="L479" s="17"/>
      <c r="M479" s="17"/>
      <c r="N479" s="17"/>
      <c r="O479" s="17"/>
      <c r="P479" s="17"/>
      <c r="Q479" s="17"/>
      <c r="R479" s="17"/>
      <c r="S479" s="17"/>
      <c r="T479" s="17"/>
      <c r="U479" s="17"/>
      <c r="V479" s="17"/>
      <c r="W479" s="17"/>
      <c r="X479" s="17"/>
      <c r="Y479" s="17"/>
      <c r="Z479" s="17"/>
      <c r="AA479" s="17"/>
      <c r="AB479" s="17"/>
      <c r="AC479" s="17"/>
      <c r="AD479" s="17"/>
      <c r="AE479" s="17"/>
      <c r="AF479" s="17"/>
      <c r="AG479" s="17"/>
      <c r="AH479" s="17"/>
      <c r="AI479" s="17"/>
      <c r="AJ479" s="17"/>
      <c r="AK479" s="17"/>
      <c r="AL479" s="17"/>
      <c r="AM479" s="17"/>
      <c r="AN479" s="17"/>
      <c r="AO479" s="17"/>
      <c r="AP479" s="1"/>
      <c r="AQ479" s="1"/>
    </row>
    <row r="480" spans="1:43" x14ac:dyDescent="0.35">
      <c r="A480" s="6"/>
      <c r="B480" s="13"/>
      <c r="C480" s="81"/>
      <c r="D480" s="4"/>
      <c r="E480" s="8"/>
      <c r="F480" s="17"/>
      <c r="G480" s="17"/>
      <c r="H480" s="17"/>
      <c r="I480" s="17"/>
      <c r="J480" s="17"/>
      <c r="K480" s="17"/>
      <c r="L480" s="17"/>
      <c r="M480" s="17"/>
      <c r="N480" s="17"/>
      <c r="O480" s="17"/>
      <c r="P480" s="17"/>
      <c r="Q480" s="17"/>
      <c r="R480" s="17"/>
      <c r="S480" s="17"/>
      <c r="T480" s="17"/>
      <c r="U480" s="17"/>
      <c r="V480" s="17"/>
      <c r="W480" s="17"/>
      <c r="X480" s="17"/>
      <c r="Y480" s="17"/>
      <c r="Z480" s="17"/>
      <c r="AA480" s="17"/>
      <c r="AB480" s="17"/>
      <c r="AC480" s="17"/>
      <c r="AD480" s="17"/>
      <c r="AE480" s="17"/>
      <c r="AF480" s="17"/>
      <c r="AG480" s="17"/>
      <c r="AH480" s="17"/>
      <c r="AI480" s="17"/>
      <c r="AJ480" s="17"/>
      <c r="AK480" s="17"/>
      <c r="AL480" s="17"/>
      <c r="AM480" s="17"/>
      <c r="AN480" s="17"/>
      <c r="AO480" s="17"/>
      <c r="AP480" s="1"/>
      <c r="AQ480" s="1"/>
    </row>
    <row r="481" spans="1:43" x14ac:dyDescent="0.35">
      <c r="A481" s="6"/>
      <c r="B481" s="13"/>
      <c r="C481" s="81"/>
      <c r="D481" s="4"/>
      <c r="E481" s="8"/>
      <c r="F481" s="17"/>
      <c r="G481" s="17"/>
      <c r="H481" s="17"/>
      <c r="I481" s="17"/>
      <c r="J481" s="17"/>
      <c r="K481" s="17"/>
      <c r="L481" s="17"/>
      <c r="M481" s="17"/>
      <c r="N481" s="17"/>
      <c r="O481" s="17"/>
      <c r="P481" s="17"/>
      <c r="Q481" s="17"/>
      <c r="R481" s="17"/>
      <c r="S481" s="17"/>
      <c r="T481" s="17"/>
      <c r="U481" s="17"/>
      <c r="V481" s="17"/>
      <c r="W481" s="17"/>
      <c r="X481" s="17"/>
      <c r="Y481" s="17"/>
      <c r="Z481" s="17"/>
      <c r="AA481" s="17"/>
      <c r="AB481" s="17"/>
      <c r="AC481" s="17"/>
      <c r="AD481" s="17"/>
      <c r="AE481" s="17"/>
      <c r="AF481" s="17"/>
      <c r="AG481" s="17"/>
      <c r="AH481" s="17"/>
      <c r="AI481" s="17"/>
      <c r="AJ481" s="17"/>
      <c r="AK481" s="17"/>
      <c r="AL481" s="17"/>
      <c r="AM481" s="17"/>
      <c r="AN481" s="17"/>
      <c r="AO481" s="17"/>
      <c r="AP481" s="1"/>
      <c r="AQ481" s="1"/>
    </row>
    <row r="482" spans="1:43" x14ac:dyDescent="0.35">
      <c r="A482" s="6"/>
      <c r="B482" s="13"/>
      <c r="C482" s="81"/>
      <c r="D482" s="4"/>
      <c r="E482" s="8"/>
      <c r="F482" s="17"/>
      <c r="G482" s="17"/>
      <c r="H482" s="17"/>
      <c r="I482" s="17"/>
      <c r="J482" s="17"/>
      <c r="K482" s="17"/>
      <c r="L482" s="17"/>
      <c r="M482" s="17"/>
      <c r="N482" s="17"/>
      <c r="O482" s="17"/>
      <c r="P482" s="17"/>
      <c r="Q482" s="17"/>
      <c r="R482" s="17"/>
      <c r="S482" s="17"/>
      <c r="T482" s="17"/>
      <c r="U482" s="17"/>
      <c r="V482" s="17"/>
      <c r="W482" s="17"/>
      <c r="X482" s="17"/>
      <c r="Y482" s="17"/>
      <c r="Z482" s="17"/>
      <c r="AA482" s="17"/>
      <c r="AB482" s="17"/>
      <c r="AC482" s="17"/>
      <c r="AD482" s="17"/>
      <c r="AE482" s="17"/>
      <c r="AF482" s="17"/>
      <c r="AG482" s="17"/>
      <c r="AH482" s="17"/>
      <c r="AI482" s="17"/>
      <c r="AJ482" s="17"/>
      <c r="AK482" s="17"/>
      <c r="AL482" s="17"/>
      <c r="AM482" s="17"/>
      <c r="AN482" s="17"/>
      <c r="AO482" s="17"/>
      <c r="AP482" s="1"/>
      <c r="AQ482" s="1"/>
    </row>
    <row r="483" spans="1:43" x14ac:dyDescent="0.35">
      <c r="A483" s="6"/>
      <c r="B483" s="13"/>
      <c r="C483" s="81"/>
      <c r="D483" s="4"/>
      <c r="E483" s="8"/>
      <c r="F483" s="17"/>
      <c r="G483" s="17"/>
      <c r="H483" s="17"/>
      <c r="I483" s="17"/>
      <c r="J483" s="17"/>
      <c r="K483" s="17"/>
      <c r="L483" s="17"/>
      <c r="M483" s="17"/>
      <c r="N483" s="17"/>
      <c r="O483" s="17"/>
      <c r="P483" s="17"/>
      <c r="Q483" s="17"/>
      <c r="R483" s="17"/>
      <c r="S483" s="17"/>
      <c r="T483" s="17"/>
      <c r="U483" s="17"/>
      <c r="V483" s="17"/>
      <c r="W483" s="17"/>
      <c r="X483" s="17"/>
      <c r="Y483" s="17"/>
      <c r="Z483" s="17"/>
      <c r="AA483" s="17"/>
      <c r="AB483" s="17"/>
      <c r="AC483" s="17"/>
      <c r="AD483" s="17"/>
      <c r="AE483" s="17"/>
      <c r="AF483" s="17"/>
      <c r="AG483" s="17"/>
      <c r="AH483" s="17"/>
      <c r="AI483" s="17"/>
      <c r="AJ483" s="17"/>
      <c r="AK483" s="17"/>
      <c r="AL483" s="17"/>
      <c r="AM483" s="17"/>
      <c r="AN483" s="17"/>
      <c r="AO483" s="17"/>
      <c r="AP483" s="1"/>
      <c r="AQ483" s="1"/>
    </row>
    <row r="484" spans="1:43" x14ac:dyDescent="0.35">
      <c r="A484" s="6"/>
      <c r="B484" s="13"/>
      <c r="C484" s="81"/>
      <c r="D484" s="4"/>
      <c r="E484" s="8"/>
      <c r="F484" s="17"/>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c r="AN484" s="17"/>
      <c r="AO484" s="17"/>
      <c r="AP484" s="1"/>
      <c r="AQ484" s="1"/>
    </row>
    <row r="485" spans="1:43" x14ac:dyDescent="0.35">
      <c r="A485" s="6"/>
      <c r="B485" s="13"/>
      <c r="C485" s="81"/>
      <c r="D485" s="4"/>
      <c r="E485" s="8"/>
      <c r="F485" s="17"/>
      <c r="G485" s="17"/>
      <c r="H485" s="17"/>
      <c r="I485" s="17"/>
      <c r="J485" s="17"/>
      <c r="K485" s="17"/>
      <c r="L485" s="17"/>
      <c r="M485" s="17"/>
      <c r="N485" s="17"/>
      <c r="O485" s="17"/>
      <c r="P485" s="17"/>
      <c r="Q485" s="17"/>
      <c r="R485" s="17"/>
      <c r="S485" s="17"/>
      <c r="T485" s="17"/>
      <c r="U485" s="17"/>
      <c r="V485" s="17"/>
      <c r="W485" s="17"/>
      <c r="X485" s="17"/>
      <c r="Y485" s="17"/>
      <c r="Z485" s="17"/>
      <c r="AA485" s="17"/>
      <c r="AB485" s="17"/>
      <c r="AC485" s="17"/>
      <c r="AD485" s="17"/>
      <c r="AE485" s="17"/>
      <c r="AF485" s="17"/>
      <c r="AG485" s="17"/>
      <c r="AH485" s="17"/>
      <c r="AI485" s="17"/>
      <c r="AJ485" s="17"/>
      <c r="AK485" s="17"/>
      <c r="AL485" s="17"/>
      <c r="AM485" s="17"/>
      <c r="AN485" s="17"/>
      <c r="AO485" s="17"/>
      <c r="AP485" s="1"/>
      <c r="AQ485" s="1"/>
    </row>
    <row r="486" spans="1:43" x14ac:dyDescent="0.35">
      <c r="A486" s="6"/>
      <c r="B486" s="13"/>
      <c r="C486" s="81"/>
      <c r="D486" s="4"/>
      <c r="E486" s="8"/>
      <c r="F486" s="17"/>
      <c r="G486" s="17"/>
      <c r="H486" s="17"/>
      <c r="I486" s="17"/>
      <c r="J486" s="17"/>
      <c r="K486" s="17"/>
      <c r="L486" s="17"/>
      <c r="M486" s="17"/>
      <c r="N486" s="17"/>
      <c r="O486" s="17"/>
      <c r="P486" s="17"/>
      <c r="Q486" s="17"/>
      <c r="R486" s="17"/>
      <c r="S486" s="17"/>
      <c r="T486" s="17"/>
      <c r="U486" s="17"/>
      <c r="V486" s="17"/>
      <c r="W486" s="17"/>
      <c r="X486" s="17"/>
      <c r="Y486" s="17"/>
      <c r="Z486" s="17"/>
      <c r="AA486" s="17"/>
      <c r="AB486" s="17"/>
      <c r="AC486" s="17"/>
      <c r="AD486" s="17"/>
      <c r="AE486" s="17"/>
      <c r="AF486" s="17"/>
      <c r="AG486" s="17"/>
      <c r="AH486" s="17"/>
      <c r="AI486" s="17"/>
      <c r="AJ486" s="17"/>
      <c r="AK486" s="17"/>
      <c r="AL486" s="17"/>
      <c r="AM486" s="17"/>
      <c r="AN486" s="17"/>
      <c r="AO486" s="17"/>
      <c r="AP486" s="1"/>
      <c r="AQ486" s="1"/>
    </row>
    <row r="487" spans="1:43" x14ac:dyDescent="0.35">
      <c r="A487" s="6"/>
      <c r="B487" s="13"/>
      <c r="C487" s="81"/>
      <c r="D487" s="4"/>
      <c r="E487" s="8"/>
      <c r="F487" s="17"/>
      <c r="G487" s="17"/>
      <c r="H487" s="17"/>
      <c r="I487" s="17"/>
      <c r="J487" s="17"/>
      <c r="K487" s="17"/>
      <c r="L487" s="17"/>
      <c r="M487" s="17"/>
      <c r="N487" s="17"/>
      <c r="O487" s="17"/>
      <c r="P487" s="17"/>
      <c r="Q487" s="17"/>
      <c r="R487" s="17"/>
      <c r="S487" s="17"/>
      <c r="T487" s="17"/>
      <c r="U487" s="17"/>
      <c r="V487" s="17"/>
      <c r="W487" s="17"/>
      <c r="X487" s="17"/>
      <c r="Y487" s="17"/>
      <c r="Z487" s="17"/>
      <c r="AA487" s="17"/>
      <c r="AB487" s="17"/>
      <c r="AC487" s="17"/>
      <c r="AD487" s="17"/>
      <c r="AE487" s="17"/>
      <c r="AF487" s="17"/>
      <c r="AG487" s="17"/>
      <c r="AH487" s="17"/>
      <c r="AI487" s="17"/>
      <c r="AJ487" s="17"/>
      <c r="AK487" s="17"/>
      <c r="AL487" s="17"/>
      <c r="AM487" s="17"/>
      <c r="AN487" s="17"/>
      <c r="AO487" s="17"/>
      <c r="AP487" s="1"/>
      <c r="AQ487" s="1"/>
    </row>
    <row r="488" spans="1:43" x14ac:dyDescent="0.35">
      <c r="A488" s="6"/>
      <c r="B488" s="13"/>
      <c r="C488" s="81"/>
      <c r="D488" s="4"/>
      <c r="E488" s="8"/>
      <c r="F488" s="17"/>
      <c r="G488" s="17"/>
      <c r="H488" s="17"/>
      <c r="I488" s="17"/>
      <c r="J488" s="17"/>
      <c r="K488" s="17"/>
      <c r="L488" s="17"/>
      <c r="M488" s="17"/>
      <c r="N488" s="17"/>
      <c r="O488" s="17"/>
      <c r="P488" s="17"/>
      <c r="Q488" s="17"/>
      <c r="R488" s="17"/>
      <c r="S488" s="17"/>
      <c r="T488" s="17"/>
      <c r="U488" s="17"/>
      <c r="V488" s="17"/>
      <c r="W488" s="17"/>
      <c r="X488" s="17"/>
      <c r="Y488" s="17"/>
      <c r="Z488" s="17"/>
      <c r="AA488" s="17"/>
      <c r="AB488" s="17"/>
      <c r="AC488" s="17"/>
      <c r="AD488" s="17"/>
      <c r="AE488" s="17"/>
      <c r="AF488" s="17"/>
      <c r="AG488" s="17"/>
      <c r="AH488" s="17"/>
      <c r="AI488" s="17"/>
      <c r="AJ488" s="17"/>
      <c r="AK488" s="17"/>
      <c r="AL488" s="17"/>
      <c r="AM488" s="17"/>
      <c r="AN488" s="17"/>
      <c r="AO488" s="17"/>
      <c r="AP488" s="1"/>
      <c r="AQ488" s="1"/>
    </row>
    <row r="489" spans="1:43" x14ac:dyDescent="0.35">
      <c r="A489" s="6"/>
      <c r="B489" s="13"/>
      <c r="C489" s="81"/>
      <c r="D489" s="4"/>
      <c r="E489" s="8"/>
      <c r="F489" s="17"/>
      <c r="G489" s="17"/>
      <c r="H489" s="17"/>
      <c r="I489" s="17"/>
      <c r="J489" s="17"/>
      <c r="K489" s="17"/>
      <c r="L489" s="17"/>
      <c r="M489" s="17"/>
      <c r="N489" s="17"/>
      <c r="O489" s="17"/>
      <c r="P489" s="17"/>
      <c r="Q489" s="17"/>
      <c r="R489" s="17"/>
      <c r="S489" s="17"/>
      <c r="T489" s="17"/>
      <c r="U489" s="17"/>
      <c r="V489" s="17"/>
      <c r="W489" s="17"/>
      <c r="X489" s="17"/>
      <c r="Y489" s="17"/>
      <c r="Z489" s="17"/>
      <c r="AA489" s="17"/>
      <c r="AB489" s="17"/>
      <c r="AC489" s="17"/>
      <c r="AD489" s="17"/>
      <c r="AE489" s="17"/>
      <c r="AF489" s="17"/>
      <c r="AG489" s="17"/>
      <c r="AH489" s="17"/>
      <c r="AI489" s="17"/>
      <c r="AJ489" s="17"/>
      <c r="AK489" s="17"/>
      <c r="AL489" s="17"/>
      <c r="AM489" s="17"/>
      <c r="AN489" s="17"/>
      <c r="AO489" s="17"/>
      <c r="AP489" s="1"/>
      <c r="AQ489" s="1"/>
    </row>
    <row r="490" spans="1:43" x14ac:dyDescent="0.35">
      <c r="A490" s="6"/>
      <c r="B490" s="13"/>
      <c r="C490" s="81"/>
      <c r="D490" s="4"/>
      <c r="E490" s="8"/>
      <c r="F490" s="17"/>
      <c r="G490" s="17"/>
      <c r="H490" s="17"/>
      <c r="I490" s="17"/>
      <c r="J490" s="17"/>
      <c r="K490" s="17"/>
      <c r="L490" s="17"/>
      <c r="M490" s="17"/>
      <c r="N490" s="17"/>
      <c r="O490" s="17"/>
      <c r="P490" s="17"/>
      <c r="Q490" s="17"/>
      <c r="R490" s="17"/>
      <c r="S490" s="17"/>
      <c r="T490" s="17"/>
      <c r="U490" s="17"/>
      <c r="V490" s="17"/>
      <c r="W490" s="17"/>
      <c r="X490" s="17"/>
      <c r="Y490" s="17"/>
      <c r="Z490" s="17"/>
      <c r="AA490" s="17"/>
      <c r="AB490" s="17"/>
      <c r="AC490" s="17"/>
      <c r="AD490" s="17"/>
      <c r="AE490" s="17"/>
      <c r="AF490" s="17"/>
      <c r="AG490" s="17"/>
      <c r="AH490" s="17"/>
      <c r="AI490" s="17"/>
      <c r="AJ490" s="17"/>
      <c r="AK490" s="17"/>
      <c r="AL490" s="17"/>
      <c r="AM490" s="17"/>
      <c r="AN490" s="17"/>
      <c r="AO490" s="17"/>
      <c r="AP490" s="1"/>
      <c r="AQ490" s="1"/>
    </row>
    <row r="491" spans="1:43" x14ac:dyDescent="0.35">
      <c r="A491" s="6"/>
      <c r="B491" s="13"/>
      <c r="C491" s="81"/>
      <c r="D491" s="4"/>
      <c r="E491" s="8"/>
      <c r="F491" s="17"/>
      <c r="G491" s="17"/>
      <c r="H491" s="17"/>
      <c r="I491" s="17"/>
      <c r="J491" s="17"/>
      <c r="K491" s="17"/>
      <c r="L491" s="17"/>
      <c r="M491" s="17"/>
      <c r="N491" s="17"/>
      <c r="O491" s="17"/>
      <c r="P491" s="17"/>
      <c r="Q491" s="17"/>
      <c r="R491" s="17"/>
      <c r="S491" s="17"/>
      <c r="T491" s="17"/>
      <c r="U491" s="17"/>
      <c r="V491" s="17"/>
      <c r="W491" s="17"/>
      <c r="X491" s="17"/>
      <c r="Y491" s="17"/>
      <c r="Z491" s="17"/>
      <c r="AA491" s="17"/>
      <c r="AB491" s="17"/>
      <c r="AC491" s="17"/>
      <c r="AD491" s="17"/>
      <c r="AE491" s="17"/>
      <c r="AF491" s="17"/>
      <c r="AG491" s="17"/>
      <c r="AH491" s="17"/>
      <c r="AI491" s="17"/>
      <c r="AJ491" s="17"/>
      <c r="AK491" s="17"/>
      <c r="AL491" s="17"/>
      <c r="AM491" s="17"/>
      <c r="AN491" s="17"/>
      <c r="AO491" s="17"/>
      <c r="AP491" s="1"/>
      <c r="AQ491" s="1"/>
    </row>
    <row r="492" spans="1:43" x14ac:dyDescent="0.35">
      <c r="A492" s="6"/>
      <c r="B492" s="13"/>
      <c r="C492" s="81"/>
      <c r="D492" s="4"/>
      <c r="E492" s="8"/>
      <c r="F492" s="17"/>
      <c r="G492" s="17"/>
      <c r="H492" s="17"/>
      <c r="I492" s="17"/>
      <c r="J492" s="17"/>
      <c r="K492" s="17"/>
      <c r="L492" s="17"/>
      <c r="M492" s="17"/>
      <c r="N492" s="17"/>
      <c r="O492" s="17"/>
      <c r="P492" s="17"/>
      <c r="Q492" s="17"/>
      <c r="R492" s="17"/>
      <c r="S492" s="17"/>
      <c r="T492" s="17"/>
      <c r="U492" s="17"/>
      <c r="V492" s="17"/>
      <c r="W492" s="17"/>
      <c r="X492" s="17"/>
      <c r="Y492" s="17"/>
      <c r="Z492" s="17"/>
      <c r="AA492" s="17"/>
      <c r="AB492" s="17"/>
      <c r="AC492" s="17"/>
      <c r="AD492" s="17"/>
      <c r="AE492" s="17"/>
      <c r="AF492" s="17"/>
      <c r="AG492" s="17"/>
      <c r="AH492" s="17"/>
      <c r="AI492" s="17"/>
      <c r="AJ492" s="17"/>
      <c r="AK492" s="17"/>
      <c r="AL492" s="17"/>
      <c r="AM492" s="17"/>
      <c r="AN492" s="17"/>
      <c r="AO492" s="17"/>
      <c r="AP492" s="1"/>
      <c r="AQ492" s="1"/>
    </row>
    <row r="493" spans="1:43" x14ac:dyDescent="0.35">
      <c r="A493" s="6"/>
      <c r="B493" s="13"/>
      <c r="C493" s="81"/>
      <c r="D493" s="4"/>
      <c r="E493" s="8"/>
      <c r="F493" s="17"/>
      <c r="G493" s="17"/>
      <c r="H493" s="17"/>
      <c r="I493" s="17"/>
      <c r="J493" s="17"/>
      <c r="K493" s="17"/>
      <c r="L493" s="17"/>
      <c r="M493" s="17"/>
      <c r="N493" s="17"/>
      <c r="O493" s="17"/>
      <c r="P493" s="17"/>
      <c r="Q493" s="17"/>
      <c r="R493" s="17"/>
      <c r="S493" s="17"/>
      <c r="T493" s="17"/>
      <c r="U493" s="17"/>
      <c r="V493" s="17"/>
      <c r="W493" s="17"/>
      <c r="X493" s="17"/>
      <c r="Y493" s="17"/>
      <c r="Z493" s="17"/>
      <c r="AA493" s="17"/>
      <c r="AB493" s="17"/>
      <c r="AC493" s="17"/>
      <c r="AD493" s="17"/>
      <c r="AE493" s="17"/>
      <c r="AF493" s="17"/>
      <c r="AG493" s="17"/>
      <c r="AH493" s="17"/>
      <c r="AI493" s="17"/>
      <c r="AJ493" s="17"/>
      <c r="AK493" s="17"/>
      <c r="AL493" s="17"/>
      <c r="AM493" s="17"/>
      <c r="AN493" s="17"/>
      <c r="AO493" s="17"/>
      <c r="AP493" s="1"/>
      <c r="AQ493" s="1"/>
    </row>
    <row r="494" spans="1:43" x14ac:dyDescent="0.35">
      <c r="A494" s="6"/>
      <c r="B494" s="13"/>
      <c r="C494" s="81"/>
      <c r="D494" s="4"/>
      <c r="E494" s="8"/>
      <c r="F494" s="17"/>
      <c r="G494" s="17"/>
      <c r="H494" s="17"/>
      <c r="I494" s="17"/>
      <c r="J494" s="17"/>
      <c r="K494" s="17"/>
      <c r="L494" s="17"/>
      <c r="M494" s="17"/>
      <c r="N494" s="17"/>
      <c r="O494" s="17"/>
      <c r="P494" s="17"/>
      <c r="Q494" s="17"/>
      <c r="R494" s="17"/>
      <c r="S494" s="17"/>
      <c r="T494" s="17"/>
      <c r="U494" s="17"/>
      <c r="V494" s="17"/>
      <c r="W494" s="17"/>
      <c r="X494" s="17"/>
      <c r="Y494" s="17"/>
      <c r="Z494" s="17"/>
      <c r="AA494" s="17"/>
      <c r="AB494" s="17"/>
      <c r="AC494" s="17"/>
      <c r="AD494" s="17"/>
      <c r="AE494" s="17"/>
      <c r="AF494" s="17"/>
      <c r="AG494" s="17"/>
      <c r="AH494" s="17"/>
      <c r="AI494" s="17"/>
      <c r="AJ494" s="17"/>
      <c r="AK494" s="17"/>
      <c r="AL494" s="17"/>
      <c r="AM494" s="17"/>
      <c r="AN494" s="17"/>
      <c r="AO494" s="17"/>
      <c r="AP494" s="1"/>
      <c r="AQ494" s="1"/>
    </row>
    <row r="495" spans="1:43" x14ac:dyDescent="0.35">
      <c r="A495" s="6"/>
      <c r="B495" s="13"/>
      <c r="C495" s="81"/>
      <c r="D495" s="4"/>
      <c r="E495" s="8"/>
      <c r="F495" s="17"/>
      <c r="G495" s="17"/>
      <c r="H495" s="17"/>
      <c r="I495" s="17"/>
      <c r="J495" s="17"/>
      <c r="K495" s="17"/>
      <c r="L495" s="17"/>
      <c r="M495" s="17"/>
      <c r="N495" s="17"/>
      <c r="O495" s="17"/>
      <c r="P495" s="17"/>
      <c r="Q495" s="17"/>
      <c r="R495" s="17"/>
      <c r="S495" s="17"/>
      <c r="T495" s="17"/>
      <c r="U495" s="17"/>
      <c r="V495" s="17"/>
      <c r="W495" s="17"/>
      <c r="X495" s="17"/>
      <c r="Y495" s="17"/>
      <c r="Z495" s="17"/>
      <c r="AA495" s="17"/>
      <c r="AB495" s="17"/>
      <c r="AC495" s="17"/>
      <c r="AD495" s="17"/>
      <c r="AE495" s="17"/>
      <c r="AF495" s="17"/>
      <c r="AG495" s="17"/>
      <c r="AH495" s="17"/>
      <c r="AI495" s="17"/>
      <c r="AJ495" s="17"/>
      <c r="AK495" s="17"/>
      <c r="AL495" s="17"/>
      <c r="AM495" s="17"/>
      <c r="AN495" s="17"/>
      <c r="AO495" s="17"/>
      <c r="AP495" s="1"/>
      <c r="AQ495" s="1"/>
    </row>
    <row r="496" spans="1:43" x14ac:dyDescent="0.35">
      <c r="A496" s="6"/>
      <c r="B496" s="13"/>
      <c r="C496" s="81"/>
      <c r="D496" s="4"/>
      <c r="E496" s="8"/>
      <c r="F496" s="17"/>
      <c r="G496" s="17"/>
      <c r="H496" s="17"/>
      <c r="I496" s="17"/>
      <c r="J496" s="17"/>
      <c r="K496" s="17"/>
      <c r="L496" s="17"/>
      <c r="M496" s="17"/>
      <c r="N496" s="17"/>
      <c r="O496" s="17"/>
      <c r="P496" s="17"/>
      <c r="Q496" s="17"/>
      <c r="R496" s="17"/>
      <c r="S496" s="17"/>
      <c r="T496" s="17"/>
      <c r="U496" s="17"/>
      <c r="V496" s="17"/>
      <c r="W496" s="17"/>
      <c r="X496" s="17"/>
      <c r="Y496" s="17"/>
      <c r="Z496" s="17"/>
      <c r="AA496" s="17"/>
      <c r="AB496" s="17"/>
      <c r="AC496" s="17"/>
      <c r="AD496" s="17"/>
      <c r="AE496" s="17"/>
      <c r="AF496" s="17"/>
      <c r="AG496" s="17"/>
      <c r="AH496" s="17"/>
      <c r="AI496" s="17"/>
      <c r="AJ496" s="17"/>
      <c r="AK496" s="17"/>
      <c r="AL496" s="17"/>
      <c r="AM496" s="17"/>
      <c r="AN496" s="17"/>
      <c r="AO496" s="17"/>
      <c r="AP496" s="1"/>
      <c r="AQ496" s="1"/>
    </row>
    <row r="497" spans="1:43" x14ac:dyDescent="0.35">
      <c r="A497" s="6"/>
      <c r="B497" s="13"/>
      <c r="C497" s="81"/>
      <c r="D497" s="4"/>
      <c r="E497" s="8"/>
      <c r="F497" s="17"/>
      <c r="G497" s="17"/>
      <c r="H497" s="17"/>
      <c r="I497" s="17"/>
      <c r="J497" s="17"/>
      <c r="K497" s="17"/>
      <c r="L497" s="17"/>
      <c r="M497" s="17"/>
      <c r="N497" s="17"/>
      <c r="O497" s="17"/>
      <c r="P497" s="17"/>
      <c r="Q497" s="17"/>
      <c r="R497" s="17"/>
      <c r="S497" s="17"/>
      <c r="T497" s="17"/>
      <c r="U497" s="17"/>
      <c r="V497" s="17"/>
      <c r="W497" s="17"/>
      <c r="X497" s="17"/>
      <c r="Y497" s="17"/>
      <c r="Z497" s="17"/>
      <c r="AA497" s="17"/>
      <c r="AB497" s="17"/>
      <c r="AC497" s="17"/>
      <c r="AD497" s="17"/>
      <c r="AE497" s="17"/>
      <c r="AF497" s="17"/>
      <c r="AG497" s="17"/>
      <c r="AH497" s="17"/>
      <c r="AI497" s="17"/>
      <c r="AJ497" s="17"/>
      <c r="AK497" s="17"/>
      <c r="AL497" s="17"/>
      <c r="AM497" s="17"/>
      <c r="AN497" s="17"/>
      <c r="AO497" s="17"/>
      <c r="AP497" s="1"/>
      <c r="AQ497" s="1"/>
    </row>
    <row r="498" spans="1:43" x14ac:dyDescent="0.35">
      <c r="A498" s="6"/>
      <c r="B498" s="13"/>
      <c r="C498" s="81"/>
      <c r="D498" s="4"/>
      <c r="E498" s="8"/>
      <c r="F498" s="17"/>
      <c r="G498" s="17"/>
      <c r="H498" s="17"/>
      <c r="I498" s="17"/>
      <c r="J498" s="17"/>
      <c r="K498" s="17"/>
      <c r="L498" s="17"/>
      <c r="M498" s="17"/>
      <c r="N498" s="17"/>
      <c r="O498" s="17"/>
      <c r="P498" s="17"/>
      <c r="Q498" s="17"/>
      <c r="R498" s="17"/>
      <c r="S498" s="17"/>
      <c r="T498" s="17"/>
      <c r="U498" s="17"/>
      <c r="V498" s="17"/>
      <c r="W498" s="17"/>
      <c r="X498" s="17"/>
      <c r="Y498" s="17"/>
      <c r="Z498" s="17"/>
      <c r="AA498" s="17"/>
      <c r="AB498" s="17"/>
      <c r="AC498" s="17"/>
      <c r="AD498" s="17"/>
      <c r="AE498" s="17"/>
      <c r="AF498" s="17"/>
      <c r="AG498" s="17"/>
      <c r="AH498" s="17"/>
      <c r="AI498" s="17"/>
      <c r="AJ498" s="17"/>
      <c r="AK498" s="17"/>
      <c r="AL498" s="17"/>
      <c r="AM498" s="17"/>
      <c r="AN498" s="17"/>
      <c r="AO498" s="17"/>
      <c r="AP498" s="1"/>
      <c r="AQ498" s="1"/>
    </row>
    <row r="499" spans="1:43" x14ac:dyDescent="0.35">
      <c r="A499" s="6"/>
      <c r="B499" s="13"/>
      <c r="C499" s="81"/>
      <c r="D499" s="4"/>
      <c r="E499" s="8"/>
      <c r="F499" s="17"/>
      <c r="G499" s="17"/>
      <c r="H499" s="17"/>
      <c r="I499" s="17"/>
      <c r="J499" s="17"/>
      <c r="K499" s="17"/>
      <c r="L499" s="17"/>
      <c r="M499" s="17"/>
      <c r="N499" s="17"/>
      <c r="O499" s="17"/>
      <c r="P499" s="17"/>
      <c r="Q499" s="17"/>
      <c r="R499" s="17"/>
      <c r="S499" s="17"/>
      <c r="T499" s="17"/>
      <c r="U499" s="17"/>
      <c r="V499" s="17"/>
      <c r="W499" s="17"/>
      <c r="X499" s="17"/>
      <c r="Y499" s="17"/>
      <c r="Z499" s="17"/>
      <c r="AA499" s="17"/>
      <c r="AB499" s="17"/>
      <c r="AC499" s="17"/>
      <c r="AD499" s="17"/>
      <c r="AE499" s="17"/>
      <c r="AF499" s="17"/>
      <c r="AG499" s="17"/>
      <c r="AH499" s="17"/>
      <c r="AI499" s="17"/>
      <c r="AJ499" s="17"/>
      <c r="AK499" s="17"/>
      <c r="AL499" s="17"/>
      <c r="AM499" s="17"/>
      <c r="AN499" s="17"/>
      <c r="AO499" s="17"/>
      <c r="AP499" s="1"/>
      <c r="AQ499" s="1"/>
    </row>
    <row r="500" spans="1:43" x14ac:dyDescent="0.35">
      <c r="A500" s="6"/>
      <c r="B500" s="13"/>
      <c r="C500" s="81"/>
      <c r="D500" s="4"/>
      <c r="E500" s="8"/>
      <c r="F500" s="17"/>
      <c r="G500" s="17"/>
      <c r="H500" s="17"/>
      <c r="I500" s="17"/>
      <c r="J500" s="17"/>
      <c r="K500" s="17"/>
      <c r="L500" s="17"/>
      <c r="M500" s="17"/>
      <c r="N500" s="17"/>
      <c r="O500" s="17"/>
      <c r="P500" s="17"/>
      <c r="Q500" s="17"/>
      <c r="R500" s="17"/>
      <c r="S500" s="17"/>
      <c r="T500" s="17"/>
      <c r="U500" s="17"/>
      <c r="V500" s="17"/>
      <c r="W500" s="17"/>
      <c r="X500" s="17"/>
      <c r="Y500" s="17"/>
      <c r="Z500" s="17"/>
      <c r="AA500" s="17"/>
      <c r="AB500" s="17"/>
      <c r="AC500" s="17"/>
      <c r="AD500" s="17"/>
      <c r="AE500" s="17"/>
      <c r="AF500" s="17"/>
      <c r="AG500" s="17"/>
      <c r="AH500" s="17"/>
      <c r="AI500" s="17"/>
      <c r="AJ500" s="17"/>
      <c r="AK500" s="17"/>
      <c r="AL500" s="17"/>
      <c r="AM500" s="17"/>
      <c r="AN500" s="17"/>
      <c r="AO500" s="17"/>
      <c r="AP500" s="1"/>
      <c r="AQ500" s="1"/>
    </row>
    <row r="501" spans="1:43" x14ac:dyDescent="0.35">
      <c r="A501" s="6"/>
      <c r="B501" s="13"/>
      <c r="C501" s="81"/>
      <c r="D501" s="4"/>
      <c r="E501" s="8"/>
      <c r="F501" s="17"/>
      <c r="G501" s="17"/>
      <c r="H501" s="17"/>
      <c r="I501" s="17"/>
      <c r="J501" s="17"/>
      <c r="K501" s="17"/>
      <c r="L501" s="17"/>
      <c r="M501" s="17"/>
      <c r="N501" s="17"/>
      <c r="O501" s="17"/>
      <c r="P501" s="17"/>
      <c r="Q501" s="17"/>
      <c r="R501" s="17"/>
      <c r="S501" s="17"/>
      <c r="T501" s="17"/>
      <c r="U501" s="17"/>
      <c r="V501" s="17"/>
      <c r="W501" s="17"/>
      <c r="X501" s="17"/>
      <c r="Y501" s="17"/>
      <c r="Z501" s="17"/>
      <c r="AA501" s="17"/>
      <c r="AB501" s="17"/>
      <c r="AC501" s="17"/>
      <c r="AD501" s="17"/>
      <c r="AE501" s="17"/>
      <c r="AF501" s="17"/>
      <c r="AG501" s="17"/>
      <c r="AH501" s="17"/>
      <c r="AI501" s="17"/>
      <c r="AJ501" s="17"/>
      <c r="AK501" s="17"/>
      <c r="AL501" s="17"/>
      <c r="AM501" s="17"/>
      <c r="AN501" s="17"/>
      <c r="AO501" s="17"/>
      <c r="AP501" s="1"/>
      <c r="AQ501" s="1"/>
    </row>
    <row r="502" spans="1:43" x14ac:dyDescent="0.35">
      <c r="A502" s="6"/>
      <c r="B502" s="13"/>
      <c r="C502" s="81"/>
      <c r="D502" s="4"/>
      <c r="E502" s="8"/>
      <c r="F502" s="17"/>
      <c r="G502" s="17"/>
      <c r="H502" s="17"/>
      <c r="I502" s="17"/>
      <c r="J502" s="17"/>
      <c r="K502" s="17"/>
      <c r="L502" s="17"/>
      <c r="M502" s="17"/>
      <c r="N502" s="17"/>
      <c r="O502" s="17"/>
      <c r="P502" s="17"/>
      <c r="Q502" s="17"/>
      <c r="R502" s="17"/>
      <c r="S502" s="17"/>
      <c r="T502" s="17"/>
      <c r="U502" s="17"/>
      <c r="V502" s="17"/>
      <c r="W502" s="17"/>
      <c r="X502" s="17"/>
      <c r="Y502" s="17"/>
      <c r="Z502" s="17"/>
      <c r="AA502" s="17"/>
      <c r="AB502" s="17"/>
      <c r="AC502" s="17"/>
      <c r="AD502" s="17"/>
      <c r="AE502" s="17"/>
      <c r="AF502" s="17"/>
      <c r="AG502" s="17"/>
      <c r="AH502" s="17"/>
      <c r="AI502" s="17"/>
      <c r="AJ502" s="17"/>
      <c r="AK502" s="17"/>
      <c r="AL502" s="17"/>
      <c r="AM502" s="17"/>
      <c r="AN502" s="17"/>
      <c r="AO502" s="17"/>
      <c r="AP502" s="1"/>
      <c r="AQ502" s="1"/>
    </row>
    <row r="503" spans="1:43" x14ac:dyDescent="0.35">
      <c r="A503" s="6"/>
      <c r="B503" s="13"/>
      <c r="C503" s="81"/>
      <c r="D503" s="4"/>
      <c r="E503" s="8"/>
      <c r="F503" s="17"/>
      <c r="G503" s="17"/>
      <c r="H503" s="17"/>
      <c r="I503" s="17"/>
      <c r="J503" s="17"/>
      <c r="K503" s="17"/>
      <c r="L503" s="17"/>
      <c r="M503" s="17"/>
      <c r="N503" s="17"/>
      <c r="O503" s="17"/>
      <c r="P503" s="17"/>
      <c r="Q503" s="17"/>
      <c r="R503" s="17"/>
      <c r="S503" s="17"/>
      <c r="T503" s="17"/>
      <c r="U503" s="17"/>
      <c r="V503" s="17"/>
      <c r="W503" s="17"/>
      <c r="X503" s="17"/>
      <c r="Y503" s="17"/>
      <c r="Z503" s="17"/>
      <c r="AA503" s="17"/>
      <c r="AB503" s="17"/>
      <c r="AC503" s="17"/>
      <c r="AD503" s="17"/>
      <c r="AE503" s="17"/>
      <c r="AF503" s="17"/>
      <c r="AG503" s="17"/>
      <c r="AH503" s="17"/>
      <c r="AI503" s="17"/>
      <c r="AJ503" s="17"/>
      <c r="AK503" s="17"/>
      <c r="AL503" s="17"/>
      <c r="AM503" s="17"/>
      <c r="AN503" s="17"/>
      <c r="AO503" s="17"/>
      <c r="AP503" s="1"/>
      <c r="AQ503" s="1"/>
    </row>
    <row r="504" spans="1:43" x14ac:dyDescent="0.35">
      <c r="A504" s="6"/>
      <c r="B504" s="13"/>
      <c r="C504" s="81"/>
      <c r="D504" s="4"/>
      <c r="E504" s="8"/>
      <c r="F504" s="17"/>
      <c r="G504" s="17"/>
      <c r="H504" s="17"/>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
      <c r="AQ504" s="1"/>
    </row>
    <row r="505" spans="1:43" x14ac:dyDescent="0.35">
      <c r="A505" s="6"/>
      <c r="B505" s="13"/>
      <c r="C505" s="81"/>
      <c r="D505" s="4"/>
      <c r="E505" s="8"/>
      <c r="F505" s="17"/>
      <c r="G505" s="17"/>
      <c r="H505" s="17"/>
      <c r="I505" s="17"/>
      <c r="J505" s="17"/>
      <c r="K505" s="17"/>
      <c r="L505" s="17"/>
      <c r="M505" s="17"/>
      <c r="N505" s="17"/>
      <c r="O505" s="17"/>
      <c r="P505" s="17"/>
      <c r="Q505" s="17"/>
      <c r="R505" s="17"/>
      <c r="S505" s="17"/>
      <c r="T505" s="17"/>
      <c r="U505" s="17"/>
      <c r="V505" s="17"/>
      <c r="W505" s="17"/>
      <c r="X505" s="17"/>
      <c r="Y505" s="17"/>
      <c r="Z505" s="17"/>
      <c r="AA505" s="17"/>
      <c r="AB505" s="17"/>
      <c r="AC505" s="17"/>
      <c r="AD505" s="17"/>
      <c r="AE505" s="17"/>
      <c r="AF505" s="17"/>
      <c r="AG505" s="17"/>
      <c r="AH505" s="17"/>
      <c r="AI505" s="17"/>
      <c r="AJ505" s="17"/>
      <c r="AK505" s="17"/>
      <c r="AL505" s="17"/>
      <c r="AM505" s="17"/>
      <c r="AN505" s="17"/>
      <c r="AO505" s="17"/>
      <c r="AP505" s="1"/>
      <c r="AQ505" s="1"/>
    </row>
    <row r="506" spans="1:43" x14ac:dyDescent="0.35">
      <c r="A506" s="6"/>
      <c r="B506" s="13"/>
      <c r="C506" s="81"/>
      <c r="D506" s="4"/>
      <c r="E506" s="8"/>
      <c r="F506" s="17"/>
      <c r="G506" s="17"/>
      <c r="H506" s="17"/>
      <c r="I506" s="17"/>
      <c r="J506" s="17"/>
      <c r="K506" s="17"/>
      <c r="L506" s="17"/>
      <c r="M506" s="17"/>
      <c r="N506" s="17"/>
      <c r="O506" s="17"/>
      <c r="P506" s="17"/>
      <c r="Q506" s="17"/>
      <c r="R506" s="17"/>
      <c r="S506" s="17"/>
      <c r="T506" s="17"/>
      <c r="U506" s="17"/>
      <c r="V506" s="17"/>
      <c r="W506" s="17"/>
      <c r="X506" s="17"/>
      <c r="Y506" s="17"/>
      <c r="Z506" s="17"/>
      <c r="AA506" s="17"/>
      <c r="AB506" s="17"/>
      <c r="AC506" s="17"/>
      <c r="AD506" s="17"/>
      <c r="AE506" s="17"/>
      <c r="AF506" s="17"/>
      <c r="AG506" s="17"/>
      <c r="AH506" s="17"/>
      <c r="AI506" s="17"/>
      <c r="AJ506" s="17"/>
      <c r="AK506" s="17"/>
      <c r="AL506" s="17"/>
      <c r="AM506" s="17"/>
      <c r="AN506" s="17"/>
      <c r="AO506" s="17"/>
      <c r="AP506" s="1"/>
      <c r="AQ506" s="1"/>
    </row>
    <row r="507" spans="1:43" x14ac:dyDescent="0.35">
      <c r="A507" s="6"/>
      <c r="B507" s="13"/>
      <c r="C507" s="81"/>
      <c r="D507" s="4"/>
      <c r="E507" s="8"/>
      <c r="F507" s="17"/>
      <c r="G507" s="17"/>
      <c r="H507" s="17"/>
      <c r="I507" s="17"/>
      <c r="J507" s="17"/>
      <c r="K507" s="17"/>
      <c r="L507" s="17"/>
      <c r="M507" s="17"/>
      <c r="N507" s="17"/>
      <c r="O507" s="17"/>
      <c r="P507" s="17"/>
      <c r="Q507" s="17"/>
      <c r="R507" s="17"/>
      <c r="S507" s="17"/>
      <c r="T507" s="17"/>
      <c r="U507" s="17"/>
      <c r="V507" s="17"/>
      <c r="W507" s="17"/>
      <c r="X507" s="17"/>
      <c r="Y507" s="17"/>
      <c r="Z507" s="17"/>
      <c r="AA507" s="17"/>
      <c r="AB507" s="17"/>
      <c r="AC507" s="17"/>
      <c r="AD507" s="17"/>
      <c r="AE507" s="17"/>
      <c r="AF507" s="17"/>
      <c r="AG507" s="17"/>
      <c r="AH507" s="17"/>
      <c r="AI507" s="17"/>
      <c r="AJ507" s="17"/>
      <c r="AK507" s="17"/>
      <c r="AL507" s="17"/>
      <c r="AM507" s="17"/>
      <c r="AN507" s="17"/>
      <c r="AO507" s="17"/>
      <c r="AP507" s="1"/>
      <c r="AQ507" s="1"/>
    </row>
    <row r="508" spans="1:43" x14ac:dyDescent="0.35">
      <c r="A508" s="6"/>
      <c r="B508" s="13"/>
      <c r="C508" s="81"/>
      <c r="D508" s="4"/>
      <c r="E508" s="8"/>
      <c r="F508" s="17"/>
      <c r="G508" s="17"/>
      <c r="H508" s="17"/>
      <c r="I508" s="17"/>
      <c r="J508" s="17"/>
      <c r="K508" s="17"/>
      <c r="L508" s="17"/>
      <c r="M508" s="17"/>
      <c r="N508" s="17"/>
      <c r="O508" s="17"/>
      <c r="P508" s="17"/>
      <c r="Q508" s="17"/>
      <c r="R508" s="17"/>
      <c r="S508" s="17"/>
      <c r="T508" s="17"/>
      <c r="U508" s="17"/>
      <c r="V508" s="17"/>
      <c r="W508" s="17"/>
      <c r="X508" s="17"/>
      <c r="Y508" s="17"/>
      <c r="Z508" s="17"/>
      <c r="AA508" s="17"/>
      <c r="AB508" s="17"/>
      <c r="AC508" s="17"/>
      <c r="AD508" s="17"/>
      <c r="AE508" s="17"/>
      <c r="AF508" s="17"/>
      <c r="AG508" s="17"/>
      <c r="AH508" s="17"/>
      <c r="AI508" s="17"/>
      <c r="AJ508" s="17"/>
      <c r="AK508" s="17"/>
      <c r="AL508" s="17"/>
      <c r="AM508" s="17"/>
      <c r="AN508" s="17"/>
      <c r="AO508" s="17"/>
      <c r="AP508" s="1"/>
      <c r="AQ508" s="1"/>
    </row>
    <row r="509" spans="1:43" x14ac:dyDescent="0.35">
      <c r="A509" s="6"/>
      <c r="B509" s="13"/>
      <c r="C509" s="81"/>
      <c r="D509" s="4"/>
      <c r="E509" s="8"/>
      <c r="F509" s="17"/>
      <c r="G509" s="17"/>
      <c r="H509" s="17"/>
      <c r="I509" s="17"/>
      <c r="J509" s="17"/>
      <c r="K509" s="17"/>
      <c r="L509" s="17"/>
      <c r="M509" s="17"/>
      <c r="N509" s="17"/>
      <c r="O509" s="17"/>
      <c r="P509" s="17"/>
      <c r="Q509" s="17"/>
      <c r="R509" s="17"/>
      <c r="S509" s="17"/>
      <c r="T509" s="17"/>
      <c r="U509" s="17"/>
      <c r="V509" s="17"/>
      <c r="W509" s="17"/>
      <c r="X509" s="17"/>
      <c r="Y509" s="17"/>
      <c r="Z509" s="17"/>
      <c r="AA509" s="17"/>
      <c r="AB509" s="17"/>
      <c r="AC509" s="17"/>
      <c r="AD509" s="17"/>
      <c r="AE509" s="17"/>
      <c r="AF509" s="17"/>
      <c r="AG509" s="17"/>
      <c r="AH509" s="17"/>
      <c r="AI509" s="17"/>
      <c r="AJ509" s="17"/>
      <c r="AK509" s="17"/>
      <c r="AL509" s="17"/>
      <c r="AM509" s="17"/>
      <c r="AN509" s="17"/>
      <c r="AO509" s="17"/>
      <c r="AP509" s="1"/>
      <c r="AQ509" s="1"/>
    </row>
    <row r="510" spans="1:43" x14ac:dyDescent="0.35">
      <c r="A510" s="6"/>
      <c r="B510" s="13"/>
      <c r="C510" s="81"/>
      <c r="D510" s="4"/>
      <c r="E510" s="8"/>
      <c r="F510" s="17"/>
      <c r="G510" s="17"/>
      <c r="H510" s="17"/>
      <c r="I510" s="17"/>
      <c r="J510" s="17"/>
      <c r="K510" s="17"/>
      <c r="L510" s="17"/>
      <c r="M510" s="17"/>
      <c r="N510" s="17"/>
      <c r="O510" s="17"/>
      <c r="P510" s="17"/>
      <c r="Q510" s="17"/>
      <c r="R510" s="17"/>
      <c r="S510" s="17"/>
      <c r="T510" s="17"/>
      <c r="U510" s="17"/>
      <c r="V510" s="17"/>
      <c r="W510" s="17"/>
      <c r="X510" s="17"/>
      <c r="Y510" s="17"/>
      <c r="Z510" s="17"/>
      <c r="AA510" s="17"/>
      <c r="AB510" s="17"/>
      <c r="AC510" s="17"/>
      <c r="AD510" s="17"/>
      <c r="AE510" s="17"/>
      <c r="AF510" s="17"/>
      <c r="AG510" s="17"/>
      <c r="AH510" s="17"/>
      <c r="AI510" s="17"/>
      <c r="AJ510" s="17"/>
      <c r="AK510" s="17"/>
      <c r="AL510" s="17"/>
      <c r="AM510" s="17"/>
      <c r="AN510" s="17"/>
      <c r="AO510" s="17"/>
      <c r="AP510" s="1"/>
      <c r="AQ510" s="1"/>
    </row>
    <row r="511" spans="1:43" x14ac:dyDescent="0.35">
      <c r="A511" s="6"/>
      <c r="B511" s="13"/>
      <c r="C511" s="81"/>
      <c r="D511" s="4"/>
      <c r="E511" s="8"/>
      <c r="F511" s="17"/>
      <c r="G511" s="17"/>
      <c r="H511" s="17"/>
      <c r="I511" s="17"/>
      <c r="J511" s="17"/>
      <c r="K511" s="17"/>
      <c r="L511" s="17"/>
      <c r="M511" s="17"/>
      <c r="N511" s="17"/>
      <c r="O511" s="17"/>
      <c r="P511" s="17"/>
      <c r="Q511" s="17"/>
      <c r="R511" s="17"/>
      <c r="S511" s="17"/>
      <c r="T511" s="17"/>
      <c r="U511" s="17"/>
      <c r="V511" s="17"/>
      <c r="W511" s="17"/>
      <c r="X511" s="17"/>
      <c r="Y511" s="17"/>
      <c r="Z511" s="17"/>
      <c r="AA511" s="17"/>
      <c r="AB511" s="17"/>
      <c r="AC511" s="17"/>
      <c r="AD511" s="17"/>
      <c r="AE511" s="17"/>
      <c r="AF511" s="17"/>
      <c r="AG511" s="17"/>
      <c r="AH511" s="17"/>
      <c r="AI511" s="17"/>
      <c r="AJ511" s="17"/>
      <c r="AK511" s="17"/>
      <c r="AL511" s="17"/>
      <c r="AM511" s="17"/>
      <c r="AN511" s="17"/>
      <c r="AO511" s="17"/>
      <c r="AP511" s="1"/>
      <c r="AQ511" s="1"/>
    </row>
    <row r="512" spans="1:43" x14ac:dyDescent="0.35">
      <c r="A512" s="6"/>
      <c r="B512" s="13"/>
      <c r="C512" s="81"/>
      <c r="D512" s="4"/>
      <c r="E512" s="8"/>
      <c r="F512" s="17"/>
      <c r="G512" s="17"/>
      <c r="H512" s="17"/>
      <c r="I512" s="17"/>
      <c r="J512" s="17"/>
      <c r="K512" s="17"/>
      <c r="L512" s="17"/>
      <c r="M512" s="17"/>
      <c r="N512" s="17"/>
      <c r="O512" s="17"/>
      <c r="P512" s="17"/>
      <c r="Q512" s="17"/>
      <c r="R512" s="17"/>
      <c r="S512" s="17"/>
      <c r="T512" s="17"/>
      <c r="U512" s="17"/>
      <c r="V512" s="17"/>
      <c r="W512" s="17"/>
      <c r="X512" s="17"/>
      <c r="Y512" s="17"/>
      <c r="Z512" s="17"/>
      <c r="AA512" s="17"/>
      <c r="AB512" s="17"/>
      <c r="AC512" s="17"/>
      <c r="AD512" s="17"/>
      <c r="AE512" s="17"/>
      <c r="AF512" s="17"/>
      <c r="AG512" s="17"/>
      <c r="AH512" s="17"/>
      <c r="AI512" s="17"/>
      <c r="AJ512" s="17"/>
      <c r="AK512" s="17"/>
      <c r="AL512" s="17"/>
      <c r="AM512" s="17"/>
      <c r="AN512" s="17"/>
      <c r="AO512" s="17"/>
      <c r="AP512" s="1"/>
      <c r="AQ512" s="1"/>
    </row>
    <row r="513" spans="1:43" x14ac:dyDescent="0.35">
      <c r="A513" s="6"/>
      <c r="B513" s="13"/>
      <c r="C513" s="81"/>
      <c r="D513" s="4"/>
      <c r="E513" s="8"/>
      <c r="F513" s="17"/>
      <c r="G513" s="17"/>
      <c r="H513" s="17"/>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17"/>
      <c r="AO513" s="17"/>
      <c r="AP513" s="1"/>
      <c r="AQ513" s="1"/>
    </row>
    <row r="514" spans="1:43" x14ac:dyDescent="0.35">
      <c r="A514" s="6"/>
      <c r="B514" s="13"/>
      <c r="C514" s="81"/>
      <c r="D514" s="4"/>
      <c r="E514" s="8"/>
      <c r="F514" s="17"/>
      <c r="G514" s="17"/>
      <c r="H514" s="17"/>
      <c r="I514" s="17"/>
      <c r="J514" s="17"/>
      <c r="K514" s="17"/>
      <c r="L514" s="17"/>
      <c r="M514" s="17"/>
      <c r="N514" s="17"/>
      <c r="O514" s="17"/>
      <c r="P514" s="17"/>
      <c r="Q514" s="17"/>
      <c r="R514" s="17"/>
      <c r="S514" s="17"/>
      <c r="T514" s="17"/>
      <c r="U514" s="17"/>
      <c r="V514" s="17"/>
      <c r="W514" s="17"/>
      <c r="X514" s="17"/>
      <c r="Y514" s="17"/>
      <c r="Z514" s="17"/>
      <c r="AA514" s="17"/>
      <c r="AB514" s="17"/>
      <c r="AC514" s="17"/>
      <c r="AD514" s="17"/>
      <c r="AE514" s="17"/>
      <c r="AF514" s="17"/>
      <c r="AG514" s="17"/>
      <c r="AH514" s="17"/>
      <c r="AI514" s="17"/>
      <c r="AJ514" s="17"/>
      <c r="AK514" s="17"/>
      <c r="AL514" s="17"/>
      <c r="AM514" s="17"/>
      <c r="AN514" s="17"/>
      <c r="AO514" s="17"/>
      <c r="AP514" s="1"/>
      <c r="AQ514" s="1"/>
    </row>
    <row r="515" spans="1:43" x14ac:dyDescent="0.35">
      <c r="A515" s="6"/>
      <c r="B515" s="13"/>
      <c r="C515" s="81"/>
      <c r="D515" s="4"/>
      <c r="E515" s="8"/>
      <c r="F515" s="17"/>
      <c r="G515" s="17"/>
      <c r="H515" s="17"/>
      <c r="I515" s="17"/>
      <c r="J515" s="17"/>
      <c r="K515" s="17"/>
      <c r="L515" s="17"/>
      <c r="M515" s="17"/>
      <c r="N515" s="17"/>
      <c r="O515" s="17"/>
      <c r="P515" s="17"/>
      <c r="Q515" s="17"/>
      <c r="R515" s="17"/>
      <c r="S515" s="17"/>
      <c r="T515" s="17"/>
      <c r="U515" s="17"/>
      <c r="V515" s="17"/>
      <c r="W515" s="17"/>
      <c r="X515" s="17"/>
      <c r="Y515" s="17"/>
      <c r="Z515" s="17"/>
      <c r="AA515" s="17"/>
      <c r="AB515" s="17"/>
      <c r="AC515" s="17"/>
      <c r="AD515" s="17"/>
      <c r="AE515" s="17"/>
      <c r="AF515" s="17"/>
      <c r="AG515" s="17"/>
      <c r="AH515" s="17"/>
      <c r="AI515" s="17"/>
      <c r="AJ515" s="17"/>
      <c r="AK515" s="17"/>
      <c r="AL515" s="17"/>
      <c r="AM515" s="17"/>
      <c r="AN515" s="17"/>
      <c r="AO515" s="17"/>
      <c r="AP515" s="1"/>
      <c r="AQ515" s="1"/>
    </row>
    <row r="516" spans="1:43" x14ac:dyDescent="0.35">
      <c r="A516" s="6"/>
      <c r="B516" s="13"/>
      <c r="C516" s="81"/>
      <c r="D516" s="4"/>
      <c r="E516" s="8"/>
      <c r="F516" s="17"/>
      <c r="G516" s="17"/>
      <c r="H516" s="17"/>
      <c r="I516" s="17"/>
      <c r="J516" s="17"/>
      <c r="K516" s="17"/>
      <c r="L516" s="17"/>
      <c r="M516" s="17"/>
      <c r="N516" s="17"/>
      <c r="O516" s="17"/>
      <c r="P516" s="17"/>
      <c r="Q516" s="17"/>
      <c r="R516" s="17"/>
      <c r="S516" s="17"/>
      <c r="T516" s="17"/>
      <c r="U516" s="17"/>
      <c r="V516" s="17"/>
      <c r="W516" s="17"/>
      <c r="X516" s="17"/>
      <c r="Y516" s="17"/>
      <c r="Z516" s="17"/>
      <c r="AA516" s="17"/>
      <c r="AB516" s="17"/>
      <c r="AC516" s="17"/>
      <c r="AD516" s="17"/>
      <c r="AE516" s="17"/>
      <c r="AF516" s="17"/>
      <c r="AG516" s="17"/>
      <c r="AH516" s="17"/>
      <c r="AI516" s="17"/>
      <c r="AJ516" s="17"/>
      <c r="AK516" s="17"/>
      <c r="AL516" s="17"/>
      <c r="AM516" s="17"/>
      <c r="AN516" s="17"/>
      <c r="AO516" s="17"/>
      <c r="AP516" s="1"/>
      <c r="AQ516" s="1"/>
    </row>
    <row r="517" spans="1:43" x14ac:dyDescent="0.35">
      <c r="A517" s="6"/>
      <c r="B517" s="13"/>
      <c r="C517" s="81"/>
      <c r="D517" s="4"/>
      <c r="E517" s="8"/>
      <c r="F517" s="17"/>
      <c r="G517" s="17"/>
      <c r="H517" s="17"/>
      <c r="I517" s="17"/>
      <c r="J517" s="17"/>
      <c r="K517" s="17"/>
      <c r="L517" s="17"/>
      <c r="M517" s="17"/>
      <c r="N517" s="17"/>
      <c r="O517" s="17"/>
      <c r="P517" s="17"/>
      <c r="Q517" s="17"/>
      <c r="R517" s="17"/>
      <c r="S517" s="17"/>
      <c r="T517" s="17"/>
      <c r="U517" s="17"/>
      <c r="V517" s="17"/>
      <c r="W517" s="17"/>
      <c r="X517" s="17"/>
      <c r="Y517" s="17"/>
      <c r="Z517" s="17"/>
      <c r="AA517" s="17"/>
      <c r="AB517" s="17"/>
      <c r="AC517" s="17"/>
      <c r="AD517" s="17"/>
      <c r="AE517" s="17"/>
      <c r="AF517" s="17"/>
      <c r="AG517" s="17"/>
      <c r="AH517" s="17"/>
      <c r="AI517" s="17"/>
      <c r="AJ517" s="17"/>
      <c r="AK517" s="17"/>
      <c r="AL517" s="17"/>
      <c r="AM517" s="17"/>
      <c r="AN517" s="17"/>
      <c r="AO517" s="17"/>
      <c r="AP517" s="1"/>
      <c r="AQ517" s="1"/>
    </row>
    <row r="518" spans="1:43" x14ac:dyDescent="0.35">
      <c r="A518" s="6"/>
      <c r="B518" s="13"/>
      <c r="C518" s="81"/>
      <c r="D518" s="4"/>
      <c r="E518" s="8"/>
      <c r="F518" s="17"/>
      <c r="G518" s="17"/>
      <c r="H518" s="17"/>
      <c r="I518" s="17"/>
      <c r="J518" s="17"/>
      <c r="K518" s="17"/>
      <c r="L518" s="17"/>
      <c r="M518" s="17"/>
      <c r="N518" s="17"/>
      <c r="O518" s="17"/>
      <c r="P518" s="17"/>
      <c r="Q518" s="17"/>
      <c r="R518" s="17"/>
      <c r="S518" s="17"/>
      <c r="T518" s="17"/>
      <c r="U518" s="17"/>
      <c r="V518" s="17"/>
      <c r="W518" s="17"/>
      <c r="X518" s="17"/>
      <c r="Y518" s="17"/>
      <c r="Z518" s="17"/>
      <c r="AA518" s="17"/>
      <c r="AB518" s="17"/>
      <c r="AC518" s="17"/>
      <c r="AD518" s="17"/>
      <c r="AE518" s="17"/>
      <c r="AF518" s="17"/>
      <c r="AG518" s="17"/>
      <c r="AH518" s="17"/>
      <c r="AI518" s="17"/>
      <c r="AJ518" s="17"/>
      <c r="AK518" s="17"/>
      <c r="AL518" s="17"/>
      <c r="AM518" s="17"/>
      <c r="AN518" s="17"/>
      <c r="AO518" s="17"/>
      <c r="AP518" s="1"/>
      <c r="AQ518" s="1"/>
    </row>
    <row r="519" spans="1:43" x14ac:dyDescent="0.35">
      <c r="A519" s="6"/>
      <c r="B519" s="13"/>
      <c r="C519" s="81"/>
      <c r="D519" s="4"/>
      <c r="E519" s="8"/>
      <c r="F519" s="17"/>
      <c r="G519" s="17"/>
      <c r="H519" s="17"/>
      <c r="I519" s="17"/>
      <c r="J519" s="17"/>
      <c r="K519" s="17"/>
      <c r="L519" s="17"/>
      <c r="M519" s="17"/>
      <c r="N519" s="17"/>
      <c r="O519" s="17"/>
      <c r="P519" s="17"/>
      <c r="Q519" s="17"/>
      <c r="R519" s="17"/>
      <c r="S519" s="17"/>
      <c r="T519" s="17"/>
      <c r="U519" s="17"/>
      <c r="V519" s="17"/>
      <c r="W519" s="17"/>
      <c r="X519" s="17"/>
      <c r="Y519" s="17"/>
      <c r="Z519" s="17"/>
      <c r="AA519" s="17"/>
      <c r="AB519" s="17"/>
      <c r="AC519" s="17"/>
      <c r="AD519" s="17"/>
      <c r="AE519" s="17"/>
      <c r="AF519" s="17"/>
      <c r="AG519" s="17"/>
      <c r="AH519" s="17"/>
      <c r="AI519" s="17"/>
      <c r="AJ519" s="17"/>
      <c r="AK519" s="17"/>
      <c r="AL519" s="17"/>
      <c r="AM519" s="17"/>
      <c r="AN519" s="17"/>
      <c r="AO519" s="17"/>
      <c r="AP519" s="1"/>
      <c r="AQ519" s="1"/>
    </row>
    <row r="520" spans="1:43" x14ac:dyDescent="0.35">
      <c r="A520" s="6"/>
      <c r="B520" s="13"/>
      <c r="C520" s="81"/>
      <c r="D520" s="4"/>
      <c r="E520" s="8"/>
      <c r="F520" s="17"/>
      <c r="G520" s="17"/>
      <c r="H520" s="17"/>
      <c r="I520" s="17"/>
      <c r="J520" s="17"/>
      <c r="K520" s="17"/>
      <c r="L520" s="17"/>
      <c r="M520" s="17"/>
      <c r="N520" s="17"/>
      <c r="O520" s="17"/>
      <c r="P520" s="17"/>
      <c r="Q520" s="17"/>
      <c r="R520" s="17"/>
      <c r="S520" s="17"/>
      <c r="T520" s="17"/>
      <c r="U520" s="17"/>
      <c r="V520" s="17"/>
      <c r="W520" s="17"/>
      <c r="X520" s="17"/>
      <c r="Y520" s="17"/>
      <c r="Z520" s="17"/>
      <c r="AA520" s="17"/>
      <c r="AB520" s="17"/>
      <c r="AC520" s="17"/>
      <c r="AD520" s="17"/>
      <c r="AE520" s="17"/>
      <c r="AF520" s="17"/>
      <c r="AG520" s="17"/>
      <c r="AH520" s="17"/>
      <c r="AI520" s="17"/>
      <c r="AJ520" s="17"/>
      <c r="AK520" s="17"/>
      <c r="AL520" s="17"/>
      <c r="AM520" s="17"/>
      <c r="AN520" s="17"/>
      <c r="AO520" s="17"/>
      <c r="AP520" s="1"/>
      <c r="AQ520" s="1"/>
    </row>
    <row r="521" spans="1:43" x14ac:dyDescent="0.35">
      <c r="A521" s="6"/>
      <c r="B521" s="13"/>
      <c r="C521" s="81"/>
      <c r="D521" s="4"/>
      <c r="E521" s="8"/>
      <c r="F521" s="17"/>
      <c r="G521" s="17"/>
      <c r="H521" s="17"/>
      <c r="I521" s="17"/>
      <c r="J521" s="17"/>
      <c r="K521" s="17"/>
      <c r="L521" s="17"/>
      <c r="M521" s="17"/>
      <c r="N521" s="17"/>
      <c r="O521" s="17"/>
      <c r="P521" s="17"/>
      <c r="Q521" s="17"/>
      <c r="R521" s="17"/>
      <c r="S521" s="17"/>
      <c r="T521" s="17"/>
      <c r="U521" s="17"/>
      <c r="V521" s="17"/>
      <c r="W521" s="17"/>
      <c r="X521" s="17"/>
      <c r="Y521" s="17"/>
      <c r="Z521" s="17"/>
      <c r="AA521" s="17"/>
      <c r="AB521" s="17"/>
      <c r="AC521" s="17"/>
      <c r="AD521" s="17"/>
      <c r="AE521" s="17"/>
      <c r="AF521" s="17"/>
      <c r="AG521" s="17"/>
      <c r="AH521" s="17"/>
      <c r="AI521" s="17"/>
      <c r="AJ521" s="17"/>
      <c r="AK521" s="17"/>
      <c r="AL521" s="17"/>
      <c r="AM521" s="17"/>
      <c r="AN521" s="17"/>
      <c r="AO521" s="17"/>
      <c r="AP521" s="1"/>
      <c r="AQ521" s="1"/>
    </row>
    <row r="522" spans="1:43" x14ac:dyDescent="0.35">
      <c r="A522" s="6"/>
      <c r="B522" s="13"/>
      <c r="C522" s="81"/>
      <c r="D522" s="4"/>
      <c r="E522" s="8"/>
      <c r="F522" s="17"/>
      <c r="G522" s="17"/>
      <c r="H522" s="17"/>
      <c r="I522" s="17"/>
      <c r="J522" s="17"/>
      <c r="K522" s="17"/>
      <c r="L522" s="17"/>
      <c r="M522" s="17"/>
      <c r="N522" s="17"/>
      <c r="O522" s="17"/>
      <c r="P522" s="17"/>
      <c r="Q522" s="17"/>
      <c r="R522" s="17"/>
      <c r="S522" s="17"/>
      <c r="T522" s="17"/>
      <c r="U522" s="17"/>
      <c r="V522" s="17"/>
      <c r="W522" s="17"/>
      <c r="X522" s="17"/>
      <c r="Y522" s="17"/>
      <c r="Z522" s="17"/>
      <c r="AA522" s="17"/>
      <c r="AB522" s="17"/>
      <c r="AC522" s="17"/>
      <c r="AD522" s="17"/>
      <c r="AE522" s="17"/>
      <c r="AF522" s="17"/>
      <c r="AG522" s="17"/>
      <c r="AH522" s="17"/>
      <c r="AI522" s="17"/>
      <c r="AJ522" s="17"/>
      <c r="AK522" s="17"/>
      <c r="AL522" s="17"/>
      <c r="AM522" s="17"/>
      <c r="AN522" s="17"/>
      <c r="AO522" s="17"/>
      <c r="AP522" s="1"/>
      <c r="AQ522" s="1"/>
    </row>
    <row r="523" spans="1:43" x14ac:dyDescent="0.35">
      <c r="A523" s="6"/>
      <c r="B523" s="13"/>
      <c r="C523" s="81"/>
      <c r="D523" s="4"/>
      <c r="E523" s="8"/>
      <c r="F523" s="17"/>
      <c r="G523" s="17"/>
      <c r="H523" s="17"/>
      <c r="I523" s="17"/>
      <c r="J523" s="17"/>
      <c r="K523" s="17"/>
      <c r="L523" s="17"/>
      <c r="M523" s="17"/>
      <c r="N523" s="17"/>
      <c r="O523" s="17"/>
      <c r="P523" s="17"/>
      <c r="Q523" s="17"/>
      <c r="R523" s="17"/>
      <c r="S523" s="17"/>
      <c r="T523" s="17"/>
      <c r="U523" s="17"/>
      <c r="V523" s="17"/>
      <c r="W523" s="17"/>
      <c r="X523" s="17"/>
      <c r="Y523" s="17"/>
      <c r="Z523" s="17"/>
      <c r="AA523" s="17"/>
      <c r="AB523" s="17"/>
      <c r="AC523" s="17"/>
      <c r="AD523" s="17"/>
      <c r="AE523" s="17"/>
      <c r="AF523" s="17"/>
      <c r="AG523" s="17"/>
      <c r="AH523" s="17"/>
      <c r="AI523" s="17"/>
      <c r="AJ523" s="17"/>
      <c r="AK523" s="17"/>
      <c r="AL523" s="17"/>
      <c r="AM523" s="17"/>
      <c r="AN523" s="17"/>
      <c r="AO523" s="17"/>
      <c r="AP523" s="1"/>
      <c r="AQ523" s="1"/>
    </row>
    <row r="524" spans="1:43" x14ac:dyDescent="0.35">
      <c r="A524" s="6"/>
      <c r="B524" s="13"/>
      <c r="C524" s="81"/>
      <c r="D524" s="4"/>
      <c r="E524" s="8"/>
      <c r="F524" s="17"/>
      <c r="G524" s="17"/>
      <c r="H524" s="17"/>
      <c r="I524" s="17"/>
      <c r="J524" s="17"/>
      <c r="K524" s="17"/>
      <c r="L524" s="17"/>
      <c r="M524" s="17"/>
      <c r="N524" s="17"/>
      <c r="O524" s="17"/>
      <c r="P524" s="17"/>
      <c r="Q524" s="17"/>
      <c r="R524" s="17"/>
      <c r="S524" s="17"/>
      <c r="T524" s="17"/>
      <c r="U524" s="17"/>
      <c r="V524" s="17"/>
      <c r="W524" s="17"/>
      <c r="X524" s="17"/>
      <c r="Y524" s="17"/>
      <c r="Z524" s="17"/>
      <c r="AA524" s="17"/>
      <c r="AB524" s="17"/>
      <c r="AC524" s="17"/>
      <c r="AD524" s="17"/>
      <c r="AE524" s="17"/>
      <c r="AF524" s="17"/>
      <c r="AG524" s="17"/>
      <c r="AH524" s="17"/>
      <c r="AI524" s="17"/>
      <c r="AJ524" s="17"/>
      <c r="AK524" s="17"/>
      <c r="AL524" s="17"/>
      <c r="AM524" s="17"/>
      <c r="AN524" s="17"/>
      <c r="AO524" s="17"/>
      <c r="AP524" s="1"/>
      <c r="AQ524" s="1"/>
    </row>
    <row r="525" spans="1:43" x14ac:dyDescent="0.35">
      <c r="A525" s="6"/>
      <c r="B525" s="13"/>
      <c r="C525" s="81"/>
      <c r="D525" s="4"/>
      <c r="E525" s="8"/>
      <c r="F525" s="17"/>
      <c r="G525" s="17"/>
      <c r="H525" s="17"/>
      <c r="I525" s="17"/>
      <c r="J525" s="17"/>
      <c r="K525" s="17"/>
      <c r="L525" s="17"/>
      <c r="M525" s="17"/>
      <c r="N525" s="17"/>
      <c r="O525" s="17"/>
      <c r="P525" s="17"/>
      <c r="Q525" s="17"/>
      <c r="R525" s="17"/>
      <c r="S525" s="17"/>
      <c r="T525" s="17"/>
      <c r="U525" s="17"/>
      <c r="V525" s="17"/>
      <c r="W525" s="17"/>
      <c r="X525" s="17"/>
      <c r="Y525" s="17"/>
      <c r="Z525" s="17"/>
      <c r="AA525" s="17"/>
      <c r="AB525" s="17"/>
      <c r="AC525" s="17"/>
      <c r="AD525" s="17"/>
      <c r="AE525" s="17"/>
      <c r="AF525" s="17"/>
      <c r="AG525" s="17"/>
      <c r="AH525" s="17"/>
      <c r="AI525" s="17"/>
      <c r="AJ525" s="17"/>
      <c r="AK525" s="17"/>
      <c r="AL525" s="17"/>
      <c r="AM525" s="17"/>
      <c r="AN525" s="17"/>
      <c r="AO525" s="17"/>
      <c r="AP525" s="1"/>
      <c r="AQ525" s="1"/>
    </row>
    <row r="526" spans="1:43" x14ac:dyDescent="0.35">
      <c r="A526" s="6"/>
      <c r="B526" s="13"/>
      <c r="C526" s="81"/>
      <c r="D526" s="4"/>
      <c r="E526" s="8"/>
      <c r="F526" s="17"/>
      <c r="G526" s="17"/>
      <c r="H526" s="17"/>
      <c r="I526" s="17"/>
      <c r="J526" s="17"/>
      <c r="K526" s="17"/>
      <c r="L526" s="17"/>
      <c r="M526" s="17"/>
      <c r="N526" s="17"/>
      <c r="O526" s="17"/>
      <c r="P526" s="17"/>
      <c r="Q526" s="17"/>
      <c r="R526" s="17"/>
      <c r="S526" s="17"/>
      <c r="T526" s="17"/>
      <c r="U526" s="17"/>
      <c r="V526" s="17"/>
      <c r="W526" s="17"/>
      <c r="X526" s="17"/>
      <c r="Y526" s="17"/>
      <c r="Z526" s="17"/>
      <c r="AA526" s="17"/>
      <c r="AB526" s="17"/>
      <c r="AC526" s="17"/>
      <c r="AD526" s="17"/>
      <c r="AE526" s="17"/>
      <c r="AF526" s="17"/>
      <c r="AG526" s="17"/>
      <c r="AH526" s="17"/>
      <c r="AI526" s="17"/>
      <c r="AJ526" s="17"/>
      <c r="AK526" s="17"/>
      <c r="AL526" s="17"/>
      <c r="AM526" s="17"/>
      <c r="AN526" s="17"/>
      <c r="AO526" s="17"/>
      <c r="AP526" s="1"/>
      <c r="AQ526" s="1"/>
    </row>
    <row r="527" spans="1:43" x14ac:dyDescent="0.35">
      <c r="A527" s="6"/>
      <c r="B527" s="13"/>
      <c r="C527" s="81"/>
      <c r="D527" s="4"/>
      <c r="E527" s="8"/>
      <c r="F527" s="17"/>
      <c r="G527" s="17"/>
      <c r="H527" s="17"/>
      <c r="I527" s="17"/>
      <c r="J527" s="17"/>
      <c r="K527" s="17"/>
      <c r="L527" s="17"/>
      <c r="M527" s="17"/>
      <c r="N527" s="17"/>
      <c r="O527" s="17"/>
      <c r="P527" s="17"/>
      <c r="Q527" s="17"/>
      <c r="R527" s="17"/>
      <c r="S527" s="17"/>
      <c r="T527" s="17"/>
      <c r="U527" s="17"/>
      <c r="V527" s="17"/>
      <c r="W527" s="17"/>
      <c r="X527" s="17"/>
      <c r="Y527" s="17"/>
      <c r="Z527" s="17"/>
      <c r="AA527" s="17"/>
      <c r="AB527" s="17"/>
      <c r="AC527" s="17"/>
      <c r="AD527" s="17"/>
      <c r="AE527" s="17"/>
      <c r="AF527" s="17"/>
      <c r="AG527" s="17"/>
      <c r="AH527" s="17"/>
      <c r="AI527" s="17"/>
      <c r="AJ527" s="17"/>
      <c r="AK527" s="17"/>
      <c r="AL527" s="17"/>
      <c r="AM527" s="17"/>
      <c r="AN527" s="17"/>
      <c r="AO527" s="17"/>
      <c r="AP527" s="1"/>
      <c r="AQ527" s="1"/>
    </row>
    <row r="528" spans="1:43" x14ac:dyDescent="0.35">
      <c r="A528" s="6"/>
      <c r="B528" s="13"/>
      <c r="C528" s="81"/>
      <c r="D528" s="4"/>
      <c r="E528" s="8"/>
      <c r="F528" s="17"/>
      <c r="G528" s="17"/>
      <c r="H528" s="17"/>
      <c r="I528" s="17"/>
      <c r="J528" s="17"/>
      <c r="K528" s="17"/>
      <c r="L528" s="17"/>
      <c r="M528" s="17"/>
      <c r="N528" s="17"/>
      <c r="O528" s="17"/>
      <c r="P528" s="17"/>
      <c r="Q528" s="17"/>
      <c r="R528" s="17"/>
      <c r="S528" s="17"/>
      <c r="T528" s="17"/>
      <c r="U528" s="17"/>
      <c r="V528" s="17"/>
      <c r="W528" s="17"/>
      <c r="X528" s="17"/>
      <c r="Y528" s="17"/>
      <c r="Z528" s="17"/>
      <c r="AA528" s="17"/>
      <c r="AB528" s="17"/>
      <c r="AC528" s="17"/>
      <c r="AD528" s="17"/>
      <c r="AE528" s="17"/>
      <c r="AF528" s="17"/>
      <c r="AG528" s="17"/>
      <c r="AH528" s="17"/>
      <c r="AI528" s="17"/>
      <c r="AJ528" s="17"/>
      <c r="AK528" s="17"/>
      <c r="AL528" s="17"/>
      <c r="AM528" s="17"/>
      <c r="AN528" s="17"/>
      <c r="AO528" s="17"/>
      <c r="AP528" s="1"/>
      <c r="AQ528" s="1"/>
    </row>
    <row r="529" spans="1:43" x14ac:dyDescent="0.35">
      <c r="A529" s="6"/>
      <c r="B529" s="13"/>
      <c r="C529" s="81"/>
      <c r="D529" s="4"/>
      <c r="E529" s="8"/>
      <c r="F529" s="17"/>
      <c r="G529" s="17"/>
      <c r="H529" s="17"/>
      <c r="I529" s="17"/>
      <c r="J529" s="17"/>
      <c r="K529" s="17"/>
      <c r="L529" s="17"/>
      <c r="M529" s="17"/>
      <c r="N529" s="17"/>
      <c r="O529" s="17"/>
      <c r="P529" s="17"/>
      <c r="Q529" s="17"/>
      <c r="R529" s="17"/>
      <c r="S529" s="17"/>
      <c r="T529" s="17"/>
      <c r="U529" s="17"/>
      <c r="V529" s="17"/>
      <c r="W529" s="17"/>
      <c r="X529" s="17"/>
      <c r="Y529" s="17"/>
      <c r="Z529" s="17"/>
      <c r="AA529" s="17"/>
      <c r="AB529" s="17"/>
      <c r="AC529" s="17"/>
      <c r="AD529" s="17"/>
      <c r="AE529" s="17"/>
      <c r="AF529" s="17"/>
      <c r="AG529" s="17"/>
      <c r="AH529" s="17"/>
      <c r="AI529" s="17"/>
      <c r="AJ529" s="17"/>
      <c r="AK529" s="17"/>
      <c r="AL529" s="17"/>
      <c r="AM529" s="17"/>
      <c r="AN529" s="17"/>
      <c r="AO529" s="17"/>
      <c r="AP529" s="1"/>
      <c r="AQ529" s="1"/>
    </row>
    <row r="530" spans="1:43" x14ac:dyDescent="0.35">
      <c r="A530" s="6"/>
      <c r="B530" s="13"/>
      <c r="C530" s="81"/>
      <c r="D530" s="4"/>
      <c r="E530" s="8"/>
      <c r="F530" s="17"/>
      <c r="G530" s="17"/>
      <c r="H530" s="17"/>
      <c r="I530" s="17"/>
      <c r="J530" s="17"/>
      <c r="K530" s="17"/>
      <c r="L530" s="17"/>
      <c r="M530" s="17"/>
      <c r="N530" s="17"/>
      <c r="O530" s="17"/>
      <c r="P530" s="17"/>
      <c r="Q530" s="17"/>
      <c r="R530" s="17"/>
      <c r="S530" s="17"/>
      <c r="T530" s="17"/>
      <c r="U530" s="17"/>
      <c r="V530" s="17"/>
      <c r="W530" s="17"/>
      <c r="X530" s="17"/>
      <c r="Y530" s="17"/>
      <c r="Z530" s="17"/>
      <c r="AA530" s="17"/>
      <c r="AB530" s="17"/>
      <c r="AC530" s="17"/>
      <c r="AD530" s="17"/>
      <c r="AE530" s="17"/>
      <c r="AF530" s="17"/>
      <c r="AG530" s="17"/>
      <c r="AH530" s="17"/>
      <c r="AI530" s="17"/>
      <c r="AJ530" s="17"/>
      <c r="AK530" s="17"/>
      <c r="AL530" s="17"/>
      <c r="AM530" s="17"/>
      <c r="AN530" s="17"/>
      <c r="AO530" s="17"/>
      <c r="AP530" s="1"/>
      <c r="AQ530" s="1"/>
    </row>
    <row r="531" spans="1:43" x14ac:dyDescent="0.35">
      <c r="A531" s="6"/>
      <c r="B531" s="13"/>
      <c r="C531" s="81"/>
      <c r="D531" s="4"/>
      <c r="E531" s="8"/>
      <c r="F531" s="17"/>
      <c r="G531" s="17"/>
      <c r="H531" s="17"/>
      <c r="I531" s="17"/>
      <c r="J531" s="17"/>
      <c r="K531" s="17"/>
      <c r="L531" s="17"/>
      <c r="M531" s="17"/>
      <c r="N531" s="17"/>
      <c r="O531" s="17"/>
      <c r="P531" s="17"/>
      <c r="Q531" s="17"/>
      <c r="R531" s="17"/>
      <c r="S531" s="17"/>
      <c r="T531" s="17"/>
      <c r="U531" s="17"/>
      <c r="V531" s="17"/>
      <c r="W531" s="17"/>
      <c r="X531" s="17"/>
      <c r="Y531" s="17"/>
      <c r="Z531" s="17"/>
      <c r="AA531" s="17"/>
      <c r="AB531" s="17"/>
      <c r="AC531" s="17"/>
      <c r="AD531" s="17"/>
      <c r="AE531" s="17"/>
      <c r="AF531" s="17"/>
      <c r="AG531" s="17"/>
      <c r="AH531" s="17"/>
      <c r="AI531" s="17"/>
      <c r="AJ531" s="17"/>
      <c r="AK531" s="17"/>
      <c r="AL531" s="17"/>
      <c r="AM531" s="17"/>
      <c r="AN531" s="17"/>
      <c r="AO531" s="17"/>
      <c r="AP531" s="1"/>
      <c r="AQ531" s="1"/>
    </row>
    <row r="532" spans="1:43" x14ac:dyDescent="0.35">
      <c r="A532" s="6"/>
      <c r="B532" s="13"/>
      <c r="C532" s="81"/>
      <c r="D532" s="4"/>
      <c r="E532" s="8"/>
      <c r="F532" s="17"/>
      <c r="G532" s="17"/>
      <c r="H532" s="17"/>
      <c r="I532" s="17"/>
      <c r="J532" s="17"/>
      <c r="K532" s="17"/>
      <c r="L532" s="17"/>
      <c r="M532" s="17"/>
      <c r="N532" s="17"/>
      <c r="O532" s="17"/>
      <c r="P532" s="17"/>
      <c r="Q532" s="17"/>
      <c r="R532" s="17"/>
      <c r="S532" s="17"/>
      <c r="T532" s="17"/>
      <c r="U532" s="17"/>
      <c r="V532" s="17"/>
      <c r="W532" s="17"/>
      <c r="X532" s="17"/>
      <c r="Y532" s="17"/>
      <c r="Z532" s="17"/>
      <c r="AA532" s="17"/>
      <c r="AB532" s="17"/>
      <c r="AC532" s="17"/>
      <c r="AD532" s="17"/>
      <c r="AE532" s="17"/>
      <c r="AF532" s="17"/>
      <c r="AG532" s="17"/>
      <c r="AH532" s="17"/>
      <c r="AI532" s="17"/>
      <c r="AJ532" s="17"/>
      <c r="AK532" s="17"/>
      <c r="AL532" s="17"/>
      <c r="AM532" s="17"/>
      <c r="AN532" s="17"/>
      <c r="AO532" s="17"/>
      <c r="AP532" s="1"/>
      <c r="AQ532" s="1"/>
    </row>
    <row r="533" spans="1:43" x14ac:dyDescent="0.35">
      <c r="A533" s="6"/>
      <c r="B533" s="13"/>
      <c r="C533" s="81"/>
      <c r="D533" s="4"/>
      <c r="E533" s="8"/>
      <c r="F533" s="17"/>
      <c r="G533" s="17"/>
      <c r="H533" s="17"/>
      <c r="I533" s="17"/>
      <c r="J533" s="17"/>
      <c r="K533" s="17"/>
      <c r="L533" s="17"/>
      <c r="M533" s="17"/>
      <c r="N533" s="17"/>
      <c r="O533" s="17"/>
      <c r="P533" s="17"/>
      <c r="Q533" s="17"/>
      <c r="R533" s="17"/>
      <c r="S533" s="17"/>
      <c r="T533" s="17"/>
      <c r="U533" s="17"/>
      <c r="V533" s="17"/>
      <c r="W533" s="17"/>
      <c r="X533" s="17"/>
      <c r="Y533" s="17"/>
      <c r="Z533" s="17"/>
      <c r="AA533" s="17"/>
      <c r="AB533" s="17"/>
      <c r="AC533" s="17"/>
      <c r="AD533" s="17"/>
      <c r="AE533" s="17"/>
      <c r="AF533" s="17"/>
      <c r="AG533" s="17"/>
      <c r="AH533" s="17"/>
      <c r="AI533" s="17"/>
      <c r="AJ533" s="17"/>
      <c r="AK533" s="17"/>
      <c r="AL533" s="17"/>
      <c r="AM533" s="17"/>
      <c r="AN533" s="17"/>
      <c r="AO533" s="17"/>
      <c r="AP533" s="1"/>
      <c r="AQ533" s="1"/>
    </row>
    <row r="534" spans="1:43" x14ac:dyDescent="0.35">
      <c r="A534" s="6"/>
      <c r="B534" s="13"/>
      <c r="C534" s="81"/>
      <c r="D534" s="4"/>
      <c r="E534" s="8"/>
      <c r="F534" s="17"/>
      <c r="G534" s="17"/>
      <c r="H534" s="17"/>
      <c r="I534" s="17"/>
      <c r="J534" s="17"/>
      <c r="K534" s="17"/>
      <c r="L534" s="17"/>
      <c r="M534" s="17"/>
      <c r="N534" s="17"/>
      <c r="O534" s="17"/>
      <c r="P534" s="17"/>
      <c r="Q534" s="17"/>
      <c r="R534" s="17"/>
      <c r="S534" s="17"/>
      <c r="T534" s="17"/>
      <c r="U534" s="17"/>
      <c r="V534" s="17"/>
      <c r="W534" s="17"/>
      <c r="X534" s="17"/>
      <c r="Y534" s="17"/>
      <c r="Z534" s="17"/>
      <c r="AA534" s="17"/>
      <c r="AB534" s="17"/>
      <c r="AC534" s="17"/>
      <c r="AD534" s="17"/>
      <c r="AE534" s="17"/>
      <c r="AF534" s="17"/>
      <c r="AG534" s="17"/>
      <c r="AH534" s="17"/>
      <c r="AI534" s="17"/>
      <c r="AJ534" s="17"/>
      <c r="AK534" s="17"/>
      <c r="AL534" s="17"/>
      <c r="AM534" s="17"/>
      <c r="AN534" s="17"/>
      <c r="AO534" s="17"/>
      <c r="AP534" s="1"/>
      <c r="AQ534" s="1"/>
    </row>
    <row r="535" spans="1:43" x14ac:dyDescent="0.35">
      <c r="A535" s="6"/>
      <c r="B535" s="13"/>
      <c r="C535" s="81"/>
      <c r="D535" s="4"/>
      <c r="E535" s="8"/>
      <c r="F535" s="17"/>
      <c r="G535" s="17"/>
      <c r="H535" s="17"/>
      <c r="I535" s="17"/>
      <c r="J535" s="17"/>
      <c r="K535" s="17"/>
      <c r="L535" s="17"/>
      <c r="M535" s="17"/>
      <c r="N535" s="17"/>
      <c r="O535" s="17"/>
      <c r="P535" s="17"/>
      <c r="Q535" s="17"/>
      <c r="R535" s="17"/>
      <c r="S535" s="17"/>
      <c r="T535" s="17"/>
      <c r="U535" s="17"/>
      <c r="V535" s="17"/>
      <c r="W535" s="17"/>
      <c r="X535" s="17"/>
      <c r="Y535" s="17"/>
      <c r="Z535" s="17"/>
      <c r="AA535" s="17"/>
      <c r="AB535" s="17"/>
      <c r="AC535" s="17"/>
      <c r="AD535" s="17"/>
      <c r="AE535" s="17"/>
      <c r="AF535" s="17"/>
      <c r="AG535" s="17"/>
      <c r="AH535" s="17"/>
      <c r="AI535" s="17"/>
      <c r="AJ535" s="17"/>
      <c r="AK535" s="17"/>
      <c r="AL535" s="17"/>
      <c r="AM535" s="17"/>
      <c r="AN535" s="17"/>
      <c r="AO535" s="17"/>
      <c r="AP535" s="1"/>
      <c r="AQ535" s="1"/>
    </row>
    <row r="536" spans="1:43" x14ac:dyDescent="0.35">
      <c r="A536" s="6"/>
      <c r="B536" s="13"/>
      <c r="C536" s="81"/>
      <c r="D536" s="4"/>
      <c r="E536" s="8"/>
      <c r="F536" s="17"/>
      <c r="G536" s="17"/>
      <c r="H536" s="17"/>
      <c r="I536" s="17"/>
      <c r="J536" s="17"/>
      <c r="K536" s="17"/>
      <c r="L536" s="17"/>
      <c r="M536" s="17"/>
      <c r="N536" s="17"/>
      <c r="O536" s="17"/>
      <c r="P536" s="17"/>
      <c r="Q536" s="17"/>
      <c r="R536" s="17"/>
      <c r="S536" s="17"/>
      <c r="T536" s="17"/>
      <c r="U536" s="17"/>
      <c r="V536" s="17"/>
      <c r="W536" s="17"/>
      <c r="X536" s="17"/>
      <c r="Y536" s="17"/>
      <c r="Z536" s="17"/>
      <c r="AA536" s="17"/>
      <c r="AB536" s="17"/>
      <c r="AC536" s="17"/>
      <c r="AD536" s="17"/>
      <c r="AE536" s="17"/>
      <c r="AF536" s="17"/>
      <c r="AG536" s="17"/>
      <c r="AH536" s="17"/>
      <c r="AI536" s="17"/>
      <c r="AJ536" s="17"/>
      <c r="AK536" s="17"/>
      <c r="AL536" s="17"/>
      <c r="AM536" s="17"/>
      <c r="AN536" s="17"/>
      <c r="AO536" s="17"/>
      <c r="AP536" s="1"/>
      <c r="AQ536" s="1"/>
    </row>
    <row r="537" spans="1:43" x14ac:dyDescent="0.35">
      <c r="A537" s="6"/>
      <c r="B537" s="13"/>
      <c r="C537" s="81"/>
      <c r="D537" s="4"/>
      <c r="E537" s="8"/>
      <c r="F537" s="17"/>
      <c r="G537" s="17"/>
      <c r="H537" s="17"/>
      <c r="I537" s="17"/>
      <c r="J537" s="17"/>
      <c r="K537" s="17"/>
      <c r="L537" s="17"/>
      <c r="M537" s="17"/>
      <c r="N537" s="17"/>
      <c r="O537" s="17"/>
      <c r="P537" s="17"/>
      <c r="Q537" s="17"/>
      <c r="R537" s="17"/>
      <c r="S537" s="17"/>
      <c r="T537" s="17"/>
      <c r="U537" s="17"/>
      <c r="V537" s="17"/>
      <c r="W537" s="17"/>
      <c r="X537" s="17"/>
      <c r="Y537" s="17"/>
      <c r="Z537" s="17"/>
      <c r="AA537" s="17"/>
      <c r="AB537" s="17"/>
      <c r="AC537" s="17"/>
      <c r="AD537" s="17"/>
      <c r="AE537" s="17"/>
      <c r="AF537" s="17"/>
      <c r="AG537" s="17"/>
      <c r="AH537" s="17"/>
      <c r="AI537" s="17"/>
      <c r="AJ537" s="17"/>
      <c r="AK537" s="17"/>
      <c r="AL537" s="17"/>
      <c r="AM537" s="17"/>
      <c r="AN537" s="17"/>
      <c r="AO537" s="17"/>
      <c r="AP537" s="1"/>
      <c r="AQ537" s="1"/>
    </row>
    <row r="538" spans="1:43" x14ac:dyDescent="0.35">
      <c r="A538" s="6"/>
      <c r="B538" s="13"/>
      <c r="C538" s="81"/>
      <c r="D538" s="4"/>
      <c r="E538" s="8"/>
      <c r="F538" s="17"/>
      <c r="G538" s="17"/>
      <c r="H538" s="17"/>
      <c r="I538" s="17"/>
      <c r="J538" s="17"/>
      <c r="K538" s="17"/>
      <c r="L538" s="17"/>
      <c r="M538" s="17"/>
      <c r="N538" s="17"/>
      <c r="O538" s="17"/>
      <c r="P538" s="17"/>
      <c r="Q538" s="17"/>
      <c r="R538" s="17"/>
      <c r="S538" s="17"/>
      <c r="T538" s="17"/>
      <c r="U538" s="17"/>
      <c r="V538" s="17"/>
      <c r="W538" s="17"/>
      <c r="X538" s="17"/>
      <c r="Y538" s="17"/>
      <c r="Z538" s="17"/>
      <c r="AA538" s="17"/>
      <c r="AB538" s="17"/>
      <c r="AC538" s="17"/>
      <c r="AD538" s="17"/>
      <c r="AE538" s="17"/>
      <c r="AF538" s="17"/>
      <c r="AG538" s="17"/>
      <c r="AH538" s="17"/>
      <c r="AI538" s="17"/>
      <c r="AJ538" s="17"/>
      <c r="AK538" s="17"/>
      <c r="AL538" s="17"/>
      <c r="AM538" s="17"/>
      <c r="AN538" s="17"/>
      <c r="AO538" s="17"/>
      <c r="AP538" s="1"/>
      <c r="AQ538" s="1"/>
    </row>
    <row r="539" spans="1:43" x14ac:dyDescent="0.35">
      <c r="A539" s="6"/>
      <c r="B539" s="13"/>
      <c r="C539" s="81"/>
      <c r="D539" s="4"/>
      <c r="E539" s="8"/>
      <c r="F539" s="17"/>
      <c r="G539" s="17"/>
      <c r="H539" s="17"/>
      <c r="I539" s="17"/>
      <c r="J539" s="17"/>
      <c r="K539" s="17"/>
      <c r="L539" s="17"/>
      <c r="M539" s="17"/>
      <c r="N539" s="17"/>
      <c r="O539" s="17"/>
      <c r="P539" s="17"/>
      <c r="Q539" s="17"/>
      <c r="R539" s="17"/>
      <c r="S539" s="17"/>
      <c r="T539" s="17"/>
      <c r="U539" s="17"/>
      <c r="V539" s="17"/>
      <c r="W539" s="17"/>
      <c r="X539" s="17"/>
      <c r="Y539" s="17"/>
      <c r="Z539" s="17"/>
      <c r="AA539" s="17"/>
      <c r="AB539" s="17"/>
      <c r="AC539" s="17"/>
      <c r="AD539" s="17"/>
      <c r="AE539" s="17"/>
      <c r="AF539" s="17"/>
      <c r="AG539" s="17"/>
      <c r="AH539" s="17"/>
      <c r="AI539" s="17"/>
      <c r="AJ539" s="17"/>
      <c r="AK539" s="17"/>
      <c r="AL539" s="17"/>
      <c r="AM539" s="17"/>
      <c r="AN539" s="17"/>
      <c r="AO539" s="17"/>
      <c r="AP539" s="1"/>
      <c r="AQ539" s="1"/>
    </row>
    <row r="540" spans="1:43" x14ac:dyDescent="0.35">
      <c r="A540" s="6"/>
      <c r="B540" s="13"/>
      <c r="C540" s="81"/>
      <c r="D540" s="4"/>
      <c r="E540" s="8"/>
      <c r="F540" s="17"/>
      <c r="G540" s="17"/>
      <c r="H540" s="17"/>
      <c r="I540" s="17"/>
      <c r="J540" s="17"/>
      <c r="K540" s="17"/>
      <c r="L540" s="17"/>
      <c r="M540" s="17"/>
      <c r="N540" s="17"/>
      <c r="O540" s="17"/>
      <c r="P540" s="17"/>
      <c r="Q540" s="17"/>
      <c r="R540" s="17"/>
      <c r="S540" s="17"/>
      <c r="T540" s="17"/>
      <c r="U540" s="17"/>
      <c r="V540" s="17"/>
      <c r="W540" s="17"/>
      <c r="X540" s="17"/>
      <c r="Y540" s="17"/>
      <c r="Z540" s="17"/>
      <c r="AA540" s="17"/>
      <c r="AB540" s="17"/>
      <c r="AC540" s="17"/>
      <c r="AD540" s="17"/>
      <c r="AE540" s="17"/>
      <c r="AF540" s="17"/>
      <c r="AG540" s="17"/>
      <c r="AH540" s="17"/>
      <c r="AI540" s="17"/>
      <c r="AJ540" s="17"/>
      <c r="AK540" s="17"/>
      <c r="AL540" s="17"/>
      <c r="AM540" s="17"/>
      <c r="AN540" s="17"/>
      <c r="AO540" s="17"/>
      <c r="AP540" s="1"/>
      <c r="AQ540" s="1"/>
    </row>
    <row r="541" spans="1:43" x14ac:dyDescent="0.35">
      <c r="A541" s="6"/>
      <c r="B541" s="13"/>
      <c r="C541" s="81"/>
      <c r="D541" s="4"/>
      <c r="E541" s="8"/>
      <c r="F541" s="17"/>
      <c r="G541" s="17"/>
      <c r="H541" s="17"/>
      <c r="I541" s="17"/>
      <c r="J541" s="17"/>
      <c r="K541" s="17"/>
      <c r="L541" s="17"/>
      <c r="M541" s="17"/>
      <c r="N541" s="17"/>
      <c r="O541" s="17"/>
      <c r="P541" s="17"/>
      <c r="Q541" s="17"/>
      <c r="R541" s="17"/>
      <c r="S541" s="17"/>
      <c r="T541" s="17"/>
      <c r="U541" s="17"/>
      <c r="V541" s="17"/>
      <c r="W541" s="17"/>
      <c r="X541" s="17"/>
      <c r="Y541" s="17"/>
      <c r="Z541" s="17"/>
      <c r="AA541" s="17"/>
      <c r="AB541" s="17"/>
      <c r="AC541" s="17"/>
      <c r="AD541" s="17"/>
      <c r="AE541" s="17"/>
      <c r="AF541" s="17"/>
      <c r="AG541" s="17"/>
      <c r="AH541" s="17"/>
      <c r="AI541" s="17"/>
      <c r="AJ541" s="17"/>
      <c r="AK541" s="17"/>
      <c r="AL541" s="17"/>
      <c r="AM541" s="17"/>
      <c r="AN541" s="17"/>
      <c r="AO541" s="17"/>
      <c r="AP541" s="1"/>
      <c r="AQ541" s="1"/>
    </row>
    <row r="542" spans="1:43" x14ac:dyDescent="0.35">
      <c r="A542" s="6"/>
      <c r="B542" s="13"/>
      <c r="C542" s="81"/>
      <c r="D542" s="4"/>
      <c r="E542" s="8"/>
      <c r="F542" s="17"/>
      <c r="G542" s="17"/>
      <c r="H542" s="17"/>
      <c r="I542" s="17"/>
      <c r="J542" s="17"/>
      <c r="K542" s="17"/>
      <c r="L542" s="17"/>
      <c r="M542" s="17"/>
      <c r="N542" s="17"/>
      <c r="O542" s="17"/>
      <c r="P542" s="17"/>
      <c r="Q542" s="17"/>
      <c r="R542" s="17"/>
      <c r="S542" s="17"/>
      <c r="T542" s="17"/>
      <c r="U542" s="17"/>
      <c r="V542" s="17"/>
      <c r="W542" s="17"/>
      <c r="X542" s="17"/>
      <c r="Y542" s="17"/>
      <c r="Z542" s="17"/>
      <c r="AA542" s="17"/>
      <c r="AB542" s="17"/>
      <c r="AC542" s="17"/>
      <c r="AD542" s="17"/>
      <c r="AE542" s="17"/>
      <c r="AF542" s="17"/>
      <c r="AG542" s="17"/>
      <c r="AH542" s="17"/>
      <c r="AI542" s="17"/>
      <c r="AJ542" s="17"/>
      <c r="AK542" s="17"/>
      <c r="AL542" s="17"/>
      <c r="AM542" s="17"/>
      <c r="AN542" s="17"/>
      <c r="AO542" s="17"/>
      <c r="AP542" s="1"/>
      <c r="AQ542" s="1"/>
    </row>
    <row r="543" spans="1:43" x14ac:dyDescent="0.35">
      <c r="A543" s="6"/>
      <c r="B543" s="13"/>
      <c r="C543" s="81"/>
      <c r="D543" s="4"/>
      <c r="E543" s="8"/>
      <c r="F543" s="17"/>
      <c r="G543" s="17"/>
      <c r="H543" s="17"/>
      <c r="I543" s="17"/>
      <c r="J543" s="17"/>
      <c r="K543" s="17"/>
      <c r="L543" s="17"/>
      <c r="M543" s="17"/>
      <c r="N543" s="17"/>
      <c r="O543" s="17"/>
      <c r="P543" s="17"/>
      <c r="Q543" s="17"/>
      <c r="R543" s="17"/>
      <c r="S543" s="17"/>
      <c r="T543" s="17"/>
      <c r="U543" s="17"/>
      <c r="V543" s="17"/>
      <c r="W543" s="17"/>
      <c r="X543" s="17"/>
      <c r="Y543" s="17"/>
      <c r="Z543" s="17"/>
      <c r="AA543" s="17"/>
      <c r="AB543" s="17"/>
      <c r="AC543" s="17"/>
      <c r="AD543" s="17"/>
      <c r="AE543" s="17"/>
      <c r="AF543" s="17"/>
      <c r="AG543" s="17"/>
      <c r="AH543" s="17"/>
      <c r="AI543" s="17"/>
      <c r="AJ543" s="17"/>
      <c r="AK543" s="17"/>
      <c r="AL543" s="17"/>
      <c r="AM543" s="17"/>
      <c r="AN543" s="17"/>
      <c r="AO543" s="17"/>
      <c r="AP543" s="1"/>
      <c r="AQ543" s="1"/>
    </row>
    <row r="544" spans="1:43" x14ac:dyDescent="0.35">
      <c r="A544" s="6"/>
      <c r="B544" s="13"/>
      <c r="C544" s="81"/>
      <c r="D544" s="4"/>
      <c r="E544" s="8"/>
      <c r="F544" s="17"/>
      <c r="G544" s="17"/>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c r="AE544" s="17"/>
      <c r="AF544" s="17"/>
      <c r="AG544" s="17"/>
      <c r="AH544" s="17"/>
      <c r="AI544" s="17"/>
      <c r="AJ544" s="17"/>
      <c r="AK544" s="17"/>
      <c r="AL544" s="17"/>
      <c r="AM544" s="17"/>
      <c r="AN544" s="17"/>
      <c r="AO544" s="17"/>
      <c r="AP544" s="1"/>
      <c r="AQ544" s="1"/>
    </row>
    <row r="545" spans="1:43" x14ac:dyDescent="0.35">
      <c r="A545" s="6"/>
      <c r="B545" s="13"/>
      <c r="C545" s="81"/>
      <c r="D545" s="4"/>
      <c r="E545" s="8"/>
      <c r="F545" s="17"/>
      <c r="G545" s="17"/>
      <c r="H545" s="17"/>
      <c r="I545" s="17"/>
      <c r="J545" s="17"/>
      <c r="K545" s="17"/>
      <c r="L545" s="17"/>
      <c r="M545" s="17"/>
      <c r="N545" s="17"/>
      <c r="O545" s="17"/>
      <c r="P545" s="17"/>
      <c r="Q545" s="17"/>
      <c r="R545" s="17"/>
      <c r="S545" s="17"/>
      <c r="T545" s="17"/>
      <c r="U545" s="17"/>
      <c r="V545" s="17"/>
      <c r="W545" s="17"/>
      <c r="X545" s="17"/>
      <c r="Y545" s="17"/>
      <c r="Z545" s="17"/>
      <c r="AA545" s="17"/>
      <c r="AB545" s="17"/>
      <c r="AC545" s="17"/>
      <c r="AD545" s="17"/>
      <c r="AE545" s="17"/>
      <c r="AF545" s="17"/>
      <c r="AG545" s="17"/>
      <c r="AH545" s="17"/>
      <c r="AI545" s="17"/>
      <c r="AJ545" s="17"/>
      <c r="AK545" s="17"/>
      <c r="AL545" s="17"/>
      <c r="AM545" s="17"/>
      <c r="AN545" s="17"/>
      <c r="AO545" s="17"/>
      <c r="AP545" s="1"/>
      <c r="AQ545" s="1"/>
    </row>
    <row r="546" spans="1:43" x14ac:dyDescent="0.35">
      <c r="A546" s="6"/>
      <c r="B546" s="13"/>
      <c r="C546" s="81"/>
      <c r="D546" s="4"/>
      <c r="E546" s="8"/>
      <c r="F546" s="17"/>
      <c r="G546" s="17"/>
      <c r="H546" s="17"/>
      <c r="I546" s="17"/>
      <c r="J546" s="17"/>
      <c r="K546" s="17"/>
      <c r="L546" s="17"/>
      <c r="M546" s="17"/>
      <c r="N546" s="17"/>
      <c r="O546" s="17"/>
      <c r="P546" s="17"/>
      <c r="Q546" s="17"/>
      <c r="R546" s="17"/>
      <c r="S546" s="17"/>
      <c r="T546" s="17"/>
      <c r="U546" s="17"/>
      <c r="V546" s="17"/>
      <c r="W546" s="17"/>
      <c r="X546" s="17"/>
      <c r="Y546" s="17"/>
      <c r="Z546" s="17"/>
      <c r="AA546" s="17"/>
      <c r="AB546" s="17"/>
      <c r="AC546" s="17"/>
      <c r="AD546" s="17"/>
      <c r="AE546" s="17"/>
      <c r="AF546" s="17"/>
      <c r="AG546" s="17"/>
      <c r="AH546" s="17"/>
      <c r="AI546" s="17"/>
      <c r="AJ546" s="17"/>
      <c r="AK546" s="17"/>
      <c r="AL546" s="17"/>
      <c r="AM546" s="17"/>
      <c r="AN546" s="17"/>
      <c r="AO546" s="17"/>
      <c r="AP546" s="1"/>
      <c r="AQ546" s="1"/>
    </row>
    <row r="547" spans="1:43" x14ac:dyDescent="0.35">
      <c r="A547" s="6"/>
      <c r="B547" s="13"/>
      <c r="C547" s="81"/>
      <c r="D547" s="4"/>
      <c r="E547" s="8"/>
      <c r="F547" s="17"/>
      <c r="G547" s="17"/>
      <c r="H547" s="17"/>
      <c r="I547" s="17"/>
      <c r="J547" s="17"/>
      <c r="K547" s="17"/>
      <c r="L547" s="17"/>
      <c r="M547" s="17"/>
      <c r="N547" s="17"/>
      <c r="O547" s="17"/>
      <c r="P547" s="17"/>
      <c r="Q547" s="17"/>
      <c r="R547" s="17"/>
      <c r="S547" s="17"/>
      <c r="T547" s="17"/>
      <c r="U547" s="17"/>
      <c r="V547" s="17"/>
      <c r="W547" s="17"/>
      <c r="X547" s="17"/>
      <c r="Y547" s="17"/>
      <c r="Z547" s="17"/>
      <c r="AA547" s="17"/>
      <c r="AB547" s="17"/>
      <c r="AC547" s="17"/>
      <c r="AD547" s="17"/>
      <c r="AE547" s="17"/>
      <c r="AF547" s="17"/>
      <c r="AG547" s="17"/>
      <c r="AH547" s="17"/>
      <c r="AI547" s="17"/>
      <c r="AJ547" s="17"/>
      <c r="AK547" s="17"/>
      <c r="AL547" s="17"/>
      <c r="AM547" s="17"/>
      <c r="AN547" s="17"/>
      <c r="AO547" s="17"/>
      <c r="AP547" s="1"/>
      <c r="AQ547" s="1"/>
    </row>
    <row r="548" spans="1:43" x14ac:dyDescent="0.35">
      <c r="A548" s="6"/>
      <c r="B548" s="13"/>
      <c r="C548" s="81"/>
      <c r="D548" s="4"/>
      <c r="E548" s="8"/>
      <c r="F548" s="17"/>
      <c r="G548" s="17"/>
      <c r="H548" s="17"/>
      <c r="I548" s="17"/>
      <c r="J548" s="17"/>
      <c r="K548" s="17"/>
      <c r="L548" s="17"/>
      <c r="M548" s="17"/>
      <c r="N548" s="17"/>
      <c r="O548" s="17"/>
      <c r="P548" s="17"/>
      <c r="Q548" s="17"/>
      <c r="R548" s="17"/>
      <c r="S548" s="17"/>
      <c r="T548" s="17"/>
      <c r="U548" s="17"/>
      <c r="V548" s="17"/>
      <c r="W548" s="17"/>
      <c r="X548" s="17"/>
      <c r="Y548" s="17"/>
      <c r="Z548" s="17"/>
      <c r="AA548" s="17"/>
      <c r="AB548" s="17"/>
      <c r="AC548" s="17"/>
      <c r="AD548" s="17"/>
      <c r="AE548" s="17"/>
      <c r="AF548" s="17"/>
      <c r="AG548" s="17"/>
      <c r="AH548" s="17"/>
      <c r="AI548" s="17"/>
      <c r="AJ548" s="17"/>
      <c r="AK548" s="17"/>
      <c r="AL548" s="17"/>
      <c r="AM548" s="17"/>
      <c r="AN548" s="17"/>
      <c r="AO548" s="17"/>
      <c r="AP548" s="1"/>
      <c r="AQ548" s="1"/>
    </row>
    <row r="549" spans="1:43" x14ac:dyDescent="0.35">
      <c r="A549" s="6"/>
      <c r="B549" s="13"/>
      <c r="C549" s="81"/>
      <c r="D549" s="4"/>
      <c r="E549" s="8"/>
      <c r="F549" s="17"/>
      <c r="G549" s="17"/>
      <c r="H549" s="17"/>
      <c r="I549" s="17"/>
      <c r="J549" s="17"/>
      <c r="K549" s="17"/>
      <c r="L549" s="17"/>
      <c r="M549" s="17"/>
      <c r="N549" s="17"/>
      <c r="O549" s="17"/>
      <c r="P549" s="17"/>
      <c r="Q549" s="17"/>
      <c r="R549" s="17"/>
      <c r="S549" s="17"/>
      <c r="T549" s="17"/>
      <c r="U549" s="17"/>
      <c r="V549" s="17"/>
      <c r="W549" s="17"/>
      <c r="X549" s="17"/>
      <c r="Y549" s="17"/>
      <c r="Z549" s="17"/>
      <c r="AA549" s="17"/>
      <c r="AB549" s="17"/>
      <c r="AC549" s="17"/>
      <c r="AD549" s="17"/>
      <c r="AE549" s="17"/>
      <c r="AF549" s="17"/>
      <c r="AG549" s="17"/>
      <c r="AH549" s="17"/>
      <c r="AI549" s="17"/>
      <c r="AJ549" s="17"/>
      <c r="AK549" s="17"/>
      <c r="AL549" s="17"/>
      <c r="AM549" s="17"/>
      <c r="AN549" s="17"/>
      <c r="AO549" s="17"/>
      <c r="AP549" s="1"/>
      <c r="AQ549" s="1"/>
    </row>
    <row r="550" spans="1:43" x14ac:dyDescent="0.35">
      <c r="A550" s="6"/>
      <c r="B550" s="13"/>
      <c r="C550" s="81"/>
      <c r="D550" s="4"/>
      <c r="E550" s="8"/>
      <c r="F550" s="17"/>
      <c r="G550" s="17"/>
      <c r="H550" s="17"/>
      <c r="I550" s="17"/>
      <c r="J550" s="17"/>
      <c r="K550" s="17"/>
      <c r="L550" s="17"/>
      <c r="M550" s="17"/>
      <c r="N550" s="17"/>
      <c r="O550" s="17"/>
      <c r="P550" s="17"/>
      <c r="Q550" s="17"/>
      <c r="R550" s="17"/>
      <c r="S550" s="17"/>
      <c r="T550" s="17"/>
      <c r="U550" s="17"/>
      <c r="V550" s="17"/>
      <c r="W550" s="17"/>
      <c r="X550" s="17"/>
      <c r="Y550" s="17"/>
      <c r="Z550" s="17"/>
      <c r="AA550" s="17"/>
      <c r="AB550" s="17"/>
      <c r="AC550" s="17"/>
      <c r="AD550" s="17"/>
      <c r="AE550" s="17"/>
      <c r="AF550" s="17"/>
      <c r="AG550" s="17"/>
      <c r="AH550" s="17"/>
      <c r="AI550" s="17"/>
      <c r="AJ550" s="17"/>
      <c r="AK550" s="17"/>
      <c r="AL550" s="17"/>
      <c r="AM550" s="17"/>
      <c r="AN550" s="17"/>
      <c r="AO550" s="17"/>
      <c r="AP550" s="1"/>
      <c r="AQ550" s="1"/>
    </row>
    <row r="551" spans="1:43" x14ac:dyDescent="0.35">
      <c r="A551" s="6"/>
      <c r="B551" s="13"/>
      <c r="C551" s="81"/>
      <c r="D551" s="4"/>
      <c r="E551" s="8"/>
      <c r="F551" s="17"/>
      <c r="G551" s="17"/>
      <c r="H551" s="17"/>
      <c r="I551" s="17"/>
      <c r="J551" s="17"/>
      <c r="K551" s="17"/>
      <c r="L551" s="17"/>
      <c r="M551" s="17"/>
      <c r="N551" s="17"/>
      <c r="O551" s="17"/>
      <c r="P551" s="17"/>
      <c r="Q551" s="17"/>
      <c r="R551" s="17"/>
      <c r="S551" s="17"/>
      <c r="T551" s="17"/>
      <c r="U551" s="17"/>
      <c r="V551" s="17"/>
      <c r="W551" s="17"/>
      <c r="X551" s="17"/>
      <c r="Y551" s="17"/>
      <c r="Z551" s="17"/>
      <c r="AA551" s="17"/>
      <c r="AB551" s="17"/>
      <c r="AC551" s="17"/>
      <c r="AD551" s="17"/>
      <c r="AE551" s="17"/>
      <c r="AF551" s="17"/>
      <c r="AG551" s="17"/>
      <c r="AH551" s="17"/>
      <c r="AI551" s="17"/>
      <c r="AJ551" s="17"/>
      <c r="AK551" s="17"/>
      <c r="AL551" s="17"/>
      <c r="AM551" s="17"/>
      <c r="AN551" s="17"/>
      <c r="AO551" s="17"/>
      <c r="AP551" s="1"/>
      <c r="AQ551" s="1"/>
    </row>
    <row r="552" spans="1:43" x14ac:dyDescent="0.35">
      <c r="A552" s="6"/>
      <c r="B552" s="13"/>
      <c r="C552" s="81"/>
      <c r="D552" s="4"/>
      <c r="E552" s="8"/>
      <c r="F552" s="17"/>
      <c r="G552" s="17"/>
      <c r="H552" s="17"/>
      <c r="I552" s="17"/>
      <c r="J552" s="17"/>
      <c r="K552" s="17"/>
      <c r="L552" s="17"/>
      <c r="M552" s="17"/>
      <c r="N552" s="17"/>
      <c r="O552" s="17"/>
      <c r="P552" s="17"/>
      <c r="Q552" s="17"/>
      <c r="R552" s="17"/>
      <c r="S552" s="17"/>
      <c r="T552" s="17"/>
      <c r="U552" s="17"/>
      <c r="V552" s="17"/>
      <c r="W552" s="17"/>
      <c r="X552" s="17"/>
      <c r="Y552" s="17"/>
      <c r="Z552" s="17"/>
      <c r="AA552" s="17"/>
      <c r="AB552" s="17"/>
      <c r="AC552" s="17"/>
      <c r="AD552" s="17"/>
      <c r="AE552" s="17"/>
      <c r="AF552" s="17"/>
      <c r="AG552" s="17"/>
      <c r="AH552" s="17"/>
      <c r="AI552" s="17"/>
      <c r="AJ552" s="17"/>
      <c r="AK552" s="17"/>
      <c r="AL552" s="17"/>
      <c r="AM552" s="17"/>
      <c r="AN552" s="17"/>
      <c r="AO552" s="17"/>
      <c r="AP552" s="1"/>
      <c r="AQ552" s="1"/>
    </row>
    <row r="553" spans="1:43" x14ac:dyDescent="0.35">
      <c r="A553" s="6"/>
      <c r="B553" s="13"/>
      <c r="C553" s="81"/>
      <c r="D553" s="4"/>
      <c r="E553" s="8"/>
      <c r="F553" s="17"/>
      <c r="G553" s="17"/>
      <c r="H553" s="17"/>
      <c r="I553" s="17"/>
      <c r="J553" s="17"/>
      <c r="K553" s="17"/>
      <c r="L553" s="17"/>
      <c r="M553" s="17"/>
      <c r="N553" s="17"/>
      <c r="O553" s="17"/>
      <c r="P553" s="17"/>
      <c r="Q553" s="17"/>
      <c r="R553" s="17"/>
      <c r="S553" s="17"/>
      <c r="T553" s="17"/>
      <c r="U553" s="17"/>
      <c r="V553" s="17"/>
      <c r="W553" s="17"/>
      <c r="X553" s="17"/>
      <c r="Y553" s="17"/>
      <c r="Z553" s="17"/>
      <c r="AA553" s="17"/>
      <c r="AB553" s="17"/>
      <c r="AC553" s="17"/>
      <c r="AD553" s="17"/>
      <c r="AE553" s="17"/>
      <c r="AF553" s="17"/>
      <c r="AG553" s="17"/>
      <c r="AH553" s="17"/>
      <c r="AI553" s="17"/>
      <c r="AJ553" s="17"/>
      <c r="AK553" s="17"/>
      <c r="AL553" s="17"/>
      <c r="AM553" s="17"/>
      <c r="AN553" s="17"/>
      <c r="AO553" s="17"/>
      <c r="AP553" s="1"/>
      <c r="AQ553" s="1"/>
    </row>
    <row r="554" spans="1:43" x14ac:dyDescent="0.35">
      <c r="A554" s="6"/>
      <c r="B554" s="13"/>
      <c r="C554" s="81"/>
      <c r="D554" s="4"/>
      <c r="E554" s="8"/>
      <c r="F554" s="17"/>
      <c r="G554" s="17"/>
      <c r="H554" s="17"/>
      <c r="I554" s="17"/>
      <c r="J554" s="17"/>
      <c r="K554" s="17"/>
      <c r="L554" s="17"/>
      <c r="M554" s="17"/>
      <c r="N554" s="17"/>
      <c r="O554" s="17"/>
      <c r="P554" s="17"/>
      <c r="Q554" s="17"/>
      <c r="R554" s="17"/>
      <c r="S554" s="17"/>
      <c r="T554" s="17"/>
      <c r="U554" s="17"/>
      <c r="V554" s="17"/>
      <c r="W554" s="17"/>
      <c r="X554" s="17"/>
      <c r="Y554" s="17"/>
      <c r="Z554" s="17"/>
      <c r="AA554" s="17"/>
      <c r="AB554" s="17"/>
      <c r="AC554" s="17"/>
      <c r="AD554" s="17"/>
      <c r="AE554" s="17"/>
      <c r="AF554" s="17"/>
      <c r="AG554" s="17"/>
      <c r="AH554" s="17"/>
      <c r="AI554" s="17"/>
      <c r="AJ554" s="17"/>
      <c r="AK554" s="17"/>
      <c r="AL554" s="17"/>
      <c r="AM554" s="17"/>
      <c r="AN554" s="17"/>
      <c r="AO554" s="17"/>
      <c r="AP554" s="1"/>
      <c r="AQ554" s="1"/>
    </row>
    <row r="555" spans="1:43" x14ac:dyDescent="0.35">
      <c r="A555" s="6"/>
      <c r="B555" s="13"/>
      <c r="C555" s="81"/>
      <c r="D555" s="4"/>
      <c r="E555" s="8"/>
      <c r="F555" s="17"/>
      <c r="G555" s="17"/>
      <c r="H555" s="17"/>
      <c r="I555" s="17"/>
      <c r="J555" s="17"/>
      <c r="K555" s="17"/>
      <c r="L555" s="17"/>
      <c r="M555" s="17"/>
      <c r="N555" s="17"/>
      <c r="O555" s="17"/>
      <c r="P555" s="17"/>
      <c r="Q555" s="17"/>
      <c r="R555" s="17"/>
      <c r="S555" s="17"/>
      <c r="T555" s="17"/>
      <c r="U555" s="17"/>
      <c r="V555" s="17"/>
      <c r="W555" s="17"/>
      <c r="X555" s="17"/>
      <c r="Y555" s="17"/>
      <c r="Z555" s="17"/>
      <c r="AA555" s="17"/>
      <c r="AB555" s="17"/>
      <c r="AC555" s="17"/>
      <c r="AD555" s="17"/>
      <c r="AE555" s="17"/>
      <c r="AF555" s="17"/>
      <c r="AG555" s="17"/>
      <c r="AH555" s="17"/>
      <c r="AI555" s="17"/>
      <c r="AJ555" s="17"/>
      <c r="AK555" s="17"/>
      <c r="AL555" s="17"/>
      <c r="AM555" s="17"/>
      <c r="AN555" s="17"/>
      <c r="AO555" s="17"/>
      <c r="AP555" s="1"/>
      <c r="AQ555" s="1"/>
    </row>
    <row r="556" spans="1:43" x14ac:dyDescent="0.35">
      <c r="A556" s="6"/>
      <c r="B556" s="13"/>
      <c r="C556" s="81"/>
      <c r="D556" s="4"/>
      <c r="E556" s="8"/>
      <c r="F556" s="17"/>
      <c r="G556" s="17"/>
      <c r="H556" s="17"/>
      <c r="I556" s="17"/>
      <c r="J556" s="17"/>
      <c r="K556" s="17"/>
      <c r="L556" s="17"/>
      <c r="M556" s="17"/>
      <c r="N556" s="17"/>
      <c r="O556" s="17"/>
      <c r="P556" s="17"/>
      <c r="Q556" s="17"/>
      <c r="R556" s="17"/>
      <c r="S556" s="17"/>
      <c r="T556" s="17"/>
      <c r="U556" s="17"/>
      <c r="V556" s="17"/>
      <c r="W556" s="17"/>
      <c r="X556" s="17"/>
      <c r="Y556" s="17"/>
      <c r="Z556" s="17"/>
      <c r="AA556" s="17"/>
      <c r="AB556" s="17"/>
      <c r="AC556" s="17"/>
      <c r="AD556" s="17"/>
      <c r="AE556" s="17"/>
      <c r="AF556" s="17"/>
      <c r="AG556" s="17"/>
      <c r="AH556" s="17"/>
      <c r="AI556" s="17"/>
      <c r="AJ556" s="17"/>
      <c r="AK556" s="17"/>
      <c r="AL556" s="17"/>
      <c r="AM556" s="17"/>
      <c r="AN556" s="17"/>
      <c r="AO556" s="17"/>
      <c r="AP556" s="1"/>
      <c r="AQ556" s="1"/>
    </row>
    <row r="557" spans="1:43" x14ac:dyDescent="0.35">
      <c r="A557" s="6"/>
      <c r="B557" s="13"/>
      <c r="C557" s="81"/>
      <c r="D557" s="4"/>
      <c r="E557" s="8"/>
      <c r="F557" s="17"/>
      <c r="G557" s="17"/>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17"/>
      <c r="AO557" s="17"/>
      <c r="AP557" s="1"/>
      <c r="AQ557" s="1"/>
    </row>
    <row r="558" spans="1:43" x14ac:dyDescent="0.35">
      <c r="A558" s="6"/>
      <c r="B558" s="13"/>
      <c r="C558" s="81"/>
      <c r="D558" s="4"/>
      <c r="E558" s="8"/>
      <c r="F558" s="17"/>
      <c r="G558" s="17"/>
      <c r="H558" s="17"/>
      <c r="I558" s="17"/>
      <c r="J558" s="17"/>
      <c r="K558" s="17"/>
      <c r="L558" s="17"/>
      <c r="M558" s="17"/>
      <c r="N558" s="17"/>
      <c r="O558" s="17"/>
      <c r="P558" s="17"/>
      <c r="Q558" s="17"/>
      <c r="R558" s="17"/>
      <c r="S558" s="17"/>
      <c r="T558" s="17"/>
      <c r="U558" s="17"/>
      <c r="V558" s="17"/>
      <c r="W558" s="17"/>
      <c r="X558" s="17"/>
      <c r="Y558" s="17"/>
      <c r="Z558" s="17"/>
      <c r="AA558" s="17"/>
      <c r="AB558" s="17"/>
      <c r="AC558" s="17"/>
      <c r="AD558" s="17"/>
      <c r="AE558" s="17"/>
      <c r="AF558" s="17"/>
      <c r="AG558" s="17"/>
      <c r="AH558" s="17"/>
      <c r="AI558" s="17"/>
      <c r="AJ558" s="17"/>
      <c r="AK558" s="17"/>
      <c r="AL558" s="17"/>
      <c r="AM558" s="17"/>
      <c r="AN558" s="17"/>
      <c r="AO558" s="17"/>
      <c r="AP558" s="1"/>
      <c r="AQ558" s="1"/>
    </row>
    <row r="559" spans="1:43" x14ac:dyDescent="0.35">
      <c r="A559" s="6"/>
      <c r="B559" s="13"/>
      <c r="C559" s="81"/>
      <c r="D559" s="4"/>
      <c r="E559" s="8"/>
      <c r="F559" s="17"/>
      <c r="G559" s="17"/>
      <c r="H559" s="17"/>
      <c r="I559" s="17"/>
      <c r="J559" s="17"/>
      <c r="K559" s="17"/>
      <c r="L559" s="17"/>
      <c r="M559" s="17"/>
      <c r="N559" s="17"/>
      <c r="O559" s="17"/>
      <c r="P559" s="17"/>
      <c r="Q559" s="17"/>
      <c r="R559" s="17"/>
      <c r="S559" s="17"/>
      <c r="T559" s="17"/>
      <c r="U559" s="17"/>
      <c r="V559" s="17"/>
      <c r="W559" s="17"/>
      <c r="X559" s="17"/>
      <c r="Y559" s="17"/>
      <c r="Z559" s="17"/>
      <c r="AA559" s="17"/>
      <c r="AB559" s="17"/>
      <c r="AC559" s="17"/>
      <c r="AD559" s="17"/>
      <c r="AE559" s="17"/>
      <c r="AF559" s="17"/>
      <c r="AG559" s="17"/>
      <c r="AH559" s="17"/>
      <c r="AI559" s="17"/>
      <c r="AJ559" s="17"/>
      <c r="AK559" s="17"/>
      <c r="AL559" s="17"/>
      <c r="AM559" s="17"/>
      <c r="AN559" s="17"/>
      <c r="AO559" s="17"/>
      <c r="AP559" s="1"/>
      <c r="AQ559" s="1"/>
    </row>
    <row r="560" spans="1:43" x14ac:dyDescent="0.35">
      <c r="A560" s="6"/>
      <c r="B560" s="13"/>
      <c r="C560" s="81"/>
      <c r="D560" s="4"/>
      <c r="E560" s="8"/>
      <c r="F560" s="17"/>
      <c r="G560" s="17"/>
      <c r="H560" s="17"/>
      <c r="I560" s="17"/>
      <c r="J560" s="17"/>
      <c r="K560" s="17"/>
      <c r="L560" s="17"/>
      <c r="M560" s="17"/>
      <c r="N560" s="17"/>
      <c r="O560" s="17"/>
      <c r="P560" s="17"/>
      <c r="Q560" s="17"/>
      <c r="R560" s="17"/>
      <c r="S560" s="17"/>
      <c r="T560" s="17"/>
      <c r="U560" s="17"/>
      <c r="V560" s="17"/>
      <c r="W560" s="17"/>
      <c r="X560" s="17"/>
      <c r="Y560" s="17"/>
      <c r="Z560" s="17"/>
      <c r="AA560" s="17"/>
      <c r="AB560" s="17"/>
      <c r="AC560" s="17"/>
      <c r="AD560" s="17"/>
      <c r="AE560" s="17"/>
      <c r="AF560" s="17"/>
      <c r="AG560" s="17"/>
      <c r="AH560" s="17"/>
      <c r="AI560" s="17"/>
      <c r="AJ560" s="17"/>
      <c r="AK560" s="17"/>
      <c r="AL560" s="17"/>
      <c r="AM560" s="17"/>
      <c r="AN560" s="17"/>
      <c r="AO560" s="17"/>
      <c r="AP560" s="1"/>
      <c r="AQ560" s="1"/>
    </row>
    <row r="561" spans="1:43" x14ac:dyDescent="0.35">
      <c r="A561" s="6"/>
      <c r="B561" s="13"/>
      <c r="C561" s="81"/>
      <c r="D561" s="4"/>
      <c r="E561" s="8"/>
      <c r="F561" s="17"/>
      <c r="G561" s="17"/>
      <c r="H561" s="17"/>
      <c r="I561" s="17"/>
      <c r="J561" s="17"/>
      <c r="K561" s="17"/>
      <c r="L561" s="17"/>
      <c r="M561" s="17"/>
      <c r="N561" s="17"/>
      <c r="O561" s="17"/>
      <c r="P561" s="17"/>
      <c r="Q561" s="17"/>
      <c r="R561" s="17"/>
      <c r="S561" s="17"/>
      <c r="T561" s="17"/>
      <c r="U561" s="17"/>
      <c r="V561" s="17"/>
      <c r="W561" s="17"/>
      <c r="X561" s="17"/>
      <c r="Y561" s="17"/>
      <c r="Z561" s="17"/>
      <c r="AA561" s="17"/>
      <c r="AB561" s="17"/>
      <c r="AC561" s="17"/>
      <c r="AD561" s="17"/>
      <c r="AE561" s="17"/>
      <c r="AF561" s="17"/>
      <c r="AG561" s="17"/>
      <c r="AH561" s="17"/>
      <c r="AI561" s="17"/>
      <c r="AJ561" s="17"/>
      <c r="AK561" s="17"/>
      <c r="AL561" s="17"/>
      <c r="AM561" s="17"/>
      <c r="AN561" s="17"/>
      <c r="AO561" s="17"/>
      <c r="AP561" s="1"/>
      <c r="AQ561" s="1"/>
    </row>
    <row r="562" spans="1:43" x14ac:dyDescent="0.35">
      <c r="A562" s="6"/>
      <c r="B562" s="13"/>
      <c r="C562" s="81"/>
      <c r="D562" s="4"/>
      <c r="E562" s="8"/>
      <c r="F562" s="17"/>
      <c r="G562" s="17"/>
      <c r="H562" s="17"/>
      <c r="I562" s="17"/>
      <c r="J562" s="17"/>
      <c r="K562" s="17"/>
      <c r="L562" s="17"/>
      <c r="M562" s="17"/>
      <c r="N562" s="17"/>
      <c r="O562" s="17"/>
      <c r="P562" s="17"/>
      <c r="Q562" s="17"/>
      <c r="R562" s="17"/>
      <c r="S562" s="17"/>
      <c r="T562" s="17"/>
      <c r="U562" s="17"/>
      <c r="V562" s="17"/>
      <c r="W562" s="17"/>
      <c r="X562" s="17"/>
      <c r="Y562" s="17"/>
      <c r="Z562" s="17"/>
      <c r="AA562" s="17"/>
      <c r="AB562" s="17"/>
      <c r="AC562" s="17"/>
      <c r="AD562" s="17"/>
      <c r="AE562" s="17"/>
      <c r="AF562" s="17"/>
      <c r="AG562" s="17"/>
      <c r="AH562" s="17"/>
      <c r="AI562" s="17"/>
      <c r="AJ562" s="17"/>
      <c r="AK562" s="17"/>
      <c r="AL562" s="17"/>
      <c r="AM562" s="17"/>
      <c r="AN562" s="17"/>
      <c r="AO562" s="17"/>
      <c r="AP562" s="1"/>
      <c r="AQ562" s="1"/>
    </row>
    <row r="563" spans="1:43" x14ac:dyDescent="0.35">
      <c r="A563" s="6"/>
      <c r="B563" s="13"/>
      <c r="C563" s="81"/>
      <c r="D563" s="4"/>
      <c r="E563" s="8"/>
      <c r="F563" s="17"/>
      <c r="G563" s="17"/>
      <c r="H563" s="17"/>
      <c r="I563" s="17"/>
      <c r="J563" s="17"/>
      <c r="K563" s="17"/>
      <c r="L563" s="17"/>
      <c r="M563" s="17"/>
      <c r="N563" s="17"/>
      <c r="O563" s="17"/>
      <c r="P563" s="17"/>
      <c r="Q563" s="17"/>
      <c r="R563" s="17"/>
      <c r="S563" s="17"/>
      <c r="T563" s="17"/>
      <c r="U563" s="17"/>
      <c r="V563" s="17"/>
      <c r="W563" s="17"/>
      <c r="X563" s="17"/>
      <c r="Y563" s="17"/>
      <c r="Z563" s="17"/>
      <c r="AA563" s="17"/>
      <c r="AB563" s="17"/>
      <c r="AC563" s="17"/>
      <c r="AD563" s="17"/>
      <c r="AE563" s="17"/>
      <c r="AF563" s="17"/>
      <c r="AG563" s="17"/>
      <c r="AH563" s="17"/>
      <c r="AI563" s="17"/>
      <c r="AJ563" s="17"/>
      <c r="AK563" s="17"/>
      <c r="AL563" s="17"/>
      <c r="AM563" s="17"/>
      <c r="AN563" s="17"/>
      <c r="AO563" s="17"/>
      <c r="AP563" s="1"/>
      <c r="AQ563" s="1"/>
    </row>
    <row r="564" spans="1:43" x14ac:dyDescent="0.35">
      <c r="A564" s="6"/>
      <c r="B564" s="13"/>
      <c r="C564" s="81"/>
      <c r="D564" s="4"/>
      <c r="E564" s="8"/>
      <c r="F564" s="17"/>
      <c r="G564" s="17"/>
      <c r="H564" s="17"/>
      <c r="I564" s="17"/>
      <c r="J564" s="17"/>
      <c r="K564" s="17"/>
      <c r="L564" s="17"/>
      <c r="M564" s="17"/>
      <c r="N564" s="17"/>
      <c r="O564" s="17"/>
      <c r="P564" s="17"/>
      <c r="Q564" s="17"/>
      <c r="R564" s="17"/>
      <c r="S564" s="17"/>
      <c r="T564" s="17"/>
      <c r="U564" s="17"/>
      <c r="V564" s="17"/>
      <c r="W564" s="17"/>
      <c r="X564" s="17"/>
      <c r="Y564" s="17"/>
      <c r="Z564" s="17"/>
      <c r="AA564" s="17"/>
      <c r="AB564" s="17"/>
      <c r="AC564" s="17"/>
      <c r="AD564" s="17"/>
      <c r="AE564" s="17"/>
      <c r="AF564" s="17"/>
      <c r="AG564" s="17"/>
      <c r="AH564" s="17"/>
      <c r="AI564" s="17"/>
      <c r="AJ564" s="17"/>
      <c r="AK564" s="17"/>
      <c r="AL564" s="17"/>
      <c r="AM564" s="17"/>
      <c r="AN564" s="17"/>
      <c r="AO564" s="17"/>
      <c r="AP564" s="1"/>
      <c r="AQ564" s="1"/>
    </row>
    <row r="565" spans="1:43" x14ac:dyDescent="0.35">
      <c r="A565" s="6"/>
      <c r="B565" s="13"/>
      <c r="C565" s="81"/>
      <c r="D565" s="4"/>
      <c r="E565" s="8"/>
      <c r="F565" s="17"/>
      <c r="G565" s="17"/>
      <c r="H565" s="17"/>
      <c r="I565" s="17"/>
      <c r="J565" s="17"/>
      <c r="K565" s="17"/>
      <c r="L565" s="17"/>
      <c r="M565" s="17"/>
      <c r="N565" s="17"/>
      <c r="O565" s="17"/>
      <c r="P565" s="17"/>
      <c r="Q565" s="17"/>
      <c r="R565" s="17"/>
      <c r="S565" s="17"/>
      <c r="T565" s="17"/>
      <c r="U565" s="17"/>
      <c r="V565" s="17"/>
      <c r="W565" s="17"/>
      <c r="X565" s="17"/>
      <c r="Y565" s="17"/>
      <c r="Z565" s="17"/>
      <c r="AA565" s="17"/>
      <c r="AB565" s="17"/>
      <c r="AC565" s="17"/>
      <c r="AD565" s="17"/>
      <c r="AE565" s="17"/>
      <c r="AF565" s="17"/>
      <c r="AG565" s="17"/>
      <c r="AH565" s="17"/>
      <c r="AI565" s="17"/>
      <c r="AJ565" s="17"/>
      <c r="AK565" s="17"/>
      <c r="AL565" s="17"/>
      <c r="AM565" s="17"/>
      <c r="AN565" s="17"/>
      <c r="AO565" s="17"/>
      <c r="AP565" s="1"/>
      <c r="AQ565" s="1"/>
    </row>
    <row r="566" spans="1:43" x14ac:dyDescent="0.35">
      <c r="A566" s="6"/>
      <c r="B566" s="13"/>
      <c r="C566" s="81"/>
      <c r="D566" s="4"/>
      <c r="E566" s="8"/>
      <c r="F566" s="17"/>
      <c r="G566" s="17"/>
      <c r="H566" s="17"/>
      <c r="I566" s="17"/>
      <c r="J566" s="17"/>
      <c r="K566" s="17"/>
      <c r="L566" s="17"/>
      <c r="M566" s="17"/>
      <c r="N566" s="17"/>
      <c r="O566" s="17"/>
      <c r="P566" s="17"/>
      <c r="Q566" s="17"/>
      <c r="R566" s="17"/>
      <c r="S566" s="17"/>
      <c r="T566" s="17"/>
      <c r="U566" s="17"/>
      <c r="V566" s="17"/>
      <c r="W566" s="17"/>
      <c r="X566" s="17"/>
      <c r="Y566" s="17"/>
      <c r="Z566" s="17"/>
      <c r="AA566" s="17"/>
      <c r="AB566" s="17"/>
      <c r="AC566" s="17"/>
      <c r="AD566" s="17"/>
      <c r="AE566" s="17"/>
      <c r="AF566" s="17"/>
      <c r="AG566" s="17"/>
      <c r="AH566" s="17"/>
      <c r="AI566" s="17"/>
      <c r="AJ566" s="17"/>
      <c r="AK566" s="17"/>
      <c r="AL566" s="17"/>
      <c r="AM566" s="17"/>
      <c r="AN566" s="17"/>
      <c r="AO566" s="17"/>
      <c r="AP566" s="1"/>
      <c r="AQ566" s="1"/>
    </row>
    <row r="567" spans="1:43" x14ac:dyDescent="0.35">
      <c r="A567" s="6"/>
      <c r="B567" s="13"/>
      <c r="C567" s="81"/>
      <c r="D567" s="4"/>
      <c r="E567" s="8"/>
      <c r="F567" s="17"/>
      <c r="G567" s="17"/>
      <c r="H567" s="17"/>
      <c r="I567" s="17"/>
      <c r="J567" s="17"/>
      <c r="K567" s="17"/>
      <c r="L567" s="17"/>
      <c r="M567" s="17"/>
      <c r="N567" s="17"/>
      <c r="O567" s="17"/>
      <c r="P567" s="17"/>
      <c r="Q567" s="17"/>
      <c r="R567" s="17"/>
      <c r="S567" s="17"/>
      <c r="T567" s="17"/>
      <c r="U567" s="17"/>
      <c r="V567" s="17"/>
      <c r="W567" s="17"/>
      <c r="X567" s="17"/>
      <c r="Y567" s="17"/>
      <c r="Z567" s="17"/>
      <c r="AA567" s="17"/>
      <c r="AB567" s="17"/>
      <c r="AC567" s="17"/>
      <c r="AD567" s="17"/>
      <c r="AE567" s="17"/>
      <c r="AF567" s="17"/>
      <c r="AG567" s="17"/>
      <c r="AH567" s="17"/>
      <c r="AI567" s="17"/>
      <c r="AJ567" s="17"/>
      <c r="AK567" s="17"/>
      <c r="AL567" s="17"/>
      <c r="AM567" s="17"/>
      <c r="AN567" s="17"/>
      <c r="AO567" s="17"/>
      <c r="AP567" s="1"/>
      <c r="AQ567" s="1"/>
    </row>
    <row r="568" spans="1:43" x14ac:dyDescent="0.35">
      <c r="A568" s="6"/>
      <c r="B568" s="13"/>
      <c r="C568" s="81"/>
      <c r="D568" s="4"/>
      <c r="E568" s="8"/>
      <c r="F568" s="17"/>
      <c r="G568" s="17"/>
      <c r="H568" s="17"/>
      <c r="I568" s="17"/>
      <c r="J568" s="17"/>
      <c r="K568" s="17"/>
      <c r="L568" s="17"/>
      <c r="M568" s="17"/>
      <c r="N568" s="17"/>
      <c r="O568" s="17"/>
      <c r="P568" s="17"/>
      <c r="Q568" s="17"/>
      <c r="R568" s="17"/>
      <c r="S568" s="17"/>
      <c r="T568" s="17"/>
      <c r="U568" s="17"/>
      <c r="V568" s="17"/>
      <c r="W568" s="17"/>
      <c r="X568" s="17"/>
      <c r="Y568" s="17"/>
      <c r="Z568" s="17"/>
      <c r="AA568" s="17"/>
      <c r="AB568" s="17"/>
      <c r="AC568" s="17"/>
      <c r="AD568" s="17"/>
      <c r="AE568" s="17"/>
      <c r="AF568" s="17"/>
      <c r="AG568" s="17"/>
      <c r="AH568" s="17"/>
      <c r="AI568" s="17"/>
      <c r="AJ568" s="17"/>
      <c r="AK568" s="17"/>
      <c r="AL568" s="17"/>
      <c r="AM568" s="17"/>
      <c r="AN568" s="17"/>
      <c r="AO568" s="17"/>
      <c r="AP568" s="1"/>
      <c r="AQ568" s="1"/>
    </row>
    <row r="569" spans="1:43" x14ac:dyDescent="0.35">
      <c r="A569" s="6"/>
      <c r="B569" s="13"/>
      <c r="C569" s="81"/>
      <c r="D569" s="4"/>
      <c r="E569" s="8"/>
      <c r="F569" s="17"/>
      <c r="G569" s="17"/>
      <c r="H569" s="17"/>
      <c r="I569" s="17"/>
      <c r="J569" s="17"/>
      <c r="K569" s="17"/>
      <c r="L569" s="17"/>
      <c r="M569" s="17"/>
      <c r="N569" s="17"/>
      <c r="O569" s="17"/>
      <c r="P569" s="17"/>
      <c r="Q569" s="17"/>
      <c r="R569" s="17"/>
      <c r="S569" s="17"/>
      <c r="T569" s="17"/>
      <c r="U569" s="17"/>
      <c r="V569" s="17"/>
      <c r="W569" s="17"/>
      <c r="X569" s="17"/>
      <c r="Y569" s="17"/>
      <c r="Z569" s="17"/>
      <c r="AA569" s="17"/>
      <c r="AB569" s="17"/>
      <c r="AC569" s="17"/>
      <c r="AD569" s="17"/>
      <c r="AE569" s="17"/>
      <c r="AF569" s="17"/>
      <c r="AG569" s="17"/>
      <c r="AH569" s="17"/>
      <c r="AI569" s="17"/>
      <c r="AJ569" s="17"/>
      <c r="AK569" s="17"/>
      <c r="AL569" s="17"/>
      <c r="AM569" s="17"/>
      <c r="AN569" s="17"/>
      <c r="AO569" s="17"/>
      <c r="AP569" s="1"/>
      <c r="AQ569" s="1"/>
    </row>
    <row r="570" spans="1:43" x14ac:dyDescent="0.35">
      <c r="A570" s="6"/>
      <c r="B570" s="13"/>
      <c r="C570" s="81"/>
      <c r="D570" s="4"/>
      <c r="E570" s="8"/>
      <c r="F570" s="17"/>
      <c r="G570" s="17"/>
      <c r="H570" s="17"/>
      <c r="I570" s="17"/>
      <c r="J570" s="17"/>
      <c r="K570" s="17"/>
      <c r="L570" s="17"/>
      <c r="M570" s="17"/>
      <c r="N570" s="17"/>
      <c r="O570" s="17"/>
      <c r="P570" s="17"/>
      <c r="Q570" s="17"/>
      <c r="R570" s="17"/>
      <c r="S570" s="17"/>
      <c r="T570" s="17"/>
      <c r="U570" s="17"/>
      <c r="V570" s="17"/>
      <c r="W570" s="17"/>
      <c r="X570" s="17"/>
      <c r="Y570" s="17"/>
      <c r="Z570" s="17"/>
      <c r="AA570" s="17"/>
      <c r="AB570" s="17"/>
      <c r="AC570" s="17"/>
      <c r="AD570" s="17"/>
      <c r="AE570" s="17"/>
      <c r="AF570" s="17"/>
      <c r="AG570" s="17"/>
      <c r="AH570" s="17"/>
      <c r="AI570" s="17"/>
      <c r="AJ570" s="17"/>
      <c r="AK570" s="17"/>
      <c r="AL570" s="17"/>
      <c r="AM570" s="17"/>
      <c r="AN570" s="17"/>
      <c r="AO570" s="17"/>
      <c r="AP570" s="1"/>
      <c r="AQ570" s="1"/>
    </row>
    <row r="571" spans="1:43" x14ac:dyDescent="0.35">
      <c r="A571" s="6"/>
      <c r="B571" s="13"/>
      <c r="C571" s="81"/>
      <c r="D571" s="4"/>
      <c r="E571" s="8"/>
      <c r="F571" s="17"/>
      <c r="G571" s="17"/>
      <c r="H571" s="17"/>
      <c r="I571" s="17"/>
      <c r="J571" s="17"/>
      <c r="K571" s="17"/>
      <c r="L571" s="17"/>
      <c r="M571" s="17"/>
      <c r="N571" s="17"/>
      <c r="O571" s="17"/>
      <c r="P571" s="17"/>
      <c r="Q571" s="17"/>
      <c r="R571" s="17"/>
      <c r="S571" s="17"/>
      <c r="T571" s="17"/>
      <c r="U571" s="17"/>
      <c r="V571" s="17"/>
      <c r="W571" s="17"/>
      <c r="X571" s="17"/>
      <c r="Y571" s="17"/>
      <c r="Z571" s="17"/>
      <c r="AA571" s="17"/>
      <c r="AB571" s="17"/>
      <c r="AC571" s="17"/>
      <c r="AD571" s="17"/>
      <c r="AE571" s="17"/>
      <c r="AF571" s="17"/>
      <c r="AG571" s="17"/>
      <c r="AH571" s="17"/>
      <c r="AI571" s="17"/>
      <c r="AJ571" s="17"/>
      <c r="AK571" s="17"/>
      <c r="AL571" s="17"/>
      <c r="AM571" s="17"/>
      <c r="AN571" s="17"/>
      <c r="AO571" s="17"/>
      <c r="AP571" s="1"/>
      <c r="AQ571" s="1"/>
    </row>
    <row r="572" spans="1:43" x14ac:dyDescent="0.35">
      <c r="A572" s="6"/>
      <c r="B572" s="13"/>
      <c r="C572" s="81"/>
      <c r="D572" s="4"/>
      <c r="E572" s="8"/>
      <c r="F572" s="17"/>
      <c r="G572" s="17"/>
      <c r="H572" s="17"/>
      <c r="I572" s="17"/>
      <c r="J572" s="17"/>
      <c r="K572" s="17"/>
      <c r="L572" s="17"/>
      <c r="M572" s="17"/>
      <c r="N572" s="17"/>
      <c r="O572" s="17"/>
      <c r="P572" s="17"/>
      <c r="Q572" s="17"/>
      <c r="R572" s="17"/>
      <c r="S572" s="17"/>
      <c r="T572" s="17"/>
      <c r="U572" s="17"/>
      <c r="V572" s="17"/>
      <c r="W572" s="17"/>
      <c r="X572" s="17"/>
      <c r="Y572" s="17"/>
      <c r="Z572" s="17"/>
      <c r="AA572" s="17"/>
      <c r="AB572" s="17"/>
      <c r="AC572" s="17"/>
      <c r="AD572" s="17"/>
      <c r="AE572" s="17"/>
      <c r="AF572" s="17"/>
      <c r="AG572" s="17"/>
      <c r="AH572" s="17"/>
      <c r="AI572" s="17"/>
      <c r="AJ572" s="17"/>
      <c r="AK572" s="17"/>
      <c r="AL572" s="17"/>
      <c r="AM572" s="17"/>
      <c r="AN572" s="17"/>
      <c r="AO572" s="17"/>
      <c r="AP572" s="1"/>
      <c r="AQ572" s="1"/>
    </row>
    <row r="573" spans="1:43" x14ac:dyDescent="0.35">
      <c r="A573" s="6"/>
      <c r="B573" s="13"/>
      <c r="C573" s="81"/>
      <c r="D573" s="4"/>
      <c r="E573" s="8"/>
      <c r="F573" s="17"/>
      <c r="G573" s="17"/>
      <c r="H573" s="17"/>
      <c r="I573" s="17"/>
      <c r="J573" s="17"/>
      <c r="K573" s="17"/>
      <c r="L573" s="17"/>
      <c r="M573" s="17"/>
      <c r="N573" s="17"/>
      <c r="O573" s="17"/>
      <c r="P573" s="17"/>
      <c r="Q573" s="17"/>
      <c r="R573" s="17"/>
      <c r="S573" s="17"/>
      <c r="T573" s="17"/>
      <c r="U573" s="17"/>
      <c r="V573" s="17"/>
      <c r="W573" s="17"/>
      <c r="X573" s="17"/>
      <c r="Y573" s="17"/>
      <c r="Z573" s="17"/>
      <c r="AA573" s="17"/>
      <c r="AB573" s="17"/>
      <c r="AC573" s="17"/>
      <c r="AD573" s="17"/>
      <c r="AE573" s="17"/>
      <c r="AF573" s="17"/>
      <c r="AG573" s="17"/>
      <c r="AH573" s="17"/>
      <c r="AI573" s="17"/>
      <c r="AJ573" s="17"/>
      <c r="AK573" s="17"/>
      <c r="AL573" s="17"/>
      <c r="AM573" s="17"/>
      <c r="AN573" s="17"/>
      <c r="AO573" s="17"/>
      <c r="AP573" s="1"/>
      <c r="AQ573" s="1"/>
    </row>
    <row r="574" spans="1:43" x14ac:dyDescent="0.35">
      <c r="A574" s="6"/>
      <c r="B574" s="13"/>
      <c r="C574" s="81"/>
      <c r="D574" s="4"/>
      <c r="E574" s="8"/>
      <c r="F574" s="17"/>
      <c r="G574" s="17"/>
      <c r="H574" s="17"/>
      <c r="I574" s="17"/>
      <c r="J574" s="17"/>
      <c r="K574" s="17"/>
      <c r="L574" s="17"/>
      <c r="M574" s="17"/>
      <c r="N574" s="17"/>
      <c r="O574" s="17"/>
      <c r="P574" s="17"/>
      <c r="Q574" s="17"/>
      <c r="R574" s="17"/>
      <c r="S574" s="17"/>
      <c r="T574" s="17"/>
      <c r="U574" s="17"/>
      <c r="V574" s="17"/>
      <c r="W574" s="17"/>
      <c r="X574" s="17"/>
      <c r="Y574" s="17"/>
      <c r="Z574" s="17"/>
      <c r="AA574" s="17"/>
      <c r="AB574" s="17"/>
      <c r="AC574" s="17"/>
      <c r="AD574" s="17"/>
      <c r="AE574" s="17"/>
      <c r="AF574" s="17"/>
      <c r="AG574" s="17"/>
      <c r="AH574" s="17"/>
      <c r="AI574" s="17"/>
      <c r="AJ574" s="17"/>
      <c r="AK574" s="17"/>
      <c r="AL574" s="17"/>
      <c r="AM574" s="17"/>
      <c r="AN574" s="17"/>
      <c r="AO574" s="17"/>
      <c r="AP574" s="1"/>
      <c r="AQ574" s="1"/>
    </row>
    <row r="575" spans="1:43" x14ac:dyDescent="0.35">
      <c r="A575" s="6"/>
      <c r="B575" s="13"/>
      <c r="C575" s="81"/>
      <c r="D575" s="4"/>
      <c r="E575" s="8"/>
      <c r="F575" s="17"/>
      <c r="G575" s="17"/>
      <c r="H575" s="17"/>
      <c r="I575" s="17"/>
      <c r="J575" s="17"/>
      <c r="K575" s="17"/>
      <c r="L575" s="17"/>
      <c r="M575" s="17"/>
      <c r="N575" s="17"/>
      <c r="O575" s="17"/>
      <c r="P575" s="17"/>
      <c r="Q575" s="17"/>
      <c r="R575" s="17"/>
      <c r="S575" s="17"/>
      <c r="T575" s="17"/>
      <c r="U575" s="17"/>
      <c r="V575" s="17"/>
      <c r="W575" s="17"/>
      <c r="X575" s="17"/>
      <c r="Y575" s="17"/>
      <c r="Z575" s="17"/>
      <c r="AA575" s="17"/>
      <c r="AB575" s="17"/>
      <c r="AC575" s="17"/>
      <c r="AD575" s="17"/>
      <c r="AE575" s="17"/>
      <c r="AF575" s="17"/>
      <c r="AG575" s="17"/>
      <c r="AH575" s="17"/>
      <c r="AI575" s="17"/>
      <c r="AJ575" s="17"/>
      <c r="AK575" s="17"/>
      <c r="AL575" s="17"/>
      <c r="AM575" s="17"/>
      <c r="AN575" s="17"/>
      <c r="AO575" s="17"/>
      <c r="AP575" s="1"/>
      <c r="AQ575" s="1"/>
    </row>
    <row r="576" spans="1:43" x14ac:dyDescent="0.35">
      <c r="A576" s="6"/>
      <c r="B576" s="13"/>
      <c r="C576" s="81"/>
      <c r="D576" s="4"/>
      <c r="E576" s="8"/>
      <c r="F576" s="17"/>
      <c r="G576" s="17"/>
      <c r="H576" s="17"/>
      <c r="I576" s="17"/>
      <c r="J576" s="17"/>
      <c r="K576" s="17"/>
      <c r="L576" s="17"/>
      <c r="M576" s="17"/>
      <c r="N576" s="17"/>
      <c r="O576" s="17"/>
      <c r="P576" s="17"/>
      <c r="Q576" s="17"/>
      <c r="R576" s="17"/>
      <c r="S576" s="17"/>
      <c r="T576" s="17"/>
      <c r="U576" s="17"/>
      <c r="V576" s="17"/>
      <c r="W576" s="17"/>
      <c r="X576" s="17"/>
      <c r="Y576" s="17"/>
      <c r="Z576" s="17"/>
      <c r="AA576" s="17"/>
      <c r="AB576" s="17"/>
      <c r="AC576" s="17"/>
      <c r="AD576" s="17"/>
      <c r="AE576" s="17"/>
      <c r="AF576" s="17"/>
      <c r="AG576" s="17"/>
      <c r="AH576" s="17"/>
      <c r="AI576" s="17"/>
      <c r="AJ576" s="17"/>
      <c r="AK576" s="17"/>
      <c r="AL576" s="17"/>
      <c r="AM576" s="17"/>
      <c r="AN576" s="17"/>
      <c r="AO576" s="17"/>
      <c r="AP576" s="1"/>
      <c r="AQ576" s="1"/>
    </row>
    <row r="577" spans="1:43" x14ac:dyDescent="0.35">
      <c r="A577" s="6"/>
      <c r="B577" s="13"/>
      <c r="C577" s="81"/>
      <c r="D577" s="4"/>
      <c r="E577" s="8"/>
      <c r="F577" s="17"/>
      <c r="G577" s="17"/>
      <c r="H577" s="17"/>
      <c r="I577" s="17"/>
      <c r="J577" s="17"/>
      <c r="K577" s="17"/>
      <c r="L577" s="17"/>
      <c r="M577" s="17"/>
      <c r="N577" s="17"/>
      <c r="O577" s="17"/>
      <c r="P577" s="17"/>
      <c r="Q577" s="17"/>
      <c r="R577" s="17"/>
      <c r="S577" s="17"/>
      <c r="T577" s="17"/>
      <c r="U577" s="17"/>
      <c r="V577" s="17"/>
      <c r="W577" s="17"/>
      <c r="X577" s="17"/>
      <c r="Y577" s="17"/>
      <c r="Z577" s="17"/>
      <c r="AA577" s="17"/>
      <c r="AB577" s="17"/>
      <c r="AC577" s="17"/>
      <c r="AD577" s="17"/>
      <c r="AE577" s="17"/>
      <c r="AF577" s="17"/>
      <c r="AG577" s="17"/>
      <c r="AH577" s="17"/>
      <c r="AI577" s="17"/>
      <c r="AJ577" s="17"/>
      <c r="AK577" s="17"/>
      <c r="AL577" s="17"/>
      <c r="AM577" s="17"/>
      <c r="AN577" s="17"/>
      <c r="AO577" s="17"/>
      <c r="AP577" s="1"/>
      <c r="AQ577" s="1"/>
    </row>
    <row r="578" spans="1:43" x14ac:dyDescent="0.35">
      <c r="A578" s="6"/>
      <c r="B578" s="13"/>
      <c r="C578" s="81"/>
      <c r="D578" s="4"/>
      <c r="E578" s="8"/>
      <c r="F578" s="17"/>
      <c r="G578" s="17"/>
      <c r="H578" s="17"/>
      <c r="I578" s="17"/>
      <c r="J578" s="17"/>
      <c r="K578" s="17"/>
      <c r="L578" s="17"/>
      <c r="M578" s="17"/>
      <c r="N578" s="17"/>
      <c r="O578" s="17"/>
      <c r="P578" s="17"/>
      <c r="Q578" s="17"/>
      <c r="R578" s="17"/>
      <c r="S578" s="17"/>
      <c r="T578" s="17"/>
      <c r="U578" s="17"/>
      <c r="V578" s="17"/>
      <c r="W578" s="17"/>
      <c r="X578" s="17"/>
      <c r="Y578" s="17"/>
      <c r="Z578" s="17"/>
      <c r="AA578" s="17"/>
      <c r="AB578" s="17"/>
      <c r="AC578" s="17"/>
      <c r="AD578" s="17"/>
      <c r="AE578" s="17"/>
      <c r="AF578" s="17"/>
      <c r="AG578" s="17"/>
      <c r="AH578" s="17"/>
      <c r="AI578" s="17"/>
      <c r="AJ578" s="17"/>
      <c r="AK578" s="17"/>
      <c r="AL578" s="17"/>
      <c r="AM578" s="17"/>
      <c r="AN578" s="17"/>
      <c r="AO578" s="17"/>
      <c r="AP578" s="1"/>
      <c r="AQ578" s="1"/>
    </row>
    <row r="579" spans="1:43" x14ac:dyDescent="0.35">
      <c r="A579" s="6"/>
      <c r="B579" s="13"/>
      <c r="C579" s="81"/>
      <c r="D579" s="4"/>
      <c r="E579" s="8"/>
      <c r="F579" s="17"/>
      <c r="G579" s="17"/>
      <c r="H579" s="17"/>
      <c r="I579" s="17"/>
      <c r="J579" s="17"/>
      <c r="K579" s="17"/>
      <c r="L579" s="17"/>
      <c r="M579" s="17"/>
      <c r="N579" s="17"/>
      <c r="O579" s="17"/>
      <c r="P579" s="17"/>
      <c r="Q579" s="17"/>
      <c r="R579" s="17"/>
      <c r="S579" s="17"/>
      <c r="T579" s="17"/>
      <c r="U579" s="17"/>
      <c r="V579" s="17"/>
      <c r="W579" s="17"/>
      <c r="X579" s="17"/>
      <c r="Y579" s="17"/>
      <c r="Z579" s="17"/>
      <c r="AA579" s="17"/>
      <c r="AB579" s="17"/>
      <c r="AC579" s="17"/>
      <c r="AD579" s="17"/>
      <c r="AE579" s="17"/>
      <c r="AF579" s="17"/>
      <c r="AG579" s="17"/>
      <c r="AH579" s="17"/>
      <c r="AI579" s="17"/>
      <c r="AJ579" s="17"/>
      <c r="AK579" s="17"/>
      <c r="AL579" s="17"/>
      <c r="AM579" s="17"/>
      <c r="AN579" s="17"/>
      <c r="AO579" s="17"/>
      <c r="AP579" s="1"/>
      <c r="AQ579" s="1"/>
    </row>
    <row r="580" spans="1:43" x14ac:dyDescent="0.35">
      <c r="A580" s="6"/>
      <c r="B580" s="13"/>
      <c r="C580" s="81"/>
      <c r="D580" s="4"/>
      <c r="E580" s="8"/>
      <c r="F580" s="17"/>
      <c r="G580" s="17"/>
      <c r="H580" s="17"/>
      <c r="I580" s="17"/>
      <c r="J580" s="17"/>
      <c r="K580" s="17"/>
      <c r="L580" s="17"/>
      <c r="M580" s="17"/>
      <c r="N580" s="17"/>
      <c r="O580" s="17"/>
      <c r="P580" s="17"/>
      <c r="Q580" s="17"/>
      <c r="R580" s="17"/>
      <c r="S580" s="17"/>
      <c r="T580" s="17"/>
      <c r="U580" s="17"/>
      <c r="V580" s="17"/>
      <c r="W580" s="17"/>
      <c r="X580" s="17"/>
      <c r="Y580" s="17"/>
      <c r="Z580" s="17"/>
      <c r="AA580" s="17"/>
      <c r="AB580" s="17"/>
      <c r="AC580" s="17"/>
      <c r="AD580" s="17"/>
      <c r="AE580" s="17"/>
      <c r="AF580" s="17"/>
      <c r="AG580" s="17"/>
      <c r="AH580" s="17"/>
      <c r="AI580" s="17"/>
      <c r="AJ580" s="17"/>
      <c r="AK580" s="17"/>
      <c r="AL580" s="17"/>
      <c r="AM580" s="17"/>
      <c r="AN580" s="17"/>
      <c r="AO580" s="17"/>
      <c r="AP580" s="1"/>
      <c r="AQ580" s="1"/>
    </row>
    <row r="581" spans="1:43" x14ac:dyDescent="0.35">
      <c r="A581" s="6"/>
      <c r="B581" s="13"/>
      <c r="C581" s="81"/>
      <c r="D581" s="4"/>
      <c r="E581" s="8"/>
      <c r="F581" s="17"/>
      <c r="G581" s="17"/>
      <c r="H581" s="17"/>
      <c r="I581" s="17"/>
      <c r="J581" s="17"/>
      <c r="K581" s="17"/>
      <c r="L581" s="17"/>
      <c r="M581" s="17"/>
      <c r="N581" s="17"/>
      <c r="O581" s="17"/>
      <c r="P581" s="17"/>
      <c r="Q581" s="17"/>
      <c r="R581" s="17"/>
      <c r="S581" s="17"/>
      <c r="T581" s="17"/>
      <c r="U581" s="17"/>
      <c r="V581" s="17"/>
      <c r="W581" s="17"/>
      <c r="X581" s="17"/>
      <c r="Y581" s="17"/>
      <c r="Z581" s="17"/>
      <c r="AA581" s="17"/>
      <c r="AB581" s="17"/>
      <c r="AC581" s="17"/>
      <c r="AD581" s="17"/>
      <c r="AE581" s="17"/>
      <c r="AF581" s="17"/>
      <c r="AG581" s="17"/>
      <c r="AH581" s="17"/>
      <c r="AI581" s="17"/>
      <c r="AJ581" s="17"/>
      <c r="AK581" s="17"/>
      <c r="AL581" s="17"/>
      <c r="AM581" s="17"/>
      <c r="AN581" s="17"/>
      <c r="AO581" s="17"/>
      <c r="AP581" s="1"/>
      <c r="AQ581" s="1"/>
    </row>
    <row r="582" spans="1:43" x14ac:dyDescent="0.35">
      <c r="A582" s="6"/>
      <c r="B582" s="13"/>
      <c r="C582" s="81"/>
      <c r="D582" s="4"/>
      <c r="E582" s="8"/>
      <c r="F582" s="17"/>
      <c r="G582" s="17"/>
      <c r="H582" s="17"/>
      <c r="I582" s="17"/>
      <c r="J582" s="17"/>
      <c r="K582" s="17"/>
      <c r="L582" s="17"/>
      <c r="M582" s="17"/>
      <c r="N582" s="17"/>
      <c r="O582" s="17"/>
      <c r="P582" s="17"/>
      <c r="Q582" s="17"/>
      <c r="R582" s="17"/>
      <c r="S582" s="17"/>
      <c r="T582" s="17"/>
      <c r="U582" s="17"/>
      <c r="V582" s="17"/>
      <c r="W582" s="17"/>
      <c r="X582" s="17"/>
      <c r="Y582" s="17"/>
      <c r="Z582" s="17"/>
      <c r="AA582" s="17"/>
      <c r="AB582" s="17"/>
      <c r="AC582" s="17"/>
      <c r="AD582" s="17"/>
      <c r="AE582" s="17"/>
      <c r="AF582" s="17"/>
      <c r="AG582" s="17"/>
      <c r="AH582" s="17"/>
      <c r="AI582" s="17"/>
      <c r="AJ582" s="17"/>
      <c r="AK582" s="17"/>
      <c r="AL582" s="17"/>
      <c r="AM582" s="17"/>
      <c r="AN582" s="17"/>
      <c r="AO582" s="17"/>
      <c r="AP582" s="1"/>
      <c r="AQ582" s="1"/>
    </row>
    <row r="583" spans="1:43" x14ac:dyDescent="0.35">
      <c r="A583" s="6"/>
      <c r="B583" s="13"/>
      <c r="C583" s="81"/>
      <c r="D583" s="4"/>
      <c r="E583" s="8"/>
      <c r="F583" s="17"/>
      <c r="G583" s="17"/>
      <c r="H583" s="17"/>
      <c r="I583" s="17"/>
      <c r="J583" s="17"/>
      <c r="K583" s="17"/>
      <c r="L583" s="17"/>
      <c r="M583" s="17"/>
      <c r="N583" s="17"/>
      <c r="O583" s="17"/>
      <c r="P583" s="17"/>
      <c r="Q583" s="17"/>
      <c r="R583" s="17"/>
      <c r="S583" s="17"/>
      <c r="T583" s="17"/>
      <c r="U583" s="17"/>
      <c r="V583" s="17"/>
      <c r="W583" s="17"/>
      <c r="X583" s="17"/>
      <c r="Y583" s="17"/>
      <c r="Z583" s="17"/>
      <c r="AA583" s="17"/>
      <c r="AB583" s="17"/>
      <c r="AC583" s="17"/>
      <c r="AD583" s="17"/>
      <c r="AE583" s="17"/>
      <c r="AF583" s="17"/>
      <c r="AG583" s="17"/>
      <c r="AH583" s="17"/>
      <c r="AI583" s="17"/>
      <c r="AJ583" s="17"/>
      <c r="AK583" s="17"/>
      <c r="AL583" s="17"/>
      <c r="AM583" s="17"/>
      <c r="AN583" s="17"/>
      <c r="AO583" s="17"/>
      <c r="AP583" s="1"/>
      <c r="AQ583" s="1"/>
    </row>
    <row r="584" spans="1:43" x14ac:dyDescent="0.35">
      <c r="A584" s="6"/>
      <c r="B584" s="13"/>
      <c r="C584" s="81"/>
      <c r="D584" s="4"/>
      <c r="E584" s="8"/>
      <c r="F584" s="17"/>
      <c r="G584" s="17"/>
      <c r="H584" s="17"/>
      <c r="I584" s="17"/>
      <c r="J584" s="17"/>
      <c r="K584" s="17"/>
      <c r="L584" s="17"/>
      <c r="M584" s="17"/>
      <c r="N584" s="17"/>
      <c r="O584" s="17"/>
      <c r="P584" s="17"/>
      <c r="Q584" s="17"/>
      <c r="R584" s="17"/>
      <c r="S584" s="17"/>
      <c r="T584" s="17"/>
      <c r="U584" s="17"/>
      <c r="V584" s="17"/>
      <c r="W584" s="17"/>
      <c r="X584" s="17"/>
      <c r="Y584" s="17"/>
      <c r="Z584" s="17"/>
      <c r="AA584" s="17"/>
      <c r="AB584" s="17"/>
      <c r="AC584" s="17"/>
      <c r="AD584" s="17"/>
      <c r="AE584" s="17"/>
      <c r="AF584" s="17"/>
      <c r="AG584" s="17"/>
      <c r="AH584" s="17"/>
      <c r="AI584" s="17"/>
      <c r="AJ584" s="17"/>
      <c r="AK584" s="17"/>
      <c r="AL584" s="17"/>
      <c r="AM584" s="17"/>
      <c r="AN584" s="17"/>
      <c r="AO584" s="17"/>
      <c r="AP584" s="1"/>
      <c r="AQ584" s="1"/>
    </row>
    <row r="585" spans="1:43" x14ac:dyDescent="0.35">
      <c r="A585" s="6"/>
      <c r="B585" s="13"/>
      <c r="C585" s="81"/>
      <c r="D585" s="4"/>
      <c r="E585" s="8"/>
      <c r="F585" s="17"/>
      <c r="G585" s="17"/>
      <c r="H585" s="17"/>
      <c r="I585" s="17"/>
      <c r="J585" s="17"/>
      <c r="K585" s="17"/>
      <c r="L585" s="17"/>
      <c r="M585" s="17"/>
      <c r="N585" s="17"/>
      <c r="O585" s="17"/>
      <c r="P585" s="17"/>
      <c r="Q585" s="17"/>
      <c r="R585" s="17"/>
      <c r="S585" s="17"/>
      <c r="T585" s="17"/>
      <c r="U585" s="17"/>
      <c r="V585" s="17"/>
      <c r="W585" s="17"/>
      <c r="X585" s="17"/>
      <c r="Y585" s="17"/>
      <c r="Z585" s="17"/>
      <c r="AA585" s="17"/>
      <c r="AB585" s="17"/>
      <c r="AC585" s="17"/>
      <c r="AD585" s="17"/>
      <c r="AE585" s="17"/>
      <c r="AF585" s="17"/>
      <c r="AG585" s="17"/>
      <c r="AH585" s="17"/>
      <c r="AI585" s="17"/>
      <c r="AJ585" s="17"/>
      <c r="AK585" s="17"/>
      <c r="AL585" s="17"/>
      <c r="AM585" s="17"/>
      <c r="AN585" s="17"/>
      <c r="AO585" s="17"/>
      <c r="AP585" s="1"/>
      <c r="AQ585" s="1"/>
    </row>
    <row r="586" spans="1:43" x14ac:dyDescent="0.35">
      <c r="A586" s="6"/>
      <c r="B586" s="13"/>
      <c r="C586" s="81"/>
      <c r="D586" s="4"/>
      <c r="E586" s="8"/>
      <c r="F586" s="17"/>
      <c r="G586" s="17"/>
      <c r="H586" s="17"/>
      <c r="I586" s="17"/>
      <c r="J586" s="17"/>
      <c r="K586" s="17"/>
      <c r="L586" s="17"/>
      <c r="M586" s="17"/>
      <c r="N586" s="17"/>
      <c r="O586" s="17"/>
      <c r="P586" s="17"/>
      <c r="Q586" s="17"/>
      <c r="R586" s="17"/>
      <c r="S586" s="17"/>
      <c r="T586" s="17"/>
      <c r="U586" s="17"/>
      <c r="V586" s="17"/>
      <c r="W586" s="17"/>
      <c r="X586" s="17"/>
      <c r="Y586" s="17"/>
      <c r="Z586" s="17"/>
      <c r="AA586" s="17"/>
      <c r="AB586" s="17"/>
      <c r="AC586" s="17"/>
      <c r="AD586" s="17"/>
      <c r="AE586" s="17"/>
      <c r="AF586" s="17"/>
      <c r="AG586" s="17"/>
      <c r="AH586" s="17"/>
      <c r="AI586" s="17"/>
      <c r="AJ586" s="17"/>
      <c r="AK586" s="17"/>
      <c r="AL586" s="17"/>
      <c r="AM586" s="17"/>
      <c r="AN586" s="17"/>
      <c r="AO586" s="17"/>
      <c r="AP586" s="1"/>
      <c r="AQ586" s="1"/>
    </row>
    <row r="587" spans="1:43" x14ac:dyDescent="0.35">
      <c r="A587" s="6"/>
      <c r="B587" s="13"/>
      <c r="C587" s="81"/>
      <c r="D587" s="4"/>
      <c r="E587" s="8"/>
      <c r="F587" s="17"/>
      <c r="G587" s="17"/>
      <c r="H587" s="17"/>
      <c r="I587" s="17"/>
      <c r="J587" s="17"/>
      <c r="K587" s="17"/>
      <c r="L587" s="17"/>
      <c r="M587" s="17"/>
      <c r="N587" s="17"/>
      <c r="O587" s="17"/>
      <c r="P587" s="17"/>
      <c r="Q587" s="17"/>
      <c r="R587" s="17"/>
      <c r="S587" s="17"/>
      <c r="T587" s="17"/>
      <c r="U587" s="17"/>
      <c r="V587" s="17"/>
      <c r="W587" s="17"/>
      <c r="X587" s="17"/>
      <c r="Y587" s="17"/>
      <c r="Z587" s="17"/>
      <c r="AA587" s="17"/>
      <c r="AB587" s="17"/>
      <c r="AC587" s="17"/>
      <c r="AD587" s="17"/>
      <c r="AE587" s="17"/>
      <c r="AF587" s="17"/>
      <c r="AG587" s="17"/>
      <c r="AH587" s="17"/>
      <c r="AI587" s="17"/>
      <c r="AJ587" s="17"/>
      <c r="AK587" s="17"/>
      <c r="AL587" s="17"/>
      <c r="AM587" s="17"/>
      <c r="AN587" s="17"/>
      <c r="AO587" s="17"/>
      <c r="AP587" s="1"/>
      <c r="AQ587" s="1"/>
    </row>
    <row r="588" spans="1:43" x14ac:dyDescent="0.35">
      <c r="A588" s="6"/>
      <c r="B588" s="13"/>
      <c r="C588" s="81"/>
      <c r="D588" s="4"/>
      <c r="E588" s="8"/>
      <c r="F588" s="17"/>
      <c r="G588" s="17"/>
      <c r="H588" s="17"/>
      <c r="I588" s="17"/>
      <c r="J588" s="17"/>
      <c r="K588" s="17"/>
      <c r="L588" s="17"/>
      <c r="M588" s="17"/>
      <c r="N588" s="17"/>
      <c r="O588" s="17"/>
      <c r="P588" s="17"/>
      <c r="Q588" s="17"/>
      <c r="R588" s="17"/>
      <c r="S588" s="17"/>
      <c r="T588" s="17"/>
      <c r="U588" s="17"/>
      <c r="V588" s="17"/>
      <c r="W588" s="17"/>
      <c r="X588" s="17"/>
      <c r="Y588" s="17"/>
      <c r="Z588" s="17"/>
      <c r="AA588" s="17"/>
      <c r="AB588" s="17"/>
      <c r="AC588" s="17"/>
      <c r="AD588" s="17"/>
      <c r="AE588" s="17"/>
      <c r="AF588" s="17"/>
      <c r="AG588" s="17"/>
      <c r="AH588" s="17"/>
      <c r="AI588" s="17"/>
      <c r="AJ588" s="17"/>
      <c r="AK588" s="17"/>
      <c r="AL588" s="17"/>
      <c r="AM588" s="17"/>
      <c r="AN588" s="17"/>
      <c r="AO588" s="17"/>
      <c r="AP588" s="1"/>
      <c r="AQ588" s="1"/>
    </row>
    <row r="589" spans="1:43" x14ac:dyDescent="0.35">
      <c r="A589" s="6"/>
      <c r="B589" s="13"/>
      <c r="C589" s="81"/>
      <c r="D589" s="4"/>
      <c r="E589" s="8"/>
      <c r="F589" s="17"/>
      <c r="G589" s="17"/>
      <c r="H589" s="17"/>
      <c r="I589" s="17"/>
      <c r="J589" s="17"/>
      <c r="K589" s="17"/>
      <c r="L589" s="17"/>
      <c r="M589" s="17"/>
      <c r="N589" s="17"/>
      <c r="O589" s="17"/>
      <c r="P589" s="17"/>
      <c r="Q589" s="17"/>
      <c r="R589" s="17"/>
      <c r="S589" s="17"/>
      <c r="T589" s="17"/>
      <c r="U589" s="17"/>
      <c r="V589" s="17"/>
      <c r="W589" s="17"/>
      <c r="X589" s="17"/>
      <c r="Y589" s="17"/>
      <c r="Z589" s="17"/>
      <c r="AA589" s="17"/>
      <c r="AB589" s="17"/>
      <c r="AC589" s="17"/>
      <c r="AD589" s="17"/>
      <c r="AE589" s="17"/>
      <c r="AF589" s="17"/>
      <c r="AG589" s="17"/>
      <c r="AH589" s="17"/>
      <c r="AI589" s="17"/>
      <c r="AJ589" s="17"/>
      <c r="AK589" s="17"/>
      <c r="AL589" s="17"/>
      <c r="AM589" s="17"/>
      <c r="AN589" s="17"/>
      <c r="AO589" s="17"/>
      <c r="AP589" s="1"/>
      <c r="AQ589" s="1"/>
    </row>
    <row r="590" spans="1:43" x14ac:dyDescent="0.35">
      <c r="A590" s="6"/>
      <c r="B590" s="13"/>
      <c r="C590" s="81"/>
      <c r="D590" s="4"/>
      <c r="E590" s="8"/>
      <c r="F590" s="17"/>
      <c r="G590" s="17"/>
      <c r="H590" s="17"/>
      <c r="I590" s="17"/>
      <c r="J590" s="17"/>
      <c r="K590" s="17"/>
      <c r="L590" s="17"/>
      <c r="M590" s="17"/>
      <c r="N590" s="17"/>
      <c r="O590" s="17"/>
      <c r="P590" s="17"/>
      <c r="Q590" s="17"/>
      <c r="R590" s="17"/>
      <c r="S590" s="17"/>
      <c r="T590" s="17"/>
      <c r="U590" s="17"/>
      <c r="V590" s="17"/>
      <c r="W590" s="17"/>
      <c r="X590" s="17"/>
      <c r="Y590" s="17"/>
      <c r="Z590" s="17"/>
      <c r="AA590" s="17"/>
      <c r="AB590" s="17"/>
      <c r="AC590" s="17"/>
      <c r="AD590" s="17"/>
      <c r="AE590" s="17"/>
      <c r="AF590" s="17"/>
      <c r="AG590" s="17"/>
      <c r="AH590" s="17"/>
      <c r="AI590" s="17"/>
      <c r="AJ590" s="17"/>
      <c r="AK590" s="17"/>
      <c r="AL590" s="17"/>
      <c r="AM590" s="17"/>
      <c r="AN590" s="17"/>
      <c r="AO590" s="17"/>
      <c r="AP590" s="1"/>
      <c r="AQ590" s="1"/>
    </row>
    <row r="591" spans="1:43" x14ac:dyDescent="0.35">
      <c r="A591" s="6"/>
      <c r="B591" s="13"/>
      <c r="C591" s="81"/>
      <c r="D591" s="4"/>
      <c r="E591" s="8"/>
      <c r="F591" s="17"/>
      <c r="G591" s="17"/>
      <c r="H591" s="17"/>
      <c r="I591" s="17"/>
      <c r="J591" s="17"/>
      <c r="K591" s="17"/>
      <c r="L591" s="17"/>
      <c r="M591" s="17"/>
      <c r="N591" s="17"/>
      <c r="O591" s="17"/>
      <c r="P591" s="17"/>
      <c r="Q591" s="17"/>
      <c r="R591" s="17"/>
      <c r="S591" s="17"/>
      <c r="T591" s="17"/>
      <c r="U591" s="17"/>
      <c r="V591" s="17"/>
      <c r="W591" s="17"/>
      <c r="X591" s="17"/>
      <c r="Y591" s="17"/>
      <c r="Z591" s="17"/>
      <c r="AA591" s="17"/>
      <c r="AB591" s="17"/>
      <c r="AC591" s="17"/>
      <c r="AD591" s="17"/>
      <c r="AE591" s="17"/>
      <c r="AF591" s="17"/>
      <c r="AG591" s="17"/>
      <c r="AH591" s="17"/>
      <c r="AI591" s="17"/>
      <c r="AJ591" s="17"/>
      <c r="AK591" s="17"/>
      <c r="AL591" s="17"/>
      <c r="AM591" s="17"/>
      <c r="AN591" s="17"/>
      <c r="AO591" s="17"/>
      <c r="AP591" s="1"/>
      <c r="AQ591" s="1"/>
    </row>
    <row r="592" spans="1:43" x14ac:dyDescent="0.35">
      <c r="A592" s="6"/>
      <c r="B592" s="13"/>
      <c r="C592" s="81"/>
      <c r="D592" s="4"/>
      <c r="E592" s="8"/>
      <c r="F592" s="17"/>
      <c r="G592" s="17"/>
      <c r="H592" s="17"/>
      <c r="I592" s="17"/>
      <c r="J592" s="17"/>
      <c r="K592" s="17"/>
      <c r="L592" s="17"/>
      <c r="M592" s="17"/>
      <c r="N592" s="17"/>
      <c r="O592" s="17"/>
      <c r="P592" s="17"/>
      <c r="Q592" s="17"/>
      <c r="R592" s="17"/>
      <c r="S592" s="17"/>
      <c r="T592" s="17"/>
      <c r="U592" s="17"/>
      <c r="V592" s="17"/>
      <c r="W592" s="17"/>
      <c r="X592" s="17"/>
      <c r="Y592" s="17"/>
      <c r="Z592" s="17"/>
      <c r="AA592" s="17"/>
      <c r="AB592" s="17"/>
      <c r="AC592" s="17"/>
      <c r="AD592" s="17"/>
      <c r="AE592" s="17"/>
      <c r="AF592" s="17"/>
      <c r="AG592" s="17"/>
      <c r="AH592" s="17"/>
      <c r="AI592" s="17"/>
      <c r="AJ592" s="17"/>
      <c r="AK592" s="17"/>
      <c r="AL592" s="17"/>
      <c r="AM592" s="17"/>
      <c r="AN592" s="17"/>
      <c r="AO592" s="17"/>
      <c r="AP592" s="1"/>
      <c r="AQ592" s="1"/>
    </row>
    <row r="593" spans="1:43" x14ac:dyDescent="0.35">
      <c r="A593" s="6"/>
      <c r="B593" s="13"/>
      <c r="C593" s="81"/>
      <c r="D593" s="4"/>
      <c r="E593" s="8"/>
      <c r="F593" s="17"/>
      <c r="G593" s="17"/>
      <c r="H593" s="17"/>
      <c r="I593" s="17"/>
      <c r="J593" s="17"/>
      <c r="K593" s="17"/>
      <c r="L593" s="17"/>
      <c r="M593" s="17"/>
      <c r="N593" s="17"/>
      <c r="O593" s="17"/>
      <c r="P593" s="17"/>
      <c r="Q593" s="17"/>
      <c r="R593" s="17"/>
      <c r="S593" s="17"/>
      <c r="T593" s="17"/>
      <c r="U593" s="17"/>
      <c r="V593" s="17"/>
      <c r="W593" s="17"/>
      <c r="X593" s="17"/>
      <c r="Y593" s="17"/>
      <c r="Z593" s="17"/>
      <c r="AA593" s="17"/>
      <c r="AB593" s="17"/>
      <c r="AC593" s="17"/>
      <c r="AD593" s="17"/>
      <c r="AE593" s="17"/>
      <c r="AF593" s="17"/>
      <c r="AG593" s="17"/>
      <c r="AH593" s="17"/>
      <c r="AI593" s="17"/>
      <c r="AJ593" s="17"/>
      <c r="AK593" s="17"/>
      <c r="AL593" s="17"/>
      <c r="AM593" s="17"/>
      <c r="AN593" s="17"/>
      <c r="AO593" s="17"/>
      <c r="AP593" s="1"/>
      <c r="AQ593" s="1"/>
    </row>
    <row r="594" spans="1:43" x14ac:dyDescent="0.35">
      <c r="A594" s="6"/>
      <c r="B594" s="13"/>
      <c r="C594" s="81"/>
      <c r="D594" s="4"/>
      <c r="E594" s="8"/>
      <c r="F594" s="17"/>
      <c r="G594" s="17"/>
      <c r="H594" s="17"/>
      <c r="I594" s="17"/>
      <c r="J594" s="17"/>
      <c r="K594" s="17"/>
      <c r="L594" s="17"/>
      <c r="M594" s="17"/>
      <c r="N594" s="17"/>
      <c r="O594" s="17"/>
      <c r="P594" s="17"/>
      <c r="Q594" s="17"/>
      <c r="R594" s="17"/>
      <c r="S594" s="17"/>
      <c r="T594" s="17"/>
      <c r="U594" s="17"/>
      <c r="V594" s="17"/>
      <c r="W594" s="17"/>
      <c r="X594" s="17"/>
      <c r="Y594" s="17"/>
      <c r="Z594" s="17"/>
      <c r="AA594" s="17"/>
      <c r="AB594" s="17"/>
      <c r="AC594" s="17"/>
      <c r="AD594" s="17"/>
      <c r="AE594" s="17"/>
      <c r="AF594" s="17"/>
      <c r="AG594" s="17"/>
      <c r="AH594" s="17"/>
      <c r="AI594" s="17"/>
      <c r="AJ594" s="17"/>
      <c r="AK594" s="17"/>
      <c r="AL594" s="17"/>
      <c r="AM594" s="17"/>
      <c r="AN594" s="17"/>
      <c r="AO594" s="17"/>
      <c r="AP594" s="1"/>
      <c r="AQ594" s="1"/>
    </row>
    <row r="595" spans="1:43" x14ac:dyDescent="0.35">
      <c r="A595" s="6"/>
      <c r="B595" s="13"/>
      <c r="C595" s="81"/>
      <c r="D595" s="4"/>
      <c r="E595" s="8"/>
      <c r="F595" s="17"/>
      <c r="G595" s="17"/>
      <c r="H595" s="17"/>
      <c r="I595" s="17"/>
      <c r="J595" s="17"/>
      <c r="K595" s="17"/>
      <c r="L595" s="17"/>
      <c r="M595" s="17"/>
      <c r="N595" s="17"/>
      <c r="O595" s="17"/>
      <c r="P595" s="17"/>
      <c r="Q595" s="17"/>
      <c r="R595" s="17"/>
      <c r="S595" s="17"/>
      <c r="T595" s="17"/>
      <c r="U595" s="17"/>
      <c r="V595" s="17"/>
      <c r="W595" s="17"/>
      <c r="X595" s="17"/>
      <c r="Y595" s="17"/>
      <c r="Z595" s="17"/>
      <c r="AA595" s="17"/>
      <c r="AB595" s="17"/>
      <c r="AC595" s="17"/>
      <c r="AD595" s="17"/>
      <c r="AE595" s="17"/>
      <c r="AF595" s="17"/>
      <c r="AG595" s="17"/>
      <c r="AH595" s="17"/>
      <c r="AI595" s="17"/>
      <c r="AJ595" s="17"/>
      <c r="AK595" s="17"/>
      <c r="AL595" s="17"/>
      <c r="AM595" s="17"/>
      <c r="AN595" s="17"/>
      <c r="AO595" s="17"/>
      <c r="AP595" s="1"/>
      <c r="AQ595" s="1"/>
    </row>
    <row r="596" spans="1:43" x14ac:dyDescent="0.35">
      <c r="A596" s="6"/>
      <c r="B596" s="13"/>
      <c r="C596" s="81"/>
      <c r="D596" s="4"/>
      <c r="E596" s="8"/>
      <c r="F596" s="17"/>
      <c r="G596" s="17"/>
      <c r="H596" s="17"/>
      <c r="I596" s="17"/>
      <c r="J596" s="17"/>
      <c r="K596" s="17"/>
      <c r="L596" s="17"/>
      <c r="M596" s="17"/>
      <c r="N596" s="17"/>
      <c r="O596" s="17"/>
      <c r="P596" s="17"/>
      <c r="Q596" s="17"/>
      <c r="R596" s="17"/>
      <c r="S596" s="17"/>
      <c r="T596" s="17"/>
      <c r="U596" s="17"/>
      <c r="V596" s="17"/>
      <c r="W596" s="17"/>
      <c r="X596" s="17"/>
      <c r="Y596" s="17"/>
      <c r="Z596" s="17"/>
      <c r="AA596" s="17"/>
      <c r="AB596" s="17"/>
      <c r="AC596" s="17"/>
      <c r="AD596" s="17"/>
      <c r="AE596" s="17"/>
      <c r="AF596" s="17"/>
      <c r="AG596" s="17"/>
      <c r="AH596" s="17"/>
      <c r="AI596" s="17"/>
      <c r="AJ596" s="17"/>
      <c r="AK596" s="17"/>
      <c r="AL596" s="17"/>
      <c r="AM596" s="17"/>
      <c r="AN596" s="17"/>
      <c r="AO596" s="17"/>
      <c r="AP596" s="1"/>
      <c r="AQ596" s="1"/>
    </row>
    <row r="597" spans="1:43" x14ac:dyDescent="0.35">
      <c r="A597" s="6"/>
      <c r="B597" s="13"/>
      <c r="C597" s="81"/>
      <c r="D597" s="4"/>
      <c r="E597" s="8"/>
      <c r="F597" s="17"/>
      <c r="G597" s="17"/>
      <c r="H597" s="17"/>
      <c r="I597" s="17"/>
      <c r="J597" s="17"/>
      <c r="K597" s="17"/>
      <c r="L597" s="17"/>
      <c r="M597" s="17"/>
      <c r="N597" s="17"/>
      <c r="O597" s="17"/>
      <c r="P597" s="17"/>
      <c r="Q597" s="17"/>
      <c r="R597" s="17"/>
      <c r="S597" s="17"/>
      <c r="T597" s="17"/>
      <c r="U597" s="17"/>
      <c r="V597" s="17"/>
      <c r="W597" s="17"/>
      <c r="X597" s="17"/>
      <c r="Y597" s="17"/>
      <c r="Z597" s="17"/>
      <c r="AA597" s="17"/>
      <c r="AB597" s="17"/>
      <c r="AC597" s="17"/>
      <c r="AD597" s="17"/>
      <c r="AE597" s="17"/>
      <c r="AF597" s="17"/>
      <c r="AG597" s="17"/>
      <c r="AH597" s="17"/>
      <c r="AI597" s="17"/>
      <c r="AJ597" s="17"/>
      <c r="AK597" s="17"/>
      <c r="AL597" s="17"/>
      <c r="AM597" s="17"/>
      <c r="AN597" s="17"/>
      <c r="AO597" s="17"/>
      <c r="AP597" s="1"/>
      <c r="AQ597" s="1"/>
    </row>
    <row r="598" spans="1:43" x14ac:dyDescent="0.35">
      <c r="A598" s="6"/>
      <c r="B598" s="13"/>
      <c r="C598" s="81"/>
      <c r="D598" s="4"/>
      <c r="E598" s="8"/>
      <c r="F598" s="17"/>
      <c r="G598" s="17"/>
      <c r="H598" s="17"/>
      <c r="I598" s="17"/>
      <c r="J598" s="17"/>
      <c r="K598" s="17"/>
      <c r="L598" s="17"/>
      <c r="M598" s="17"/>
      <c r="N598" s="17"/>
      <c r="O598" s="17"/>
      <c r="P598" s="17"/>
      <c r="Q598" s="17"/>
      <c r="R598" s="17"/>
      <c r="S598" s="17"/>
      <c r="T598" s="17"/>
      <c r="U598" s="17"/>
      <c r="V598" s="17"/>
      <c r="W598" s="17"/>
      <c r="X598" s="17"/>
      <c r="Y598" s="17"/>
      <c r="Z598" s="17"/>
      <c r="AA598" s="17"/>
      <c r="AB598" s="17"/>
      <c r="AC598" s="17"/>
      <c r="AD598" s="17"/>
      <c r="AE598" s="17"/>
      <c r="AF598" s="17"/>
      <c r="AG598" s="17"/>
      <c r="AH598" s="17"/>
      <c r="AI598" s="17"/>
      <c r="AJ598" s="17"/>
      <c r="AK598" s="17"/>
      <c r="AL598" s="17"/>
      <c r="AM598" s="17"/>
      <c r="AN598" s="17"/>
      <c r="AO598" s="17"/>
      <c r="AP598" s="1"/>
      <c r="AQ598" s="1"/>
    </row>
    <row r="599" spans="1:43" x14ac:dyDescent="0.35">
      <c r="A599" s="6"/>
      <c r="B599" s="13"/>
      <c r="C599" s="81"/>
      <c r="D599" s="4"/>
      <c r="E599" s="8"/>
      <c r="F599" s="17"/>
      <c r="G599" s="17"/>
      <c r="H599" s="17"/>
      <c r="I599" s="17"/>
      <c r="J599" s="17"/>
      <c r="K599" s="17"/>
      <c r="L599" s="17"/>
      <c r="M599" s="17"/>
      <c r="N599" s="17"/>
      <c r="O599" s="17"/>
      <c r="P599" s="17"/>
      <c r="Q599" s="17"/>
      <c r="R599" s="17"/>
      <c r="S599" s="17"/>
      <c r="T599" s="17"/>
      <c r="U599" s="17"/>
      <c r="V599" s="17"/>
      <c r="W599" s="17"/>
      <c r="X599" s="17"/>
      <c r="Y599" s="17"/>
      <c r="Z599" s="17"/>
      <c r="AA599" s="17"/>
      <c r="AB599" s="17"/>
      <c r="AC599" s="17"/>
      <c r="AD599" s="17"/>
      <c r="AE599" s="17"/>
      <c r="AF599" s="17"/>
      <c r="AG599" s="17"/>
      <c r="AH599" s="17"/>
      <c r="AI599" s="17"/>
      <c r="AJ599" s="17"/>
      <c r="AK599" s="17"/>
      <c r="AL599" s="17"/>
      <c r="AM599" s="17"/>
      <c r="AN599" s="17"/>
      <c r="AO599" s="17"/>
      <c r="AP599" s="1"/>
      <c r="AQ599" s="1"/>
    </row>
    <row r="600" spans="1:43" x14ac:dyDescent="0.35">
      <c r="A600" s="6"/>
      <c r="B600" s="13"/>
      <c r="C600" s="81"/>
      <c r="D600" s="4"/>
      <c r="E600" s="8"/>
      <c r="F600" s="17"/>
      <c r="G600" s="17"/>
      <c r="H600" s="17"/>
      <c r="I600" s="17"/>
      <c r="J600" s="17"/>
      <c r="K600" s="17"/>
      <c r="L600" s="17"/>
      <c r="M600" s="17"/>
      <c r="N600" s="17"/>
      <c r="O600" s="17"/>
      <c r="P600" s="17"/>
      <c r="Q600" s="17"/>
      <c r="R600" s="17"/>
      <c r="S600" s="17"/>
      <c r="T600" s="17"/>
      <c r="U600" s="17"/>
      <c r="V600" s="17"/>
      <c r="W600" s="17"/>
      <c r="X600" s="17"/>
      <c r="Y600" s="17"/>
      <c r="Z600" s="17"/>
      <c r="AA600" s="17"/>
      <c r="AB600" s="17"/>
      <c r="AC600" s="17"/>
      <c r="AD600" s="17"/>
      <c r="AE600" s="17"/>
      <c r="AF600" s="17"/>
      <c r="AG600" s="17"/>
      <c r="AH600" s="17"/>
      <c r="AI600" s="17"/>
      <c r="AJ600" s="17"/>
      <c r="AK600" s="17"/>
      <c r="AL600" s="17"/>
      <c r="AM600" s="17"/>
      <c r="AN600" s="17"/>
      <c r="AO600" s="17"/>
      <c r="AP600" s="1"/>
      <c r="AQ600" s="1"/>
    </row>
    <row r="601" spans="1:43" x14ac:dyDescent="0.35">
      <c r="A601" s="6"/>
      <c r="B601" s="13"/>
      <c r="C601" s="81"/>
      <c r="D601" s="4"/>
      <c r="E601" s="8"/>
      <c r="F601" s="17"/>
      <c r="G601" s="17"/>
      <c r="H601" s="17"/>
      <c r="I601" s="17"/>
      <c r="J601" s="17"/>
      <c r="K601" s="17"/>
      <c r="L601" s="17"/>
      <c r="M601" s="17"/>
      <c r="N601" s="17"/>
      <c r="O601" s="17"/>
      <c r="P601" s="17"/>
      <c r="Q601" s="17"/>
      <c r="R601" s="17"/>
      <c r="S601" s="17"/>
      <c r="T601" s="17"/>
      <c r="U601" s="17"/>
      <c r="V601" s="17"/>
      <c r="W601" s="17"/>
      <c r="X601" s="17"/>
      <c r="Y601" s="17"/>
      <c r="Z601" s="17"/>
      <c r="AA601" s="17"/>
      <c r="AB601" s="17"/>
      <c r="AC601" s="17"/>
      <c r="AD601" s="17"/>
      <c r="AE601" s="17"/>
      <c r="AF601" s="17"/>
      <c r="AG601" s="17"/>
      <c r="AH601" s="17"/>
      <c r="AI601" s="17"/>
      <c r="AJ601" s="17"/>
      <c r="AK601" s="17"/>
      <c r="AL601" s="17"/>
      <c r="AM601" s="17"/>
      <c r="AN601" s="17"/>
      <c r="AO601" s="17"/>
      <c r="AP601" s="1"/>
      <c r="AQ601" s="1"/>
    </row>
    <row r="602" spans="1:43" x14ac:dyDescent="0.35">
      <c r="A602" s="6"/>
      <c r="B602" s="13"/>
      <c r="C602" s="81"/>
      <c r="D602" s="4"/>
      <c r="E602" s="8"/>
      <c r="F602" s="17"/>
      <c r="G602" s="17"/>
      <c r="H602" s="17"/>
      <c r="I602" s="17"/>
      <c r="J602" s="17"/>
      <c r="K602" s="17"/>
      <c r="L602" s="17"/>
      <c r="M602" s="17"/>
      <c r="N602" s="17"/>
      <c r="O602" s="17"/>
      <c r="P602" s="17"/>
      <c r="Q602" s="17"/>
      <c r="R602" s="17"/>
      <c r="S602" s="17"/>
      <c r="T602" s="17"/>
      <c r="U602" s="17"/>
      <c r="V602" s="17"/>
      <c r="W602" s="17"/>
      <c r="X602" s="17"/>
      <c r="Y602" s="17"/>
      <c r="Z602" s="17"/>
      <c r="AA602" s="17"/>
      <c r="AB602" s="17"/>
      <c r="AC602" s="17"/>
      <c r="AD602" s="17"/>
      <c r="AE602" s="17"/>
      <c r="AF602" s="17"/>
      <c r="AG602" s="17"/>
      <c r="AH602" s="17"/>
      <c r="AI602" s="17"/>
      <c r="AJ602" s="17"/>
      <c r="AK602" s="17"/>
      <c r="AL602" s="17"/>
      <c r="AM602" s="17"/>
      <c r="AN602" s="17"/>
      <c r="AO602" s="17"/>
      <c r="AP602" s="1"/>
      <c r="AQ602" s="1"/>
    </row>
    <row r="603" spans="1:43" x14ac:dyDescent="0.35">
      <c r="A603" s="6"/>
      <c r="B603" s="13"/>
      <c r="C603" s="81"/>
      <c r="D603" s="4"/>
      <c r="E603" s="8"/>
      <c r="F603" s="17"/>
      <c r="G603" s="17"/>
      <c r="H603" s="17"/>
      <c r="I603" s="17"/>
      <c r="J603" s="17"/>
      <c r="K603" s="17"/>
      <c r="L603" s="17"/>
      <c r="M603" s="17"/>
      <c r="N603" s="17"/>
      <c r="O603" s="17"/>
      <c r="P603" s="17"/>
      <c r="Q603" s="17"/>
      <c r="R603" s="17"/>
      <c r="S603" s="17"/>
      <c r="T603" s="17"/>
      <c r="U603" s="17"/>
      <c r="V603" s="17"/>
      <c r="W603" s="17"/>
      <c r="X603" s="17"/>
      <c r="Y603" s="17"/>
      <c r="Z603" s="17"/>
      <c r="AA603" s="17"/>
      <c r="AB603" s="17"/>
      <c r="AC603" s="17"/>
      <c r="AD603" s="17"/>
      <c r="AE603" s="17"/>
      <c r="AF603" s="17"/>
      <c r="AG603" s="17"/>
      <c r="AH603" s="17"/>
      <c r="AI603" s="17"/>
      <c r="AJ603" s="17"/>
      <c r="AK603" s="17"/>
      <c r="AL603" s="17"/>
      <c r="AM603" s="17"/>
      <c r="AN603" s="17"/>
      <c r="AO603" s="17"/>
      <c r="AP603" s="1"/>
      <c r="AQ603" s="1"/>
    </row>
    <row r="604" spans="1:43" x14ac:dyDescent="0.35">
      <c r="A604" s="6"/>
      <c r="B604" s="13"/>
      <c r="C604" s="81"/>
      <c r="D604" s="4"/>
      <c r="E604" s="8"/>
      <c r="F604" s="17"/>
      <c r="G604" s="17"/>
      <c r="H604" s="17"/>
      <c r="I604" s="17"/>
      <c r="J604" s="17"/>
      <c r="K604" s="17"/>
      <c r="L604" s="17"/>
      <c r="M604" s="17"/>
      <c r="N604" s="17"/>
      <c r="O604" s="17"/>
      <c r="P604" s="17"/>
      <c r="Q604" s="17"/>
      <c r="R604" s="17"/>
      <c r="S604" s="17"/>
      <c r="T604" s="17"/>
      <c r="U604" s="17"/>
      <c r="V604" s="17"/>
      <c r="W604" s="17"/>
      <c r="X604" s="17"/>
      <c r="Y604" s="17"/>
      <c r="Z604" s="17"/>
      <c r="AA604" s="17"/>
      <c r="AB604" s="17"/>
      <c r="AC604" s="17"/>
      <c r="AD604" s="17"/>
      <c r="AE604" s="17"/>
      <c r="AF604" s="17"/>
      <c r="AG604" s="17"/>
      <c r="AH604" s="17"/>
      <c r="AI604" s="17"/>
      <c r="AJ604" s="17"/>
      <c r="AK604" s="17"/>
      <c r="AL604" s="17"/>
      <c r="AM604" s="17"/>
      <c r="AN604" s="17"/>
      <c r="AO604" s="17"/>
      <c r="AP604" s="1"/>
      <c r="AQ604" s="1"/>
    </row>
    <row r="605" spans="1:43" x14ac:dyDescent="0.35">
      <c r="A605" s="6"/>
      <c r="B605" s="13"/>
      <c r="C605" s="81"/>
      <c r="D605" s="4"/>
      <c r="E605" s="8"/>
      <c r="F605" s="17"/>
      <c r="G605" s="17"/>
      <c r="H605" s="17"/>
      <c r="I605" s="17"/>
      <c r="J605" s="17"/>
      <c r="K605" s="17"/>
      <c r="L605" s="17"/>
      <c r="M605" s="17"/>
      <c r="N605" s="17"/>
      <c r="O605" s="17"/>
      <c r="P605" s="17"/>
      <c r="Q605" s="17"/>
      <c r="R605" s="17"/>
      <c r="S605" s="17"/>
      <c r="T605" s="17"/>
      <c r="U605" s="17"/>
      <c r="V605" s="17"/>
      <c r="W605" s="17"/>
      <c r="X605" s="17"/>
      <c r="Y605" s="17"/>
      <c r="Z605" s="17"/>
      <c r="AA605" s="17"/>
      <c r="AB605" s="17"/>
      <c r="AC605" s="17"/>
      <c r="AD605" s="17"/>
      <c r="AE605" s="17"/>
      <c r="AF605" s="17"/>
      <c r="AG605" s="17"/>
      <c r="AH605" s="17"/>
      <c r="AI605" s="17"/>
      <c r="AJ605" s="17"/>
      <c r="AK605" s="17"/>
      <c r="AL605" s="17"/>
      <c r="AM605" s="17"/>
      <c r="AN605" s="17"/>
      <c r="AO605" s="17"/>
      <c r="AP605" s="1"/>
      <c r="AQ605" s="1"/>
    </row>
    <row r="606" spans="1:43" x14ac:dyDescent="0.35">
      <c r="A606" s="6"/>
      <c r="B606" s="13"/>
      <c r="C606" s="81"/>
      <c r="D606" s="4"/>
      <c r="E606" s="8"/>
      <c r="F606" s="17"/>
      <c r="G606" s="17"/>
      <c r="H606" s="17"/>
      <c r="I606" s="17"/>
      <c r="J606" s="17"/>
      <c r="K606" s="17"/>
      <c r="L606" s="17"/>
      <c r="M606" s="17"/>
      <c r="N606" s="17"/>
      <c r="O606" s="17"/>
      <c r="P606" s="17"/>
      <c r="Q606" s="17"/>
      <c r="R606" s="17"/>
      <c r="S606" s="17"/>
      <c r="T606" s="17"/>
      <c r="U606" s="17"/>
      <c r="V606" s="17"/>
      <c r="W606" s="17"/>
      <c r="X606" s="17"/>
      <c r="Y606" s="17"/>
      <c r="Z606" s="17"/>
      <c r="AA606" s="17"/>
      <c r="AB606" s="17"/>
      <c r="AC606" s="17"/>
      <c r="AD606" s="17"/>
      <c r="AE606" s="17"/>
      <c r="AF606" s="17"/>
      <c r="AG606" s="17"/>
      <c r="AH606" s="17"/>
      <c r="AI606" s="17"/>
      <c r="AJ606" s="17"/>
      <c r="AK606" s="17"/>
      <c r="AL606" s="17"/>
      <c r="AM606" s="17"/>
      <c r="AN606" s="17"/>
      <c r="AO606" s="17"/>
      <c r="AP606" s="1"/>
      <c r="AQ606" s="1"/>
    </row>
    <row r="607" spans="1:43" x14ac:dyDescent="0.35">
      <c r="A607" s="6"/>
      <c r="B607" s="13"/>
      <c r="C607" s="81"/>
      <c r="D607" s="4"/>
      <c r="E607" s="8"/>
      <c r="F607" s="17"/>
      <c r="G607" s="17"/>
      <c r="H607" s="17"/>
      <c r="I607" s="17"/>
      <c r="J607" s="17"/>
      <c r="K607" s="17"/>
      <c r="L607" s="17"/>
      <c r="M607" s="17"/>
      <c r="N607" s="17"/>
      <c r="O607" s="17"/>
      <c r="P607" s="17"/>
      <c r="Q607" s="17"/>
      <c r="R607" s="17"/>
      <c r="S607" s="17"/>
      <c r="T607" s="17"/>
      <c r="U607" s="17"/>
      <c r="V607" s="17"/>
      <c r="W607" s="17"/>
      <c r="X607" s="17"/>
      <c r="Y607" s="17"/>
      <c r="Z607" s="17"/>
      <c r="AA607" s="17"/>
      <c r="AB607" s="17"/>
      <c r="AC607" s="17"/>
      <c r="AD607" s="17"/>
      <c r="AE607" s="17"/>
      <c r="AF607" s="17"/>
      <c r="AG607" s="17"/>
      <c r="AH607" s="17"/>
      <c r="AI607" s="17"/>
      <c r="AJ607" s="17"/>
      <c r="AK607" s="17"/>
      <c r="AL607" s="17"/>
      <c r="AM607" s="17"/>
      <c r="AN607" s="17"/>
      <c r="AO607" s="17"/>
      <c r="AP607" s="1"/>
      <c r="AQ607" s="1"/>
    </row>
    <row r="608" spans="1:43" x14ac:dyDescent="0.35">
      <c r="A608" s="6"/>
      <c r="B608" s="13"/>
      <c r="C608" s="81"/>
      <c r="D608" s="4"/>
      <c r="E608" s="8"/>
      <c r="F608" s="17"/>
      <c r="G608" s="17"/>
      <c r="H608" s="17"/>
      <c r="I608" s="17"/>
      <c r="J608" s="17"/>
      <c r="K608" s="17"/>
      <c r="L608" s="17"/>
      <c r="M608" s="17"/>
      <c r="N608" s="17"/>
      <c r="O608" s="17"/>
      <c r="P608" s="17"/>
      <c r="Q608" s="17"/>
      <c r="R608" s="17"/>
      <c r="S608" s="17"/>
      <c r="T608" s="17"/>
      <c r="U608" s="17"/>
      <c r="V608" s="17"/>
      <c r="W608" s="17"/>
      <c r="X608" s="17"/>
      <c r="Y608" s="17"/>
      <c r="Z608" s="17"/>
      <c r="AA608" s="17"/>
      <c r="AB608" s="17"/>
      <c r="AC608" s="17"/>
      <c r="AD608" s="17"/>
      <c r="AE608" s="17"/>
      <c r="AF608" s="17"/>
      <c r="AG608" s="17"/>
      <c r="AH608" s="17"/>
      <c r="AI608" s="17"/>
      <c r="AJ608" s="17"/>
      <c r="AK608" s="17"/>
      <c r="AL608" s="17"/>
      <c r="AM608" s="17"/>
      <c r="AN608" s="17"/>
      <c r="AO608" s="17"/>
      <c r="AP608" s="1"/>
      <c r="AQ608" s="1"/>
    </row>
    <row r="609" spans="1:43" x14ac:dyDescent="0.35">
      <c r="A609" s="6"/>
      <c r="B609" s="13"/>
      <c r="C609" s="81"/>
      <c r="D609" s="4"/>
      <c r="E609" s="8"/>
      <c r="F609" s="17"/>
      <c r="G609" s="17"/>
      <c r="H609" s="17"/>
      <c r="I609" s="17"/>
      <c r="J609" s="17"/>
      <c r="K609" s="17"/>
      <c r="L609" s="17"/>
      <c r="M609" s="17"/>
      <c r="N609" s="17"/>
      <c r="O609" s="17"/>
      <c r="P609" s="17"/>
      <c r="Q609" s="17"/>
      <c r="R609" s="17"/>
      <c r="S609" s="17"/>
      <c r="T609" s="17"/>
      <c r="U609" s="17"/>
      <c r="V609" s="17"/>
      <c r="W609" s="17"/>
      <c r="X609" s="17"/>
      <c r="Y609" s="17"/>
      <c r="Z609" s="17"/>
      <c r="AA609" s="17"/>
      <c r="AB609" s="17"/>
      <c r="AC609" s="17"/>
      <c r="AD609" s="17"/>
      <c r="AE609" s="17"/>
      <c r="AF609" s="17"/>
      <c r="AG609" s="17"/>
      <c r="AH609" s="17"/>
      <c r="AI609" s="17"/>
      <c r="AJ609" s="17"/>
      <c r="AK609" s="17"/>
      <c r="AL609" s="17"/>
      <c r="AM609" s="17"/>
      <c r="AN609" s="17"/>
      <c r="AO609" s="17"/>
      <c r="AP609" s="1"/>
      <c r="AQ609" s="1"/>
    </row>
    <row r="610" spans="1:43" x14ac:dyDescent="0.35">
      <c r="A610" s="6"/>
      <c r="B610" s="13"/>
      <c r="C610" s="81"/>
      <c r="D610" s="4"/>
      <c r="E610" s="8"/>
      <c r="F610" s="17"/>
      <c r="G610" s="17"/>
      <c r="H610" s="17"/>
      <c r="I610" s="17"/>
      <c r="J610" s="17"/>
      <c r="K610" s="17"/>
      <c r="L610" s="17"/>
      <c r="M610" s="17"/>
      <c r="N610" s="17"/>
      <c r="O610" s="17"/>
      <c r="P610" s="17"/>
      <c r="Q610" s="17"/>
      <c r="R610" s="17"/>
      <c r="S610" s="17"/>
      <c r="T610" s="17"/>
      <c r="U610" s="17"/>
      <c r="V610" s="17"/>
      <c r="W610" s="17"/>
      <c r="X610" s="17"/>
      <c r="Y610" s="17"/>
      <c r="Z610" s="17"/>
      <c r="AA610" s="17"/>
      <c r="AB610" s="17"/>
      <c r="AC610" s="17"/>
      <c r="AD610" s="17"/>
      <c r="AE610" s="17"/>
      <c r="AF610" s="17"/>
      <c r="AG610" s="17"/>
      <c r="AH610" s="17"/>
      <c r="AI610" s="17"/>
      <c r="AJ610" s="17"/>
      <c r="AK610" s="17"/>
      <c r="AL610" s="17"/>
      <c r="AM610" s="17"/>
      <c r="AN610" s="17"/>
      <c r="AO610" s="17"/>
      <c r="AP610" s="1"/>
      <c r="AQ610" s="1"/>
    </row>
    <row r="611" spans="1:43" x14ac:dyDescent="0.35">
      <c r="A611" s="6"/>
      <c r="B611" s="13"/>
      <c r="C611" s="81"/>
      <c r="D611" s="4"/>
      <c r="E611" s="8"/>
      <c r="F611" s="17"/>
      <c r="G611" s="17"/>
      <c r="H611" s="17"/>
      <c r="I611" s="17"/>
      <c r="J611" s="17"/>
      <c r="K611" s="17"/>
      <c r="L611" s="17"/>
      <c r="M611" s="17"/>
      <c r="N611" s="17"/>
      <c r="O611" s="17"/>
      <c r="P611" s="17"/>
      <c r="Q611" s="17"/>
      <c r="R611" s="17"/>
      <c r="S611" s="17"/>
      <c r="T611" s="17"/>
      <c r="U611" s="17"/>
      <c r="V611" s="17"/>
      <c r="W611" s="17"/>
      <c r="X611" s="17"/>
      <c r="Y611" s="17"/>
      <c r="Z611" s="17"/>
      <c r="AA611" s="17"/>
      <c r="AB611" s="17"/>
      <c r="AC611" s="17"/>
      <c r="AD611" s="17"/>
      <c r="AE611" s="17"/>
      <c r="AF611" s="17"/>
      <c r="AG611" s="17"/>
      <c r="AH611" s="17"/>
      <c r="AI611" s="17"/>
      <c r="AJ611" s="17"/>
      <c r="AK611" s="17"/>
      <c r="AL611" s="17"/>
      <c r="AM611" s="17"/>
      <c r="AN611" s="17"/>
      <c r="AO611" s="17"/>
      <c r="AP611" s="1"/>
      <c r="AQ611" s="1"/>
    </row>
    <row r="612" spans="1:43" x14ac:dyDescent="0.35">
      <c r="A612" s="6"/>
      <c r="B612" s="13"/>
      <c r="C612" s="81"/>
      <c r="D612" s="4"/>
      <c r="E612" s="8"/>
      <c r="F612" s="17"/>
      <c r="G612" s="17"/>
      <c r="H612" s="17"/>
      <c r="I612" s="17"/>
      <c r="J612" s="17"/>
      <c r="K612" s="17"/>
      <c r="L612" s="17"/>
      <c r="M612" s="17"/>
      <c r="N612" s="17"/>
      <c r="O612" s="17"/>
      <c r="P612" s="17"/>
      <c r="Q612" s="17"/>
      <c r="R612" s="17"/>
      <c r="S612" s="17"/>
      <c r="T612" s="17"/>
      <c r="U612" s="17"/>
      <c r="V612" s="17"/>
      <c r="W612" s="17"/>
      <c r="X612" s="17"/>
      <c r="Y612" s="17"/>
      <c r="Z612" s="17"/>
      <c r="AA612" s="17"/>
      <c r="AB612" s="17"/>
      <c r="AC612" s="17"/>
      <c r="AD612" s="17"/>
      <c r="AE612" s="17"/>
      <c r="AF612" s="17"/>
      <c r="AG612" s="17"/>
      <c r="AH612" s="17"/>
      <c r="AI612" s="17"/>
      <c r="AJ612" s="17"/>
      <c r="AK612" s="17"/>
      <c r="AL612" s="17"/>
      <c r="AM612" s="17"/>
      <c r="AN612" s="17"/>
      <c r="AO612" s="17"/>
      <c r="AP612" s="1"/>
      <c r="AQ612" s="1"/>
    </row>
    <row r="613" spans="1:43" x14ac:dyDescent="0.35">
      <c r="A613" s="6"/>
      <c r="B613" s="13"/>
      <c r="C613" s="81"/>
      <c r="D613" s="4"/>
      <c r="E613" s="8"/>
      <c r="F613" s="17"/>
      <c r="G613" s="17"/>
      <c r="H613" s="17"/>
      <c r="I613" s="17"/>
      <c r="J613" s="17"/>
      <c r="K613" s="17"/>
      <c r="L613" s="17"/>
      <c r="M613" s="17"/>
      <c r="N613" s="17"/>
      <c r="O613" s="17"/>
      <c r="P613" s="17"/>
      <c r="Q613" s="17"/>
      <c r="R613" s="17"/>
      <c r="S613" s="17"/>
      <c r="T613" s="17"/>
      <c r="U613" s="17"/>
      <c r="V613" s="17"/>
      <c r="W613" s="17"/>
      <c r="X613" s="17"/>
      <c r="Y613" s="17"/>
      <c r="Z613" s="17"/>
      <c r="AA613" s="17"/>
      <c r="AB613" s="17"/>
      <c r="AC613" s="17"/>
      <c r="AD613" s="17"/>
      <c r="AE613" s="17"/>
      <c r="AF613" s="17"/>
      <c r="AG613" s="17"/>
      <c r="AH613" s="17"/>
      <c r="AI613" s="17"/>
      <c r="AJ613" s="17"/>
      <c r="AK613" s="17"/>
      <c r="AL613" s="17"/>
      <c r="AM613" s="17"/>
      <c r="AN613" s="17"/>
      <c r="AO613" s="17"/>
      <c r="AP613" s="1"/>
      <c r="AQ613" s="1"/>
    </row>
    <row r="614" spans="1:43" x14ac:dyDescent="0.35">
      <c r="A614" s="6"/>
      <c r="B614" s="13"/>
      <c r="C614" s="81"/>
      <c r="D614" s="4"/>
      <c r="E614" s="8"/>
      <c r="F614" s="17"/>
      <c r="G614" s="17"/>
      <c r="H614" s="17"/>
      <c r="I614" s="17"/>
      <c r="J614" s="17"/>
      <c r="K614" s="17"/>
      <c r="L614" s="17"/>
      <c r="M614" s="17"/>
      <c r="N614" s="17"/>
      <c r="O614" s="17"/>
      <c r="P614" s="17"/>
      <c r="Q614" s="17"/>
      <c r="R614" s="17"/>
      <c r="S614" s="17"/>
      <c r="T614" s="17"/>
      <c r="U614" s="17"/>
      <c r="V614" s="17"/>
      <c r="W614" s="17"/>
      <c r="X614" s="17"/>
      <c r="Y614" s="17"/>
      <c r="Z614" s="17"/>
      <c r="AA614" s="17"/>
      <c r="AB614" s="17"/>
      <c r="AC614" s="17"/>
      <c r="AD614" s="17"/>
      <c r="AE614" s="17"/>
      <c r="AF614" s="17"/>
      <c r="AG614" s="17"/>
      <c r="AH614" s="17"/>
      <c r="AI614" s="17"/>
      <c r="AJ614" s="17"/>
      <c r="AK614" s="17"/>
      <c r="AL614" s="17"/>
      <c r="AM614" s="17"/>
      <c r="AN614" s="17"/>
      <c r="AO614" s="17"/>
      <c r="AP614" s="1"/>
      <c r="AQ614" s="1"/>
    </row>
    <row r="615" spans="1:43" x14ac:dyDescent="0.35">
      <c r="A615" s="6"/>
      <c r="B615" s="13"/>
      <c r="C615" s="81"/>
      <c r="D615" s="4"/>
      <c r="E615" s="8"/>
      <c r="F615" s="17"/>
      <c r="G615" s="17"/>
      <c r="H615" s="17"/>
      <c r="I615" s="17"/>
      <c r="J615" s="17"/>
      <c r="K615" s="17"/>
      <c r="L615" s="17"/>
      <c r="M615" s="17"/>
      <c r="N615" s="17"/>
      <c r="O615" s="17"/>
      <c r="P615" s="17"/>
      <c r="Q615" s="17"/>
      <c r="R615" s="17"/>
      <c r="S615" s="17"/>
      <c r="T615" s="17"/>
      <c r="U615" s="17"/>
      <c r="V615" s="17"/>
      <c r="W615" s="17"/>
      <c r="X615" s="17"/>
      <c r="Y615" s="17"/>
      <c r="Z615" s="17"/>
      <c r="AA615" s="17"/>
      <c r="AB615" s="17"/>
      <c r="AC615" s="17"/>
      <c r="AD615" s="17"/>
      <c r="AE615" s="17"/>
      <c r="AF615" s="17"/>
      <c r="AG615" s="17"/>
      <c r="AH615" s="17"/>
      <c r="AI615" s="17"/>
      <c r="AJ615" s="17"/>
      <c r="AK615" s="17"/>
      <c r="AL615" s="17"/>
      <c r="AM615" s="17"/>
      <c r="AN615" s="17"/>
      <c r="AO615" s="17"/>
      <c r="AP615" s="1"/>
      <c r="AQ615" s="1"/>
    </row>
    <row r="616" spans="1:43" x14ac:dyDescent="0.35">
      <c r="A616" s="6"/>
      <c r="B616" s="13"/>
      <c r="C616" s="81"/>
      <c r="D616" s="4"/>
      <c r="E616" s="8"/>
      <c r="F616" s="17"/>
      <c r="G616" s="17"/>
      <c r="H616" s="17"/>
      <c r="I616" s="17"/>
      <c r="J616" s="17"/>
      <c r="K616" s="17"/>
      <c r="L616" s="17"/>
      <c r="M616" s="17"/>
      <c r="N616" s="17"/>
      <c r="O616" s="17"/>
      <c r="P616" s="17"/>
      <c r="Q616" s="17"/>
      <c r="R616" s="17"/>
      <c r="S616" s="17"/>
      <c r="T616" s="17"/>
      <c r="U616" s="17"/>
      <c r="V616" s="17"/>
      <c r="W616" s="17"/>
      <c r="X616" s="17"/>
      <c r="Y616" s="17"/>
      <c r="Z616" s="17"/>
      <c r="AA616" s="17"/>
      <c r="AB616" s="17"/>
      <c r="AC616" s="17"/>
      <c r="AD616" s="17"/>
      <c r="AE616" s="17"/>
      <c r="AF616" s="17"/>
      <c r="AG616" s="17"/>
      <c r="AH616" s="17"/>
      <c r="AI616" s="17"/>
      <c r="AJ616" s="17"/>
      <c r="AK616" s="17"/>
      <c r="AL616" s="17"/>
      <c r="AM616" s="17"/>
      <c r="AN616" s="17"/>
      <c r="AO616" s="17"/>
      <c r="AP616" s="1"/>
      <c r="AQ616" s="1"/>
    </row>
    <row r="617" spans="1:43" x14ac:dyDescent="0.35">
      <c r="A617" s="6"/>
      <c r="B617" s="13"/>
      <c r="C617" s="81"/>
      <c r="D617" s="4"/>
      <c r="E617" s="8"/>
      <c r="F617" s="17"/>
      <c r="G617" s="17"/>
      <c r="H617" s="17"/>
      <c r="I617" s="17"/>
      <c r="J617" s="17"/>
      <c r="K617" s="17"/>
      <c r="L617" s="17"/>
      <c r="M617" s="17"/>
      <c r="N617" s="17"/>
      <c r="O617" s="17"/>
      <c r="P617" s="17"/>
      <c r="Q617" s="17"/>
      <c r="R617" s="17"/>
      <c r="S617" s="17"/>
      <c r="T617" s="17"/>
      <c r="U617" s="17"/>
      <c r="V617" s="17"/>
      <c r="W617" s="17"/>
      <c r="X617" s="17"/>
      <c r="Y617" s="17"/>
      <c r="Z617" s="17"/>
      <c r="AA617" s="17"/>
      <c r="AB617" s="17"/>
      <c r="AC617" s="17"/>
      <c r="AD617" s="17"/>
      <c r="AE617" s="17"/>
      <c r="AF617" s="17"/>
      <c r="AG617" s="17"/>
      <c r="AH617" s="17"/>
      <c r="AI617" s="17"/>
      <c r="AJ617" s="17"/>
      <c r="AK617" s="17"/>
      <c r="AL617" s="17"/>
      <c r="AM617" s="17"/>
      <c r="AN617" s="17"/>
      <c r="AO617" s="17"/>
      <c r="AP617" s="1"/>
      <c r="AQ617" s="1"/>
    </row>
    <row r="618" spans="1:43" x14ac:dyDescent="0.35">
      <c r="A618" s="6"/>
      <c r="B618" s="13"/>
      <c r="C618" s="81"/>
      <c r="D618" s="4"/>
      <c r="E618" s="8"/>
      <c r="F618" s="17"/>
      <c r="G618" s="17"/>
      <c r="H618" s="17"/>
      <c r="I618" s="17"/>
      <c r="J618" s="17"/>
      <c r="K618" s="17"/>
      <c r="L618" s="17"/>
      <c r="M618" s="17"/>
      <c r="N618" s="17"/>
      <c r="O618" s="17"/>
      <c r="P618" s="17"/>
      <c r="Q618" s="17"/>
      <c r="R618" s="17"/>
      <c r="S618" s="17"/>
      <c r="T618" s="17"/>
      <c r="U618" s="17"/>
      <c r="V618" s="17"/>
      <c r="W618" s="17"/>
      <c r="X618" s="17"/>
      <c r="Y618" s="17"/>
      <c r="Z618" s="17"/>
      <c r="AA618" s="17"/>
      <c r="AB618" s="17"/>
      <c r="AC618" s="17"/>
      <c r="AD618" s="17"/>
      <c r="AE618" s="17"/>
      <c r="AF618" s="17"/>
      <c r="AG618" s="17"/>
      <c r="AH618" s="17"/>
      <c r="AI618" s="17"/>
      <c r="AJ618" s="17"/>
      <c r="AK618" s="17"/>
      <c r="AL618" s="17"/>
      <c r="AM618" s="17"/>
      <c r="AN618" s="17"/>
      <c r="AO618" s="17"/>
      <c r="AP618" s="1"/>
      <c r="AQ618" s="1"/>
    </row>
    <row r="619" spans="1:43" x14ac:dyDescent="0.35">
      <c r="A619" s="6"/>
      <c r="B619" s="13"/>
      <c r="C619" s="81"/>
      <c r="D619" s="4"/>
      <c r="E619" s="8"/>
      <c r="F619" s="17"/>
      <c r="G619" s="17"/>
      <c r="H619" s="17"/>
      <c r="I619" s="17"/>
      <c r="J619" s="17"/>
      <c r="K619" s="17"/>
      <c r="L619" s="17"/>
      <c r="M619" s="17"/>
      <c r="N619" s="17"/>
      <c r="O619" s="17"/>
      <c r="P619" s="17"/>
      <c r="Q619" s="17"/>
      <c r="R619" s="17"/>
      <c r="S619" s="17"/>
      <c r="T619" s="17"/>
      <c r="U619" s="17"/>
      <c r="V619" s="17"/>
      <c r="W619" s="17"/>
      <c r="X619" s="17"/>
      <c r="Y619" s="17"/>
      <c r="Z619" s="17"/>
      <c r="AA619" s="17"/>
      <c r="AB619" s="17"/>
      <c r="AC619" s="17"/>
      <c r="AD619" s="17"/>
      <c r="AE619" s="17"/>
      <c r="AF619" s="17"/>
      <c r="AG619" s="17"/>
      <c r="AH619" s="17"/>
      <c r="AI619" s="17"/>
      <c r="AJ619" s="17"/>
      <c r="AK619" s="17"/>
      <c r="AL619" s="17"/>
      <c r="AM619" s="17"/>
      <c r="AN619" s="17"/>
      <c r="AO619" s="17"/>
      <c r="AP619" s="1"/>
      <c r="AQ619" s="1"/>
    </row>
    <row r="620" spans="1:43" x14ac:dyDescent="0.35">
      <c r="A620" s="6"/>
      <c r="B620" s="13"/>
      <c r="C620" s="81"/>
      <c r="D620" s="4"/>
      <c r="E620" s="8"/>
      <c r="F620" s="17"/>
      <c r="G620" s="17"/>
      <c r="H620" s="17"/>
      <c r="I620" s="17"/>
      <c r="J620" s="17"/>
      <c r="K620" s="17"/>
      <c r="L620" s="17"/>
      <c r="M620" s="17"/>
      <c r="N620" s="17"/>
      <c r="O620" s="17"/>
      <c r="P620" s="17"/>
      <c r="Q620" s="17"/>
      <c r="R620" s="17"/>
      <c r="S620" s="17"/>
      <c r="T620" s="17"/>
      <c r="U620" s="17"/>
      <c r="V620" s="17"/>
      <c r="W620" s="17"/>
      <c r="X620" s="17"/>
      <c r="Y620" s="17"/>
      <c r="Z620" s="17"/>
      <c r="AA620" s="17"/>
      <c r="AB620" s="17"/>
      <c r="AC620" s="17"/>
      <c r="AD620" s="17"/>
      <c r="AE620" s="17"/>
      <c r="AF620" s="17"/>
      <c r="AG620" s="17"/>
      <c r="AH620" s="17"/>
      <c r="AI620" s="17"/>
      <c r="AJ620" s="17"/>
      <c r="AK620" s="17"/>
      <c r="AL620" s="17"/>
      <c r="AM620" s="17"/>
      <c r="AN620" s="17"/>
      <c r="AO620" s="17"/>
      <c r="AP620" s="1"/>
      <c r="AQ620" s="1"/>
    </row>
    <row r="621" spans="1:43" x14ac:dyDescent="0.35">
      <c r="A621" s="6"/>
      <c r="B621" s="13"/>
      <c r="C621" s="81"/>
      <c r="D621" s="4"/>
      <c r="E621" s="8"/>
      <c r="F621" s="17"/>
      <c r="G621" s="17"/>
      <c r="H621" s="17"/>
      <c r="I621" s="17"/>
      <c r="J621" s="17"/>
      <c r="K621" s="17"/>
      <c r="L621" s="17"/>
      <c r="M621" s="17"/>
      <c r="N621" s="17"/>
      <c r="O621" s="17"/>
      <c r="P621" s="17"/>
      <c r="Q621" s="17"/>
      <c r="R621" s="17"/>
      <c r="S621" s="17"/>
      <c r="T621" s="17"/>
      <c r="U621" s="17"/>
      <c r="V621" s="17"/>
      <c r="W621" s="17"/>
      <c r="X621" s="17"/>
      <c r="Y621" s="17"/>
      <c r="Z621" s="17"/>
      <c r="AA621" s="17"/>
      <c r="AB621" s="17"/>
      <c r="AC621" s="17"/>
      <c r="AD621" s="17"/>
      <c r="AE621" s="17"/>
      <c r="AF621" s="17"/>
      <c r="AG621" s="17"/>
      <c r="AH621" s="17"/>
      <c r="AI621" s="17"/>
      <c r="AJ621" s="17"/>
      <c r="AK621" s="17"/>
      <c r="AL621" s="17"/>
      <c r="AM621" s="17"/>
      <c r="AN621" s="17"/>
      <c r="AO621" s="17"/>
      <c r="AP621" s="1"/>
      <c r="AQ621" s="1"/>
    </row>
    <row r="622" spans="1:43" x14ac:dyDescent="0.35">
      <c r="A622" s="6"/>
      <c r="B622" s="13"/>
      <c r="C622" s="81"/>
      <c r="D622" s="4"/>
      <c r="E622" s="8"/>
      <c r="F622" s="17"/>
      <c r="G622" s="17"/>
      <c r="H622" s="17"/>
      <c r="I622" s="17"/>
      <c r="J622" s="17"/>
      <c r="K622" s="17"/>
      <c r="L622" s="17"/>
      <c r="M622" s="17"/>
      <c r="N622" s="17"/>
      <c r="O622" s="17"/>
      <c r="P622" s="17"/>
      <c r="Q622" s="17"/>
      <c r="R622" s="17"/>
      <c r="S622" s="17"/>
      <c r="T622" s="17"/>
      <c r="U622" s="17"/>
      <c r="V622" s="17"/>
      <c r="W622" s="17"/>
      <c r="X622" s="17"/>
      <c r="Y622" s="17"/>
      <c r="Z622" s="17"/>
      <c r="AA622" s="17"/>
      <c r="AB622" s="17"/>
      <c r="AC622" s="17"/>
      <c r="AD622" s="17"/>
      <c r="AE622" s="17"/>
      <c r="AF622" s="17"/>
      <c r="AG622" s="17"/>
      <c r="AH622" s="17"/>
      <c r="AI622" s="17"/>
      <c r="AJ622" s="17"/>
      <c r="AK622" s="17"/>
      <c r="AL622" s="17"/>
      <c r="AM622" s="17"/>
      <c r="AN622" s="17"/>
      <c r="AO622" s="17"/>
      <c r="AP622" s="1"/>
      <c r="AQ622" s="1"/>
    </row>
    <row r="623" spans="1:43" x14ac:dyDescent="0.35">
      <c r="A623" s="6"/>
      <c r="B623" s="13"/>
      <c r="C623" s="81"/>
      <c r="D623" s="4"/>
      <c r="E623" s="8"/>
      <c r="F623" s="17"/>
      <c r="G623" s="17"/>
      <c r="H623" s="17"/>
      <c r="I623" s="17"/>
      <c r="J623" s="17"/>
      <c r="K623" s="17"/>
      <c r="L623" s="17"/>
      <c r="M623" s="17"/>
      <c r="N623" s="17"/>
      <c r="O623" s="17"/>
      <c r="P623" s="17"/>
      <c r="Q623" s="17"/>
      <c r="R623" s="17"/>
      <c r="S623" s="17"/>
      <c r="T623" s="17"/>
      <c r="U623" s="17"/>
      <c r="V623" s="17"/>
      <c r="W623" s="17"/>
      <c r="X623" s="17"/>
      <c r="Y623" s="17"/>
      <c r="Z623" s="17"/>
      <c r="AA623" s="17"/>
      <c r="AB623" s="17"/>
      <c r="AC623" s="17"/>
      <c r="AD623" s="17"/>
      <c r="AE623" s="17"/>
      <c r="AF623" s="17"/>
      <c r="AG623" s="17"/>
      <c r="AH623" s="17"/>
      <c r="AI623" s="17"/>
      <c r="AJ623" s="17"/>
      <c r="AK623" s="17"/>
      <c r="AL623" s="17"/>
      <c r="AM623" s="17"/>
      <c r="AN623" s="17"/>
      <c r="AO623" s="17"/>
      <c r="AP623" s="1"/>
      <c r="AQ623" s="1"/>
    </row>
    <row r="624" spans="1:43" x14ac:dyDescent="0.35">
      <c r="A624" s="6"/>
      <c r="B624" s="13"/>
      <c r="C624" s="81"/>
      <c r="D624" s="4"/>
      <c r="E624" s="8"/>
      <c r="F624" s="17"/>
      <c r="G624" s="17"/>
      <c r="H624" s="17"/>
      <c r="I624" s="17"/>
      <c r="J624" s="17"/>
      <c r="K624" s="17"/>
      <c r="L624" s="17"/>
      <c r="M624" s="17"/>
      <c r="N624" s="17"/>
      <c r="O624" s="17"/>
      <c r="P624" s="17"/>
      <c r="Q624" s="17"/>
      <c r="R624" s="17"/>
      <c r="S624" s="17"/>
      <c r="T624" s="17"/>
      <c r="U624" s="17"/>
      <c r="V624" s="17"/>
      <c r="W624" s="17"/>
      <c r="X624" s="17"/>
      <c r="Y624" s="17"/>
      <c r="Z624" s="17"/>
      <c r="AA624" s="17"/>
      <c r="AB624" s="17"/>
      <c r="AC624" s="17"/>
      <c r="AD624" s="17"/>
      <c r="AE624" s="17"/>
      <c r="AF624" s="17"/>
      <c r="AG624" s="17"/>
      <c r="AH624" s="17"/>
      <c r="AI624" s="17"/>
      <c r="AJ624" s="17"/>
      <c r="AK624" s="17"/>
      <c r="AL624" s="17"/>
      <c r="AM624" s="17"/>
      <c r="AN624" s="17"/>
      <c r="AO624" s="17"/>
      <c r="AP624" s="1"/>
      <c r="AQ624" s="1"/>
    </row>
    <row r="625" spans="1:43" x14ac:dyDescent="0.35">
      <c r="A625" s="6"/>
      <c r="B625" s="13"/>
      <c r="C625" s="81"/>
      <c r="D625" s="4"/>
      <c r="E625" s="8"/>
      <c r="F625" s="17"/>
      <c r="G625" s="17"/>
      <c r="H625" s="17"/>
      <c r="I625" s="17"/>
      <c r="J625" s="17"/>
      <c r="K625" s="17"/>
      <c r="L625" s="17"/>
      <c r="M625" s="17"/>
      <c r="N625" s="17"/>
      <c r="O625" s="17"/>
      <c r="P625" s="17"/>
      <c r="Q625" s="17"/>
      <c r="R625" s="17"/>
      <c r="S625" s="17"/>
      <c r="T625" s="17"/>
      <c r="U625" s="17"/>
      <c r="V625" s="17"/>
      <c r="W625" s="17"/>
      <c r="X625" s="17"/>
      <c r="Y625" s="17"/>
      <c r="Z625" s="17"/>
      <c r="AA625" s="17"/>
      <c r="AB625" s="17"/>
      <c r="AC625" s="17"/>
      <c r="AD625" s="17"/>
      <c r="AE625" s="17"/>
      <c r="AF625" s="17"/>
      <c r="AG625" s="17"/>
      <c r="AH625" s="17"/>
      <c r="AI625" s="17"/>
      <c r="AJ625" s="17"/>
      <c r="AK625" s="17"/>
      <c r="AL625" s="17"/>
      <c r="AM625" s="17"/>
      <c r="AN625" s="17"/>
      <c r="AO625" s="17"/>
      <c r="AP625" s="1"/>
      <c r="AQ625" s="1"/>
    </row>
    <row r="626" spans="1:43" x14ac:dyDescent="0.35">
      <c r="A626" s="6"/>
      <c r="B626" s="13"/>
      <c r="C626" s="81"/>
      <c r="D626" s="4"/>
      <c r="E626" s="8"/>
      <c r="F626" s="17"/>
      <c r="G626" s="17"/>
      <c r="H626" s="17"/>
      <c r="I626" s="17"/>
      <c r="J626" s="17"/>
      <c r="K626" s="17"/>
      <c r="L626" s="17"/>
      <c r="M626" s="17"/>
      <c r="N626" s="17"/>
      <c r="O626" s="17"/>
      <c r="P626" s="17"/>
      <c r="Q626" s="17"/>
      <c r="R626" s="17"/>
      <c r="S626" s="17"/>
      <c r="T626" s="17"/>
      <c r="U626" s="17"/>
      <c r="V626" s="17"/>
      <c r="W626" s="17"/>
      <c r="X626" s="17"/>
      <c r="Y626" s="17"/>
      <c r="Z626" s="17"/>
      <c r="AA626" s="17"/>
      <c r="AB626" s="17"/>
      <c r="AC626" s="17"/>
      <c r="AD626" s="17"/>
      <c r="AE626" s="17"/>
      <c r="AF626" s="17"/>
      <c r="AG626" s="17"/>
      <c r="AH626" s="17"/>
      <c r="AI626" s="17"/>
      <c r="AJ626" s="17"/>
      <c r="AK626" s="17"/>
      <c r="AL626" s="17"/>
      <c r="AM626" s="17"/>
      <c r="AN626" s="17"/>
      <c r="AO626" s="17"/>
      <c r="AP626" s="1"/>
      <c r="AQ626" s="1"/>
    </row>
    <row r="627" spans="1:43" x14ac:dyDescent="0.35">
      <c r="A627" s="6"/>
      <c r="B627" s="13"/>
      <c r="C627" s="81"/>
      <c r="D627" s="4"/>
      <c r="E627" s="8"/>
      <c r="F627" s="17"/>
      <c r="G627" s="17"/>
      <c r="H627" s="17"/>
      <c r="I627" s="17"/>
      <c r="J627" s="17"/>
      <c r="K627" s="17"/>
      <c r="L627" s="17"/>
      <c r="M627" s="17"/>
      <c r="N627" s="17"/>
      <c r="O627" s="17"/>
      <c r="P627" s="17"/>
      <c r="Q627" s="17"/>
      <c r="R627" s="17"/>
      <c r="S627" s="17"/>
      <c r="T627" s="17"/>
      <c r="U627" s="17"/>
      <c r="V627" s="17"/>
      <c r="W627" s="17"/>
      <c r="X627" s="17"/>
      <c r="Y627" s="17"/>
      <c r="Z627" s="17"/>
      <c r="AA627" s="17"/>
      <c r="AB627" s="17"/>
      <c r="AC627" s="17"/>
      <c r="AD627" s="17"/>
      <c r="AE627" s="17"/>
      <c r="AF627" s="17"/>
      <c r="AG627" s="17"/>
      <c r="AH627" s="17"/>
      <c r="AI627" s="17"/>
      <c r="AJ627" s="17"/>
      <c r="AK627" s="17"/>
      <c r="AL627" s="17"/>
      <c r="AM627" s="17"/>
      <c r="AN627" s="17"/>
      <c r="AO627" s="17"/>
      <c r="AP627" s="1"/>
      <c r="AQ627" s="1"/>
    </row>
    <row r="628" spans="1:43" x14ac:dyDescent="0.35">
      <c r="A628" s="6"/>
      <c r="B628" s="13"/>
      <c r="C628" s="81"/>
      <c r="D628" s="4"/>
      <c r="E628" s="8"/>
      <c r="F628" s="17"/>
      <c r="G628" s="17"/>
      <c r="H628" s="17"/>
      <c r="I628" s="17"/>
      <c r="J628" s="17"/>
      <c r="K628" s="17"/>
      <c r="L628" s="17"/>
      <c r="M628" s="17"/>
      <c r="N628" s="17"/>
      <c r="O628" s="17"/>
      <c r="P628" s="17"/>
      <c r="Q628" s="17"/>
      <c r="R628" s="17"/>
      <c r="S628" s="17"/>
      <c r="T628" s="17"/>
      <c r="U628" s="17"/>
      <c r="V628" s="17"/>
      <c r="W628" s="17"/>
      <c r="X628" s="17"/>
      <c r="Y628" s="17"/>
      <c r="Z628" s="17"/>
      <c r="AA628" s="17"/>
      <c r="AB628" s="17"/>
      <c r="AC628" s="17"/>
      <c r="AD628" s="17"/>
      <c r="AE628" s="17"/>
      <c r="AF628" s="17"/>
      <c r="AG628" s="17"/>
      <c r="AH628" s="17"/>
      <c r="AI628" s="17"/>
      <c r="AJ628" s="17"/>
      <c r="AK628" s="17"/>
      <c r="AL628" s="17"/>
      <c r="AM628" s="17"/>
      <c r="AN628" s="17"/>
      <c r="AO628" s="17"/>
      <c r="AP628" s="1"/>
      <c r="AQ628" s="1"/>
    </row>
    <row r="629" spans="1:43" x14ac:dyDescent="0.35">
      <c r="A629" s="6"/>
      <c r="B629" s="13"/>
      <c r="C629" s="81"/>
      <c r="D629" s="4"/>
      <c r="E629" s="8"/>
      <c r="F629" s="17"/>
      <c r="G629" s="17"/>
      <c r="H629" s="17"/>
      <c r="I629" s="17"/>
      <c r="J629" s="17"/>
      <c r="K629" s="17"/>
      <c r="L629" s="17"/>
      <c r="M629" s="17"/>
      <c r="N629" s="17"/>
      <c r="O629" s="17"/>
      <c r="P629" s="17"/>
      <c r="Q629" s="17"/>
      <c r="R629" s="17"/>
      <c r="S629" s="17"/>
      <c r="T629" s="17"/>
      <c r="U629" s="17"/>
      <c r="V629" s="17"/>
      <c r="W629" s="17"/>
      <c r="X629" s="17"/>
      <c r="Y629" s="17"/>
      <c r="Z629" s="17"/>
      <c r="AA629" s="17"/>
      <c r="AB629" s="17"/>
      <c r="AC629" s="17"/>
      <c r="AD629" s="17"/>
      <c r="AE629" s="17"/>
      <c r="AF629" s="17"/>
      <c r="AG629" s="17"/>
      <c r="AH629" s="17"/>
      <c r="AI629" s="17"/>
      <c r="AJ629" s="17"/>
      <c r="AK629" s="17"/>
      <c r="AL629" s="17"/>
      <c r="AM629" s="17"/>
      <c r="AN629" s="17"/>
      <c r="AO629" s="17"/>
      <c r="AP629" s="1"/>
      <c r="AQ629" s="1"/>
    </row>
    <row r="630" spans="1:43" x14ac:dyDescent="0.35">
      <c r="A630" s="6"/>
      <c r="B630" s="13"/>
      <c r="C630" s="81"/>
      <c r="D630" s="4"/>
      <c r="E630" s="8"/>
      <c r="F630" s="17"/>
      <c r="G630" s="17"/>
      <c r="H630" s="17"/>
      <c r="I630" s="17"/>
      <c r="J630" s="17"/>
      <c r="K630" s="17"/>
      <c r="L630" s="17"/>
      <c r="M630" s="17"/>
      <c r="N630" s="17"/>
      <c r="O630" s="17"/>
      <c r="P630" s="17"/>
      <c r="Q630" s="17"/>
      <c r="R630" s="17"/>
      <c r="S630" s="17"/>
      <c r="T630" s="17"/>
      <c r="U630" s="17"/>
      <c r="V630" s="17"/>
      <c r="W630" s="17"/>
      <c r="X630" s="17"/>
      <c r="Y630" s="17"/>
      <c r="Z630" s="17"/>
      <c r="AA630" s="17"/>
      <c r="AB630" s="17"/>
      <c r="AC630" s="17"/>
      <c r="AD630" s="17"/>
      <c r="AE630" s="17"/>
      <c r="AF630" s="17"/>
      <c r="AG630" s="17"/>
      <c r="AH630" s="17"/>
      <c r="AI630" s="17"/>
      <c r="AJ630" s="17"/>
      <c r="AK630" s="17"/>
      <c r="AL630" s="17"/>
      <c r="AM630" s="17"/>
      <c r="AN630" s="17"/>
      <c r="AO630" s="17"/>
      <c r="AP630" s="1"/>
      <c r="AQ630" s="1"/>
    </row>
    <row r="631" spans="1:43" x14ac:dyDescent="0.35">
      <c r="A631" s="6"/>
      <c r="B631" s="13"/>
      <c r="C631" s="81"/>
      <c r="D631" s="4"/>
      <c r="E631" s="8"/>
      <c r="F631" s="17"/>
      <c r="G631" s="17"/>
      <c r="H631" s="17"/>
      <c r="I631" s="17"/>
      <c r="J631" s="17"/>
      <c r="K631" s="17"/>
      <c r="L631" s="17"/>
      <c r="M631" s="17"/>
      <c r="N631" s="17"/>
      <c r="O631" s="17"/>
      <c r="P631" s="17"/>
      <c r="Q631" s="17"/>
      <c r="R631" s="17"/>
      <c r="S631" s="17"/>
      <c r="T631" s="17"/>
      <c r="U631" s="17"/>
      <c r="V631" s="17"/>
      <c r="W631" s="17"/>
      <c r="X631" s="17"/>
      <c r="Y631" s="17"/>
      <c r="Z631" s="17"/>
      <c r="AA631" s="17"/>
      <c r="AB631" s="17"/>
      <c r="AC631" s="17"/>
      <c r="AD631" s="17"/>
      <c r="AE631" s="17"/>
      <c r="AF631" s="17"/>
      <c r="AG631" s="17"/>
      <c r="AH631" s="17"/>
      <c r="AI631" s="17"/>
      <c r="AJ631" s="17"/>
      <c r="AK631" s="17"/>
      <c r="AL631" s="17"/>
      <c r="AM631" s="17"/>
      <c r="AN631" s="17"/>
      <c r="AO631" s="17"/>
      <c r="AP631" s="1"/>
      <c r="AQ631" s="1"/>
    </row>
    <row r="632" spans="1:43" x14ac:dyDescent="0.35">
      <c r="A632" s="6"/>
      <c r="B632" s="13"/>
      <c r="C632" s="81"/>
      <c r="D632" s="4"/>
      <c r="E632" s="8"/>
      <c r="F632" s="17"/>
      <c r="G632" s="17"/>
      <c r="H632" s="17"/>
      <c r="I632" s="17"/>
      <c r="J632" s="17"/>
      <c r="K632" s="17"/>
      <c r="L632" s="17"/>
      <c r="M632" s="17"/>
      <c r="N632" s="17"/>
      <c r="O632" s="17"/>
      <c r="P632" s="17"/>
      <c r="Q632" s="17"/>
      <c r="R632" s="17"/>
      <c r="S632" s="17"/>
      <c r="T632" s="17"/>
      <c r="U632" s="17"/>
      <c r="V632" s="17"/>
      <c r="W632" s="17"/>
      <c r="X632" s="17"/>
      <c r="Y632" s="17"/>
      <c r="Z632" s="17"/>
      <c r="AA632" s="17"/>
      <c r="AB632" s="17"/>
      <c r="AC632" s="17"/>
      <c r="AD632" s="17"/>
      <c r="AE632" s="17"/>
      <c r="AF632" s="17"/>
      <c r="AG632" s="17"/>
      <c r="AH632" s="17"/>
      <c r="AI632" s="17"/>
      <c r="AJ632" s="17"/>
      <c r="AK632" s="17"/>
      <c r="AL632" s="17"/>
      <c r="AM632" s="17"/>
      <c r="AN632" s="17"/>
      <c r="AO632" s="17"/>
      <c r="AP632" s="1"/>
      <c r="AQ632" s="1"/>
    </row>
    <row r="633" spans="1:43" x14ac:dyDescent="0.35">
      <c r="A633" s="6"/>
      <c r="B633" s="13"/>
      <c r="C633" s="81"/>
      <c r="D633" s="4"/>
      <c r="E633" s="8"/>
      <c r="F633" s="17"/>
      <c r="G633" s="17"/>
      <c r="H633" s="17"/>
      <c r="I633" s="17"/>
      <c r="J633" s="17"/>
      <c r="K633" s="17"/>
      <c r="L633" s="17"/>
      <c r="M633" s="17"/>
      <c r="N633" s="17"/>
      <c r="O633" s="17"/>
      <c r="P633" s="17"/>
      <c r="Q633" s="17"/>
      <c r="R633" s="17"/>
      <c r="S633" s="17"/>
      <c r="T633" s="17"/>
      <c r="U633" s="17"/>
      <c r="V633" s="17"/>
      <c r="W633" s="17"/>
      <c r="X633" s="17"/>
      <c r="Y633" s="17"/>
      <c r="Z633" s="17"/>
      <c r="AA633" s="17"/>
      <c r="AB633" s="17"/>
      <c r="AC633" s="17"/>
      <c r="AD633" s="17"/>
      <c r="AE633" s="17"/>
      <c r="AF633" s="17"/>
      <c r="AG633" s="17"/>
      <c r="AH633" s="17"/>
      <c r="AI633" s="17"/>
      <c r="AJ633" s="17"/>
      <c r="AK633" s="17"/>
      <c r="AL633" s="17"/>
      <c r="AM633" s="17"/>
      <c r="AN633" s="17"/>
      <c r="AO633" s="17"/>
      <c r="AP633" s="1"/>
      <c r="AQ633" s="1"/>
    </row>
    <row r="634" spans="1:43" x14ac:dyDescent="0.35">
      <c r="A634" s="6"/>
      <c r="B634" s="13"/>
      <c r="C634" s="81"/>
      <c r="D634" s="4"/>
      <c r="E634" s="8"/>
      <c r="F634" s="17"/>
      <c r="G634" s="17"/>
      <c r="H634" s="17"/>
      <c r="I634" s="17"/>
      <c r="J634" s="17"/>
      <c r="K634" s="17"/>
      <c r="L634" s="17"/>
      <c r="M634" s="17"/>
      <c r="N634" s="17"/>
      <c r="O634" s="17"/>
      <c r="P634" s="17"/>
      <c r="Q634" s="17"/>
      <c r="R634" s="17"/>
      <c r="S634" s="17"/>
      <c r="T634" s="17"/>
      <c r="U634" s="17"/>
      <c r="V634" s="17"/>
      <c r="W634" s="17"/>
      <c r="X634" s="17"/>
      <c r="Y634" s="17"/>
      <c r="Z634" s="17"/>
      <c r="AA634" s="17"/>
      <c r="AB634" s="17"/>
      <c r="AC634" s="17"/>
      <c r="AD634" s="17"/>
      <c r="AE634" s="17"/>
      <c r="AF634" s="17"/>
      <c r="AG634" s="17"/>
      <c r="AH634" s="17"/>
      <c r="AI634" s="17"/>
      <c r="AJ634" s="17"/>
      <c r="AK634" s="17"/>
      <c r="AL634" s="17"/>
      <c r="AM634" s="17"/>
      <c r="AN634" s="17"/>
      <c r="AO634" s="17"/>
      <c r="AP634" s="1"/>
      <c r="AQ634" s="1"/>
    </row>
    <row r="635" spans="1:43" x14ac:dyDescent="0.35">
      <c r="A635" s="6"/>
      <c r="B635" s="13"/>
      <c r="C635" s="81"/>
      <c r="D635" s="4"/>
      <c r="E635" s="8"/>
      <c r="F635" s="17"/>
      <c r="G635" s="17"/>
      <c r="H635" s="17"/>
      <c r="I635" s="17"/>
      <c r="J635" s="17"/>
      <c r="K635" s="17"/>
      <c r="L635" s="17"/>
      <c r="M635" s="17"/>
      <c r="N635" s="17"/>
      <c r="O635" s="17"/>
      <c r="P635" s="17"/>
      <c r="Q635" s="17"/>
      <c r="R635" s="17"/>
      <c r="S635" s="17"/>
      <c r="T635" s="17"/>
      <c r="U635" s="17"/>
      <c r="V635" s="17"/>
      <c r="W635" s="17"/>
      <c r="X635" s="17"/>
      <c r="Y635" s="17"/>
      <c r="Z635" s="17"/>
      <c r="AA635" s="17"/>
      <c r="AB635" s="17"/>
      <c r="AC635" s="17"/>
      <c r="AD635" s="17"/>
      <c r="AE635" s="17"/>
      <c r="AF635" s="17"/>
      <c r="AG635" s="17"/>
      <c r="AH635" s="17"/>
      <c r="AI635" s="17"/>
      <c r="AJ635" s="17"/>
      <c r="AK635" s="17"/>
      <c r="AL635" s="17"/>
      <c r="AM635" s="17"/>
      <c r="AN635" s="17"/>
      <c r="AO635" s="17"/>
      <c r="AP635" s="1"/>
      <c r="AQ635" s="1"/>
    </row>
    <row r="636" spans="1:43" x14ac:dyDescent="0.35">
      <c r="A636" s="6"/>
      <c r="B636" s="13"/>
      <c r="C636" s="81"/>
      <c r="D636" s="4"/>
      <c r="E636" s="8"/>
      <c r="F636" s="17"/>
      <c r="G636" s="17"/>
      <c r="H636" s="17"/>
      <c r="I636" s="17"/>
      <c r="J636" s="17"/>
      <c r="K636" s="17"/>
      <c r="L636" s="17"/>
      <c r="M636" s="17"/>
      <c r="N636" s="17"/>
      <c r="O636" s="17"/>
      <c r="P636" s="17"/>
      <c r="Q636" s="17"/>
      <c r="R636" s="17"/>
      <c r="S636" s="17"/>
      <c r="T636" s="17"/>
      <c r="U636" s="17"/>
      <c r="V636" s="17"/>
      <c r="W636" s="17"/>
      <c r="X636" s="17"/>
      <c r="Y636" s="17"/>
      <c r="Z636" s="17"/>
      <c r="AA636" s="17"/>
      <c r="AB636" s="17"/>
      <c r="AC636" s="17"/>
      <c r="AD636" s="17"/>
      <c r="AE636" s="17"/>
      <c r="AF636" s="17"/>
      <c r="AG636" s="17"/>
      <c r="AH636" s="17"/>
      <c r="AI636" s="17"/>
      <c r="AJ636" s="17"/>
      <c r="AK636" s="17"/>
      <c r="AL636" s="17"/>
      <c r="AM636" s="17"/>
      <c r="AN636" s="17"/>
      <c r="AO636" s="17"/>
      <c r="AP636" s="1"/>
      <c r="AQ636" s="1"/>
    </row>
    <row r="637" spans="1:43" x14ac:dyDescent="0.35">
      <c r="A637" s="6"/>
      <c r="B637" s="13"/>
      <c r="C637" s="81"/>
      <c r="D637" s="4"/>
      <c r="E637" s="8"/>
      <c r="F637" s="17"/>
      <c r="G637" s="17"/>
      <c r="H637" s="17"/>
      <c r="I637" s="17"/>
      <c r="J637" s="17"/>
      <c r="K637" s="17"/>
      <c r="L637" s="17"/>
      <c r="M637" s="17"/>
      <c r="N637" s="17"/>
      <c r="O637" s="17"/>
      <c r="P637" s="17"/>
      <c r="Q637" s="17"/>
      <c r="R637" s="17"/>
      <c r="S637" s="17"/>
      <c r="T637" s="17"/>
      <c r="U637" s="17"/>
      <c r="V637" s="17"/>
      <c r="W637" s="17"/>
      <c r="X637" s="17"/>
      <c r="Y637" s="17"/>
      <c r="Z637" s="17"/>
      <c r="AA637" s="17"/>
      <c r="AB637" s="17"/>
      <c r="AC637" s="17"/>
      <c r="AD637" s="17"/>
      <c r="AE637" s="17"/>
      <c r="AF637" s="17"/>
      <c r="AG637" s="17"/>
      <c r="AH637" s="17"/>
      <c r="AI637" s="17"/>
      <c r="AJ637" s="17"/>
      <c r="AK637" s="17"/>
      <c r="AL637" s="17"/>
      <c r="AM637" s="17"/>
      <c r="AN637" s="17"/>
      <c r="AO637" s="17"/>
      <c r="AP637" s="1"/>
      <c r="AQ637" s="1"/>
    </row>
    <row r="638" spans="1:43" x14ac:dyDescent="0.35">
      <c r="A638" s="6"/>
      <c r="B638" s="13"/>
      <c r="C638" s="81"/>
      <c r="D638" s="4"/>
      <c r="E638" s="8"/>
      <c r="F638" s="17"/>
      <c r="G638" s="17"/>
      <c r="H638" s="17"/>
      <c r="I638" s="17"/>
      <c r="J638" s="17"/>
      <c r="K638" s="17"/>
      <c r="L638" s="17"/>
      <c r="M638" s="17"/>
      <c r="N638" s="17"/>
      <c r="O638" s="17"/>
      <c r="P638" s="17"/>
      <c r="Q638" s="17"/>
      <c r="R638" s="17"/>
      <c r="S638" s="17"/>
      <c r="T638" s="17"/>
      <c r="U638" s="17"/>
      <c r="V638" s="17"/>
      <c r="W638" s="17"/>
      <c r="X638" s="17"/>
      <c r="Y638" s="17"/>
      <c r="Z638" s="17"/>
      <c r="AA638" s="17"/>
      <c r="AB638" s="17"/>
      <c r="AC638" s="17"/>
      <c r="AD638" s="17"/>
      <c r="AE638" s="17"/>
      <c r="AF638" s="17"/>
      <c r="AG638" s="17"/>
      <c r="AH638" s="17"/>
      <c r="AI638" s="17"/>
      <c r="AJ638" s="17"/>
      <c r="AK638" s="17"/>
      <c r="AL638" s="17"/>
      <c r="AM638" s="17"/>
      <c r="AN638" s="17"/>
      <c r="AO638" s="17"/>
      <c r="AP638" s="1"/>
      <c r="AQ638" s="1"/>
    </row>
    <row r="639" spans="1:43" x14ac:dyDescent="0.35">
      <c r="A639" s="6"/>
      <c r="B639" s="13"/>
      <c r="C639" s="81"/>
      <c r="D639" s="4"/>
      <c r="E639" s="8"/>
      <c r="F639" s="17"/>
      <c r="G639" s="17"/>
      <c r="H639" s="17"/>
      <c r="I639" s="17"/>
      <c r="J639" s="17"/>
      <c r="K639" s="17"/>
      <c r="L639" s="17"/>
      <c r="M639" s="17"/>
      <c r="N639" s="17"/>
      <c r="O639" s="17"/>
      <c r="P639" s="17"/>
      <c r="Q639" s="17"/>
      <c r="R639" s="17"/>
      <c r="S639" s="17"/>
      <c r="T639" s="17"/>
      <c r="U639" s="17"/>
      <c r="V639" s="17"/>
      <c r="W639" s="17"/>
      <c r="X639" s="17"/>
      <c r="Y639" s="17"/>
      <c r="Z639" s="17"/>
      <c r="AA639" s="17"/>
      <c r="AB639" s="17"/>
      <c r="AC639" s="17"/>
      <c r="AD639" s="17"/>
      <c r="AE639" s="17"/>
      <c r="AF639" s="17"/>
      <c r="AG639" s="17"/>
      <c r="AH639" s="17"/>
      <c r="AI639" s="17"/>
      <c r="AJ639" s="17"/>
      <c r="AK639" s="17"/>
      <c r="AL639" s="17"/>
      <c r="AM639" s="17"/>
      <c r="AN639" s="17"/>
      <c r="AO639" s="17"/>
      <c r="AP639" s="1"/>
      <c r="AQ639" s="1"/>
    </row>
    <row r="640" spans="1:43" x14ac:dyDescent="0.35">
      <c r="A640" s="6"/>
      <c r="B640" s="13"/>
      <c r="C640" s="81"/>
      <c r="D640" s="4"/>
      <c r="E640" s="8"/>
      <c r="F640" s="17"/>
      <c r="G640" s="17"/>
      <c r="H640" s="17"/>
      <c r="I640" s="17"/>
      <c r="J640" s="17"/>
      <c r="K640" s="17"/>
      <c r="L640" s="17"/>
      <c r="M640" s="17"/>
      <c r="N640" s="17"/>
      <c r="O640" s="17"/>
      <c r="P640" s="17"/>
      <c r="Q640" s="17"/>
      <c r="R640" s="17"/>
      <c r="S640" s="17"/>
      <c r="T640" s="17"/>
      <c r="U640" s="17"/>
      <c r="V640" s="17"/>
      <c r="W640" s="17"/>
      <c r="X640" s="17"/>
      <c r="Y640" s="17"/>
      <c r="Z640" s="17"/>
      <c r="AA640" s="17"/>
      <c r="AB640" s="17"/>
      <c r="AC640" s="17"/>
      <c r="AD640" s="17"/>
      <c r="AE640" s="17"/>
      <c r="AF640" s="17"/>
      <c r="AG640" s="17"/>
      <c r="AH640" s="17"/>
      <c r="AI640" s="17"/>
      <c r="AJ640" s="17"/>
      <c r="AK640" s="17"/>
      <c r="AL640" s="17"/>
      <c r="AM640" s="17"/>
      <c r="AN640" s="17"/>
      <c r="AO640" s="17"/>
      <c r="AP640" s="1"/>
      <c r="AQ640" s="1"/>
    </row>
    <row r="641" spans="1:43" x14ac:dyDescent="0.35">
      <c r="A641" s="6"/>
      <c r="B641" s="13"/>
      <c r="C641" s="81"/>
      <c r="D641" s="4"/>
      <c r="E641" s="8"/>
      <c r="F641" s="17"/>
      <c r="G641" s="17"/>
      <c r="H641" s="17"/>
      <c r="I641" s="17"/>
      <c r="J641" s="17"/>
      <c r="K641" s="17"/>
      <c r="L641" s="17"/>
      <c r="M641" s="17"/>
      <c r="N641" s="17"/>
      <c r="O641" s="17"/>
      <c r="P641" s="17"/>
      <c r="Q641" s="17"/>
      <c r="R641" s="17"/>
      <c r="S641" s="17"/>
      <c r="T641" s="17"/>
      <c r="U641" s="17"/>
      <c r="V641" s="17"/>
      <c r="W641" s="17"/>
      <c r="X641" s="17"/>
      <c r="Y641" s="17"/>
      <c r="Z641" s="17"/>
      <c r="AA641" s="17"/>
      <c r="AB641" s="17"/>
      <c r="AC641" s="17"/>
      <c r="AD641" s="17"/>
      <c r="AE641" s="17"/>
      <c r="AF641" s="17"/>
      <c r="AG641" s="17"/>
      <c r="AH641" s="17"/>
      <c r="AI641" s="17"/>
      <c r="AJ641" s="17"/>
      <c r="AK641" s="17"/>
      <c r="AL641" s="17"/>
      <c r="AM641" s="17"/>
      <c r="AN641" s="17"/>
      <c r="AO641" s="17"/>
      <c r="AP641" s="1"/>
      <c r="AQ641" s="1"/>
    </row>
    <row r="642" spans="1:43" x14ac:dyDescent="0.35">
      <c r="A642" s="6"/>
      <c r="B642" s="13"/>
      <c r="C642" s="81"/>
      <c r="D642" s="4"/>
      <c r="E642" s="8"/>
      <c r="F642" s="17"/>
      <c r="G642" s="17"/>
      <c r="H642" s="17"/>
      <c r="I642" s="17"/>
      <c r="J642" s="17"/>
      <c r="K642" s="17"/>
      <c r="L642" s="17"/>
      <c r="M642" s="17"/>
      <c r="N642" s="17"/>
      <c r="O642" s="17"/>
      <c r="P642" s="17"/>
      <c r="Q642" s="17"/>
      <c r="R642" s="17"/>
      <c r="S642" s="17"/>
      <c r="T642" s="17"/>
      <c r="U642" s="17"/>
      <c r="V642" s="17"/>
      <c r="W642" s="17"/>
      <c r="X642" s="17"/>
      <c r="Y642" s="17"/>
      <c r="Z642" s="17"/>
      <c r="AA642" s="17"/>
      <c r="AB642" s="17"/>
      <c r="AC642" s="17"/>
      <c r="AD642" s="17"/>
      <c r="AE642" s="17"/>
      <c r="AF642" s="17"/>
      <c r="AG642" s="17"/>
      <c r="AH642" s="17"/>
      <c r="AI642" s="17"/>
      <c r="AJ642" s="17"/>
      <c r="AK642" s="17"/>
      <c r="AL642" s="17"/>
      <c r="AM642" s="17"/>
      <c r="AN642" s="17"/>
      <c r="AO642" s="17"/>
      <c r="AP642" s="1"/>
      <c r="AQ642" s="1"/>
    </row>
    <row r="643" spans="1:43" x14ac:dyDescent="0.35">
      <c r="A643" s="6"/>
      <c r="B643" s="13"/>
      <c r="C643" s="81"/>
      <c r="D643" s="4"/>
      <c r="E643" s="8"/>
      <c r="F643" s="17"/>
      <c r="G643" s="17"/>
      <c r="H643" s="17"/>
      <c r="I643" s="17"/>
      <c r="J643" s="17"/>
      <c r="K643" s="17"/>
      <c r="L643" s="17"/>
      <c r="M643" s="17"/>
      <c r="N643" s="17"/>
      <c r="O643" s="17"/>
      <c r="P643" s="17"/>
      <c r="Q643" s="17"/>
      <c r="R643" s="17"/>
      <c r="S643" s="17"/>
      <c r="T643" s="17"/>
      <c r="U643" s="17"/>
      <c r="V643" s="17"/>
      <c r="W643" s="17"/>
      <c r="X643" s="17"/>
      <c r="Y643" s="17"/>
      <c r="Z643" s="17"/>
      <c r="AA643" s="17"/>
      <c r="AB643" s="17"/>
      <c r="AC643" s="17"/>
      <c r="AD643" s="17"/>
      <c r="AE643" s="17"/>
      <c r="AF643" s="17"/>
      <c r="AG643" s="17"/>
      <c r="AH643" s="17"/>
      <c r="AI643" s="17"/>
      <c r="AJ643" s="17"/>
      <c r="AK643" s="17"/>
      <c r="AL643" s="17"/>
      <c r="AM643" s="17"/>
      <c r="AN643" s="17"/>
      <c r="AO643" s="17"/>
      <c r="AP643" s="1"/>
      <c r="AQ643" s="1"/>
    </row>
    <row r="644" spans="1:43" x14ac:dyDescent="0.35">
      <c r="A644" s="6"/>
      <c r="B644" s="13"/>
      <c r="C644" s="81"/>
      <c r="D644" s="4"/>
      <c r="E644" s="8"/>
      <c r="F644" s="17"/>
      <c r="G644" s="17"/>
      <c r="H644" s="17"/>
      <c r="I644" s="17"/>
      <c r="J644" s="17"/>
      <c r="K644" s="17"/>
      <c r="L644" s="17"/>
      <c r="M644" s="17"/>
      <c r="N644" s="17"/>
      <c r="O644" s="17"/>
      <c r="P644" s="17"/>
      <c r="Q644" s="17"/>
      <c r="R644" s="17"/>
      <c r="S644" s="17"/>
      <c r="T644" s="17"/>
      <c r="U644" s="17"/>
      <c r="V644" s="17"/>
      <c r="W644" s="17"/>
      <c r="X644" s="17"/>
      <c r="Y644" s="17"/>
      <c r="Z644" s="17"/>
      <c r="AA644" s="17"/>
      <c r="AB644" s="17"/>
      <c r="AC644" s="17"/>
      <c r="AD644" s="17"/>
      <c r="AE644" s="17"/>
      <c r="AF644" s="17"/>
      <c r="AG644" s="17"/>
      <c r="AH644" s="17"/>
      <c r="AI644" s="17"/>
      <c r="AJ644" s="17"/>
      <c r="AK644" s="17"/>
      <c r="AL644" s="17"/>
      <c r="AM644" s="17"/>
      <c r="AN644" s="17"/>
      <c r="AO644" s="17"/>
      <c r="AP644" s="1"/>
      <c r="AQ644" s="1"/>
    </row>
    <row r="645" spans="1:43" x14ac:dyDescent="0.35">
      <c r="A645" s="6"/>
      <c r="B645" s="13"/>
      <c r="C645" s="81"/>
      <c r="D645" s="4"/>
      <c r="E645" s="8"/>
      <c r="F645" s="17"/>
      <c r="G645" s="17"/>
      <c r="H645" s="17"/>
      <c r="I645" s="17"/>
      <c r="J645" s="17"/>
      <c r="K645" s="17"/>
      <c r="L645" s="17"/>
      <c r="M645" s="17"/>
      <c r="N645" s="17"/>
      <c r="O645" s="17"/>
      <c r="P645" s="17"/>
      <c r="Q645" s="17"/>
      <c r="R645" s="17"/>
      <c r="S645" s="17"/>
      <c r="T645" s="17"/>
      <c r="U645" s="17"/>
      <c r="V645" s="17"/>
      <c r="W645" s="17"/>
      <c r="X645" s="17"/>
      <c r="Y645" s="17"/>
      <c r="Z645" s="17"/>
      <c r="AA645" s="17"/>
      <c r="AB645" s="17"/>
      <c r="AC645" s="17"/>
      <c r="AD645" s="17"/>
      <c r="AE645" s="17"/>
      <c r="AF645" s="17"/>
      <c r="AG645" s="17"/>
      <c r="AH645" s="17"/>
      <c r="AI645" s="17"/>
      <c r="AJ645" s="17"/>
      <c r="AK645" s="17"/>
      <c r="AL645" s="17"/>
      <c r="AM645" s="17"/>
      <c r="AN645" s="17"/>
      <c r="AO645" s="17"/>
      <c r="AP645" s="1"/>
      <c r="AQ645" s="1"/>
    </row>
    <row r="646" spans="1:43" x14ac:dyDescent="0.35">
      <c r="A646" s="6"/>
      <c r="B646" s="13"/>
      <c r="C646" s="81"/>
      <c r="D646" s="4"/>
      <c r="E646" s="8"/>
      <c r="F646" s="17"/>
      <c r="G646" s="17"/>
      <c r="H646" s="17"/>
      <c r="I646" s="17"/>
      <c r="J646" s="17"/>
      <c r="K646" s="17"/>
      <c r="L646" s="17"/>
      <c r="M646" s="17"/>
      <c r="N646" s="17"/>
      <c r="O646" s="17"/>
      <c r="P646" s="17"/>
      <c r="Q646" s="17"/>
      <c r="R646" s="17"/>
      <c r="S646" s="17"/>
      <c r="T646" s="17"/>
      <c r="U646" s="17"/>
      <c r="V646" s="17"/>
      <c r="W646" s="17"/>
      <c r="X646" s="17"/>
      <c r="Y646" s="17"/>
      <c r="Z646" s="17"/>
      <c r="AA646" s="17"/>
      <c r="AB646" s="17"/>
      <c r="AC646" s="17"/>
      <c r="AD646" s="17"/>
      <c r="AE646" s="17"/>
      <c r="AF646" s="17"/>
      <c r="AG646" s="17"/>
      <c r="AH646" s="17"/>
      <c r="AI646" s="17"/>
      <c r="AJ646" s="17"/>
      <c r="AK646" s="17"/>
      <c r="AL646" s="17"/>
      <c r="AM646" s="17"/>
      <c r="AN646" s="17"/>
      <c r="AO646" s="17"/>
      <c r="AP646" s="1"/>
      <c r="AQ646" s="1"/>
    </row>
    <row r="647" spans="1:43" x14ac:dyDescent="0.35">
      <c r="A647" s="6"/>
      <c r="B647" s="13"/>
      <c r="C647" s="81"/>
      <c r="D647" s="4"/>
      <c r="E647" s="8"/>
      <c r="F647" s="17"/>
      <c r="G647" s="17"/>
      <c r="H647" s="17"/>
      <c r="I647" s="17"/>
      <c r="J647" s="17"/>
      <c r="K647" s="17"/>
      <c r="L647" s="17"/>
      <c r="M647" s="17"/>
      <c r="N647" s="17"/>
      <c r="O647" s="17"/>
      <c r="P647" s="17"/>
      <c r="Q647" s="17"/>
      <c r="R647" s="17"/>
      <c r="S647" s="17"/>
      <c r="T647" s="17"/>
      <c r="U647" s="17"/>
      <c r="V647" s="17"/>
      <c r="W647" s="17"/>
      <c r="X647" s="17"/>
      <c r="Y647" s="17"/>
      <c r="Z647" s="17"/>
      <c r="AA647" s="17"/>
      <c r="AB647" s="17"/>
      <c r="AC647" s="17"/>
      <c r="AD647" s="17"/>
      <c r="AE647" s="17"/>
      <c r="AF647" s="17"/>
      <c r="AG647" s="17"/>
      <c r="AH647" s="17"/>
      <c r="AI647" s="17"/>
      <c r="AJ647" s="17"/>
      <c r="AK647" s="17"/>
      <c r="AL647" s="17"/>
      <c r="AM647" s="17"/>
      <c r="AN647" s="17"/>
      <c r="AO647" s="17"/>
      <c r="AP647" s="1"/>
      <c r="AQ647" s="1"/>
    </row>
    <row r="648" spans="1:43" x14ac:dyDescent="0.35">
      <c r="A648" s="6"/>
      <c r="B648" s="13"/>
      <c r="C648" s="81"/>
      <c r="D648" s="4"/>
      <c r="E648" s="8"/>
      <c r="F648" s="17"/>
      <c r="G648" s="17"/>
      <c r="H648" s="17"/>
      <c r="I648" s="17"/>
      <c r="J648" s="17"/>
      <c r="K648" s="17"/>
      <c r="L648" s="17"/>
      <c r="M648" s="17"/>
      <c r="N648" s="17"/>
      <c r="O648" s="17"/>
      <c r="P648" s="17"/>
      <c r="Q648" s="17"/>
      <c r="R648" s="17"/>
      <c r="S648" s="17"/>
      <c r="T648" s="17"/>
      <c r="U648" s="17"/>
      <c r="V648" s="17"/>
      <c r="W648" s="17"/>
      <c r="X648" s="17"/>
      <c r="Y648" s="17"/>
      <c r="Z648" s="17"/>
      <c r="AA648" s="17"/>
      <c r="AB648" s="17"/>
      <c r="AC648" s="17"/>
      <c r="AD648" s="17"/>
      <c r="AE648" s="17"/>
      <c r="AF648" s="17"/>
      <c r="AG648" s="17"/>
      <c r="AH648" s="17"/>
      <c r="AI648" s="17"/>
      <c r="AJ648" s="17"/>
      <c r="AK648" s="17"/>
      <c r="AL648" s="17"/>
      <c r="AM648" s="17"/>
      <c r="AN648" s="17"/>
      <c r="AO648" s="17"/>
      <c r="AP648" s="1"/>
      <c r="AQ648" s="1"/>
    </row>
    <row r="649" spans="1:43" x14ac:dyDescent="0.35">
      <c r="A649" s="6"/>
      <c r="B649" s="13"/>
      <c r="C649" s="81"/>
      <c r="D649" s="4"/>
      <c r="E649" s="8"/>
      <c r="F649" s="17"/>
      <c r="G649" s="17"/>
      <c r="H649" s="17"/>
      <c r="I649" s="17"/>
      <c r="J649" s="17"/>
      <c r="K649" s="17"/>
      <c r="L649" s="17"/>
      <c r="M649" s="17"/>
      <c r="N649" s="17"/>
      <c r="O649" s="17"/>
      <c r="P649" s="17"/>
      <c r="Q649" s="17"/>
      <c r="R649" s="17"/>
      <c r="S649" s="17"/>
      <c r="T649" s="17"/>
      <c r="U649" s="17"/>
      <c r="V649" s="17"/>
      <c r="W649" s="17"/>
      <c r="X649" s="17"/>
      <c r="Y649" s="17"/>
      <c r="Z649" s="17"/>
      <c r="AA649" s="17"/>
      <c r="AB649" s="17"/>
      <c r="AC649" s="17"/>
      <c r="AD649" s="17"/>
      <c r="AE649" s="17"/>
      <c r="AF649" s="17"/>
      <c r="AG649" s="17"/>
      <c r="AH649" s="17"/>
      <c r="AI649" s="17"/>
      <c r="AJ649" s="17"/>
      <c r="AK649" s="17"/>
      <c r="AL649" s="17"/>
      <c r="AM649" s="17"/>
      <c r="AN649" s="17"/>
      <c r="AO649" s="17"/>
      <c r="AP649" s="1"/>
      <c r="AQ649" s="1"/>
    </row>
    <row r="650" spans="1:43" x14ac:dyDescent="0.35">
      <c r="A650" s="6"/>
      <c r="B650" s="13"/>
      <c r="C650" s="81"/>
      <c r="D650" s="4"/>
      <c r="E650" s="8"/>
      <c r="F650" s="17"/>
      <c r="G650" s="17"/>
      <c r="H650" s="17"/>
      <c r="I650" s="17"/>
      <c r="J650" s="17"/>
      <c r="K650" s="17"/>
      <c r="L650" s="17"/>
      <c r="M650" s="17"/>
      <c r="N650" s="17"/>
      <c r="O650" s="17"/>
      <c r="P650" s="17"/>
      <c r="Q650" s="17"/>
      <c r="R650" s="17"/>
      <c r="S650" s="17"/>
      <c r="T650" s="17"/>
      <c r="U650" s="17"/>
      <c r="V650" s="17"/>
      <c r="W650" s="17"/>
      <c r="X650" s="17"/>
      <c r="Y650" s="17"/>
      <c r="Z650" s="17"/>
      <c r="AA650" s="17"/>
      <c r="AB650" s="17"/>
      <c r="AC650" s="17"/>
      <c r="AD650" s="17"/>
      <c r="AE650" s="17"/>
      <c r="AF650" s="17"/>
      <c r="AG650" s="17"/>
      <c r="AH650" s="17"/>
      <c r="AI650" s="17"/>
      <c r="AJ650" s="17"/>
      <c r="AK650" s="17"/>
      <c r="AL650" s="17"/>
      <c r="AM650" s="17"/>
      <c r="AN650" s="17"/>
      <c r="AO650" s="17"/>
      <c r="AP650" s="1"/>
      <c r="AQ650" s="1"/>
    </row>
    <row r="651" spans="1:43" x14ac:dyDescent="0.35">
      <c r="A651" s="6"/>
      <c r="B651" s="13"/>
      <c r="C651" s="81"/>
      <c r="D651" s="4"/>
      <c r="E651" s="8"/>
      <c r="F651" s="17"/>
      <c r="G651" s="17"/>
      <c r="H651" s="17"/>
      <c r="I651" s="17"/>
      <c r="J651" s="17"/>
      <c r="K651" s="17"/>
      <c r="L651" s="17"/>
      <c r="M651" s="17"/>
      <c r="N651" s="17"/>
      <c r="O651" s="17"/>
      <c r="P651" s="17"/>
      <c r="Q651" s="17"/>
      <c r="R651" s="17"/>
      <c r="S651" s="17"/>
      <c r="T651" s="17"/>
      <c r="U651" s="17"/>
      <c r="V651" s="17"/>
      <c r="W651" s="17"/>
      <c r="X651" s="17"/>
      <c r="Y651" s="17"/>
      <c r="Z651" s="17"/>
      <c r="AA651" s="17"/>
      <c r="AB651" s="17"/>
      <c r="AC651" s="17"/>
      <c r="AD651" s="17"/>
      <c r="AE651" s="17"/>
      <c r="AF651" s="17"/>
      <c r="AG651" s="17"/>
      <c r="AH651" s="17"/>
      <c r="AI651" s="17"/>
      <c r="AJ651" s="17"/>
      <c r="AK651" s="17"/>
      <c r="AL651" s="17"/>
      <c r="AM651" s="17"/>
      <c r="AN651" s="17"/>
      <c r="AO651" s="17"/>
      <c r="AP651" s="1"/>
      <c r="AQ651" s="1"/>
    </row>
    <row r="652" spans="1:43" x14ac:dyDescent="0.35">
      <c r="A652" s="6"/>
      <c r="B652" s="13"/>
      <c r="C652" s="81"/>
      <c r="D652" s="4"/>
      <c r="E652" s="8"/>
      <c r="F652" s="17"/>
      <c r="G652" s="17"/>
      <c r="H652" s="17"/>
      <c r="I652" s="17"/>
      <c r="J652" s="17"/>
      <c r="K652" s="17"/>
      <c r="L652" s="17"/>
      <c r="M652" s="17"/>
      <c r="N652" s="17"/>
      <c r="O652" s="17"/>
      <c r="P652" s="17"/>
      <c r="Q652" s="17"/>
      <c r="R652" s="17"/>
      <c r="S652" s="17"/>
      <c r="T652" s="17"/>
      <c r="U652" s="17"/>
      <c r="V652" s="17"/>
      <c r="W652" s="17"/>
      <c r="X652" s="17"/>
      <c r="Y652" s="17"/>
      <c r="Z652" s="17"/>
      <c r="AA652" s="17"/>
      <c r="AB652" s="17"/>
      <c r="AC652" s="17"/>
      <c r="AD652" s="17"/>
      <c r="AE652" s="17"/>
      <c r="AF652" s="17"/>
      <c r="AG652" s="17"/>
      <c r="AH652" s="17"/>
      <c r="AI652" s="17"/>
      <c r="AJ652" s="17"/>
      <c r="AK652" s="17"/>
      <c r="AL652" s="17"/>
      <c r="AM652" s="17"/>
      <c r="AN652" s="17"/>
      <c r="AO652" s="17"/>
      <c r="AP652" s="1"/>
      <c r="AQ652" s="1"/>
    </row>
    <row r="653" spans="1:43" x14ac:dyDescent="0.35">
      <c r="A653" s="6"/>
      <c r="B653" s="13"/>
      <c r="C653" s="81"/>
      <c r="D653" s="4"/>
      <c r="E653" s="8"/>
      <c r="F653" s="17"/>
      <c r="G653" s="17"/>
      <c r="H653" s="17"/>
      <c r="I653" s="17"/>
      <c r="J653" s="17"/>
      <c r="K653" s="17"/>
      <c r="L653" s="17"/>
      <c r="M653" s="17"/>
      <c r="N653" s="17"/>
      <c r="O653" s="17"/>
      <c r="P653" s="17"/>
      <c r="Q653" s="17"/>
      <c r="R653" s="17"/>
      <c r="S653" s="17"/>
      <c r="T653" s="17"/>
      <c r="U653" s="17"/>
      <c r="V653" s="17"/>
      <c r="W653" s="17"/>
      <c r="X653" s="17"/>
      <c r="Y653" s="17"/>
      <c r="Z653" s="17"/>
      <c r="AA653" s="17"/>
      <c r="AB653" s="17"/>
      <c r="AC653" s="17"/>
      <c r="AD653" s="17"/>
      <c r="AE653" s="17"/>
      <c r="AF653" s="17"/>
      <c r="AG653" s="17"/>
      <c r="AH653" s="17"/>
      <c r="AI653" s="17"/>
      <c r="AJ653" s="17"/>
      <c r="AK653" s="17"/>
      <c r="AL653" s="17"/>
      <c r="AM653" s="17"/>
      <c r="AN653" s="17"/>
      <c r="AO653" s="17"/>
      <c r="AP653" s="1"/>
      <c r="AQ653" s="1"/>
    </row>
    <row r="654" spans="1:43" x14ac:dyDescent="0.35">
      <c r="A654" s="6"/>
      <c r="B654" s="13"/>
      <c r="C654" s="81"/>
      <c r="D654" s="4"/>
      <c r="E654" s="8"/>
      <c r="F654" s="17"/>
      <c r="G654" s="17"/>
      <c r="H654" s="17"/>
      <c r="I654" s="17"/>
      <c r="J654" s="17"/>
      <c r="K654" s="17"/>
      <c r="L654" s="17"/>
      <c r="M654" s="17"/>
      <c r="N654" s="17"/>
      <c r="O654" s="17"/>
      <c r="P654" s="17"/>
      <c r="Q654" s="17"/>
      <c r="R654" s="17"/>
      <c r="S654" s="17"/>
      <c r="T654" s="17"/>
      <c r="U654" s="17"/>
      <c r="V654" s="17"/>
      <c r="W654" s="17"/>
      <c r="X654" s="17"/>
      <c r="Y654" s="17"/>
      <c r="Z654" s="17"/>
      <c r="AA654" s="17"/>
      <c r="AB654" s="17"/>
      <c r="AC654" s="17"/>
      <c r="AD654" s="17"/>
      <c r="AE654" s="17"/>
      <c r="AF654" s="17"/>
      <c r="AG654" s="17"/>
      <c r="AH654" s="17"/>
      <c r="AI654" s="17"/>
      <c r="AJ654" s="17"/>
      <c r="AK654" s="17"/>
      <c r="AL654" s="17"/>
      <c r="AM654" s="17"/>
      <c r="AN654" s="17"/>
      <c r="AO654" s="17"/>
      <c r="AP654" s="1"/>
      <c r="AQ654" s="1"/>
    </row>
    <row r="655" spans="1:43" x14ac:dyDescent="0.35">
      <c r="A655" s="6"/>
      <c r="B655" s="13"/>
      <c r="C655" s="81"/>
      <c r="D655" s="4"/>
      <c r="E655" s="8"/>
      <c r="F655" s="17"/>
      <c r="G655" s="17"/>
      <c r="H655" s="17"/>
      <c r="I655" s="17"/>
      <c r="J655" s="17"/>
      <c r="K655" s="17"/>
      <c r="L655" s="17"/>
      <c r="M655" s="17"/>
      <c r="N655" s="17"/>
      <c r="O655" s="17"/>
      <c r="P655" s="17"/>
      <c r="Q655" s="17"/>
      <c r="R655" s="17"/>
      <c r="S655" s="17"/>
      <c r="T655" s="17"/>
      <c r="U655" s="17"/>
      <c r="V655" s="17"/>
      <c r="W655" s="17"/>
      <c r="X655" s="17"/>
      <c r="Y655" s="17"/>
      <c r="Z655" s="17"/>
      <c r="AA655" s="17"/>
      <c r="AB655" s="17"/>
      <c r="AC655" s="17"/>
      <c r="AD655" s="17"/>
      <c r="AE655" s="17"/>
      <c r="AF655" s="17"/>
      <c r="AG655" s="17"/>
      <c r="AH655" s="17"/>
      <c r="AI655" s="17"/>
      <c r="AJ655" s="17"/>
      <c r="AK655" s="17"/>
      <c r="AL655" s="17"/>
      <c r="AM655" s="17"/>
      <c r="AN655" s="17"/>
      <c r="AO655" s="17"/>
      <c r="AP655" s="1"/>
      <c r="AQ655" s="1"/>
    </row>
    <row r="656" spans="1:43" x14ac:dyDescent="0.35">
      <c r="A656" s="6"/>
      <c r="B656" s="13"/>
      <c r="C656" s="81"/>
      <c r="D656" s="4"/>
      <c r="E656" s="8"/>
      <c r="F656" s="17"/>
      <c r="G656" s="17"/>
      <c r="H656" s="17"/>
      <c r="I656" s="17"/>
      <c r="J656" s="17"/>
      <c r="K656" s="17"/>
      <c r="L656" s="17"/>
      <c r="M656" s="17"/>
      <c r="N656" s="17"/>
      <c r="O656" s="17"/>
      <c r="P656" s="17"/>
      <c r="Q656" s="17"/>
      <c r="R656" s="17"/>
      <c r="S656" s="17"/>
      <c r="T656" s="17"/>
      <c r="U656" s="17"/>
      <c r="V656" s="17"/>
      <c r="W656" s="17"/>
      <c r="X656" s="17"/>
      <c r="Y656" s="17"/>
      <c r="Z656" s="17"/>
      <c r="AA656" s="17"/>
      <c r="AB656" s="17"/>
      <c r="AC656" s="17"/>
      <c r="AD656" s="17"/>
      <c r="AE656" s="17"/>
      <c r="AF656" s="17"/>
      <c r="AG656" s="17"/>
      <c r="AH656" s="17"/>
      <c r="AI656" s="17"/>
      <c r="AJ656" s="17"/>
      <c r="AK656" s="17"/>
      <c r="AL656" s="17"/>
      <c r="AM656" s="17"/>
      <c r="AN656" s="17"/>
      <c r="AO656" s="17"/>
      <c r="AP656" s="1"/>
      <c r="AQ656" s="1"/>
    </row>
    <row r="657" spans="1:43" x14ac:dyDescent="0.35">
      <c r="A657" s="6"/>
      <c r="B657" s="13"/>
      <c r="C657" s="81"/>
      <c r="D657" s="4"/>
      <c r="E657" s="8"/>
      <c r="F657" s="17"/>
      <c r="G657" s="17"/>
      <c r="H657" s="17"/>
      <c r="I657" s="17"/>
      <c r="J657" s="17"/>
      <c r="K657" s="17"/>
      <c r="L657" s="17"/>
      <c r="M657" s="17"/>
      <c r="N657" s="17"/>
      <c r="O657" s="17"/>
      <c r="P657" s="17"/>
      <c r="Q657" s="17"/>
      <c r="R657" s="17"/>
      <c r="S657" s="17"/>
      <c r="T657" s="17"/>
      <c r="U657" s="17"/>
      <c r="V657" s="17"/>
      <c r="W657" s="17"/>
      <c r="X657" s="17"/>
      <c r="Y657" s="17"/>
      <c r="Z657" s="17"/>
      <c r="AA657" s="17"/>
      <c r="AB657" s="17"/>
      <c r="AC657" s="17"/>
      <c r="AD657" s="17"/>
      <c r="AE657" s="17"/>
      <c r="AF657" s="17"/>
      <c r="AG657" s="17"/>
      <c r="AH657" s="17"/>
      <c r="AI657" s="17"/>
      <c r="AJ657" s="17"/>
      <c r="AK657" s="17"/>
      <c r="AL657" s="17"/>
      <c r="AM657" s="17"/>
      <c r="AN657" s="17"/>
      <c r="AO657" s="17"/>
      <c r="AP657" s="1"/>
      <c r="AQ657" s="1"/>
    </row>
    <row r="658" spans="1:43" x14ac:dyDescent="0.35">
      <c r="A658" s="6"/>
      <c r="B658" s="13"/>
      <c r="C658" s="81"/>
      <c r="D658" s="4"/>
      <c r="E658" s="8"/>
      <c r="F658" s="17"/>
      <c r="G658" s="17"/>
      <c r="H658" s="17"/>
      <c r="I658" s="17"/>
      <c r="J658" s="17"/>
      <c r="K658" s="17"/>
      <c r="L658" s="17"/>
      <c r="M658" s="17"/>
      <c r="N658" s="17"/>
      <c r="O658" s="17"/>
      <c r="P658" s="17"/>
      <c r="Q658" s="17"/>
      <c r="R658" s="17"/>
      <c r="S658" s="17"/>
      <c r="T658" s="17"/>
      <c r="U658" s="17"/>
      <c r="V658" s="17"/>
      <c r="W658" s="17"/>
      <c r="X658" s="17"/>
      <c r="Y658" s="17"/>
      <c r="Z658" s="17"/>
      <c r="AA658" s="17"/>
      <c r="AB658" s="17"/>
      <c r="AC658" s="17"/>
      <c r="AD658" s="17"/>
      <c r="AE658" s="17"/>
      <c r="AF658" s="17"/>
      <c r="AG658" s="17"/>
      <c r="AH658" s="17"/>
      <c r="AI658" s="17"/>
      <c r="AJ658" s="17"/>
      <c r="AK658" s="17"/>
      <c r="AL658" s="17"/>
      <c r="AM658" s="17"/>
      <c r="AN658" s="17"/>
      <c r="AO658" s="17"/>
      <c r="AP658" s="1"/>
      <c r="AQ658" s="1"/>
    </row>
    <row r="659" spans="1:43" x14ac:dyDescent="0.35">
      <c r="A659" s="6"/>
      <c r="B659" s="13"/>
      <c r="C659" s="81"/>
      <c r="D659" s="4"/>
      <c r="E659" s="8"/>
      <c r="F659" s="17"/>
      <c r="G659" s="17"/>
      <c r="H659" s="17"/>
      <c r="I659" s="17"/>
      <c r="J659" s="17"/>
      <c r="K659" s="17"/>
      <c r="L659" s="17"/>
      <c r="M659" s="17"/>
      <c r="N659" s="17"/>
      <c r="O659" s="17"/>
      <c r="P659" s="17"/>
      <c r="Q659" s="17"/>
      <c r="R659" s="17"/>
      <c r="S659" s="17"/>
      <c r="T659" s="17"/>
      <c r="U659" s="17"/>
      <c r="V659" s="17"/>
      <c r="W659" s="17"/>
      <c r="X659" s="17"/>
      <c r="Y659" s="17"/>
      <c r="Z659" s="17"/>
      <c r="AA659" s="17"/>
      <c r="AB659" s="17"/>
      <c r="AC659" s="17"/>
      <c r="AD659" s="17"/>
      <c r="AE659" s="17"/>
      <c r="AF659" s="17"/>
      <c r="AG659" s="17"/>
      <c r="AH659" s="17"/>
      <c r="AI659" s="17"/>
      <c r="AJ659" s="17"/>
      <c r="AK659" s="17"/>
      <c r="AL659" s="17"/>
      <c r="AM659" s="17"/>
      <c r="AN659" s="17"/>
      <c r="AO659" s="17"/>
      <c r="AP659" s="1"/>
      <c r="AQ659" s="1"/>
    </row>
    <row r="660" spans="1:43" x14ac:dyDescent="0.35">
      <c r="A660" s="6"/>
      <c r="B660" s="13"/>
      <c r="C660" s="81"/>
      <c r="D660" s="4"/>
      <c r="E660" s="8"/>
      <c r="F660" s="17"/>
      <c r="G660" s="17"/>
      <c r="H660" s="17"/>
      <c r="I660" s="17"/>
      <c r="J660" s="17"/>
      <c r="K660" s="17"/>
      <c r="L660" s="17"/>
      <c r="M660" s="17"/>
      <c r="N660" s="17"/>
      <c r="O660" s="17"/>
      <c r="P660" s="17"/>
      <c r="Q660" s="17"/>
      <c r="R660" s="17"/>
      <c r="S660" s="17"/>
      <c r="T660" s="17"/>
      <c r="U660" s="17"/>
      <c r="V660" s="17"/>
      <c r="W660" s="17"/>
      <c r="X660" s="17"/>
      <c r="Y660" s="17"/>
      <c r="Z660" s="17"/>
      <c r="AA660" s="17"/>
      <c r="AB660" s="17"/>
      <c r="AC660" s="17"/>
      <c r="AD660" s="17"/>
      <c r="AE660" s="17"/>
      <c r="AF660" s="17"/>
      <c r="AG660" s="17"/>
      <c r="AH660" s="17"/>
      <c r="AI660" s="17"/>
      <c r="AJ660" s="17"/>
      <c r="AK660" s="17"/>
      <c r="AL660" s="17"/>
      <c r="AM660" s="17"/>
      <c r="AN660" s="17"/>
      <c r="AO660" s="17"/>
      <c r="AP660" s="1"/>
      <c r="AQ660" s="1"/>
    </row>
    <row r="661" spans="1:43" x14ac:dyDescent="0.35">
      <c r="A661" s="6"/>
      <c r="B661" s="13"/>
      <c r="C661" s="81"/>
      <c r="D661" s="4"/>
      <c r="E661" s="8"/>
      <c r="F661" s="17"/>
      <c r="G661" s="17"/>
      <c r="H661" s="17"/>
      <c r="I661" s="17"/>
      <c r="J661" s="17"/>
      <c r="K661" s="17"/>
      <c r="L661" s="17"/>
      <c r="M661" s="17"/>
      <c r="N661" s="17"/>
      <c r="O661" s="17"/>
      <c r="P661" s="17"/>
      <c r="Q661" s="17"/>
      <c r="R661" s="17"/>
      <c r="S661" s="17"/>
      <c r="T661" s="17"/>
      <c r="U661" s="17"/>
      <c r="V661" s="17"/>
      <c r="W661" s="17"/>
      <c r="X661" s="17"/>
      <c r="Y661" s="17"/>
      <c r="Z661" s="17"/>
      <c r="AA661" s="17"/>
      <c r="AB661" s="17"/>
      <c r="AC661" s="17"/>
      <c r="AD661" s="17"/>
      <c r="AE661" s="17"/>
      <c r="AF661" s="17"/>
      <c r="AG661" s="17"/>
      <c r="AH661" s="17"/>
      <c r="AI661" s="17"/>
      <c r="AJ661" s="17"/>
      <c r="AK661" s="17"/>
      <c r="AL661" s="17"/>
      <c r="AM661" s="17"/>
      <c r="AN661" s="17"/>
      <c r="AO661" s="17"/>
      <c r="AP661" s="1"/>
      <c r="AQ661" s="1"/>
    </row>
    <row r="662" spans="1:43" x14ac:dyDescent="0.35">
      <c r="A662" s="6"/>
      <c r="B662" s="13"/>
      <c r="C662" s="81"/>
      <c r="D662" s="4"/>
      <c r="E662" s="8"/>
      <c r="F662" s="17"/>
      <c r="G662" s="17"/>
      <c r="H662" s="17"/>
      <c r="I662" s="17"/>
      <c r="J662" s="17"/>
      <c r="K662" s="17"/>
      <c r="L662" s="17"/>
      <c r="M662" s="17"/>
      <c r="N662" s="17"/>
      <c r="O662" s="17"/>
      <c r="P662" s="17"/>
      <c r="Q662" s="17"/>
      <c r="R662" s="17"/>
      <c r="S662" s="17"/>
      <c r="T662" s="17"/>
      <c r="U662" s="17"/>
      <c r="V662" s="17"/>
      <c r="W662" s="17"/>
      <c r="X662" s="17"/>
      <c r="Y662" s="17"/>
      <c r="Z662" s="17"/>
      <c r="AA662" s="17"/>
      <c r="AB662" s="17"/>
      <c r="AC662" s="17"/>
      <c r="AD662" s="17"/>
      <c r="AE662" s="17"/>
      <c r="AF662" s="17"/>
      <c r="AG662" s="17"/>
      <c r="AH662" s="17"/>
      <c r="AI662" s="17"/>
      <c r="AJ662" s="17"/>
      <c r="AK662" s="17"/>
      <c r="AL662" s="17"/>
      <c r="AM662" s="17"/>
      <c r="AN662" s="17"/>
      <c r="AO662" s="17"/>
      <c r="AP662" s="1"/>
      <c r="AQ662" s="1"/>
    </row>
    <row r="663" spans="1:43" x14ac:dyDescent="0.35">
      <c r="A663" s="6"/>
      <c r="B663" s="13"/>
      <c r="C663" s="81"/>
      <c r="D663" s="4"/>
      <c r="E663" s="8"/>
      <c r="F663" s="17"/>
      <c r="G663" s="17"/>
      <c r="H663" s="17"/>
      <c r="I663" s="17"/>
      <c r="J663" s="17"/>
      <c r="K663" s="17"/>
      <c r="L663" s="17"/>
      <c r="M663" s="17"/>
      <c r="N663" s="17"/>
      <c r="O663" s="17"/>
      <c r="P663" s="17"/>
      <c r="Q663" s="17"/>
      <c r="R663" s="17"/>
      <c r="S663" s="17"/>
      <c r="T663" s="17"/>
      <c r="U663" s="17"/>
      <c r="V663" s="17"/>
      <c r="W663" s="17"/>
      <c r="X663" s="17"/>
      <c r="Y663" s="17"/>
      <c r="Z663" s="17"/>
      <c r="AA663" s="17"/>
      <c r="AB663" s="17"/>
      <c r="AC663" s="17"/>
      <c r="AD663" s="17"/>
      <c r="AE663" s="17"/>
      <c r="AF663" s="17"/>
      <c r="AG663" s="17"/>
      <c r="AH663" s="17"/>
      <c r="AI663" s="17"/>
      <c r="AJ663" s="17"/>
      <c r="AK663" s="17"/>
      <c r="AL663" s="17"/>
      <c r="AM663" s="17"/>
      <c r="AN663" s="17"/>
      <c r="AO663" s="17"/>
      <c r="AP663" s="1"/>
      <c r="AQ663" s="1"/>
    </row>
    <row r="664" spans="1:43" x14ac:dyDescent="0.35">
      <c r="A664" s="6"/>
      <c r="B664" s="13"/>
      <c r="C664" s="81"/>
      <c r="D664" s="4"/>
      <c r="E664" s="8"/>
      <c r="F664" s="17"/>
      <c r="G664" s="17"/>
      <c r="H664" s="17"/>
      <c r="I664" s="17"/>
      <c r="J664" s="17"/>
      <c r="K664" s="17"/>
      <c r="L664" s="17"/>
      <c r="M664" s="17"/>
      <c r="N664" s="17"/>
      <c r="O664" s="17"/>
      <c r="P664" s="17"/>
      <c r="Q664" s="17"/>
      <c r="R664" s="17"/>
      <c r="S664" s="17"/>
      <c r="T664" s="17"/>
      <c r="U664" s="17"/>
      <c r="V664" s="17"/>
      <c r="W664" s="17"/>
      <c r="X664" s="17"/>
      <c r="Y664" s="17"/>
      <c r="Z664" s="17"/>
      <c r="AA664" s="17"/>
      <c r="AB664" s="17"/>
      <c r="AC664" s="17"/>
      <c r="AD664" s="17"/>
      <c r="AE664" s="17"/>
      <c r="AF664" s="17"/>
      <c r="AG664" s="17"/>
      <c r="AH664" s="17"/>
      <c r="AI664" s="17"/>
      <c r="AJ664" s="17"/>
      <c r="AK664" s="17"/>
      <c r="AL664" s="17"/>
      <c r="AM664" s="17"/>
      <c r="AN664" s="17"/>
      <c r="AO664" s="17"/>
      <c r="AP664" s="1"/>
      <c r="AQ664" s="1"/>
    </row>
    <row r="665" spans="1:43" x14ac:dyDescent="0.35">
      <c r="A665" s="6"/>
      <c r="B665" s="13"/>
      <c r="C665" s="81"/>
      <c r="D665" s="4"/>
      <c r="E665" s="8"/>
      <c r="F665" s="17"/>
      <c r="G665" s="17"/>
      <c r="H665" s="17"/>
      <c r="I665" s="17"/>
      <c r="J665" s="17"/>
      <c r="K665" s="17"/>
      <c r="L665" s="17"/>
      <c r="M665" s="17"/>
      <c r="N665" s="17"/>
      <c r="O665" s="17"/>
      <c r="P665" s="17"/>
      <c r="Q665" s="17"/>
      <c r="R665" s="17"/>
      <c r="S665" s="17"/>
      <c r="T665" s="17"/>
      <c r="U665" s="17"/>
      <c r="V665" s="17"/>
      <c r="W665" s="17"/>
      <c r="X665" s="17"/>
      <c r="Y665" s="17"/>
      <c r="Z665" s="17"/>
      <c r="AA665" s="17"/>
      <c r="AB665" s="17"/>
      <c r="AC665" s="17"/>
      <c r="AD665" s="17"/>
      <c r="AE665" s="17"/>
      <c r="AF665" s="17"/>
      <c r="AG665" s="17"/>
      <c r="AH665" s="17"/>
      <c r="AI665" s="17"/>
      <c r="AJ665" s="17"/>
      <c r="AK665" s="17"/>
      <c r="AL665" s="17"/>
      <c r="AM665" s="17"/>
      <c r="AN665" s="17"/>
      <c r="AO665" s="17"/>
      <c r="AP665" s="1"/>
      <c r="AQ665" s="1"/>
    </row>
    <row r="666" spans="1:43" x14ac:dyDescent="0.35">
      <c r="A666" s="6"/>
      <c r="B666" s="13"/>
      <c r="C666" s="81"/>
      <c r="D666" s="4"/>
      <c r="E666" s="8"/>
      <c r="F666" s="17"/>
      <c r="G666" s="17"/>
      <c r="H666" s="17"/>
      <c r="I666" s="17"/>
      <c r="J666" s="17"/>
      <c r="K666" s="17"/>
      <c r="L666" s="17"/>
      <c r="M666" s="17"/>
      <c r="N666" s="17"/>
      <c r="O666" s="17"/>
      <c r="P666" s="17"/>
      <c r="Q666" s="17"/>
      <c r="R666" s="17"/>
      <c r="S666" s="17"/>
      <c r="T666" s="17"/>
      <c r="U666" s="17"/>
      <c r="V666" s="17"/>
      <c r="W666" s="17"/>
      <c r="X666" s="17"/>
      <c r="Y666" s="17"/>
      <c r="Z666" s="17"/>
      <c r="AA666" s="17"/>
      <c r="AB666" s="17"/>
      <c r="AC666" s="17"/>
      <c r="AD666" s="17"/>
      <c r="AE666" s="17"/>
      <c r="AF666" s="17"/>
      <c r="AG666" s="17"/>
      <c r="AH666" s="17"/>
      <c r="AI666" s="17"/>
      <c r="AJ666" s="17"/>
      <c r="AK666" s="17"/>
      <c r="AL666" s="17"/>
      <c r="AM666" s="17"/>
      <c r="AN666" s="17"/>
      <c r="AO666" s="17"/>
      <c r="AP666" s="1"/>
      <c r="AQ666" s="1"/>
    </row>
    <row r="667" spans="1:43" x14ac:dyDescent="0.35">
      <c r="A667" s="6"/>
      <c r="B667" s="13"/>
      <c r="C667" s="81"/>
      <c r="D667" s="4"/>
      <c r="E667" s="8"/>
      <c r="F667" s="17"/>
      <c r="G667" s="17"/>
      <c r="H667" s="17"/>
      <c r="I667" s="17"/>
      <c r="J667" s="17"/>
      <c r="K667" s="17"/>
      <c r="L667" s="17"/>
      <c r="M667" s="17"/>
      <c r="N667" s="17"/>
      <c r="O667" s="17"/>
      <c r="P667" s="17"/>
      <c r="Q667" s="17"/>
      <c r="R667" s="17"/>
      <c r="S667" s="17"/>
      <c r="T667" s="17"/>
      <c r="U667" s="17"/>
      <c r="V667" s="17"/>
      <c r="W667" s="17"/>
      <c r="X667" s="17"/>
      <c r="Y667" s="17"/>
      <c r="Z667" s="17"/>
      <c r="AA667" s="17"/>
      <c r="AB667" s="17"/>
      <c r="AC667" s="17"/>
      <c r="AD667" s="17"/>
      <c r="AE667" s="17"/>
      <c r="AF667" s="17"/>
      <c r="AG667" s="17"/>
      <c r="AH667" s="17"/>
      <c r="AI667" s="17"/>
      <c r="AJ667" s="17"/>
      <c r="AK667" s="17"/>
      <c r="AL667" s="17"/>
      <c r="AM667" s="17"/>
      <c r="AN667" s="17"/>
      <c r="AO667" s="17"/>
      <c r="AP667" s="1"/>
      <c r="AQ667" s="1"/>
    </row>
    <row r="668" spans="1:43" x14ac:dyDescent="0.35">
      <c r="A668" s="6"/>
      <c r="B668" s="13"/>
      <c r="C668" s="81"/>
      <c r="D668" s="4"/>
      <c r="E668" s="8"/>
      <c r="F668" s="17"/>
      <c r="G668" s="17"/>
      <c r="H668" s="17"/>
      <c r="I668" s="17"/>
      <c r="J668" s="17"/>
      <c r="K668" s="17"/>
      <c r="L668" s="17"/>
      <c r="M668" s="17"/>
      <c r="N668" s="17"/>
      <c r="O668" s="17"/>
      <c r="P668" s="17"/>
      <c r="Q668" s="17"/>
      <c r="R668" s="17"/>
      <c r="S668" s="17"/>
      <c r="T668" s="17"/>
      <c r="U668" s="17"/>
      <c r="V668" s="17"/>
      <c r="W668" s="17"/>
      <c r="X668" s="17"/>
      <c r="Y668" s="17"/>
      <c r="Z668" s="17"/>
      <c r="AA668" s="17"/>
      <c r="AB668" s="17"/>
      <c r="AC668" s="17"/>
      <c r="AD668" s="17"/>
      <c r="AE668" s="17"/>
      <c r="AF668" s="17"/>
      <c r="AG668" s="17"/>
      <c r="AH668" s="17"/>
      <c r="AI668" s="17"/>
      <c r="AJ668" s="17"/>
      <c r="AK668" s="17"/>
      <c r="AL668" s="17"/>
      <c r="AM668" s="17"/>
      <c r="AN668" s="17"/>
      <c r="AO668" s="17"/>
      <c r="AP668" s="1"/>
      <c r="AQ668" s="1"/>
    </row>
    <row r="669" spans="1:43" x14ac:dyDescent="0.35">
      <c r="A669" s="6"/>
      <c r="B669" s="13"/>
      <c r="C669" s="81"/>
      <c r="D669" s="4"/>
      <c r="E669" s="8"/>
      <c r="F669" s="17"/>
      <c r="G669" s="17"/>
      <c r="H669" s="17"/>
      <c r="I669" s="17"/>
      <c r="J669" s="17"/>
      <c r="K669" s="17"/>
      <c r="L669" s="17"/>
      <c r="M669" s="17"/>
      <c r="N669" s="17"/>
      <c r="O669" s="17"/>
      <c r="P669" s="17"/>
      <c r="Q669" s="17"/>
      <c r="R669" s="17"/>
      <c r="S669" s="17"/>
      <c r="T669" s="17"/>
      <c r="U669" s="17"/>
      <c r="V669" s="17"/>
      <c r="W669" s="17"/>
      <c r="X669" s="17"/>
      <c r="Y669" s="17"/>
      <c r="Z669" s="17"/>
      <c r="AA669" s="17"/>
      <c r="AB669" s="17"/>
      <c r="AC669" s="17"/>
      <c r="AD669" s="17"/>
      <c r="AE669" s="17"/>
      <c r="AF669" s="17"/>
      <c r="AG669" s="17"/>
      <c r="AH669" s="17"/>
      <c r="AI669" s="17"/>
      <c r="AJ669" s="17"/>
      <c r="AK669" s="17"/>
      <c r="AL669" s="17"/>
      <c r="AM669" s="17"/>
      <c r="AN669" s="17"/>
      <c r="AO669" s="17"/>
      <c r="AP669" s="1"/>
      <c r="AQ669" s="1"/>
    </row>
    <row r="670" spans="1:43" x14ac:dyDescent="0.35">
      <c r="A670" s="6"/>
      <c r="B670" s="13"/>
      <c r="C670" s="81"/>
      <c r="D670" s="4"/>
      <c r="E670" s="8"/>
      <c r="F670" s="17"/>
      <c r="G670" s="17"/>
      <c r="H670" s="17"/>
      <c r="I670" s="17"/>
      <c r="J670" s="17"/>
      <c r="K670" s="17"/>
      <c r="L670" s="17"/>
      <c r="M670" s="17"/>
      <c r="N670" s="17"/>
      <c r="O670" s="17"/>
      <c r="P670" s="17"/>
      <c r="Q670" s="17"/>
      <c r="R670" s="17"/>
      <c r="S670" s="17"/>
      <c r="T670" s="17"/>
      <c r="U670" s="17"/>
      <c r="V670" s="17"/>
      <c r="W670" s="17"/>
      <c r="X670" s="17"/>
      <c r="Y670" s="17"/>
      <c r="Z670" s="17"/>
      <c r="AA670" s="17"/>
      <c r="AB670" s="17"/>
      <c r="AC670" s="17"/>
      <c r="AD670" s="17"/>
      <c r="AE670" s="17"/>
      <c r="AF670" s="17"/>
      <c r="AG670" s="17"/>
      <c r="AH670" s="17"/>
      <c r="AI670" s="17"/>
      <c r="AJ670" s="17"/>
      <c r="AK670" s="17"/>
      <c r="AL670" s="17"/>
      <c r="AM670" s="17"/>
      <c r="AN670" s="17"/>
      <c r="AO670" s="17"/>
      <c r="AP670" s="1"/>
      <c r="AQ670" s="1"/>
    </row>
    <row r="671" spans="1:43" x14ac:dyDescent="0.35">
      <c r="A671" s="6"/>
      <c r="B671" s="13"/>
      <c r="C671" s="81"/>
      <c r="D671" s="4"/>
      <c r="E671" s="8"/>
      <c r="F671" s="17"/>
      <c r="G671" s="17"/>
      <c r="H671" s="17"/>
      <c r="I671" s="17"/>
      <c r="J671" s="17"/>
      <c r="K671" s="17"/>
      <c r="L671" s="17"/>
      <c r="M671" s="17"/>
      <c r="N671" s="17"/>
      <c r="O671" s="17"/>
      <c r="P671" s="17"/>
      <c r="Q671" s="17"/>
      <c r="R671" s="17"/>
      <c r="S671" s="17"/>
      <c r="T671" s="17"/>
      <c r="U671" s="17"/>
      <c r="V671" s="17"/>
      <c r="W671" s="17"/>
      <c r="X671" s="17"/>
      <c r="Y671" s="17"/>
      <c r="Z671" s="17"/>
      <c r="AA671" s="17"/>
      <c r="AB671" s="17"/>
      <c r="AC671" s="17"/>
      <c r="AD671" s="17"/>
      <c r="AE671" s="17"/>
      <c r="AF671" s="17"/>
      <c r="AG671" s="17"/>
      <c r="AH671" s="17"/>
      <c r="AI671" s="17"/>
      <c r="AJ671" s="17"/>
      <c r="AK671" s="17"/>
      <c r="AL671" s="17"/>
      <c r="AM671" s="17"/>
      <c r="AN671" s="17"/>
      <c r="AO671" s="17"/>
      <c r="AP671" s="1"/>
      <c r="AQ671" s="1"/>
    </row>
    <row r="672" spans="1:43" x14ac:dyDescent="0.35">
      <c r="A672" s="6"/>
      <c r="B672" s="13"/>
      <c r="C672" s="81"/>
      <c r="D672" s="4"/>
      <c r="E672" s="8"/>
      <c r="F672" s="17"/>
      <c r="G672" s="17"/>
      <c r="H672" s="17"/>
      <c r="I672" s="17"/>
      <c r="J672" s="17"/>
      <c r="K672" s="17"/>
      <c r="L672" s="17"/>
      <c r="M672" s="17"/>
      <c r="N672" s="17"/>
      <c r="O672" s="17"/>
      <c r="P672" s="17"/>
      <c r="Q672" s="17"/>
      <c r="R672" s="17"/>
      <c r="S672" s="17"/>
      <c r="T672" s="17"/>
      <c r="U672" s="17"/>
      <c r="V672" s="17"/>
      <c r="W672" s="17"/>
      <c r="X672" s="17"/>
      <c r="Y672" s="17"/>
      <c r="Z672" s="17"/>
      <c r="AA672" s="17"/>
      <c r="AB672" s="17"/>
      <c r="AC672" s="17"/>
      <c r="AD672" s="17"/>
      <c r="AE672" s="17"/>
      <c r="AF672" s="17"/>
      <c r="AG672" s="17"/>
      <c r="AH672" s="17"/>
      <c r="AI672" s="17"/>
      <c r="AJ672" s="17"/>
      <c r="AK672" s="17"/>
      <c r="AL672" s="17"/>
      <c r="AM672" s="17"/>
      <c r="AN672" s="17"/>
      <c r="AO672" s="17"/>
      <c r="AP672" s="1"/>
      <c r="AQ672" s="1"/>
    </row>
    <row r="673" spans="1:43" x14ac:dyDescent="0.35">
      <c r="A673" s="6"/>
      <c r="B673" s="13"/>
      <c r="C673" s="81"/>
      <c r="D673" s="4"/>
      <c r="E673" s="8"/>
      <c r="F673" s="17"/>
      <c r="G673" s="17"/>
      <c r="H673" s="17"/>
      <c r="I673" s="17"/>
      <c r="J673" s="17"/>
      <c r="K673" s="17"/>
      <c r="L673" s="17"/>
      <c r="M673" s="17"/>
      <c r="N673" s="17"/>
      <c r="O673" s="17"/>
      <c r="P673" s="17"/>
      <c r="Q673" s="17"/>
      <c r="R673" s="17"/>
      <c r="S673" s="17"/>
      <c r="T673" s="17"/>
      <c r="U673" s="17"/>
      <c r="V673" s="17"/>
      <c r="W673" s="17"/>
      <c r="X673" s="17"/>
      <c r="Y673" s="17"/>
      <c r="Z673" s="17"/>
      <c r="AA673" s="17"/>
      <c r="AB673" s="17"/>
      <c r="AC673" s="17"/>
      <c r="AD673" s="17"/>
      <c r="AE673" s="17"/>
      <c r="AF673" s="17"/>
      <c r="AG673" s="17"/>
      <c r="AH673" s="17"/>
      <c r="AI673" s="17"/>
      <c r="AJ673" s="17"/>
      <c r="AK673" s="17"/>
      <c r="AL673" s="17"/>
      <c r="AM673" s="17"/>
      <c r="AN673" s="17"/>
      <c r="AO673" s="17"/>
      <c r="AP673" s="1"/>
      <c r="AQ673" s="1"/>
    </row>
    <row r="674" spans="1:43" x14ac:dyDescent="0.35">
      <c r="A674" s="6"/>
      <c r="B674" s="13"/>
      <c r="C674" s="81"/>
      <c r="D674" s="4"/>
      <c r="E674" s="8"/>
      <c r="F674" s="17"/>
      <c r="G674" s="17"/>
      <c r="H674" s="17"/>
      <c r="I674" s="17"/>
      <c r="J674" s="17"/>
      <c r="K674" s="17"/>
      <c r="L674" s="17"/>
      <c r="M674" s="17"/>
      <c r="N674" s="17"/>
      <c r="O674" s="17"/>
      <c r="P674" s="17"/>
      <c r="Q674" s="17"/>
      <c r="R674" s="17"/>
      <c r="S674" s="17"/>
      <c r="T674" s="17"/>
      <c r="U674" s="17"/>
      <c r="V674" s="17"/>
      <c r="W674" s="17"/>
      <c r="X674" s="17"/>
      <c r="Y674" s="17"/>
      <c r="Z674" s="17"/>
      <c r="AA674" s="17"/>
      <c r="AB674" s="17"/>
      <c r="AC674" s="17"/>
      <c r="AD674" s="17"/>
      <c r="AE674" s="17"/>
      <c r="AF674" s="17"/>
      <c r="AG674" s="17"/>
      <c r="AH674" s="17"/>
      <c r="AI674" s="17"/>
      <c r="AJ674" s="17"/>
      <c r="AK674" s="17"/>
      <c r="AL674" s="17"/>
      <c r="AM674" s="17"/>
      <c r="AN674" s="17"/>
      <c r="AO674" s="17"/>
      <c r="AP674" s="1"/>
      <c r="AQ674" s="1"/>
    </row>
    <row r="675" spans="1:43" x14ac:dyDescent="0.35">
      <c r="A675" s="6"/>
      <c r="B675" s="13"/>
      <c r="C675" s="81"/>
      <c r="D675" s="4"/>
      <c r="E675" s="8"/>
      <c r="F675" s="17"/>
      <c r="G675" s="17"/>
      <c r="H675" s="17"/>
      <c r="I675" s="17"/>
      <c r="J675" s="17"/>
      <c r="K675" s="17"/>
      <c r="L675" s="17"/>
      <c r="M675" s="17"/>
      <c r="N675" s="17"/>
      <c r="O675" s="17"/>
      <c r="P675" s="17"/>
      <c r="Q675" s="17"/>
      <c r="R675" s="17"/>
      <c r="S675" s="17"/>
      <c r="T675" s="17"/>
      <c r="U675" s="17"/>
      <c r="V675" s="17"/>
      <c r="W675" s="17"/>
      <c r="X675" s="17"/>
      <c r="Y675" s="17"/>
      <c r="Z675" s="17"/>
      <c r="AA675" s="17"/>
      <c r="AB675" s="17"/>
      <c r="AC675" s="17"/>
      <c r="AD675" s="17"/>
      <c r="AE675" s="17"/>
      <c r="AF675" s="17"/>
      <c r="AG675" s="17"/>
      <c r="AH675" s="17"/>
      <c r="AI675" s="17"/>
      <c r="AJ675" s="17"/>
      <c r="AK675" s="17"/>
      <c r="AL675" s="17"/>
      <c r="AM675" s="17"/>
      <c r="AN675" s="17"/>
      <c r="AO675" s="17"/>
      <c r="AP675" s="1"/>
      <c r="AQ675" s="1"/>
    </row>
    <row r="676" spans="1:43" x14ac:dyDescent="0.35">
      <c r="A676" s="6"/>
      <c r="B676" s="13"/>
      <c r="C676" s="81"/>
      <c r="D676" s="4"/>
      <c r="E676" s="8"/>
      <c r="F676" s="17"/>
      <c r="G676" s="17"/>
      <c r="H676" s="17"/>
      <c r="I676" s="17"/>
      <c r="J676" s="17"/>
      <c r="K676" s="17"/>
      <c r="L676" s="17"/>
      <c r="M676" s="17"/>
      <c r="N676" s="17"/>
      <c r="O676" s="17"/>
      <c r="P676" s="17"/>
      <c r="Q676" s="17"/>
      <c r="R676" s="17"/>
      <c r="S676" s="17"/>
      <c r="T676" s="17"/>
      <c r="U676" s="17"/>
      <c r="V676" s="17"/>
      <c r="W676" s="17"/>
      <c r="X676" s="17"/>
      <c r="Y676" s="17"/>
      <c r="Z676" s="17"/>
      <c r="AA676" s="17"/>
      <c r="AB676" s="17"/>
      <c r="AC676" s="17"/>
      <c r="AD676" s="17"/>
      <c r="AE676" s="17"/>
      <c r="AF676" s="17"/>
      <c r="AG676" s="17"/>
      <c r="AH676" s="17"/>
      <c r="AI676" s="17"/>
      <c r="AJ676" s="17"/>
      <c r="AK676" s="17"/>
      <c r="AL676" s="17"/>
      <c r="AM676" s="17"/>
      <c r="AN676" s="17"/>
      <c r="AO676" s="17"/>
      <c r="AP676" s="1"/>
      <c r="AQ676" s="1"/>
    </row>
    <row r="677" spans="1:43" x14ac:dyDescent="0.35">
      <c r="A677" s="6"/>
      <c r="B677" s="13"/>
      <c r="C677" s="81"/>
      <c r="D677" s="4"/>
      <c r="E677" s="8"/>
      <c r="F677" s="17"/>
      <c r="G677" s="17"/>
      <c r="H677" s="17"/>
      <c r="I677" s="17"/>
      <c r="J677" s="17"/>
      <c r="K677" s="17"/>
      <c r="L677" s="17"/>
      <c r="M677" s="17"/>
      <c r="N677" s="17"/>
      <c r="O677" s="17"/>
      <c r="P677" s="17"/>
      <c r="Q677" s="17"/>
      <c r="R677" s="17"/>
      <c r="S677" s="17"/>
      <c r="T677" s="17"/>
      <c r="U677" s="17"/>
      <c r="V677" s="17"/>
      <c r="W677" s="17"/>
      <c r="X677" s="17"/>
      <c r="Y677" s="17"/>
      <c r="Z677" s="17"/>
      <c r="AA677" s="17"/>
      <c r="AB677" s="17"/>
      <c r="AC677" s="17"/>
      <c r="AD677" s="17"/>
      <c r="AE677" s="17"/>
      <c r="AF677" s="17"/>
      <c r="AG677" s="17"/>
      <c r="AH677" s="17"/>
      <c r="AI677" s="17"/>
      <c r="AJ677" s="17"/>
      <c r="AK677" s="17"/>
      <c r="AL677" s="17"/>
      <c r="AM677" s="17"/>
      <c r="AN677" s="17"/>
      <c r="AO677" s="17"/>
      <c r="AP677" s="1"/>
      <c r="AQ677" s="1"/>
    </row>
    <row r="678" spans="1:43" x14ac:dyDescent="0.35">
      <c r="A678" s="6"/>
      <c r="B678" s="13"/>
      <c r="C678" s="81"/>
      <c r="D678" s="4"/>
      <c r="E678" s="8"/>
      <c r="F678" s="17"/>
      <c r="G678" s="17"/>
      <c r="H678" s="17"/>
      <c r="I678" s="17"/>
      <c r="J678" s="17"/>
      <c r="K678" s="17"/>
      <c r="L678" s="17"/>
      <c r="M678" s="17"/>
      <c r="N678" s="17"/>
      <c r="O678" s="17"/>
      <c r="P678" s="17"/>
      <c r="Q678" s="17"/>
      <c r="R678" s="17"/>
      <c r="S678" s="17"/>
      <c r="T678" s="17"/>
      <c r="U678" s="17"/>
      <c r="V678" s="17"/>
      <c r="W678" s="17"/>
      <c r="X678" s="17"/>
      <c r="Y678" s="17"/>
      <c r="Z678" s="17"/>
      <c r="AA678" s="17"/>
      <c r="AB678" s="17"/>
      <c r="AC678" s="17"/>
      <c r="AD678" s="17"/>
      <c r="AE678" s="17"/>
      <c r="AF678" s="17"/>
      <c r="AG678" s="17"/>
      <c r="AH678" s="17"/>
      <c r="AI678" s="17"/>
      <c r="AJ678" s="17"/>
      <c r="AK678" s="17"/>
      <c r="AL678" s="17"/>
      <c r="AM678" s="17"/>
      <c r="AN678" s="17"/>
      <c r="AO678" s="17"/>
      <c r="AP678" s="1"/>
      <c r="AQ678" s="1"/>
    </row>
    <row r="679" spans="1:43" x14ac:dyDescent="0.35">
      <c r="A679" s="6"/>
      <c r="B679" s="13"/>
      <c r="C679" s="81"/>
      <c r="D679" s="4"/>
      <c r="E679" s="8"/>
      <c r="F679" s="17"/>
      <c r="G679" s="17"/>
      <c r="H679" s="17"/>
      <c r="I679" s="17"/>
      <c r="J679" s="17"/>
      <c r="K679" s="17"/>
      <c r="L679" s="17"/>
      <c r="M679" s="17"/>
      <c r="N679" s="17"/>
      <c r="O679" s="17"/>
      <c r="P679" s="17"/>
      <c r="Q679" s="17"/>
      <c r="R679" s="17"/>
      <c r="S679" s="17"/>
      <c r="T679" s="17"/>
      <c r="U679" s="17"/>
      <c r="V679" s="17"/>
      <c r="W679" s="17"/>
      <c r="X679" s="17"/>
      <c r="Y679" s="17"/>
      <c r="Z679" s="17"/>
      <c r="AA679" s="17"/>
      <c r="AB679" s="17"/>
      <c r="AC679" s="17"/>
      <c r="AD679" s="17"/>
      <c r="AE679" s="17"/>
      <c r="AF679" s="17"/>
      <c r="AG679" s="17"/>
      <c r="AH679" s="17"/>
      <c r="AI679" s="17"/>
      <c r="AJ679" s="17"/>
      <c r="AK679" s="17"/>
      <c r="AL679" s="17"/>
      <c r="AM679" s="17"/>
      <c r="AN679" s="17"/>
      <c r="AO679" s="17"/>
      <c r="AP679" s="1"/>
      <c r="AQ679" s="1"/>
    </row>
    <row r="680" spans="1:43" x14ac:dyDescent="0.35">
      <c r="A680" s="6"/>
      <c r="B680" s="13"/>
      <c r="C680" s="81"/>
      <c r="D680" s="4"/>
      <c r="E680" s="8"/>
      <c r="F680" s="17"/>
      <c r="G680" s="17"/>
      <c r="H680" s="17"/>
      <c r="I680" s="17"/>
      <c r="J680" s="17"/>
      <c r="K680" s="17"/>
      <c r="L680" s="17"/>
      <c r="M680" s="17"/>
      <c r="N680" s="17"/>
      <c r="O680" s="17"/>
      <c r="P680" s="17"/>
      <c r="Q680" s="17"/>
      <c r="R680" s="17"/>
      <c r="S680" s="17"/>
      <c r="T680" s="17"/>
      <c r="U680" s="17"/>
      <c r="V680" s="17"/>
      <c r="W680" s="17"/>
      <c r="X680" s="17"/>
      <c r="Y680" s="17"/>
      <c r="Z680" s="17"/>
      <c r="AA680" s="17"/>
      <c r="AB680" s="17"/>
      <c r="AC680" s="17"/>
      <c r="AD680" s="17"/>
      <c r="AE680" s="17"/>
      <c r="AF680" s="17"/>
      <c r="AG680" s="17"/>
      <c r="AH680" s="17"/>
      <c r="AI680" s="17"/>
      <c r="AJ680" s="17"/>
      <c r="AK680" s="17"/>
      <c r="AL680" s="17"/>
      <c r="AM680" s="17"/>
      <c r="AN680" s="17"/>
      <c r="AO680" s="17"/>
      <c r="AP680" s="1"/>
      <c r="AQ680" s="1"/>
    </row>
    <row r="681" spans="1:43" x14ac:dyDescent="0.35">
      <c r="A681" s="6"/>
      <c r="B681" s="13"/>
      <c r="C681" s="81"/>
      <c r="D681" s="4"/>
      <c r="E681" s="8"/>
      <c r="F681" s="17"/>
      <c r="G681" s="17"/>
      <c r="H681" s="17"/>
      <c r="I681" s="17"/>
      <c r="J681" s="17"/>
      <c r="K681" s="17"/>
      <c r="L681" s="17"/>
      <c r="M681" s="17"/>
      <c r="N681" s="17"/>
      <c r="O681" s="17"/>
      <c r="P681" s="17"/>
      <c r="Q681" s="17"/>
      <c r="R681" s="17"/>
      <c r="S681" s="17"/>
      <c r="T681" s="17"/>
      <c r="U681" s="17"/>
      <c r="V681" s="17"/>
      <c r="W681" s="17"/>
      <c r="X681" s="17"/>
      <c r="Y681" s="17"/>
      <c r="Z681" s="17"/>
      <c r="AA681" s="17"/>
      <c r="AB681" s="17"/>
      <c r="AC681" s="17"/>
      <c r="AD681" s="17"/>
      <c r="AE681" s="17"/>
      <c r="AF681" s="17"/>
      <c r="AG681" s="17"/>
      <c r="AH681" s="17"/>
      <c r="AI681" s="17"/>
      <c r="AJ681" s="17"/>
      <c r="AK681" s="17"/>
      <c r="AL681" s="17"/>
      <c r="AM681" s="17"/>
      <c r="AN681" s="17"/>
      <c r="AO681" s="17"/>
      <c r="AP681" s="1"/>
      <c r="AQ681" s="1"/>
    </row>
    <row r="682" spans="1:43" x14ac:dyDescent="0.35">
      <c r="A682" s="6"/>
      <c r="B682" s="13"/>
      <c r="C682" s="81"/>
      <c r="D682" s="4"/>
      <c r="E682" s="8"/>
      <c r="F682" s="17"/>
      <c r="G682" s="17"/>
      <c r="H682" s="17"/>
      <c r="I682" s="17"/>
      <c r="J682" s="17"/>
      <c r="K682" s="17"/>
      <c r="L682" s="17"/>
      <c r="M682" s="17"/>
      <c r="N682" s="17"/>
      <c r="O682" s="17"/>
      <c r="P682" s="17"/>
      <c r="Q682" s="17"/>
      <c r="R682" s="17"/>
      <c r="S682" s="17"/>
      <c r="T682" s="17"/>
      <c r="U682" s="17"/>
      <c r="V682" s="17"/>
      <c r="W682" s="17"/>
      <c r="X682" s="17"/>
      <c r="Y682" s="17"/>
      <c r="Z682" s="17"/>
      <c r="AA682" s="17"/>
      <c r="AB682" s="17"/>
      <c r="AC682" s="17"/>
      <c r="AD682" s="17"/>
      <c r="AE682" s="17"/>
      <c r="AF682" s="17"/>
      <c r="AG682" s="17"/>
      <c r="AH682" s="17"/>
      <c r="AI682" s="17"/>
      <c r="AJ682" s="17"/>
      <c r="AK682" s="17"/>
      <c r="AL682" s="17"/>
      <c r="AM682" s="17"/>
      <c r="AN682" s="17"/>
      <c r="AO682" s="17"/>
      <c r="AP682" s="1"/>
      <c r="AQ682" s="1"/>
    </row>
    <row r="683" spans="1:43" x14ac:dyDescent="0.35">
      <c r="A683" s="6"/>
      <c r="B683" s="13"/>
      <c r="C683" s="81"/>
      <c r="D683" s="4"/>
      <c r="E683" s="8"/>
      <c r="F683" s="17"/>
      <c r="G683" s="17"/>
      <c r="H683" s="17"/>
      <c r="I683" s="17"/>
      <c r="J683" s="17"/>
      <c r="K683" s="17"/>
      <c r="L683" s="17"/>
      <c r="M683" s="17"/>
      <c r="N683" s="17"/>
      <c r="O683" s="17"/>
      <c r="P683" s="17"/>
      <c r="Q683" s="17"/>
      <c r="R683" s="17"/>
      <c r="S683" s="17"/>
      <c r="T683" s="17"/>
      <c r="U683" s="17"/>
      <c r="V683" s="17"/>
      <c r="W683" s="17"/>
      <c r="X683" s="17"/>
      <c r="Y683" s="17"/>
      <c r="Z683" s="17"/>
      <c r="AA683" s="17"/>
      <c r="AB683" s="17"/>
      <c r="AC683" s="17"/>
      <c r="AD683" s="17"/>
      <c r="AE683" s="17"/>
      <c r="AF683" s="17"/>
      <c r="AG683" s="17"/>
      <c r="AH683" s="17"/>
      <c r="AI683" s="17"/>
      <c r="AJ683" s="17"/>
      <c r="AK683" s="17"/>
      <c r="AL683" s="17"/>
      <c r="AM683" s="17"/>
      <c r="AN683" s="17"/>
      <c r="AO683" s="17"/>
      <c r="AP683" s="1"/>
      <c r="AQ683" s="1"/>
    </row>
    <row r="684" spans="1:43" x14ac:dyDescent="0.35">
      <c r="A684" s="6"/>
      <c r="B684" s="13"/>
      <c r="C684" s="81"/>
      <c r="D684" s="4"/>
      <c r="E684" s="8"/>
      <c r="F684" s="17"/>
      <c r="G684" s="17"/>
      <c r="H684" s="17"/>
      <c r="I684" s="17"/>
      <c r="J684" s="17"/>
      <c r="K684" s="17"/>
      <c r="L684" s="17"/>
      <c r="M684" s="17"/>
      <c r="N684" s="17"/>
      <c r="O684" s="17"/>
      <c r="P684" s="17"/>
      <c r="Q684" s="17"/>
      <c r="R684" s="17"/>
      <c r="S684" s="17"/>
      <c r="T684" s="17"/>
      <c r="U684" s="17"/>
      <c r="V684" s="17"/>
      <c r="W684" s="17"/>
      <c r="X684" s="17"/>
      <c r="Y684" s="17"/>
      <c r="Z684" s="17"/>
      <c r="AA684" s="17"/>
      <c r="AB684" s="17"/>
      <c r="AC684" s="17"/>
      <c r="AD684" s="17"/>
      <c r="AE684" s="17"/>
      <c r="AF684" s="17"/>
      <c r="AG684" s="17"/>
      <c r="AH684" s="17"/>
      <c r="AI684" s="17"/>
      <c r="AJ684" s="17"/>
      <c r="AK684" s="17"/>
      <c r="AL684" s="17"/>
      <c r="AM684" s="17"/>
      <c r="AN684" s="17"/>
      <c r="AO684" s="17"/>
      <c r="AP684" s="1"/>
      <c r="AQ684" s="1"/>
    </row>
    <row r="685" spans="1:43" x14ac:dyDescent="0.35">
      <c r="A685" s="6"/>
      <c r="B685" s="13"/>
      <c r="C685" s="81"/>
      <c r="D685" s="4"/>
      <c r="E685" s="8"/>
      <c r="F685" s="17"/>
      <c r="G685" s="17"/>
      <c r="H685" s="17"/>
      <c r="I685" s="17"/>
      <c r="J685" s="17"/>
      <c r="K685" s="17"/>
      <c r="L685" s="17"/>
      <c r="M685" s="17"/>
      <c r="N685" s="17"/>
      <c r="O685" s="17"/>
      <c r="P685" s="17"/>
      <c r="Q685" s="17"/>
      <c r="R685" s="17"/>
      <c r="S685" s="17"/>
      <c r="T685" s="17"/>
      <c r="U685" s="17"/>
      <c r="V685" s="17"/>
      <c r="W685" s="17"/>
      <c r="X685" s="17"/>
      <c r="Y685" s="17"/>
      <c r="Z685" s="17"/>
      <c r="AA685" s="17"/>
      <c r="AB685" s="17"/>
      <c r="AC685" s="17"/>
      <c r="AD685" s="17"/>
      <c r="AE685" s="17"/>
      <c r="AF685" s="17"/>
      <c r="AG685" s="17"/>
      <c r="AH685" s="17"/>
      <c r="AI685" s="17"/>
      <c r="AJ685" s="17"/>
      <c r="AK685" s="17"/>
      <c r="AL685" s="17"/>
      <c r="AM685" s="17"/>
      <c r="AN685" s="17"/>
      <c r="AO685" s="17"/>
      <c r="AP685" s="1"/>
      <c r="AQ685" s="1"/>
    </row>
    <row r="686" spans="1:43" x14ac:dyDescent="0.35">
      <c r="A686" s="6"/>
      <c r="B686" s="13"/>
      <c r="C686" s="81"/>
      <c r="D686" s="4"/>
      <c r="E686" s="8"/>
      <c r="F686" s="17"/>
      <c r="G686" s="17"/>
      <c r="H686" s="17"/>
      <c r="I686" s="17"/>
      <c r="J686" s="17"/>
      <c r="K686" s="17"/>
      <c r="L686" s="17"/>
      <c r="M686" s="17"/>
      <c r="N686" s="17"/>
      <c r="O686" s="17"/>
      <c r="P686" s="17"/>
      <c r="Q686" s="17"/>
      <c r="R686" s="17"/>
      <c r="S686" s="17"/>
      <c r="T686" s="17"/>
      <c r="U686" s="17"/>
      <c r="V686" s="17"/>
      <c r="W686" s="17"/>
      <c r="X686" s="17"/>
      <c r="Y686" s="17"/>
      <c r="Z686" s="17"/>
      <c r="AA686" s="17"/>
      <c r="AB686" s="17"/>
      <c r="AC686" s="17"/>
      <c r="AD686" s="17"/>
      <c r="AE686" s="17"/>
      <c r="AF686" s="17"/>
      <c r="AG686" s="17"/>
      <c r="AH686" s="17"/>
      <c r="AI686" s="17"/>
      <c r="AJ686" s="17"/>
      <c r="AK686" s="17"/>
      <c r="AL686" s="17"/>
      <c r="AM686" s="17"/>
      <c r="AN686" s="17"/>
      <c r="AO686" s="17"/>
      <c r="AP686" s="1"/>
      <c r="AQ686" s="1"/>
    </row>
    <row r="687" spans="1:43" x14ac:dyDescent="0.35">
      <c r="A687" s="6"/>
      <c r="B687" s="13"/>
      <c r="C687" s="81"/>
      <c r="D687" s="4"/>
      <c r="E687" s="8"/>
      <c r="F687" s="17"/>
      <c r="G687" s="17"/>
      <c r="H687" s="17"/>
      <c r="I687" s="17"/>
      <c r="J687" s="17"/>
      <c r="K687" s="17"/>
      <c r="L687" s="17"/>
      <c r="M687" s="17"/>
      <c r="N687" s="17"/>
      <c r="O687" s="17"/>
      <c r="P687" s="17"/>
      <c r="Q687" s="17"/>
      <c r="R687" s="17"/>
      <c r="S687" s="17"/>
      <c r="T687" s="17"/>
      <c r="U687" s="17"/>
      <c r="V687" s="17"/>
      <c r="W687" s="17"/>
      <c r="X687" s="17"/>
      <c r="Y687" s="17"/>
      <c r="Z687" s="17"/>
      <c r="AA687" s="17"/>
      <c r="AB687" s="17"/>
      <c r="AC687" s="17"/>
      <c r="AD687" s="17"/>
      <c r="AE687" s="17"/>
      <c r="AF687" s="17"/>
      <c r="AG687" s="17"/>
      <c r="AH687" s="17"/>
      <c r="AI687" s="17"/>
      <c r="AJ687" s="17"/>
      <c r="AK687" s="17"/>
      <c r="AL687" s="17"/>
      <c r="AM687" s="17"/>
      <c r="AN687" s="17"/>
      <c r="AO687" s="17"/>
      <c r="AP687" s="1"/>
      <c r="AQ687" s="1"/>
    </row>
    <row r="688" spans="1:43" x14ac:dyDescent="0.35">
      <c r="A688" s="6"/>
      <c r="B688" s="13"/>
      <c r="C688" s="81"/>
      <c r="D688" s="4"/>
      <c r="E688" s="8"/>
      <c r="F688" s="17"/>
      <c r="G688" s="17"/>
      <c r="H688" s="17"/>
      <c r="I688" s="17"/>
      <c r="J688" s="17"/>
      <c r="K688" s="17"/>
      <c r="L688" s="17"/>
      <c r="M688" s="17"/>
      <c r="N688" s="17"/>
      <c r="O688" s="17"/>
      <c r="P688" s="17"/>
      <c r="Q688" s="17"/>
      <c r="R688" s="17"/>
      <c r="S688" s="17"/>
      <c r="T688" s="17"/>
      <c r="U688" s="17"/>
      <c r="V688" s="17"/>
      <c r="W688" s="17"/>
      <c r="X688" s="17"/>
      <c r="Y688" s="17"/>
      <c r="Z688" s="17"/>
      <c r="AA688" s="17"/>
      <c r="AB688" s="17"/>
      <c r="AC688" s="17"/>
      <c r="AD688" s="17"/>
      <c r="AE688" s="17"/>
      <c r="AF688" s="17"/>
      <c r="AG688" s="17"/>
      <c r="AH688" s="17"/>
      <c r="AI688" s="17"/>
      <c r="AJ688" s="17"/>
      <c r="AK688" s="17"/>
      <c r="AL688" s="17"/>
      <c r="AM688" s="17"/>
      <c r="AN688" s="17"/>
      <c r="AO688" s="17"/>
      <c r="AP688" s="1"/>
      <c r="AQ688" s="1"/>
    </row>
    <row r="689" spans="1:43" x14ac:dyDescent="0.35">
      <c r="A689" s="6"/>
      <c r="B689" s="13"/>
      <c r="C689" s="81"/>
      <c r="D689" s="4"/>
      <c r="E689" s="8"/>
      <c r="F689" s="17"/>
      <c r="G689" s="17"/>
      <c r="H689" s="17"/>
      <c r="I689" s="17"/>
      <c r="J689" s="17"/>
      <c r="K689" s="17"/>
      <c r="L689" s="17"/>
      <c r="M689" s="17"/>
      <c r="N689" s="17"/>
      <c r="O689" s="17"/>
      <c r="P689" s="17"/>
      <c r="Q689" s="17"/>
      <c r="R689" s="17"/>
      <c r="S689" s="17"/>
      <c r="T689" s="17"/>
      <c r="U689" s="17"/>
      <c r="V689" s="17"/>
      <c r="W689" s="17"/>
      <c r="X689" s="17"/>
      <c r="Y689" s="17"/>
      <c r="Z689" s="17"/>
      <c r="AA689" s="17"/>
      <c r="AB689" s="17"/>
      <c r="AC689" s="17"/>
      <c r="AD689" s="17"/>
      <c r="AE689" s="17"/>
      <c r="AF689" s="17"/>
      <c r="AG689" s="17"/>
      <c r="AH689" s="17"/>
      <c r="AI689" s="17"/>
      <c r="AJ689" s="17"/>
      <c r="AK689" s="17"/>
      <c r="AL689" s="17"/>
      <c r="AM689" s="17"/>
      <c r="AN689" s="17"/>
      <c r="AO689" s="17"/>
      <c r="AP689" s="1"/>
      <c r="AQ689" s="1"/>
    </row>
    <row r="690" spans="1:43" x14ac:dyDescent="0.35">
      <c r="A690" s="6"/>
      <c r="B690" s="13"/>
      <c r="C690" s="81"/>
      <c r="D690" s="4"/>
      <c r="E690" s="8"/>
      <c r="F690" s="17"/>
      <c r="G690" s="17"/>
      <c r="H690" s="17"/>
      <c r="I690" s="17"/>
      <c r="J690" s="17"/>
      <c r="K690" s="17"/>
      <c r="L690" s="17"/>
      <c r="M690" s="17"/>
      <c r="N690" s="17"/>
      <c r="O690" s="17"/>
      <c r="P690" s="17"/>
      <c r="Q690" s="17"/>
      <c r="R690" s="17"/>
      <c r="S690" s="17"/>
      <c r="T690" s="17"/>
      <c r="U690" s="17"/>
      <c r="V690" s="17"/>
      <c r="W690" s="17"/>
      <c r="X690" s="17"/>
      <c r="Y690" s="17"/>
      <c r="Z690" s="17"/>
      <c r="AA690" s="17"/>
      <c r="AB690" s="17"/>
      <c r="AC690" s="17"/>
      <c r="AD690" s="17"/>
      <c r="AE690" s="17"/>
      <c r="AF690" s="17"/>
      <c r="AG690" s="17"/>
      <c r="AH690" s="17"/>
      <c r="AI690" s="17"/>
      <c r="AJ690" s="17"/>
      <c r="AK690" s="17"/>
      <c r="AL690" s="17"/>
      <c r="AM690" s="17"/>
      <c r="AN690" s="17"/>
      <c r="AO690" s="17"/>
      <c r="AP690" s="1"/>
      <c r="AQ690" s="1"/>
    </row>
    <row r="691" spans="1:43" x14ac:dyDescent="0.35">
      <c r="A691" s="6"/>
      <c r="B691" s="13"/>
      <c r="C691" s="81"/>
      <c r="D691" s="4"/>
      <c r="E691" s="8"/>
      <c r="F691" s="17"/>
      <c r="G691" s="17"/>
      <c r="H691" s="17"/>
      <c r="I691" s="17"/>
      <c r="J691" s="17"/>
      <c r="K691" s="17"/>
      <c r="L691" s="17"/>
      <c r="M691" s="17"/>
      <c r="N691" s="17"/>
      <c r="O691" s="17"/>
      <c r="P691" s="17"/>
      <c r="Q691" s="17"/>
      <c r="R691" s="17"/>
      <c r="S691" s="17"/>
      <c r="T691" s="17"/>
      <c r="U691" s="17"/>
      <c r="V691" s="17"/>
      <c r="W691" s="17"/>
      <c r="X691" s="17"/>
      <c r="Y691" s="17"/>
      <c r="Z691" s="17"/>
      <c r="AA691" s="17"/>
      <c r="AB691" s="17"/>
      <c r="AC691" s="17"/>
      <c r="AD691" s="17"/>
      <c r="AE691" s="17"/>
      <c r="AF691" s="17"/>
      <c r="AG691" s="17"/>
      <c r="AH691" s="17"/>
      <c r="AI691" s="17"/>
      <c r="AJ691" s="17"/>
      <c r="AK691" s="17"/>
      <c r="AL691" s="17"/>
      <c r="AM691" s="17"/>
      <c r="AN691" s="17"/>
      <c r="AO691" s="17"/>
      <c r="AP691" s="1"/>
      <c r="AQ691" s="1"/>
    </row>
    <row r="692" spans="1:43" x14ac:dyDescent="0.35">
      <c r="A692" s="6"/>
      <c r="B692" s="13"/>
      <c r="C692" s="81"/>
      <c r="D692" s="4"/>
      <c r="E692" s="8"/>
      <c r="F692" s="17"/>
      <c r="G692" s="17"/>
      <c r="H692" s="17"/>
      <c r="I692" s="17"/>
      <c r="J692" s="17"/>
      <c r="K692" s="17"/>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7"/>
      <c r="AI692" s="17"/>
      <c r="AJ692" s="17"/>
      <c r="AK692" s="17"/>
      <c r="AL692" s="17"/>
      <c r="AM692" s="17"/>
      <c r="AN692" s="17"/>
      <c r="AO692" s="17"/>
      <c r="AP692" s="1"/>
      <c r="AQ692" s="1"/>
    </row>
    <row r="693" spans="1:43" x14ac:dyDescent="0.35">
      <c r="A693" s="6"/>
      <c r="B693" s="13"/>
      <c r="C693" s="81"/>
      <c r="D693" s="4"/>
      <c r="E693" s="8"/>
      <c r="F693" s="17"/>
      <c r="G693" s="17"/>
      <c r="H693" s="17"/>
      <c r="I693" s="17"/>
      <c r="J693" s="17"/>
      <c r="K693" s="17"/>
      <c r="L693" s="17"/>
      <c r="M693" s="17"/>
      <c r="N693" s="17"/>
      <c r="O693" s="17"/>
      <c r="P693" s="17"/>
      <c r="Q693" s="17"/>
      <c r="R693" s="17"/>
      <c r="S693" s="17"/>
      <c r="T693" s="17"/>
      <c r="U693" s="17"/>
      <c r="V693" s="17"/>
      <c r="W693" s="17"/>
      <c r="X693" s="17"/>
      <c r="Y693" s="17"/>
      <c r="Z693" s="17"/>
      <c r="AA693" s="17"/>
      <c r="AB693" s="17"/>
      <c r="AC693" s="17"/>
      <c r="AD693" s="17"/>
      <c r="AE693" s="17"/>
      <c r="AF693" s="17"/>
      <c r="AG693" s="17"/>
      <c r="AH693" s="17"/>
      <c r="AI693" s="17"/>
      <c r="AJ693" s="17"/>
      <c r="AK693" s="17"/>
      <c r="AL693" s="17"/>
      <c r="AM693" s="17"/>
      <c r="AN693" s="17"/>
      <c r="AO693" s="17"/>
      <c r="AP693" s="1"/>
      <c r="AQ693" s="1"/>
    </row>
    <row r="694" spans="1:43" x14ac:dyDescent="0.35">
      <c r="A694" s="6"/>
      <c r="B694" s="13"/>
      <c r="C694" s="81"/>
      <c r="D694" s="4"/>
      <c r="E694" s="8"/>
      <c r="F694" s="17"/>
      <c r="G694" s="17"/>
      <c r="H694" s="17"/>
      <c r="I694" s="17"/>
      <c r="J694" s="17"/>
      <c r="K694" s="17"/>
      <c r="L694" s="17"/>
      <c r="M694" s="17"/>
      <c r="N694" s="17"/>
      <c r="O694" s="17"/>
      <c r="P694" s="17"/>
      <c r="Q694" s="17"/>
      <c r="R694" s="17"/>
      <c r="S694" s="17"/>
      <c r="T694" s="17"/>
      <c r="U694" s="17"/>
      <c r="V694" s="17"/>
      <c r="W694" s="17"/>
      <c r="X694" s="17"/>
      <c r="Y694" s="17"/>
      <c r="Z694" s="17"/>
      <c r="AA694" s="17"/>
      <c r="AB694" s="17"/>
      <c r="AC694" s="17"/>
      <c r="AD694" s="17"/>
      <c r="AE694" s="17"/>
      <c r="AF694" s="17"/>
      <c r="AG694" s="17"/>
      <c r="AH694" s="17"/>
      <c r="AI694" s="17"/>
      <c r="AJ694" s="17"/>
      <c r="AK694" s="17"/>
      <c r="AL694" s="17"/>
      <c r="AM694" s="17"/>
      <c r="AN694" s="17"/>
      <c r="AO694" s="17"/>
      <c r="AP694" s="1"/>
      <c r="AQ694" s="1"/>
    </row>
    <row r="695" spans="1:43" x14ac:dyDescent="0.35">
      <c r="A695" s="6"/>
      <c r="B695" s="13"/>
      <c r="C695" s="81"/>
      <c r="D695" s="4"/>
      <c r="E695" s="8"/>
      <c r="F695" s="17"/>
      <c r="G695" s="17"/>
      <c r="H695" s="17"/>
      <c r="I695" s="17"/>
      <c r="J695" s="17"/>
      <c r="K695" s="17"/>
      <c r="L695" s="17"/>
      <c r="M695" s="17"/>
      <c r="N695" s="17"/>
      <c r="O695" s="17"/>
      <c r="P695" s="17"/>
      <c r="Q695" s="17"/>
      <c r="R695" s="17"/>
      <c r="S695" s="17"/>
      <c r="T695" s="17"/>
      <c r="U695" s="17"/>
      <c r="V695" s="17"/>
      <c r="W695" s="17"/>
      <c r="X695" s="17"/>
      <c r="Y695" s="17"/>
      <c r="Z695" s="17"/>
      <c r="AA695" s="17"/>
      <c r="AB695" s="17"/>
      <c r="AC695" s="17"/>
      <c r="AD695" s="17"/>
      <c r="AE695" s="17"/>
      <c r="AF695" s="17"/>
      <c r="AG695" s="17"/>
      <c r="AH695" s="17"/>
      <c r="AI695" s="17"/>
      <c r="AJ695" s="17"/>
      <c r="AK695" s="17"/>
      <c r="AL695" s="17"/>
      <c r="AM695" s="17"/>
      <c r="AN695" s="17"/>
      <c r="AO695" s="17"/>
      <c r="AP695" s="1"/>
      <c r="AQ695" s="1"/>
    </row>
    <row r="696" spans="1:43" x14ac:dyDescent="0.35">
      <c r="A696" s="6"/>
      <c r="B696" s="13"/>
      <c r="C696" s="81"/>
      <c r="D696" s="4"/>
      <c r="E696" s="8"/>
      <c r="F696" s="17"/>
      <c r="G696" s="17"/>
      <c r="H696" s="17"/>
      <c r="I696" s="17"/>
      <c r="J696" s="17"/>
      <c r="K696" s="17"/>
      <c r="L696" s="17"/>
      <c r="M696" s="17"/>
      <c r="N696" s="17"/>
      <c r="O696" s="17"/>
      <c r="P696" s="17"/>
      <c r="Q696" s="17"/>
      <c r="R696" s="17"/>
      <c r="S696" s="17"/>
      <c r="T696" s="17"/>
      <c r="U696" s="17"/>
      <c r="V696" s="17"/>
      <c r="W696" s="17"/>
      <c r="X696" s="17"/>
      <c r="Y696" s="17"/>
      <c r="Z696" s="17"/>
      <c r="AA696" s="17"/>
      <c r="AB696" s="17"/>
      <c r="AC696" s="17"/>
      <c r="AD696" s="17"/>
      <c r="AE696" s="17"/>
      <c r="AF696" s="17"/>
      <c r="AG696" s="17"/>
      <c r="AH696" s="17"/>
      <c r="AI696" s="17"/>
      <c r="AJ696" s="17"/>
      <c r="AK696" s="17"/>
      <c r="AL696" s="17"/>
      <c r="AM696" s="17"/>
      <c r="AN696" s="17"/>
      <c r="AO696" s="17"/>
      <c r="AP696" s="1"/>
      <c r="AQ696" s="1"/>
    </row>
    <row r="697" spans="1:43" x14ac:dyDescent="0.35">
      <c r="A697" s="6"/>
      <c r="B697" s="13"/>
      <c r="C697" s="81"/>
      <c r="D697" s="4"/>
      <c r="E697" s="8"/>
      <c r="F697" s="17"/>
      <c r="G697" s="17"/>
      <c r="H697" s="17"/>
      <c r="I697" s="17"/>
      <c r="J697" s="17"/>
      <c r="K697" s="17"/>
      <c r="L697" s="17"/>
      <c r="M697" s="17"/>
      <c r="N697" s="17"/>
      <c r="O697" s="17"/>
      <c r="P697" s="17"/>
      <c r="Q697" s="17"/>
      <c r="R697" s="17"/>
      <c r="S697" s="17"/>
      <c r="T697" s="17"/>
      <c r="U697" s="17"/>
      <c r="V697" s="17"/>
      <c r="W697" s="17"/>
      <c r="X697" s="17"/>
      <c r="Y697" s="17"/>
      <c r="Z697" s="17"/>
      <c r="AA697" s="17"/>
      <c r="AB697" s="17"/>
      <c r="AC697" s="17"/>
      <c r="AD697" s="17"/>
      <c r="AE697" s="17"/>
      <c r="AF697" s="17"/>
      <c r="AG697" s="17"/>
      <c r="AH697" s="17"/>
      <c r="AI697" s="17"/>
      <c r="AJ697" s="17"/>
      <c r="AK697" s="17"/>
      <c r="AL697" s="17"/>
      <c r="AM697" s="17"/>
      <c r="AN697" s="17"/>
      <c r="AO697" s="17"/>
      <c r="AP697" s="1"/>
      <c r="AQ697" s="1"/>
    </row>
    <row r="698" spans="1:43" x14ac:dyDescent="0.35">
      <c r="A698" s="6"/>
      <c r="B698" s="13"/>
      <c r="C698" s="81"/>
      <c r="D698" s="4"/>
      <c r="E698" s="8"/>
      <c r="F698" s="17"/>
      <c r="G698" s="17"/>
      <c r="H698" s="17"/>
      <c r="I698" s="17"/>
      <c r="J698" s="17"/>
      <c r="K698" s="17"/>
      <c r="L698" s="17"/>
      <c r="M698" s="17"/>
      <c r="N698" s="17"/>
      <c r="O698" s="17"/>
      <c r="P698" s="17"/>
      <c r="Q698" s="17"/>
      <c r="R698" s="17"/>
      <c r="S698" s="17"/>
      <c r="T698" s="17"/>
      <c r="U698" s="17"/>
      <c r="V698" s="17"/>
      <c r="W698" s="17"/>
      <c r="X698" s="17"/>
      <c r="Y698" s="17"/>
      <c r="Z698" s="17"/>
      <c r="AA698" s="17"/>
      <c r="AB698" s="17"/>
      <c r="AC698" s="17"/>
      <c r="AD698" s="17"/>
      <c r="AE698" s="17"/>
      <c r="AF698" s="17"/>
      <c r="AG698" s="17"/>
      <c r="AH698" s="17"/>
      <c r="AI698" s="17"/>
      <c r="AJ698" s="17"/>
      <c r="AK698" s="17"/>
      <c r="AL698" s="17"/>
      <c r="AM698" s="17"/>
      <c r="AN698" s="17"/>
      <c r="AO698" s="17"/>
      <c r="AP698" s="1"/>
      <c r="AQ698" s="1"/>
    </row>
    <row r="699" spans="1:43" x14ac:dyDescent="0.35">
      <c r="A699" s="6"/>
      <c r="B699" s="13"/>
      <c r="C699" s="81"/>
      <c r="D699" s="4"/>
      <c r="E699" s="8"/>
      <c r="F699" s="17"/>
      <c r="G699" s="17"/>
      <c r="H699" s="17"/>
      <c r="I699" s="17"/>
      <c r="J699" s="17"/>
      <c r="K699" s="17"/>
      <c r="L699" s="17"/>
      <c r="M699" s="17"/>
      <c r="N699" s="17"/>
      <c r="O699" s="17"/>
      <c r="P699" s="17"/>
      <c r="Q699" s="17"/>
      <c r="R699" s="17"/>
      <c r="S699" s="17"/>
      <c r="T699" s="17"/>
      <c r="U699" s="17"/>
      <c r="V699" s="17"/>
      <c r="W699" s="17"/>
      <c r="X699" s="17"/>
      <c r="Y699" s="17"/>
      <c r="Z699" s="17"/>
      <c r="AA699" s="17"/>
      <c r="AB699" s="17"/>
      <c r="AC699" s="17"/>
      <c r="AD699" s="17"/>
      <c r="AE699" s="17"/>
      <c r="AF699" s="17"/>
      <c r="AG699" s="17"/>
      <c r="AH699" s="17"/>
      <c r="AI699" s="17"/>
      <c r="AJ699" s="17"/>
      <c r="AK699" s="17"/>
      <c r="AL699" s="17"/>
      <c r="AM699" s="17"/>
      <c r="AN699" s="17"/>
      <c r="AO699" s="17"/>
      <c r="AP699" s="1"/>
      <c r="AQ699" s="1"/>
    </row>
    <row r="700" spans="1:43" x14ac:dyDescent="0.35">
      <c r="A700" s="6"/>
      <c r="B700" s="13"/>
      <c r="C700" s="81"/>
      <c r="D700" s="4"/>
      <c r="E700" s="8"/>
      <c r="F700" s="17"/>
      <c r="G700" s="17"/>
      <c r="H700" s="17"/>
      <c r="I700" s="17"/>
      <c r="J700" s="17"/>
      <c r="K700" s="17"/>
      <c r="L700" s="17"/>
      <c r="M700" s="17"/>
      <c r="N700" s="17"/>
      <c r="O700" s="17"/>
      <c r="P700" s="17"/>
      <c r="Q700" s="17"/>
      <c r="R700" s="17"/>
      <c r="S700" s="17"/>
      <c r="T700" s="17"/>
      <c r="U700" s="17"/>
      <c r="V700" s="17"/>
      <c r="W700" s="17"/>
      <c r="X700" s="17"/>
      <c r="Y700" s="17"/>
      <c r="Z700" s="17"/>
      <c r="AA700" s="17"/>
      <c r="AB700" s="17"/>
      <c r="AC700" s="17"/>
      <c r="AD700" s="17"/>
      <c r="AE700" s="17"/>
      <c r="AF700" s="17"/>
      <c r="AG700" s="17"/>
      <c r="AH700" s="17"/>
      <c r="AI700" s="17"/>
      <c r="AJ700" s="17"/>
      <c r="AK700" s="17"/>
      <c r="AL700" s="17"/>
      <c r="AM700" s="17"/>
      <c r="AN700" s="17"/>
      <c r="AO700" s="17"/>
      <c r="AP700" s="1"/>
      <c r="AQ700" s="1"/>
    </row>
    <row r="701" spans="1:43" x14ac:dyDescent="0.35">
      <c r="A701" s="6"/>
      <c r="B701" s="13"/>
      <c r="C701" s="81"/>
      <c r="D701" s="4"/>
      <c r="E701" s="8"/>
      <c r="F701" s="17"/>
      <c r="G701" s="17"/>
      <c r="H701" s="17"/>
      <c r="I701" s="17"/>
      <c r="J701" s="17"/>
      <c r="K701" s="17"/>
      <c r="L701" s="17"/>
      <c r="M701" s="17"/>
      <c r="N701" s="17"/>
      <c r="O701" s="17"/>
      <c r="P701" s="17"/>
      <c r="Q701" s="17"/>
      <c r="R701" s="17"/>
      <c r="S701" s="17"/>
      <c r="T701" s="17"/>
      <c r="U701" s="17"/>
      <c r="V701" s="17"/>
      <c r="W701" s="17"/>
      <c r="X701" s="17"/>
      <c r="Y701" s="17"/>
      <c r="Z701" s="17"/>
      <c r="AA701" s="17"/>
      <c r="AB701" s="17"/>
      <c r="AC701" s="17"/>
      <c r="AD701" s="17"/>
      <c r="AE701" s="17"/>
      <c r="AF701" s="17"/>
      <c r="AG701" s="17"/>
      <c r="AH701" s="17"/>
      <c r="AI701" s="17"/>
      <c r="AJ701" s="17"/>
      <c r="AK701" s="17"/>
      <c r="AL701" s="17"/>
      <c r="AM701" s="17"/>
      <c r="AN701" s="17"/>
      <c r="AO701" s="17"/>
      <c r="AP701" s="1"/>
      <c r="AQ701" s="1"/>
    </row>
    <row r="702" spans="1:43" x14ac:dyDescent="0.35">
      <c r="A702" s="6"/>
      <c r="B702" s="13"/>
      <c r="C702" s="81"/>
      <c r="D702" s="4"/>
      <c r="E702" s="8"/>
      <c r="F702" s="17"/>
      <c r="G702" s="17"/>
      <c r="H702" s="17"/>
      <c r="I702" s="17"/>
      <c r="J702" s="17"/>
      <c r="K702" s="17"/>
      <c r="L702" s="17"/>
      <c r="M702" s="17"/>
      <c r="N702" s="17"/>
      <c r="O702" s="17"/>
      <c r="P702" s="17"/>
      <c r="Q702" s="17"/>
      <c r="R702" s="17"/>
      <c r="S702" s="17"/>
      <c r="T702" s="17"/>
      <c r="U702" s="17"/>
      <c r="V702" s="17"/>
      <c r="W702" s="17"/>
      <c r="X702" s="17"/>
      <c r="Y702" s="17"/>
      <c r="Z702" s="17"/>
      <c r="AA702" s="17"/>
      <c r="AB702" s="17"/>
      <c r="AC702" s="17"/>
      <c r="AD702" s="17"/>
      <c r="AE702" s="17"/>
      <c r="AF702" s="17"/>
      <c r="AG702" s="17"/>
      <c r="AH702" s="17"/>
      <c r="AI702" s="17"/>
      <c r="AJ702" s="17"/>
      <c r="AK702" s="17"/>
      <c r="AL702" s="17"/>
      <c r="AM702" s="17"/>
      <c r="AN702" s="17"/>
      <c r="AO702" s="17"/>
      <c r="AP702" s="1"/>
      <c r="AQ702" s="1"/>
    </row>
    <row r="703" spans="1:43" x14ac:dyDescent="0.35">
      <c r="A703" s="6"/>
      <c r="B703" s="13"/>
      <c r="C703" s="81"/>
      <c r="D703" s="4"/>
      <c r="E703" s="8"/>
      <c r="F703" s="17"/>
      <c r="G703" s="17"/>
      <c r="H703" s="17"/>
      <c r="I703" s="17"/>
      <c r="J703" s="17"/>
      <c r="K703" s="17"/>
      <c r="L703" s="17"/>
      <c r="M703" s="17"/>
      <c r="N703" s="17"/>
      <c r="O703" s="17"/>
      <c r="P703" s="17"/>
      <c r="Q703" s="17"/>
      <c r="R703" s="17"/>
      <c r="S703" s="17"/>
      <c r="T703" s="17"/>
      <c r="U703" s="17"/>
      <c r="V703" s="17"/>
      <c r="W703" s="17"/>
      <c r="X703" s="17"/>
      <c r="Y703" s="17"/>
      <c r="Z703" s="17"/>
      <c r="AA703" s="17"/>
      <c r="AB703" s="17"/>
      <c r="AC703" s="17"/>
      <c r="AD703" s="17"/>
      <c r="AE703" s="17"/>
      <c r="AF703" s="17"/>
      <c r="AG703" s="17"/>
      <c r="AH703" s="17"/>
      <c r="AI703" s="17"/>
      <c r="AJ703" s="17"/>
      <c r="AK703" s="17"/>
      <c r="AL703" s="17"/>
      <c r="AM703" s="17"/>
      <c r="AN703" s="17"/>
      <c r="AO703" s="17"/>
      <c r="AP703" s="1"/>
      <c r="AQ703" s="1"/>
    </row>
    <row r="704" spans="1:43" x14ac:dyDescent="0.35">
      <c r="A704" s="6"/>
      <c r="B704" s="13"/>
      <c r="C704" s="81"/>
      <c r="D704" s="4"/>
      <c r="E704" s="8"/>
      <c r="F704" s="17"/>
      <c r="G704" s="17"/>
      <c r="H704" s="17"/>
      <c r="I704" s="17"/>
      <c r="J704" s="17"/>
      <c r="K704" s="17"/>
      <c r="L704" s="17"/>
      <c r="M704" s="17"/>
      <c r="N704" s="17"/>
      <c r="O704" s="17"/>
      <c r="P704" s="17"/>
      <c r="Q704" s="17"/>
      <c r="R704" s="17"/>
      <c r="S704" s="17"/>
      <c r="T704" s="17"/>
      <c r="U704" s="17"/>
      <c r="V704" s="17"/>
      <c r="W704" s="17"/>
      <c r="X704" s="17"/>
      <c r="Y704" s="17"/>
      <c r="Z704" s="17"/>
      <c r="AA704" s="17"/>
      <c r="AB704" s="17"/>
      <c r="AC704" s="17"/>
      <c r="AD704" s="17"/>
      <c r="AE704" s="17"/>
      <c r="AF704" s="17"/>
      <c r="AG704" s="17"/>
      <c r="AH704" s="17"/>
      <c r="AI704" s="17"/>
      <c r="AJ704" s="17"/>
      <c r="AK704" s="17"/>
      <c r="AL704" s="17"/>
      <c r="AM704" s="17"/>
      <c r="AN704" s="17"/>
      <c r="AO704" s="17"/>
      <c r="AP704" s="1"/>
      <c r="AQ704" s="1"/>
    </row>
    <row r="705" spans="1:43" x14ac:dyDescent="0.35">
      <c r="A705" s="6"/>
      <c r="B705" s="13"/>
      <c r="C705" s="81"/>
      <c r="D705" s="4"/>
      <c r="E705" s="8"/>
      <c r="F705" s="17"/>
      <c r="G705" s="17"/>
      <c r="H705" s="17"/>
      <c r="I705" s="17"/>
      <c r="J705" s="17"/>
      <c r="K705" s="17"/>
      <c r="L705" s="17"/>
      <c r="M705" s="17"/>
      <c r="N705" s="17"/>
      <c r="O705" s="17"/>
      <c r="P705" s="17"/>
      <c r="Q705" s="17"/>
      <c r="R705" s="17"/>
      <c r="S705" s="17"/>
      <c r="T705" s="17"/>
      <c r="U705" s="17"/>
      <c r="V705" s="17"/>
      <c r="W705" s="17"/>
      <c r="X705" s="17"/>
      <c r="Y705" s="17"/>
      <c r="Z705" s="17"/>
      <c r="AA705" s="17"/>
      <c r="AB705" s="17"/>
      <c r="AC705" s="17"/>
      <c r="AD705" s="17"/>
      <c r="AE705" s="17"/>
      <c r="AF705" s="17"/>
      <c r="AG705" s="17"/>
      <c r="AH705" s="17"/>
      <c r="AI705" s="17"/>
      <c r="AJ705" s="17"/>
      <c r="AK705" s="17"/>
      <c r="AL705" s="17"/>
      <c r="AM705" s="17"/>
      <c r="AN705" s="17"/>
      <c r="AO705" s="17"/>
      <c r="AP705" s="1"/>
      <c r="AQ705" s="1"/>
    </row>
    <row r="706" spans="1:43" x14ac:dyDescent="0.35">
      <c r="A706" s="6"/>
      <c r="B706" s="13"/>
      <c r="C706" s="81"/>
      <c r="D706" s="4"/>
      <c r="E706" s="8"/>
      <c r="F706" s="17"/>
      <c r="G706" s="17"/>
      <c r="H706" s="17"/>
      <c r="I706" s="17"/>
      <c r="J706" s="17"/>
      <c r="K706" s="17"/>
      <c r="L706" s="17"/>
      <c r="M706" s="17"/>
      <c r="N706" s="17"/>
      <c r="O706" s="17"/>
      <c r="P706" s="17"/>
      <c r="Q706" s="17"/>
      <c r="R706" s="17"/>
      <c r="S706" s="17"/>
      <c r="T706" s="17"/>
      <c r="U706" s="17"/>
      <c r="V706" s="17"/>
      <c r="W706" s="17"/>
      <c r="X706" s="17"/>
      <c r="Y706" s="17"/>
      <c r="Z706" s="17"/>
      <c r="AA706" s="17"/>
      <c r="AB706" s="17"/>
      <c r="AC706" s="17"/>
      <c r="AD706" s="17"/>
      <c r="AE706" s="17"/>
      <c r="AF706" s="17"/>
      <c r="AG706" s="17"/>
      <c r="AH706" s="17"/>
      <c r="AI706" s="17"/>
      <c r="AJ706" s="17"/>
      <c r="AK706" s="17"/>
      <c r="AL706" s="17"/>
      <c r="AM706" s="17"/>
      <c r="AN706" s="17"/>
      <c r="AO706" s="17"/>
      <c r="AP706" s="1"/>
      <c r="AQ706" s="1"/>
    </row>
    <row r="707" spans="1:43" x14ac:dyDescent="0.35">
      <c r="A707" s="6"/>
      <c r="B707" s="13"/>
      <c r="C707" s="81"/>
      <c r="D707" s="4"/>
      <c r="E707" s="8"/>
      <c r="F707" s="17"/>
      <c r="G707" s="17"/>
      <c r="H707" s="17"/>
      <c r="I707" s="17"/>
      <c r="J707" s="17"/>
      <c r="K707" s="17"/>
      <c r="L707" s="17"/>
      <c r="M707" s="17"/>
      <c r="N707" s="17"/>
      <c r="O707" s="17"/>
      <c r="P707" s="17"/>
      <c r="Q707" s="17"/>
      <c r="R707" s="17"/>
      <c r="S707" s="17"/>
      <c r="T707" s="17"/>
      <c r="U707" s="17"/>
      <c r="V707" s="17"/>
      <c r="W707" s="17"/>
      <c r="X707" s="17"/>
      <c r="Y707" s="17"/>
      <c r="Z707" s="17"/>
      <c r="AA707" s="17"/>
      <c r="AB707" s="17"/>
      <c r="AC707" s="17"/>
      <c r="AD707" s="17"/>
      <c r="AE707" s="17"/>
      <c r="AF707" s="17"/>
      <c r="AG707" s="17"/>
      <c r="AH707" s="17"/>
      <c r="AI707" s="17"/>
      <c r="AJ707" s="17"/>
      <c r="AK707" s="17"/>
      <c r="AL707" s="17"/>
      <c r="AM707" s="17"/>
      <c r="AN707" s="17"/>
      <c r="AO707" s="17"/>
      <c r="AP707" s="1"/>
      <c r="AQ707" s="1"/>
    </row>
    <row r="708" spans="1:43" x14ac:dyDescent="0.35">
      <c r="A708" s="6"/>
      <c r="B708" s="13"/>
      <c r="C708" s="81"/>
      <c r="D708" s="4"/>
      <c r="E708" s="8"/>
      <c r="F708" s="17"/>
      <c r="G708" s="17"/>
      <c r="H708" s="17"/>
      <c r="I708" s="17"/>
      <c r="J708" s="17"/>
      <c r="K708" s="17"/>
      <c r="L708" s="17"/>
      <c r="M708" s="17"/>
      <c r="N708" s="17"/>
      <c r="O708" s="17"/>
      <c r="P708" s="17"/>
      <c r="Q708" s="17"/>
      <c r="R708" s="17"/>
      <c r="S708" s="17"/>
      <c r="T708" s="17"/>
      <c r="U708" s="17"/>
      <c r="V708" s="17"/>
      <c r="W708" s="17"/>
      <c r="X708" s="17"/>
      <c r="Y708" s="17"/>
      <c r="Z708" s="17"/>
      <c r="AA708" s="17"/>
      <c r="AB708" s="17"/>
      <c r="AC708" s="17"/>
      <c r="AD708" s="17"/>
      <c r="AE708" s="17"/>
      <c r="AF708" s="17"/>
      <c r="AG708" s="17"/>
      <c r="AH708" s="17"/>
      <c r="AI708" s="17"/>
      <c r="AJ708" s="17"/>
      <c r="AK708" s="17"/>
      <c r="AL708" s="17"/>
      <c r="AM708" s="17"/>
      <c r="AN708" s="17"/>
      <c r="AO708" s="17"/>
      <c r="AP708" s="1"/>
      <c r="AQ708" s="1"/>
    </row>
    <row r="709" spans="1:43" x14ac:dyDescent="0.35">
      <c r="A709" s="6"/>
      <c r="B709" s="13"/>
      <c r="C709" s="81"/>
      <c r="D709" s="4"/>
      <c r="E709" s="8"/>
      <c r="F709" s="17"/>
      <c r="G709" s="17"/>
      <c r="H709" s="17"/>
      <c r="I709" s="17"/>
      <c r="J709" s="17"/>
      <c r="K709" s="17"/>
      <c r="L709" s="17"/>
      <c r="M709" s="17"/>
      <c r="N709" s="17"/>
      <c r="O709" s="17"/>
      <c r="P709" s="17"/>
      <c r="Q709" s="17"/>
      <c r="R709" s="17"/>
      <c r="S709" s="17"/>
      <c r="T709" s="17"/>
      <c r="U709" s="17"/>
      <c r="V709" s="17"/>
      <c r="W709" s="17"/>
      <c r="X709" s="17"/>
      <c r="Y709" s="17"/>
      <c r="Z709" s="17"/>
      <c r="AA709" s="17"/>
      <c r="AB709" s="17"/>
      <c r="AC709" s="17"/>
      <c r="AD709" s="17"/>
      <c r="AE709" s="17"/>
      <c r="AF709" s="17"/>
      <c r="AG709" s="17"/>
      <c r="AH709" s="17"/>
      <c r="AI709" s="17"/>
      <c r="AJ709" s="17"/>
      <c r="AK709" s="17"/>
      <c r="AL709" s="17"/>
      <c r="AM709" s="17"/>
      <c r="AN709" s="17"/>
      <c r="AO709" s="17"/>
      <c r="AP709" s="1"/>
      <c r="AQ709" s="1"/>
    </row>
    <row r="710" spans="1:43" x14ac:dyDescent="0.35">
      <c r="A710" s="6"/>
      <c r="B710" s="13"/>
      <c r="C710" s="81"/>
      <c r="D710" s="4"/>
      <c r="E710" s="8"/>
      <c r="F710" s="17"/>
      <c r="G710" s="17"/>
      <c r="H710" s="17"/>
      <c r="I710" s="17"/>
      <c r="J710" s="17"/>
      <c r="K710" s="17"/>
      <c r="L710" s="17"/>
      <c r="M710" s="17"/>
      <c r="N710" s="17"/>
      <c r="O710" s="17"/>
      <c r="P710" s="17"/>
      <c r="Q710" s="17"/>
      <c r="R710" s="17"/>
      <c r="S710" s="17"/>
      <c r="T710" s="17"/>
      <c r="U710" s="17"/>
      <c r="V710" s="17"/>
      <c r="W710" s="17"/>
      <c r="X710" s="17"/>
      <c r="Y710" s="17"/>
      <c r="Z710" s="17"/>
      <c r="AA710" s="17"/>
      <c r="AB710" s="17"/>
      <c r="AC710" s="17"/>
      <c r="AD710" s="17"/>
      <c r="AE710" s="17"/>
      <c r="AF710" s="17"/>
      <c r="AG710" s="17"/>
      <c r="AH710" s="17"/>
      <c r="AI710" s="17"/>
      <c r="AJ710" s="17"/>
      <c r="AK710" s="17"/>
      <c r="AL710" s="17"/>
      <c r="AM710" s="17"/>
      <c r="AN710" s="17"/>
      <c r="AO710" s="17"/>
      <c r="AP710" s="1"/>
      <c r="AQ710" s="1"/>
    </row>
    <row r="711" spans="1:43" x14ac:dyDescent="0.35">
      <c r="A711" s="6"/>
      <c r="B711" s="13"/>
      <c r="C711" s="81"/>
      <c r="D711" s="4"/>
      <c r="E711" s="8"/>
      <c r="F711" s="17"/>
      <c r="G711" s="17"/>
      <c r="H711" s="17"/>
      <c r="I711" s="17"/>
      <c r="J711" s="17"/>
      <c r="K711" s="17"/>
      <c r="L711" s="17"/>
      <c r="M711" s="17"/>
      <c r="N711" s="17"/>
      <c r="O711" s="17"/>
      <c r="P711" s="17"/>
      <c r="Q711" s="17"/>
      <c r="R711" s="17"/>
      <c r="S711" s="17"/>
      <c r="T711" s="17"/>
      <c r="U711" s="17"/>
      <c r="V711" s="17"/>
      <c r="W711" s="17"/>
      <c r="X711" s="17"/>
      <c r="Y711" s="17"/>
      <c r="Z711" s="17"/>
      <c r="AA711" s="17"/>
      <c r="AB711" s="17"/>
      <c r="AC711" s="17"/>
      <c r="AD711" s="17"/>
      <c r="AE711" s="17"/>
      <c r="AF711" s="17"/>
      <c r="AG711" s="17"/>
      <c r="AH711" s="17"/>
      <c r="AI711" s="17"/>
      <c r="AJ711" s="17"/>
      <c r="AK711" s="17"/>
      <c r="AL711" s="17"/>
      <c r="AM711" s="17"/>
      <c r="AN711" s="17"/>
      <c r="AO711" s="17"/>
      <c r="AP711" s="1"/>
      <c r="AQ711" s="1"/>
    </row>
    <row r="712" spans="1:43" x14ac:dyDescent="0.35">
      <c r="A712" s="6"/>
      <c r="B712" s="13"/>
      <c r="C712" s="81"/>
      <c r="D712" s="4"/>
      <c r="E712" s="8"/>
      <c r="F712" s="17"/>
      <c r="G712" s="17"/>
      <c r="H712" s="17"/>
      <c r="I712" s="17"/>
      <c r="J712" s="17"/>
      <c r="K712" s="17"/>
      <c r="L712" s="17"/>
      <c r="M712" s="17"/>
      <c r="N712" s="17"/>
      <c r="O712" s="17"/>
      <c r="P712" s="17"/>
      <c r="Q712" s="17"/>
      <c r="R712" s="17"/>
      <c r="S712" s="17"/>
      <c r="T712" s="17"/>
      <c r="U712" s="17"/>
      <c r="V712" s="17"/>
      <c r="W712" s="17"/>
      <c r="X712" s="17"/>
      <c r="Y712" s="17"/>
      <c r="Z712" s="17"/>
      <c r="AA712" s="17"/>
      <c r="AB712" s="17"/>
      <c r="AC712" s="17"/>
      <c r="AD712" s="17"/>
      <c r="AE712" s="17"/>
      <c r="AF712" s="17"/>
      <c r="AG712" s="17"/>
      <c r="AH712" s="17"/>
      <c r="AI712" s="17"/>
      <c r="AJ712" s="17"/>
      <c r="AK712" s="17"/>
      <c r="AL712" s="17"/>
      <c r="AM712" s="17"/>
      <c r="AN712" s="17"/>
      <c r="AO712" s="17"/>
      <c r="AP712" s="1"/>
      <c r="AQ712" s="1"/>
    </row>
    <row r="713" spans="1:43" x14ac:dyDescent="0.35">
      <c r="A713" s="6"/>
      <c r="B713" s="13"/>
      <c r="C713" s="81"/>
      <c r="D713" s="4"/>
      <c r="E713" s="8"/>
      <c r="F713" s="17"/>
      <c r="G713" s="17"/>
      <c r="H713" s="17"/>
      <c r="I713" s="17"/>
      <c r="J713" s="17"/>
      <c r="K713" s="17"/>
      <c r="L713" s="17"/>
      <c r="M713" s="17"/>
      <c r="N713" s="17"/>
      <c r="O713" s="17"/>
      <c r="P713" s="17"/>
      <c r="Q713" s="17"/>
      <c r="R713" s="17"/>
      <c r="S713" s="17"/>
      <c r="T713" s="17"/>
      <c r="U713" s="17"/>
      <c r="V713" s="17"/>
      <c r="W713" s="17"/>
      <c r="X713" s="17"/>
      <c r="Y713" s="17"/>
      <c r="Z713" s="17"/>
      <c r="AA713" s="17"/>
      <c r="AB713" s="17"/>
      <c r="AC713" s="17"/>
      <c r="AD713" s="17"/>
      <c r="AE713" s="17"/>
      <c r="AF713" s="17"/>
      <c r="AG713" s="17"/>
      <c r="AH713" s="17"/>
      <c r="AI713" s="17"/>
      <c r="AJ713" s="17"/>
      <c r="AK713" s="17"/>
      <c r="AL713" s="17"/>
      <c r="AM713" s="17"/>
      <c r="AN713" s="17"/>
      <c r="AO713" s="17"/>
      <c r="AP713" s="1"/>
      <c r="AQ713" s="1"/>
    </row>
    <row r="714" spans="1:43" x14ac:dyDescent="0.35">
      <c r="A714" s="6"/>
      <c r="B714" s="13"/>
      <c r="C714" s="81"/>
      <c r="D714" s="4"/>
      <c r="E714" s="8"/>
      <c r="F714" s="17"/>
      <c r="G714" s="17"/>
      <c r="H714" s="17"/>
      <c r="I714" s="17"/>
      <c r="J714" s="17"/>
      <c r="K714" s="17"/>
      <c r="L714" s="17"/>
      <c r="M714" s="17"/>
      <c r="N714" s="17"/>
      <c r="O714" s="17"/>
      <c r="P714" s="17"/>
      <c r="Q714" s="17"/>
      <c r="R714" s="17"/>
      <c r="S714" s="17"/>
      <c r="T714" s="17"/>
      <c r="U714" s="17"/>
      <c r="V714" s="17"/>
      <c r="W714" s="17"/>
      <c r="X714" s="17"/>
      <c r="Y714" s="17"/>
      <c r="Z714" s="17"/>
      <c r="AA714" s="17"/>
      <c r="AB714" s="17"/>
      <c r="AC714" s="17"/>
      <c r="AD714" s="17"/>
      <c r="AE714" s="17"/>
      <c r="AF714" s="17"/>
      <c r="AG714" s="17"/>
      <c r="AH714" s="17"/>
      <c r="AI714" s="17"/>
      <c r="AJ714" s="17"/>
      <c r="AK714" s="17"/>
      <c r="AL714" s="17"/>
      <c r="AM714" s="17"/>
      <c r="AN714" s="17"/>
      <c r="AO714" s="17"/>
      <c r="AP714" s="1"/>
      <c r="AQ714" s="1"/>
    </row>
    <row r="715" spans="1:43" x14ac:dyDescent="0.35">
      <c r="A715" s="6"/>
      <c r="B715" s="13"/>
      <c r="C715" s="81"/>
      <c r="D715" s="4"/>
      <c r="E715" s="8"/>
      <c r="F715" s="17"/>
      <c r="G715" s="17"/>
      <c r="H715" s="17"/>
      <c r="I715" s="17"/>
      <c r="J715" s="17"/>
      <c r="K715" s="17"/>
      <c r="L715" s="17"/>
      <c r="M715" s="17"/>
      <c r="N715" s="17"/>
      <c r="O715" s="17"/>
      <c r="P715" s="17"/>
      <c r="Q715" s="17"/>
      <c r="R715" s="17"/>
      <c r="S715" s="17"/>
      <c r="T715" s="17"/>
      <c r="U715" s="17"/>
      <c r="V715" s="17"/>
      <c r="W715" s="17"/>
      <c r="X715" s="17"/>
      <c r="Y715" s="17"/>
      <c r="Z715" s="17"/>
      <c r="AA715" s="17"/>
      <c r="AB715" s="17"/>
      <c r="AC715" s="17"/>
      <c r="AD715" s="17"/>
      <c r="AE715" s="17"/>
      <c r="AF715" s="17"/>
      <c r="AG715" s="17"/>
      <c r="AH715" s="17"/>
      <c r="AI715" s="17"/>
      <c r="AJ715" s="17"/>
      <c r="AK715" s="17"/>
      <c r="AL715" s="17"/>
      <c r="AM715" s="17"/>
      <c r="AN715" s="17"/>
      <c r="AO715" s="17"/>
      <c r="AP715" s="1"/>
      <c r="AQ715" s="1"/>
    </row>
    <row r="716" spans="1:43" x14ac:dyDescent="0.35">
      <c r="A716" s="6"/>
      <c r="B716" s="13"/>
      <c r="C716" s="81"/>
      <c r="D716" s="4"/>
      <c r="E716" s="8"/>
      <c r="F716" s="17"/>
      <c r="G716" s="17"/>
      <c r="H716" s="17"/>
      <c r="I716" s="17"/>
      <c r="J716" s="17"/>
      <c r="K716" s="17"/>
      <c r="L716" s="17"/>
      <c r="M716" s="17"/>
      <c r="N716" s="17"/>
      <c r="O716" s="17"/>
      <c r="P716" s="17"/>
      <c r="Q716" s="17"/>
      <c r="R716" s="17"/>
      <c r="S716" s="17"/>
      <c r="T716" s="17"/>
      <c r="U716" s="17"/>
      <c r="V716" s="17"/>
      <c r="W716" s="17"/>
      <c r="X716" s="17"/>
      <c r="Y716" s="17"/>
      <c r="Z716" s="17"/>
      <c r="AA716" s="17"/>
      <c r="AB716" s="17"/>
      <c r="AC716" s="17"/>
      <c r="AD716" s="17"/>
      <c r="AE716" s="17"/>
      <c r="AF716" s="17"/>
      <c r="AG716" s="17"/>
      <c r="AH716" s="17"/>
      <c r="AI716" s="17"/>
      <c r="AJ716" s="17"/>
      <c r="AK716" s="17"/>
      <c r="AL716" s="17"/>
      <c r="AM716" s="17"/>
      <c r="AN716" s="17"/>
      <c r="AO716" s="17"/>
      <c r="AP716" s="1"/>
      <c r="AQ716" s="1"/>
    </row>
    <row r="717" spans="1:43" x14ac:dyDescent="0.35">
      <c r="A717" s="6"/>
      <c r="B717" s="13"/>
      <c r="C717" s="81"/>
      <c r="D717" s="4"/>
      <c r="E717" s="8"/>
      <c r="F717" s="17"/>
      <c r="G717" s="17"/>
      <c r="H717" s="17"/>
      <c r="I717" s="17"/>
      <c r="J717" s="17"/>
      <c r="K717" s="17"/>
      <c r="L717" s="17"/>
      <c r="M717" s="17"/>
      <c r="N717" s="17"/>
      <c r="O717" s="17"/>
      <c r="P717" s="17"/>
      <c r="Q717" s="17"/>
      <c r="R717" s="17"/>
      <c r="S717" s="17"/>
      <c r="T717" s="17"/>
      <c r="U717" s="17"/>
      <c r="V717" s="17"/>
      <c r="W717" s="17"/>
      <c r="X717" s="17"/>
      <c r="Y717" s="17"/>
      <c r="Z717" s="17"/>
      <c r="AA717" s="17"/>
      <c r="AB717" s="17"/>
      <c r="AC717" s="17"/>
      <c r="AD717" s="17"/>
      <c r="AE717" s="17"/>
      <c r="AF717" s="17"/>
      <c r="AG717" s="17"/>
      <c r="AH717" s="17"/>
      <c r="AI717" s="17"/>
      <c r="AJ717" s="17"/>
      <c r="AK717" s="17"/>
      <c r="AL717" s="17"/>
      <c r="AM717" s="17"/>
      <c r="AN717" s="17"/>
      <c r="AO717" s="17"/>
      <c r="AP717" s="1"/>
      <c r="AQ717" s="1"/>
    </row>
    <row r="718" spans="1:43" x14ac:dyDescent="0.35">
      <c r="A718" s="6"/>
      <c r="B718" s="13"/>
      <c r="C718" s="81"/>
      <c r="D718" s="4"/>
      <c r="E718" s="8"/>
      <c r="F718" s="17"/>
      <c r="G718" s="17"/>
      <c r="H718" s="17"/>
      <c r="I718" s="17"/>
      <c r="J718" s="17"/>
      <c r="K718" s="17"/>
      <c r="L718" s="17"/>
      <c r="M718" s="17"/>
      <c r="N718" s="17"/>
      <c r="O718" s="17"/>
      <c r="P718" s="17"/>
      <c r="Q718" s="17"/>
      <c r="R718" s="17"/>
      <c r="S718" s="17"/>
      <c r="T718" s="17"/>
      <c r="U718" s="17"/>
      <c r="V718" s="17"/>
      <c r="W718" s="17"/>
      <c r="X718" s="17"/>
      <c r="Y718" s="17"/>
      <c r="Z718" s="17"/>
      <c r="AA718" s="17"/>
      <c r="AB718" s="17"/>
      <c r="AC718" s="17"/>
      <c r="AD718" s="17"/>
      <c r="AE718" s="17"/>
      <c r="AF718" s="17"/>
      <c r="AG718" s="17"/>
      <c r="AH718" s="17"/>
      <c r="AI718" s="17"/>
      <c r="AJ718" s="17"/>
      <c r="AK718" s="17"/>
      <c r="AL718" s="17"/>
      <c r="AM718" s="17"/>
      <c r="AN718" s="17"/>
      <c r="AO718" s="17"/>
      <c r="AP718" s="1"/>
      <c r="AQ718" s="1"/>
    </row>
    <row r="719" spans="1:43" x14ac:dyDescent="0.35">
      <c r="A719" s="6"/>
      <c r="B719" s="13"/>
      <c r="C719" s="81"/>
      <c r="D719" s="4"/>
      <c r="E719" s="8"/>
      <c r="F719" s="17"/>
      <c r="G719" s="17"/>
      <c r="H719" s="17"/>
      <c r="I719" s="17"/>
      <c r="J719" s="17"/>
      <c r="K719" s="17"/>
      <c r="L719" s="17"/>
      <c r="M719" s="17"/>
      <c r="N719" s="17"/>
      <c r="O719" s="17"/>
      <c r="P719" s="17"/>
      <c r="Q719" s="17"/>
      <c r="R719" s="17"/>
      <c r="S719" s="17"/>
      <c r="T719" s="17"/>
      <c r="U719" s="17"/>
      <c r="V719" s="17"/>
      <c r="W719" s="17"/>
      <c r="X719" s="17"/>
      <c r="Y719" s="17"/>
      <c r="Z719" s="17"/>
      <c r="AA719" s="17"/>
      <c r="AB719" s="17"/>
      <c r="AC719" s="17"/>
      <c r="AD719" s="17"/>
      <c r="AE719" s="17"/>
      <c r="AF719" s="17"/>
      <c r="AG719" s="17"/>
      <c r="AH719" s="17"/>
      <c r="AI719" s="17"/>
      <c r="AJ719" s="17"/>
      <c r="AK719" s="17"/>
      <c r="AL719" s="17"/>
      <c r="AM719" s="17"/>
      <c r="AN719" s="17"/>
      <c r="AO719" s="17"/>
      <c r="AP719" s="1"/>
      <c r="AQ719" s="1"/>
    </row>
    <row r="720" spans="1:43" x14ac:dyDescent="0.35">
      <c r="A720" s="6"/>
      <c r="B720" s="13"/>
      <c r="C720" s="81"/>
      <c r="D720" s="4"/>
      <c r="E720" s="8"/>
      <c r="F720" s="17"/>
      <c r="G720" s="17"/>
      <c r="H720" s="17"/>
      <c r="I720" s="17"/>
      <c r="J720" s="17"/>
      <c r="K720" s="17"/>
      <c r="L720" s="17"/>
      <c r="M720" s="17"/>
      <c r="N720" s="17"/>
      <c r="O720" s="17"/>
      <c r="P720" s="17"/>
      <c r="Q720" s="17"/>
      <c r="R720" s="17"/>
      <c r="S720" s="17"/>
      <c r="T720" s="17"/>
      <c r="U720" s="17"/>
      <c r="V720" s="17"/>
      <c r="W720" s="17"/>
      <c r="X720" s="17"/>
      <c r="Y720" s="17"/>
      <c r="Z720" s="17"/>
      <c r="AA720" s="17"/>
      <c r="AB720" s="17"/>
      <c r="AC720" s="17"/>
      <c r="AD720" s="17"/>
      <c r="AE720" s="17"/>
      <c r="AF720" s="17"/>
      <c r="AG720" s="17"/>
      <c r="AH720" s="17"/>
      <c r="AI720" s="17"/>
      <c r="AJ720" s="17"/>
      <c r="AK720" s="17"/>
      <c r="AL720" s="17"/>
      <c r="AM720" s="17"/>
      <c r="AN720" s="17"/>
      <c r="AO720" s="17"/>
      <c r="AP720" s="1"/>
      <c r="AQ720" s="1"/>
    </row>
    <row r="721" spans="1:43" x14ac:dyDescent="0.35">
      <c r="A721" s="6"/>
      <c r="B721" s="13"/>
      <c r="C721" s="81"/>
      <c r="D721" s="4"/>
      <c r="E721" s="8"/>
      <c r="F721" s="17"/>
      <c r="G721" s="17"/>
      <c r="H721" s="17"/>
      <c r="I721" s="17"/>
      <c r="J721" s="17"/>
      <c r="K721" s="17"/>
      <c r="L721" s="17"/>
      <c r="M721" s="17"/>
      <c r="N721" s="17"/>
      <c r="O721" s="17"/>
      <c r="P721" s="17"/>
      <c r="Q721" s="17"/>
      <c r="R721" s="17"/>
      <c r="S721" s="17"/>
      <c r="T721" s="17"/>
      <c r="U721" s="17"/>
      <c r="V721" s="17"/>
      <c r="W721" s="17"/>
      <c r="X721" s="17"/>
      <c r="Y721" s="17"/>
      <c r="Z721" s="17"/>
      <c r="AA721" s="17"/>
      <c r="AB721" s="17"/>
      <c r="AC721" s="17"/>
      <c r="AD721" s="17"/>
      <c r="AE721" s="17"/>
      <c r="AF721" s="17"/>
      <c r="AG721" s="17"/>
      <c r="AH721" s="17"/>
      <c r="AI721" s="17"/>
      <c r="AJ721" s="17"/>
      <c r="AK721" s="17"/>
      <c r="AL721" s="17"/>
      <c r="AM721" s="17"/>
      <c r="AN721" s="17"/>
      <c r="AO721" s="17"/>
      <c r="AP721" s="1"/>
      <c r="AQ721" s="1"/>
    </row>
    <row r="722" spans="1:43" x14ac:dyDescent="0.35">
      <c r="A722" s="6"/>
      <c r="B722" s="13"/>
      <c r="C722" s="81"/>
      <c r="D722" s="4"/>
      <c r="E722" s="8"/>
      <c r="F722" s="17"/>
      <c r="G722" s="17"/>
      <c r="H722" s="17"/>
      <c r="I722" s="17"/>
      <c r="J722" s="17"/>
      <c r="K722" s="17"/>
      <c r="L722" s="17"/>
      <c r="M722" s="17"/>
      <c r="N722" s="17"/>
      <c r="O722" s="17"/>
      <c r="P722" s="17"/>
      <c r="Q722" s="17"/>
      <c r="R722" s="17"/>
      <c r="S722" s="17"/>
      <c r="T722" s="17"/>
      <c r="U722" s="17"/>
      <c r="V722" s="17"/>
      <c r="W722" s="17"/>
      <c r="X722" s="17"/>
      <c r="Y722" s="17"/>
      <c r="Z722" s="17"/>
      <c r="AA722" s="17"/>
      <c r="AB722" s="17"/>
      <c r="AC722" s="17"/>
      <c r="AD722" s="17"/>
      <c r="AE722" s="17"/>
      <c r="AF722" s="17"/>
      <c r="AG722" s="17"/>
      <c r="AH722" s="17"/>
      <c r="AI722" s="17"/>
      <c r="AJ722" s="17"/>
      <c r="AK722" s="17"/>
      <c r="AL722" s="17"/>
      <c r="AM722" s="17"/>
      <c r="AN722" s="17"/>
      <c r="AO722" s="17"/>
      <c r="AP722" s="1"/>
      <c r="AQ722" s="1"/>
    </row>
    <row r="723" spans="1:43" x14ac:dyDescent="0.35">
      <c r="A723" s="6"/>
      <c r="B723" s="13"/>
      <c r="C723" s="81"/>
      <c r="D723" s="4"/>
      <c r="E723" s="8"/>
      <c r="F723" s="17"/>
      <c r="G723" s="17"/>
      <c r="H723" s="17"/>
      <c r="I723" s="17"/>
      <c r="J723" s="17"/>
      <c r="K723" s="17"/>
      <c r="L723" s="17"/>
      <c r="M723" s="17"/>
      <c r="N723" s="17"/>
      <c r="O723" s="17"/>
      <c r="P723" s="17"/>
      <c r="Q723" s="17"/>
      <c r="R723" s="17"/>
      <c r="S723" s="17"/>
      <c r="T723" s="17"/>
      <c r="U723" s="17"/>
      <c r="V723" s="17"/>
      <c r="W723" s="17"/>
      <c r="X723" s="17"/>
      <c r="Y723" s="17"/>
      <c r="Z723" s="17"/>
      <c r="AA723" s="17"/>
      <c r="AB723" s="17"/>
      <c r="AC723" s="17"/>
      <c r="AD723" s="17"/>
      <c r="AE723" s="17"/>
      <c r="AF723" s="17"/>
      <c r="AG723" s="17"/>
      <c r="AH723" s="17"/>
      <c r="AI723" s="17"/>
      <c r="AJ723" s="17"/>
      <c r="AK723" s="17"/>
      <c r="AL723" s="17"/>
      <c r="AM723" s="17"/>
      <c r="AN723" s="17"/>
      <c r="AO723" s="17"/>
      <c r="AP723" s="1"/>
      <c r="AQ723" s="1"/>
    </row>
    <row r="724" spans="1:43" x14ac:dyDescent="0.35">
      <c r="A724" s="6"/>
      <c r="B724" s="13"/>
      <c r="C724" s="81"/>
      <c r="D724" s="4"/>
      <c r="E724" s="8"/>
      <c r="F724" s="17"/>
      <c r="G724" s="17"/>
      <c r="H724" s="17"/>
      <c r="I724" s="17"/>
      <c r="J724" s="17"/>
      <c r="K724" s="17"/>
      <c r="L724" s="17"/>
      <c r="M724" s="17"/>
      <c r="N724" s="17"/>
      <c r="O724" s="17"/>
      <c r="P724" s="17"/>
      <c r="Q724" s="17"/>
      <c r="R724" s="17"/>
      <c r="S724" s="17"/>
      <c r="T724" s="17"/>
      <c r="U724" s="17"/>
      <c r="V724" s="17"/>
      <c r="W724" s="17"/>
      <c r="X724" s="17"/>
      <c r="Y724" s="17"/>
      <c r="Z724" s="17"/>
      <c r="AA724" s="17"/>
      <c r="AB724" s="17"/>
      <c r="AC724" s="17"/>
      <c r="AD724" s="17"/>
      <c r="AE724" s="17"/>
      <c r="AF724" s="17"/>
      <c r="AG724" s="17"/>
      <c r="AH724" s="17"/>
      <c r="AI724" s="17"/>
      <c r="AJ724" s="17"/>
      <c r="AK724" s="17"/>
      <c r="AL724" s="17"/>
      <c r="AM724" s="17"/>
      <c r="AN724" s="17"/>
      <c r="AO724" s="17"/>
      <c r="AP724" s="1"/>
      <c r="AQ724" s="1"/>
    </row>
    <row r="725" spans="1:43" x14ac:dyDescent="0.35">
      <c r="A725" s="6"/>
      <c r="B725" s="13"/>
      <c r="C725" s="81"/>
      <c r="D725" s="4"/>
      <c r="E725" s="8"/>
      <c r="F725" s="17"/>
      <c r="G725" s="17"/>
      <c r="H725" s="17"/>
      <c r="I725" s="17"/>
      <c r="J725" s="17"/>
      <c r="K725" s="17"/>
      <c r="L725" s="17"/>
      <c r="M725" s="17"/>
      <c r="N725" s="17"/>
      <c r="O725" s="17"/>
      <c r="P725" s="17"/>
      <c r="Q725" s="17"/>
      <c r="R725" s="17"/>
      <c r="S725" s="17"/>
      <c r="T725" s="17"/>
      <c r="U725" s="17"/>
      <c r="V725" s="17"/>
      <c r="W725" s="17"/>
      <c r="X725" s="17"/>
      <c r="Y725" s="17"/>
      <c r="Z725" s="17"/>
      <c r="AA725" s="17"/>
      <c r="AB725" s="17"/>
      <c r="AC725" s="17"/>
      <c r="AD725" s="17"/>
      <c r="AE725" s="17"/>
      <c r="AF725" s="17"/>
      <c r="AG725" s="17"/>
      <c r="AH725" s="17"/>
      <c r="AI725" s="17"/>
      <c r="AJ725" s="17"/>
      <c r="AK725" s="17"/>
      <c r="AL725" s="17"/>
      <c r="AM725" s="17"/>
      <c r="AN725" s="17"/>
      <c r="AO725" s="17"/>
      <c r="AP725" s="1"/>
      <c r="AQ725" s="1"/>
    </row>
    <row r="726" spans="1:43" x14ac:dyDescent="0.35">
      <c r="A726" s="6"/>
      <c r="B726" s="13"/>
      <c r="C726" s="81"/>
      <c r="D726" s="4"/>
      <c r="E726" s="8"/>
      <c r="F726" s="17"/>
      <c r="G726" s="17"/>
      <c r="H726" s="17"/>
      <c r="I726" s="17"/>
      <c r="J726" s="17"/>
      <c r="K726" s="17"/>
      <c r="L726" s="17"/>
      <c r="M726" s="17"/>
      <c r="N726" s="17"/>
      <c r="O726" s="17"/>
      <c r="P726" s="17"/>
      <c r="Q726" s="17"/>
      <c r="R726" s="17"/>
      <c r="S726" s="17"/>
      <c r="T726" s="17"/>
      <c r="U726" s="17"/>
      <c r="V726" s="17"/>
      <c r="W726" s="17"/>
      <c r="X726" s="17"/>
      <c r="Y726" s="17"/>
      <c r="Z726" s="17"/>
      <c r="AA726" s="17"/>
      <c r="AB726" s="17"/>
      <c r="AC726" s="17"/>
      <c r="AD726" s="17"/>
      <c r="AE726" s="17"/>
      <c r="AF726" s="17"/>
      <c r="AG726" s="17"/>
      <c r="AH726" s="17"/>
      <c r="AI726" s="17"/>
      <c r="AJ726" s="17"/>
      <c r="AK726" s="17"/>
      <c r="AL726" s="17"/>
      <c r="AM726" s="17"/>
      <c r="AN726" s="17"/>
      <c r="AO726" s="17"/>
      <c r="AP726" s="1"/>
      <c r="AQ726" s="1"/>
    </row>
    <row r="727" spans="1:43" x14ac:dyDescent="0.35">
      <c r="A727" s="6"/>
      <c r="B727" s="13"/>
      <c r="C727" s="81"/>
      <c r="D727" s="4"/>
      <c r="E727" s="8"/>
      <c r="F727" s="17"/>
      <c r="G727" s="17"/>
      <c r="H727" s="17"/>
      <c r="I727" s="17"/>
      <c r="J727" s="17"/>
      <c r="K727" s="17"/>
      <c r="L727" s="17"/>
      <c r="M727" s="17"/>
      <c r="N727" s="17"/>
      <c r="O727" s="17"/>
      <c r="P727" s="17"/>
      <c r="Q727" s="17"/>
      <c r="R727" s="17"/>
      <c r="S727" s="17"/>
      <c r="T727" s="17"/>
      <c r="U727" s="17"/>
      <c r="V727" s="17"/>
      <c r="W727" s="17"/>
      <c r="X727" s="17"/>
      <c r="Y727" s="17"/>
      <c r="Z727" s="17"/>
      <c r="AA727" s="17"/>
      <c r="AB727" s="17"/>
      <c r="AC727" s="17"/>
      <c r="AD727" s="17"/>
      <c r="AE727" s="17"/>
      <c r="AF727" s="17"/>
      <c r="AG727" s="17"/>
      <c r="AH727" s="17"/>
      <c r="AI727" s="17"/>
      <c r="AJ727" s="17"/>
      <c r="AK727" s="17"/>
      <c r="AL727" s="17"/>
      <c r="AM727" s="17"/>
      <c r="AN727" s="17"/>
      <c r="AO727" s="17"/>
      <c r="AP727" s="1"/>
      <c r="AQ727" s="1"/>
    </row>
    <row r="728" spans="1:43" x14ac:dyDescent="0.35">
      <c r="A728" s="6"/>
      <c r="B728" s="13"/>
      <c r="C728" s="81"/>
      <c r="D728" s="4"/>
      <c r="E728" s="8"/>
      <c r="F728" s="17"/>
      <c r="G728" s="17"/>
      <c r="H728" s="17"/>
      <c r="I728" s="17"/>
      <c r="J728" s="17"/>
      <c r="K728" s="17"/>
      <c r="L728" s="17"/>
      <c r="M728" s="17"/>
      <c r="N728" s="17"/>
      <c r="O728" s="17"/>
      <c r="P728" s="17"/>
      <c r="Q728" s="17"/>
      <c r="R728" s="17"/>
      <c r="S728" s="17"/>
      <c r="T728" s="17"/>
      <c r="U728" s="17"/>
      <c r="V728" s="17"/>
      <c r="W728" s="17"/>
      <c r="X728" s="17"/>
      <c r="Y728" s="17"/>
      <c r="Z728" s="17"/>
      <c r="AA728" s="17"/>
      <c r="AB728" s="17"/>
      <c r="AC728" s="17"/>
      <c r="AD728" s="17"/>
      <c r="AE728" s="17"/>
      <c r="AF728" s="17"/>
      <c r="AG728" s="17"/>
      <c r="AH728" s="17"/>
      <c r="AI728" s="17"/>
      <c r="AJ728" s="17"/>
      <c r="AK728" s="17"/>
      <c r="AL728" s="17"/>
      <c r="AM728" s="17"/>
      <c r="AN728" s="17"/>
      <c r="AO728" s="17"/>
      <c r="AP728" s="1"/>
      <c r="AQ728" s="1"/>
    </row>
    <row r="729" spans="1:43" x14ac:dyDescent="0.35">
      <c r="A729" s="6"/>
      <c r="B729" s="13"/>
      <c r="C729" s="81"/>
      <c r="D729" s="4"/>
      <c r="E729" s="8"/>
      <c r="F729" s="17"/>
      <c r="G729" s="17"/>
      <c r="H729" s="17"/>
      <c r="I729" s="17"/>
      <c r="J729" s="17"/>
      <c r="K729" s="17"/>
      <c r="L729" s="17"/>
      <c r="M729" s="17"/>
      <c r="N729" s="17"/>
      <c r="O729" s="17"/>
      <c r="P729" s="17"/>
      <c r="Q729" s="17"/>
      <c r="R729" s="17"/>
      <c r="S729" s="17"/>
      <c r="T729" s="17"/>
      <c r="U729" s="17"/>
      <c r="V729" s="17"/>
      <c r="W729" s="17"/>
      <c r="X729" s="17"/>
      <c r="Y729" s="17"/>
      <c r="Z729" s="17"/>
      <c r="AA729" s="17"/>
      <c r="AB729" s="17"/>
      <c r="AC729" s="17"/>
      <c r="AD729" s="17"/>
      <c r="AE729" s="17"/>
      <c r="AF729" s="17"/>
      <c r="AG729" s="17"/>
      <c r="AH729" s="17"/>
      <c r="AI729" s="17"/>
      <c r="AJ729" s="17"/>
      <c r="AK729" s="17"/>
      <c r="AL729" s="17"/>
      <c r="AM729" s="17"/>
      <c r="AN729" s="17"/>
      <c r="AO729" s="17"/>
      <c r="AP729" s="1"/>
      <c r="AQ729" s="1"/>
    </row>
    <row r="730" spans="1:43" x14ac:dyDescent="0.35">
      <c r="A730" s="6"/>
      <c r="B730" s="13"/>
      <c r="C730" s="81"/>
      <c r="D730" s="4"/>
      <c r="E730" s="8"/>
      <c r="F730" s="17"/>
      <c r="G730" s="17"/>
      <c r="H730" s="17"/>
      <c r="I730" s="17"/>
      <c r="J730" s="17"/>
      <c r="K730" s="17"/>
      <c r="L730" s="17"/>
      <c r="M730" s="17"/>
      <c r="N730" s="17"/>
      <c r="O730" s="17"/>
      <c r="P730" s="17"/>
      <c r="Q730" s="17"/>
      <c r="R730" s="17"/>
      <c r="S730" s="17"/>
      <c r="T730" s="17"/>
      <c r="U730" s="17"/>
      <c r="V730" s="17"/>
      <c r="W730" s="17"/>
      <c r="X730" s="17"/>
      <c r="Y730" s="17"/>
      <c r="Z730" s="17"/>
      <c r="AA730" s="17"/>
      <c r="AB730" s="17"/>
      <c r="AC730" s="17"/>
      <c r="AD730" s="17"/>
      <c r="AE730" s="17"/>
      <c r="AF730" s="17"/>
      <c r="AG730" s="17"/>
      <c r="AH730" s="17"/>
      <c r="AI730" s="17"/>
      <c r="AJ730" s="17"/>
      <c r="AK730" s="17"/>
      <c r="AL730" s="17"/>
      <c r="AM730" s="17"/>
      <c r="AN730" s="17"/>
      <c r="AO730" s="17"/>
      <c r="AP730" s="1"/>
      <c r="AQ730" s="1"/>
    </row>
    <row r="731" spans="1:43" x14ac:dyDescent="0.35">
      <c r="A731" s="6"/>
      <c r="B731" s="13"/>
      <c r="C731" s="81"/>
      <c r="D731" s="4"/>
      <c r="E731" s="8"/>
      <c r="F731" s="17"/>
      <c r="G731" s="17"/>
      <c r="H731" s="17"/>
      <c r="I731" s="17"/>
      <c r="J731" s="17"/>
      <c r="K731" s="17"/>
      <c r="L731" s="17"/>
      <c r="M731" s="17"/>
      <c r="N731" s="17"/>
      <c r="O731" s="17"/>
      <c r="P731" s="17"/>
      <c r="Q731" s="17"/>
      <c r="R731" s="17"/>
      <c r="S731" s="17"/>
      <c r="T731" s="17"/>
      <c r="U731" s="17"/>
      <c r="V731" s="17"/>
      <c r="W731" s="17"/>
      <c r="X731" s="17"/>
      <c r="Y731" s="17"/>
      <c r="Z731" s="17"/>
      <c r="AA731" s="17"/>
      <c r="AB731" s="17"/>
      <c r="AC731" s="17"/>
      <c r="AD731" s="17"/>
      <c r="AE731" s="17"/>
      <c r="AF731" s="17"/>
      <c r="AG731" s="17"/>
      <c r="AH731" s="17"/>
      <c r="AI731" s="17"/>
      <c r="AJ731" s="17"/>
      <c r="AK731" s="17"/>
      <c r="AL731" s="17"/>
      <c r="AM731" s="17"/>
      <c r="AN731" s="17"/>
      <c r="AO731" s="17"/>
      <c r="AP731" s="1"/>
      <c r="AQ731" s="1"/>
    </row>
    <row r="732" spans="1:43" x14ac:dyDescent="0.35">
      <c r="A732" s="6"/>
      <c r="B732" s="13"/>
      <c r="C732" s="81"/>
      <c r="D732" s="4"/>
      <c r="E732" s="8"/>
      <c r="F732" s="17"/>
      <c r="G732" s="17"/>
      <c r="H732" s="17"/>
      <c r="I732" s="17"/>
      <c r="J732" s="17"/>
      <c r="K732" s="17"/>
      <c r="L732" s="17"/>
      <c r="M732" s="17"/>
      <c r="N732" s="17"/>
      <c r="O732" s="17"/>
      <c r="P732" s="17"/>
      <c r="Q732" s="17"/>
      <c r="R732" s="17"/>
      <c r="S732" s="17"/>
      <c r="T732" s="17"/>
      <c r="U732" s="17"/>
      <c r="V732" s="17"/>
      <c r="W732" s="17"/>
      <c r="X732" s="17"/>
      <c r="Y732" s="17"/>
      <c r="Z732" s="17"/>
      <c r="AA732" s="17"/>
      <c r="AB732" s="17"/>
      <c r="AC732" s="17"/>
      <c r="AD732" s="17"/>
      <c r="AE732" s="17"/>
      <c r="AF732" s="17"/>
      <c r="AG732" s="17"/>
      <c r="AH732" s="17"/>
      <c r="AI732" s="17"/>
      <c r="AJ732" s="17"/>
      <c r="AK732" s="17"/>
      <c r="AL732" s="17"/>
      <c r="AM732" s="17"/>
      <c r="AN732" s="17"/>
      <c r="AO732" s="17"/>
      <c r="AP732" s="1"/>
      <c r="AQ732" s="1"/>
    </row>
    <row r="733" spans="1:43" x14ac:dyDescent="0.35">
      <c r="A733" s="6"/>
      <c r="B733" s="13"/>
      <c r="C733" s="81"/>
      <c r="D733" s="4"/>
      <c r="E733" s="8"/>
      <c r="F733" s="17"/>
      <c r="G733" s="17"/>
      <c r="H733" s="17"/>
      <c r="I733" s="17"/>
      <c r="J733" s="17"/>
      <c r="K733" s="17"/>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17"/>
      <c r="AO733" s="17"/>
      <c r="AP733" s="1"/>
      <c r="AQ733" s="1"/>
    </row>
    <row r="734" spans="1:43" x14ac:dyDescent="0.35">
      <c r="A734" s="6"/>
      <c r="B734" s="13"/>
      <c r="C734" s="81"/>
      <c r="D734" s="4"/>
      <c r="E734" s="8"/>
      <c r="F734" s="17"/>
      <c r="G734" s="17"/>
      <c r="H734" s="17"/>
      <c r="I734" s="17"/>
      <c r="J734" s="17"/>
      <c r="K734" s="17"/>
      <c r="L734" s="17"/>
      <c r="M734" s="17"/>
      <c r="N734" s="17"/>
      <c r="O734" s="17"/>
      <c r="P734" s="17"/>
      <c r="Q734" s="17"/>
      <c r="R734" s="17"/>
      <c r="S734" s="17"/>
      <c r="T734" s="17"/>
      <c r="U734" s="17"/>
      <c r="V734" s="17"/>
      <c r="W734" s="17"/>
      <c r="X734" s="17"/>
      <c r="Y734" s="17"/>
      <c r="Z734" s="17"/>
      <c r="AA734" s="17"/>
      <c r="AB734" s="17"/>
      <c r="AC734" s="17"/>
      <c r="AD734" s="17"/>
      <c r="AE734" s="17"/>
      <c r="AF734" s="17"/>
      <c r="AG734" s="17"/>
      <c r="AH734" s="17"/>
      <c r="AI734" s="17"/>
      <c r="AJ734" s="17"/>
      <c r="AK734" s="17"/>
      <c r="AL734" s="17"/>
      <c r="AM734" s="17"/>
      <c r="AN734" s="17"/>
      <c r="AO734" s="17"/>
      <c r="AP734" s="1"/>
      <c r="AQ734" s="1"/>
    </row>
    <row r="735" spans="1:43" x14ac:dyDescent="0.35">
      <c r="A735" s="6"/>
      <c r="B735" s="13"/>
      <c r="C735" s="81"/>
      <c r="D735" s="4"/>
      <c r="E735" s="8"/>
      <c r="F735" s="17"/>
      <c r="G735" s="17"/>
      <c r="H735" s="17"/>
      <c r="I735" s="17"/>
      <c r="J735" s="17"/>
      <c r="K735" s="17"/>
      <c r="L735" s="17"/>
      <c r="M735" s="17"/>
      <c r="N735" s="17"/>
      <c r="O735" s="17"/>
      <c r="P735" s="17"/>
      <c r="Q735" s="17"/>
      <c r="R735" s="17"/>
      <c r="S735" s="17"/>
      <c r="T735" s="17"/>
      <c r="U735" s="17"/>
      <c r="V735" s="17"/>
      <c r="W735" s="17"/>
      <c r="X735" s="17"/>
      <c r="Y735" s="17"/>
      <c r="Z735" s="17"/>
      <c r="AA735" s="17"/>
      <c r="AB735" s="17"/>
      <c r="AC735" s="17"/>
      <c r="AD735" s="17"/>
      <c r="AE735" s="17"/>
      <c r="AF735" s="17"/>
      <c r="AG735" s="17"/>
      <c r="AH735" s="17"/>
      <c r="AI735" s="17"/>
      <c r="AJ735" s="17"/>
      <c r="AK735" s="17"/>
      <c r="AL735" s="17"/>
      <c r="AM735" s="17"/>
      <c r="AN735" s="17"/>
      <c r="AO735" s="17"/>
      <c r="AP735" s="1"/>
      <c r="AQ735" s="1"/>
    </row>
    <row r="736" spans="1:43" x14ac:dyDescent="0.35">
      <c r="A736" s="6"/>
      <c r="B736" s="13"/>
      <c r="C736" s="81"/>
      <c r="D736" s="4"/>
      <c r="E736" s="8"/>
      <c r="F736" s="17"/>
      <c r="G736" s="17"/>
      <c r="H736" s="17"/>
      <c r="I736" s="17"/>
      <c r="J736" s="17"/>
      <c r="K736" s="17"/>
      <c r="L736" s="17"/>
      <c r="M736" s="17"/>
      <c r="N736" s="17"/>
      <c r="O736" s="17"/>
      <c r="P736" s="17"/>
      <c r="Q736" s="17"/>
      <c r="R736" s="17"/>
      <c r="S736" s="17"/>
      <c r="T736" s="17"/>
      <c r="U736" s="17"/>
      <c r="V736" s="17"/>
      <c r="W736" s="17"/>
      <c r="X736" s="17"/>
      <c r="Y736" s="17"/>
      <c r="Z736" s="17"/>
      <c r="AA736" s="17"/>
      <c r="AB736" s="17"/>
      <c r="AC736" s="17"/>
      <c r="AD736" s="17"/>
      <c r="AE736" s="17"/>
      <c r="AF736" s="17"/>
      <c r="AG736" s="17"/>
      <c r="AH736" s="17"/>
      <c r="AI736" s="17"/>
      <c r="AJ736" s="17"/>
      <c r="AK736" s="17"/>
      <c r="AL736" s="17"/>
      <c r="AM736" s="17"/>
      <c r="AN736" s="17"/>
      <c r="AO736" s="17"/>
      <c r="AP736" s="1"/>
      <c r="AQ736" s="1"/>
    </row>
    <row r="737" spans="1:43" x14ac:dyDescent="0.35">
      <c r="A737" s="6"/>
      <c r="B737" s="13"/>
      <c r="C737" s="81"/>
      <c r="D737" s="4"/>
      <c r="E737" s="8"/>
      <c r="F737" s="17"/>
      <c r="G737" s="17"/>
      <c r="H737" s="17"/>
      <c r="I737" s="17"/>
      <c r="J737" s="17"/>
      <c r="K737" s="17"/>
      <c r="L737" s="17"/>
      <c r="M737" s="17"/>
      <c r="N737" s="17"/>
      <c r="O737" s="17"/>
      <c r="P737" s="17"/>
      <c r="Q737" s="17"/>
      <c r="R737" s="17"/>
      <c r="S737" s="17"/>
      <c r="T737" s="17"/>
      <c r="U737" s="17"/>
      <c r="V737" s="17"/>
      <c r="W737" s="17"/>
      <c r="X737" s="17"/>
      <c r="Y737" s="17"/>
      <c r="Z737" s="17"/>
      <c r="AA737" s="17"/>
      <c r="AB737" s="17"/>
      <c r="AC737" s="17"/>
      <c r="AD737" s="17"/>
      <c r="AE737" s="17"/>
      <c r="AF737" s="17"/>
      <c r="AG737" s="17"/>
      <c r="AH737" s="17"/>
      <c r="AI737" s="17"/>
      <c r="AJ737" s="17"/>
      <c r="AK737" s="17"/>
      <c r="AL737" s="17"/>
      <c r="AM737" s="17"/>
      <c r="AN737" s="17"/>
      <c r="AO737" s="17"/>
      <c r="AP737" s="1"/>
      <c r="AQ737" s="1"/>
    </row>
    <row r="738" spans="1:43" x14ac:dyDescent="0.35">
      <c r="A738" s="6"/>
      <c r="B738" s="13"/>
      <c r="C738" s="81"/>
      <c r="D738" s="4"/>
      <c r="E738" s="8"/>
      <c r="F738" s="17"/>
      <c r="G738" s="17"/>
      <c r="H738" s="17"/>
      <c r="I738" s="17"/>
      <c r="J738" s="17"/>
      <c r="K738" s="17"/>
      <c r="L738" s="17"/>
      <c r="M738" s="17"/>
      <c r="N738" s="17"/>
      <c r="O738" s="17"/>
      <c r="P738" s="17"/>
      <c r="Q738" s="17"/>
      <c r="R738" s="17"/>
      <c r="S738" s="17"/>
      <c r="T738" s="17"/>
      <c r="U738" s="17"/>
      <c r="V738" s="17"/>
      <c r="W738" s="17"/>
      <c r="X738" s="17"/>
      <c r="Y738" s="17"/>
      <c r="Z738" s="17"/>
      <c r="AA738" s="17"/>
      <c r="AB738" s="17"/>
      <c r="AC738" s="17"/>
      <c r="AD738" s="17"/>
      <c r="AE738" s="17"/>
      <c r="AF738" s="17"/>
      <c r="AG738" s="17"/>
      <c r="AH738" s="17"/>
      <c r="AI738" s="17"/>
      <c r="AJ738" s="17"/>
      <c r="AK738" s="17"/>
      <c r="AL738" s="17"/>
      <c r="AM738" s="17"/>
      <c r="AN738" s="17"/>
      <c r="AO738" s="17"/>
      <c r="AP738" s="1"/>
      <c r="AQ738" s="1"/>
    </row>
    <row r="739" spans="1:43" x14ac:dyDescent="0.35">
      <c r="A739" s="6"/>
      <c r="B739" s="13"/>
      <c r="C739" s="81"/>
      <c r="D739" s="4"/>
      <c r="E739" s="8"/>
      <c r="F739" s="17"/>
      <c r="G739" s="17"/>
      <c r="H739" s="17"/>
      <c r="I739" s="17"/>
      <c r="J739" s="17"/>
      <c r="K739" s="17"/>
      <c r="L739" s="17"/>
      <c r="M739" s="17"/>
      <c r="N739" s="17"/>
      <c r="O739" s="17"/>
      <c r="P739" s="17"/>
      <c r="Q739" s="17"/>
      <c r="R739" s="17"/>
      <c r="S739" s="17"/>
      <c r="T739" s="17"/>
      <c r="U739" s="17"/>
      <c r="V739" s="17"/>
      <c r="W739" s="17"/>
      <c r="X739" s="17"/>
      <c r="Y739" s="17"/>
      <c r="Z739" s="17"/>
      <c r="AA739" s="17"/>
      <c r="AB739" s="17"/>
      <c r="AC739" s="17"/>
      <c r="AD739" s="17"/>
      <c r="AE739" s="17"/>
      <c r="AF739" s="17"/>
      <c r="AG739" s="17"/>
      <c r="AH739" s="17"/>
      <c r="AI739" s="17"/>
      <c r="AJ739" s="17"/>
      <c r="AK739" s="17"/>
      <c r="AL739" s="17"/>
      <c r="AM739" s="17"/>
      <c r="AN739" s="17"/>
      <c r="AO739" s="17"/>
      <c r="AP739" s="1"/>
      <c r="AQ739" s="1"/>
    </row>
    <row r="740" spans="1:43" x14ac:dyDescent="0.35">
      <c r="A740" s="6"/>
      <c r="B740" s="13"/>
      <c r="C740" s="81"/>
      <c r="D740" s="4"/>
      <c r="E740" s="8"/>
      <c r="F740" s="17"/>
      <c r="G740" s="17"/>
      <c r="H740" s="17"/>
      <c r="I740" s="17"/>
      <c r="J740" s="17"/>
      <c r="K740" s="17"/>
      <c r="L740" s="17"/>
      <c r="M740" s="17"/>
      <c r="N740" s="17"/>
      <c r="O740" s="17"/>
      <c r="P740" s="17"/>
      <c r="Q740" s="17"/>
      <c r="R740" s="17"/>
      <c r="S740" s="17"/>
      <c r="T740" s="17"/>
      <c r="U740" s="17"/>
      <c r="V740" s="17"/>
      <c r="W740" s="17"/>
      <c r="X740" s="17"/>
      <c r="Y740" s="17"/>
      <c r="Z740" s="17"/>
      <c r="AA740" s="17"/>
      <c r="AB740" s="17"/>
      <c r="AC740" s="17"/>
      <c r="AD740" s="17"/>
      <c r="AE740" s="17"/>
      <c r="AF740" s="17"/>
      <c r="AG740" s="17"/>
      <c r="AH740" s="17"/>
      <c r="AI740" s="17"/>
      <c r="AJ740" s="17"/>
      <c r="AK740" s="17"/>
      <c r="AL740" s="17"/>
      <c r="AM740" s="17"/>
      <c r="AN740" s="17"/>
      <c r="AO740" s="17"/>
      <c r="AP740" s="1"/>
      <c r="AQ740" s="1"/>
    </row>
    <row r="741" spans="1:43" x14ac:dyDescent="0.35">
      <c r="A741" s="6"/>
      <c r="B741" s="13"/>
      <c r="C741" s="81"/>
      <c r="D741" s="4"/>
      <c r="E741" s="8"/>
      <c r="F741" s="17"/>
      <c r="G741" s="17"/>
      <c r="H741" s="17"/>
      <c r="I741" s="17"/>
      <c r="J741" s="17"/>
      <c r="K741" s="17"/>
      <c r="L741" s="17"/>
      <c r="M741" s="17"/>
      <c r="N741" s="17"/>
      <c r="O741" s="17"/>
      <c r="P741" s="17"/>
      <c r="Q741" s="17"/>
      <c r="R741" s="17"/>
      <c r="S741" s="17"/>
      <c r="T741" s="17"/>
      <c r="U741" s="17"/>
      <c r="V741" s="17"/>
      <c r="W741" s="17"/>
      <c r="X741" s="17"/>
      <c r="Y741" s="17"/>
      <c r="Z741" s="17"/>
      <c r="AA741" s="17"/>
      <c r="AB741" s="17"/>
      <c r="AC741" s="17"/>
      <c r="AD741" s="17"/>
      <c r="AE741" s="17"/>
      <c r="AF741" s="17"/>
      <c r="AG741" s="17"/>
      <c r="AH741" s="17"/>
      <c r="AI741" s="17"/>
      <c r="AJ741" s="17"/>
      <c r="AK741" s="17"/>
      <c r="AL741" s="17"/>
      <c r="AM741" s="17"/>
      <c r="AN741" s="17"/>
      <c r="AO741" s="17"/>
      <c r="AP741" s="1"/>
      <c r="AQ741" s="1"/>
    </row>
    <row r="742" spans="1:43" x14ac:dyDescent="0.35">
      <c r="A742" s="6"/>
      <c r="B742" s="13"/>
      <c r="C742" s="81"/>
      <c r="D742" s="4"/>
      <c r="E742" s="8"/>
      <c r="F742" s="17"/>
      <c r="G742" s="17"/>
      <c r="H742" s="17"/>
      <c r="I742" s="17"/>
      <c r="J742" s="17"/>
      <c r="K742" s="17"/>
      <c r="L742" s="17"/>
      <c r="M742" s="17"/>
      <c r="N742" s="17"/>
      <c r="O742" s="17"/>
      <c r="P742" s="17"/>
      <c r="Q742" s="17"/>
      <c r="R742" s="17"/>
      <c r="S742" s="17"/>
      <c r="T742" s="17"/>
      <c r="U742" s="17"/>
      <c r="V742" s="17"/>
      <c r="W742" s="17"/>
      <c r="X742" s="17"/>
      <c r="Y742" s="17"/>
      <c r="Z742" s="17"/>
      <c r="AA742" s="17"/>
      <c r="AB742" s="17"/>
      <c r="AC742" s="17"/>
      <c r="AD742" s="17"/>
      <c r="AE742" s="17"/>
      <c r="AF742" s="17"/>
      <c r="AG742" s="17"/>
      <c r="AH742" s="17"/>
      <c r="AI742" s="17"/>
      <c r="AJ742" s="17"/>
      <c r="AK742" s="17"/>
      <c r="AL742" s="17"/>
      <c r="AM742" s="17"/>
      <c r="AN742" s="17"/>
      <c r="AO742" s="17"/>
      <c r="AP742" s="1"/>
      <c r="AQ742" s="1"/>
    </row>
    <row r="743" spans="1:43" x14ac:dyDescent="0.35">
      <c r="A743" s="6"/>
      <c r="B743" s="13"/>
      <c r="C743" s="81"/>
      <c r="D743" s="4"/>
      <c r="E743" s="8"/>
      <c r="F743" s="17"/>
      <c r="G743" s="17"/>
      <c r="H743" s="17"/>
      <c r="I743" s="17"/>
      <c r="J743" s="17"/>
      <c r="K743" s="17"/>
      <c r="L743" s="17"/>
      <c r="M743" s="17"/>
      <c r="N743" s="17"/>
      <c r="O743" s="17"/>
      <c r="P743" s="17"/>
      <c r="Q743" s="17"/>
      <c r="R743" s="17"/>
      <c r="S743" s="17"/>
      <c r="T743" s="17"/>
      <c r="U743" s="17"/>
      <c r="V743" s="17"/>
      <c r="W743" s="17"/>
      <c r="X743" s="17"/>
      <c r="Y743" s="17"/>
      <c r="Z743" s="17"/>
      <c r="AA743" s="17"/>
      <c r="AB743" s="17"/>
      <c r="AC743" s="17"/>
      <c r="AD743" s="17"/>
      <c r="AE743" s="17"/>
      <c r="AF743" s="17"/>
      <c r="AG743" s="17"/>
      <c r="AH743" s="17"/>
      <c r="AI743" s="17"/>
      <c r="AJ743" s="17"/>
      <c r="AK743" s="17"/>
      <c r="AL743" s="17"/>
      <c r="AM743" s="17"/>
      <c r="AN743" s="17"/>
      <c r="AO743" s="17"/>
      <c r="AP743" s="1"/>
      <c r="AQ743" s="1"/>
    </row>
    <row r="744" spans="1:43" x14ac:dyDescent="0.35">
      <c r="A744" s="6"/>
      <c r="B744" s="13"/>
      <c r="C744" s="81"/>
      <c r="D744" s="4"/>
      <c r="E744" s="8"/>
      <c r="F744" s="17"/>
      <c r="G744" s="17"/>
      <c r="H744" s="17"/>
      <c r="I744" s="17"/>
      <c r="J744" s="17"/>
      <c r="K744" s="17"/>
      <c r="L744" s="17"/>
      <c r="M744" s="17"/>
      <c r="N744" s="17"/>
      <c r="O744" s="17"/>
      <c r="P744" s="17"/>
      <c r="Q744" s="17"/>
      <c r="R744" s="17"/>
      <c r="S744" s="17"/>
      <c r="T744" s="17"/>
      <c r="U744" s="17"/>
      <c r="V744" s="17"/>
      <c r="W744" s="17"/>
      <c r="X744" s="17"/>
      <c r="Y744" s="17"/>
      <c r="Z744" s="17"/>
      <c r="AA744" s="17"/>
      <c r="AB744" s="17"/>
      <c r="AC744" s="17"/>
      <c r="AD744" s="17"/>
      <c r="AE744" s="17"/>
      <c r="AF744" s="17"/>
      <c r="AG744" s="17"/>
      <c r="AH744" s="17"/>
      <c r="AI744" s="17"/>
      <c r="AJ744" s="17"/>
      <c r="AK744" s="17"/>
      <c r="AL744" s="17"/>
      <c r="AM744" s="17"/>
      <c r="AN744" s="17"/>
      <c r="AO744" s="17"/>
      <c r="AP744" s="1"/>
      <c r="AQ744" s="1"/>
    </row>
    <row r="745" spans="1:43" x14ac:dyDescent="0.35">
      <c r="A745" s="6"/>
      <c r="B745" s="13"/>
      <c r="C745" s="81"/>
      <c r="D745" s="4"/>
      <c r="E745" s="8"/>
      <c r="F745" s="17"/>
      <c r="G745" s="17"/>
      <c r="H745" s="17"/>
      <c r="I745" s="17"/>
      <c r="J745" s="17"/>
      <c r="K745" s="17"/>
      <c r="L745" s="17"/>
      <c r="M745" s="17"/>
      <c r="N745" s="17"/>
      <c r="O745" s="17"/>
      <c r="P745" s="17"/>
      <c r="Q745" s="17"/>
      <c r="R745" s="17"/>
      <c r="S745" s="17"/>
      <c r="T745" s="17"/>
      <c r="U745" s="17"/>
      <c r="V745" s="17"/>
      <c r="W745" s="17"/>
      <c r="X745" s="17"/>
      <c r="Y745" s="17"/>
      <c r="Z745" s="17"/>
      <c r="AA745" s="17"/>
      <c r="AB745" s="17"/>
      <c r="AC745" s="17"/>
      <c r="AD745" s="17"/>
      <c r="AE745" s="17"/>
      <c r="AF745" s="17"/>
      <c r="AG745" s="17"/>
      <c r="AH745" s="17"/>
      <c r="AI745" s="17"/>
      <c r="AJ745" s="17"/>
      <c r="AK745" s="17"/>
      <c r="AL745" s="17"/>
      <c r="AM745" s="17"/>
      <c r="AN745" s="17"/>
      <c r="AO745" s="17"/>
      <c r="AP745" s="1"/>
      <c r="AQ745" s="1"/>
    </row>
    <row r="746" spans="1:43" x14ac:dyDescent="0.35">
      <c r="A746" s="6"/>
      <c r="B746" s="13"/>
      <c r="C746" s="81"/>
      <c r="D746" s="4"/>
      <c r="E746" s="8"/>
      <c r="F746" s="17"/>
      <c r="G746" s="17"/>
      <c r="H746" s="17"/>
      <c r="I746" s="17"/>
      <c r="J746" s="17"/>
      <c r="K746" s="17"/>
      <c r="L746" s="17"/>
      <c r="M746" s="17"/>
      <c r="N746" s="17"/>
      <c r="O746" s="17"/>
      <c r="P746" s="17"/>
      <c r="Q746" s="17"/>
      <c r="R746" s="17"/>
      <c r="S746" s="17"/>
      <c r="T746" s="17"/>
      <c r="U746" s="17"/>
      <c r="V746" s="17"/>
      <c r="W746" s="17"/>
      <c r="X746" s="17"/>
      <c r="Y746" s="17"/>
      <c r="Z746" s="17"/>
      <c r="AA746" s="17"/>
      <c r="AB746" s="17"/>
      <c r="AC746" s="17"/>
      <c r="AD746" s="17"/>
      <c r="AE746" s="17"/>
      <c r="AF746" s="17"/>
      <c r="AG746" s="17"/>
      <c r="AH746" s="17"/>
      <c r="AI746" s="17"/>
      <c r="AJ746" s="17"/>
      <c r="AK746" s="17"/>
      <c r="AL746" s="17"/>
      <c r="AM746" s="17"/>
      <c r="AN746" s="17"/>
      <c r="AO746" s="17"/>
      <c r="AP746" s="1"/>
      <c r="AQ746" s="1"/>
    </row>
    <row r="747" spans="1:43" x14ac:dyDescent="0.35">
      <c r="A747" s="6"/>
      <c r="B747" s="13"/>
      <c r="C747" s="81"/>
      <c r="D747" s="4"/>
      <c r="E747" s="8"/>
      <c r="F747" s="17"/>
      <c r="G747" s="17"/>
      <c r="H747" s="17"/>
      <c r="I747" s="17"/>
      <c r="J747" s="17"/>
      <c r="K747" s="17"/>
      <c r="L747" s="17"/>
      <c r="M747" s="17"/>
      <c r="N747" s="17"/>
      <c r="O747" s="17"/>
      <c r="P747" s="17"/>
      <c r="Q747" s="17"/>
      <c r="R747" s="17"/>
      <c r="S747" s="17"/>
      <c r="T747" s="17"/>
      <c r="U747" s="17"/>
      <c r="V747" s="17"/>
      <c r="W747" s="17"/>
      <c r="X747" s="17"/>
      <c r="Y747" s="17"/>
      <c r="Z747" s="17"/>
      <c r="AA747" s="17"/>
      <c r="AB747" s="17"/>
      <c r="AC747" s="17"/>
      <c r="AD747" s="17"/>
      <c r="AE747" s="17"/>
      <c r="AF747" s="17"/>
      <c r="AG747" s="17"/>
      <c r="AH747" s="17"/>
      <c r="AI747" s="17"/>
      <c r="AJ747" s="17"/>
      <c r="AK747" s="17"/>
      <c r="AL747" s="17"/>
      <c r="AM747" s="17"/>
      <c r="AN747" s="17"/>
      <c r="AO747" s="17"/>
      <c r="AP747" s="1"/>
      <c r="AQ747" s="1"/>
    </row>
    <row r="748" spans="1:43" x14ac:dyDescent="0.35">
      <c r="A748" s="6"/>
      <c r="B748" s="13"/>
      <c r="C748" s="81"/>
      <c r="D748" s="4"/>
      <c r="E748" s="8"/>
      <c r="F748" s="17"/>
      <c r="G748" s="17"/>
      <c r="H748" s="17"/>
      <c r="I748" s="17"/>
      <c r="J748" s="17"/>
      <c r="K748" s="17"/>
      <c r="L748" s="17"/>
      <c r="M748" s="17"/>
      <c r="N748" s="17"/>
      <c r="O748" s="17"/>
      <c r="P748" s="17"/>
      <c r="Q748" s="17"/>
      <c r="R748" s="17"/>
      <c r="S748" s="17"/>
      <c r="T748" s="17"/>
      <c r="U748" s="17"/>
      <c r="V748" s="17"/>
      <c r="W748" s="17"/>
      <c r="X748" s="17"/>
      <c r="Y748" s="17"/>
      <c r="Z748" s="17"/>
      <c r="AA748" s="17"/>
      <c r="AB748" s="17"/>
      <c r="AC748" s="17"/>
      <c r="AD748" s="17"/>
      <c r="AE748" s="17"/>
      <c r="AF748" s="17"/>
      <c r="AG748" s="17"/>
      <c r="AH748" s="17"/>
      <c r="AI748" s="17"/>
      <c r="AJ748" s="17"/>
      <c r="AK748" s="17"/>
      <c r="AL748" s="17"/>
      <c r="AM748" s="17"/>
      <c r="AN748" s="17"/>
      <c r="AO748" s="17"/>
      <c r="AP748" s="1"/>
      <c r="AQ748" s="1"/>
    </row>
    <row r="749" spans="1:43" x14ac:dyDescent="0.35">
      <c r="A749" s="6"/>
      <c r="B749" s="13"/>
      <c r="C749" s="81"/>
      <c r="D749" s="4"/>
      <c r="E749" s="8"/>
      <c r="F749" s="17"/>
      <c r="G749" s="17"/>
      <c r="H749" s="17"/>
      <c r="I749" s="17"/>
      <c r="J749" s="17"/>
      <c r="K749" s="17"/>
      <c r="L749" s="17"/>
      <c r="M749" s="17"/>
      <c r="N749" s="17"/>
      <c r="O749" s="17"/>
      <c r="P749" s="17"/>
      <c r="Q749" s="17"/>
      <c r="R749" s="17"/>
      <c r="S749" s="17"/>
      <c r="T749" s="17"/>
      <c r="U749" s="17"/>
      <c r="V749" s="17"/>
      <c r="W749" s="17"/>
      <c r="X749" s="17"/>
      <c r="Y749" s="17"/>
      <c r="Z749" s="17"/>
      <c r="AA749" s="17"/>
      <c r="AB749" s="17"/>
      <c r="AC749" s="17"/>
      <c r="AD749" s="17"/>
      <c r="AE749" s="17"/>
      <c r="AF749" s="17"/>
      <c r="AG749" s="17"/>
      <c r="AH749" s="17"/>
      <c r="AI749" s="17"/>
      <c r="AJ749" s="17"/>
      <c r="AK749" s="17"/>
      <c r="AL749" s="17"/>
      <c r="AM749" s="17"/>
      <c r="AN749" s="17"/>
      <c r="AO749" s="17"/>
      <c r="AP749" s="1"/>
      <c r="AQ749" s="1"/>
    </row>
    <row r="750" spans="1:43" x14ac:dyDescent="0.35">
      <c r="A750" s="6"/>
      <c r="B750" s="13"/>
      <c r="C750" s="81"/>
      <c r="D750" s="4"/>
      <c r="E750" s="8"/>
      <c r="F750" s="17"/>
      <c r="G750" s="17"/>
      <c r="H750" s="17"/>
      <c r="I750" s="17"/>
      <c r="J750" s="17"/>
      <c r="K750" s="17"/>
      <c r="L750" s="17"/>
      <c r="M750" s="17"/>
      <c r="N750" s="17"/>
      <c r="O750" s="17"/>
      <c r="P750" s="17"/>
      <c r="Q750" s="17"/>
      <c r="R750" s="17"/>
      <c r="S750" s="17"/>
      <c r="T750" s="17"/>
      <c r="U750" s="17"/>
      <c r="V750" s="17"/>
      <c r="W750" s="17"/>
      <c r="X750" s="17"/>
      <c r="Y750" s="17"/>
      <c r="Z750" s="17"/>
      <c r="AA750" s="17"/>
      <c r="AB750" s="17"/>
      <c r="AC750" s="17"/>
      <c r="AD750" s="17"/>
      <c r="AE750" s="17"/>
      <c r="AF750" s="17"/>
      <c r="AG750" s="17"/>
      <c r="AH750" s="17"/>
      <c r="AI750" s="17"/>
      <c r="AJ750" s="17"/>
      <c r="AK750" s="17"/>
      <c r="AL750" s="17"/>
      <c r="AM750" s="17"/>
      <c r="AN750" s="17"/>
      <c r="AO750" s="17"/>
      <c r="AP750" s="1"/>
      <c r="AQ750" s="1"/>
    </row>
    <row r="751" spans="1:43" x14ac:dyDescent="0.35">
      <c r="A751" s="6"/>
      <c r="B751" s="13"/>
      <c r="C751" s="81"/>
      <c r="D751" s="4"/>
      <c r="E751" s="8"/>
      <c r="F751" s="17"/>
      <c r="G751" s="17"/>
      <c r="H751" s="17"/>
      <c r="I751" s="17"/>
      <c r="J751" s="17"/>
      <c r="K751" s="17"/>
      <c r="L751" s="17"/>
      <c r="M751" s="17"/>
      <c r="N751" s="17"/>
      <c r="O751" s="17"/>
      <c r="P751" s="17"/>
      <c r="Q751" s="17"/>
      <c r="R751" s="17"/>
      <c r="S751" s="17"/>
      <c r="T751" s="17"/>
      <c r="U751" s="17"/>
      <c r="V751" s="17"/>
      <c r="W751" s="17"/>
      <c r="X751" s="17"/>
      <c r="Y751" s="17"/>
      <c r="Z751" s="17"/>
      <c r="AA751" s="17"/>
      <c r="AB751" s="17"/>
      <c r="AC751" s="17"/>
      <c r="AD751" s="17"/>
      <c r="AE751" s="17"/>
      <c r="AF751" s="17"/>
      <c r="AG751" s="17"/>
      <c r="AH751" s="17"/>
      <c r="AI751" s="17"/>
      <c r="AJ751" s="17"/>
      <c r="AK751" s="17"/>
      <c r="AL751" s="17"/>
      <c r="AM751" s="17"/>
      <c r="AN751" s="17"/>
      <c r="AO751" s="17"/>
      <c r="AP751" s="1"/>
      <c r="AQ751" s="1"/>
    </row>
    <row r="752" spans="1:43" x14ac:dyDescent="0.35">
      <c r="A752" s="6"/>
      <c r="B752" s="13"/>
      <c r="C752" s="81"/>
      <c r="D752" s="4"/>
      <c r="E752" s="8"/>
      <c r="F752" s="17"/>
      <c r="G752" s="17"/>
      <c r="H752" s="17"/>
      <c r="I752" s="17"/>
      <c r="J752" s="17"/>
      <c r="K752" s="17"/>
      <c r="L752" s="17"/>
      <c r="M752" s="17"/>
      <c r="N752" s="17"/>
      <c r="O752" s="17"/>
      <c r="P752" s="17"/>
      <c r="Q752" s="17"/>
      <c r="R752" s="17"/>
      <c r="S752" s="17"/>
      <c r="T752" s="17"/>
      <c r="U752" s="17"/>
      <c r="V752" s="17"/>
      <c r="W752" s="17"/>
      <c r="X752" s="17"/>
      <c r="Y752" s="17"/>
      <c r="Z752" s="17"/>
      <c r="AA752" s="17"/>
      <c r="AB752" s="17"/>
      <c r="AC752" s="17"/>
      <c r="AD752" s="17"/>
      <c r="AE752" s="17"/>
      <c r="AF752" s="17"/>
      <c r="AG752" s="17"/>
      <c r="AH752" s="17"/>
      <c r="AI752" s="17"/>
      <c r="AJ752" s="17"/>
      <c r="AK752" s="17"/>
      <c r="AL752" s="17"/>
      <c r="AM752" s="17"/>
      <c r="AN752" s="17"/>
      <c r="AO752" s="17"/>
      <c r="AP752" s="1"/>
      <c r="AQ752" s="1"/>
    </row>
    <row r="753" spans="1:43" x14ac:dyDescent="0.35">
      <c r="A753" s="6"/>
      <c r="B753" s="13"/>
      <c r="C753" s="81"/>
      <c r="D753" s="4"/>
      <c r="E753" s="8"/>
      <c r="F753" s="17"/>
      <c r="G753" s="17"/>
      <c r="H753" s="17"/>
      <c r="I753" s="17"/>
      <c r="J753" s="17"/>
      <c r="K753" s="17"/>
      <c r="L753" s="17"/>
      <c r="M753" s="17"/>
      <c r="N753" s="17"/>
      <c r="O753" s="17"/>
      <c r="P753" s="17"/>
      <c r="Q753" s="17"/>
      <c r="R753" s="17"/>
      <c r="S753" s="17"/>
      <c r="T753" s="17"/>
      <c r="U753" s="17"/>
      <c r="V753" s="17"/>
      <c r="W753" s="17"/>
      <c r="X753" s="17"/>
      <c r="Y753" s="17"/>
      <c r="Z753" s="17"/>
      <c r="AA753" s="17"/>
      <c r="AB753" s="17"/>
      <c r="AC753" s="17"/>
      <c r="AD753" s="17"/>
      <c r="AE753" s="17"/>
      <c r="AF753" s="17"/>
      <c r="AG753" s="17"/>
      <c r="AH753" s="17"/>
      <c r="AI753" s="17"/>
      <c r="AJ753" s="17"/>
      <c r="AK753" s="17"/>
      <c r="AL753" s="17"/>
      <c r="AM753" s="17"/>
      <c r="AN753" s="17"/>
      <c r="AO753" s="17"/>
      <c r="AP753" s="1"/>
      <c r="AQ753" s="1"/>
    </row>
    <row r="754" spans="1:43" x14ac:dyDescent="0.35">
      <c r="A754" s="6"/>
      <c r="B754" s="13"/>
      <c r="C754" s="81"/>
      <c r="D754" s="4"/>
      <c r="E754" s="8"/>
      <c r="F754" s="17"/>
      <c r="G754" s="17"/>
      <c r="H754" s="17"/>
      <c r="I754" s="17"/>
      <c r="J754" s="17"/>
      <c r="K754" s="17"/>
      <c r="L754" s="17"/>
      <c r="M754" s="17"/>
      <c r="N754" s="17"/>
      <c r="O754" s="17"/>
      <c r="P754" s="17"/>
      <c r="Q754" s="17"/>
      <c r="R754" s="17"/>
      <c r="S754" s="17"/>
      <c r="T754" s="17"/>
      <c r="U754" s="17"/>
      <c r="V754" s="17"/>
      <c r="W754" s="17"/>
      <c r="X754" s="17"/>
      <c r="Y754" s="17"/>
      <c r="Z754" s="17"/>
      <c r="AA754" s="17"/>
      <c r="AB754" s="17"/>
      <c r="AC754" s="17"/>
      <c r="AD754" s="17"/>
      <c r="AE754" s="17"/>
      <c r="AF754" s="17"/>
      <c r="AG754" s="17"/>
      <c r="AH754" s="17"/>
      <c r="AI754" s="17"/>
      <c r="AJ754" s="17"/>
      <c r="AK754" s="17"/>
      <c r="AL754" s="17"/>
      <c r="AM754" s="17"/>
      <c r="AN754" s="17"/>
      <c r="AO754" s="17"/>
      <c r="AP754" s="1"/>
      <c r="AQ754" s="1"/>
    </row>
    <row r="755" spans="1:43" x14ac:dyDescent="0.35">
      <c r="A755" s="6"/>
      <c r="B755" s="13"/>
      <c r="C755" s="81"/>
      <c r="D755" s="4"/>
      <c r="E755" s="8"/>
      <c r="F755" s="17"/>
      <c r="G755" s="17"/>
      <c r="H755" s="17"/>
      <c r="I755" s="17"/>
      <c r="J755" s="17"/>
      <c r="K755" s="17"/>
      <c r="L755" s="17"/>
      <c r="M755" s="17"/>
      <c r="N755" s="17"/>
      <c r="O755" s="17"/>
      <c r="P755" s="17"/>
      <c r="Q755" s="17"/>
      <c r="R755" s="17"/>
      <c r="S755" s="17"/>
      <c r="T755" s="17"/>
      <c r="U755" s="17"/>
      <c r="V755" s="17"/>
      <c r="W755" s="17"/>
      <c r="X755" s="17"/>
      <c r="Y755" s="17"/>
      <c r="Z755" s="17"/>
      <c r="AA755" s="17"/>
      <c r="AB755" s="17"/>
      <c r="AC755" s="17"/>
      <c r="AD755" s="17"/>
      <c r="AE755" s="17"/>
      <c r="AF755" s="17"/>
      <c r="AG755" s="17"/>
      <c r="AH755" s="17"/>
      <c r="AI755" s="17"/>
      <c r="AJ755" s="17"/>
      <c r="AK755" s="17"/>
      <c r="AL755" s="17"/>
      <c r="AM755" s="17"/>
      <c r="AN755" s="17"/>
      <c r="AO755" s="17"/>
      <c r="AP755" s="1"/>
      <c r="AQ755" s="1"/>
    </row>
    <row r="756" spans="1:43" x14ac:dyDescent="0.35">
      <c r="A756" s="6"/>
      <c r="B756" s="13"/>
      <c r="C756" s="81"/>
      <c r="D756" s="4"/>
      <c r="E756" s="8"/>
      <c r="F756" s="17"/>
      <c r="G756" s="17"/>
      <c r="H756" s="17"/>
      <c r="I756" s="17"/>
      <c r="J756" s="17"/>
      <c r="K756" s="17"/>
      <c r="L756" s="17"/>
      <c r="M756" s="17"/>
      <c r="N756" s="17"/>
      <c r="O756" s="17"/>
      <c r="P756" s="17"/>
      <c r="Q756" s="17"/>
      <c r="R756" s="17"/>
      <c r="S756" s="17"/>
      <c r="T756" s="17"/>
      <c r="U756" s="17"/>
      <c r="V756" s="17"/>
      <c r="W756" s="17"/>
      <c r="X756" s="17"/>
      <c r="Y756" s="17"/>
      <c r="Z756" s="17"/>
      <c r="AA756" s="17"/>
      <c r="AB756" s="17"/>
      <c r="AC756" s="17"/>
      <c r="AD756" s="17"/>
      <c r="AE756" s="17"/>
      <c r="AF756" s="17"/>
      <c r="AG756" s="17"/>
      <c r="AH756" s="17"/>
      <c r="AI756" s="17"/>
      <c r="AJ756" s="17"/>
      <c r="AK756" s="17"/>
      <c r="AL756" s="17"/>
      <c r="AM756" s="17"/>
      <c r="AN756" s="17"/>
      <c r="AO756" s="17"/>
      <c r="AP756" s="1"/>
      <c r="AQ756" s="1"/>
    </row>
    <row r="757" spans="1:43" x14ac:dyDescent="0.35">
      <c r="A757" s="6"/>
      <c r="B757" s="13"/>
      <c r="C757" s="81"/>
      <c r="D757" s="4"/>
      <c r="E757" s="8"/>
      <c r="F757" s="17"/>
      <c r="G757" s="17"/>
      <c r="H757" s="17"/>
      <c r="I757" s="17"/>
      <c r="J757" s="17"/>
      <c r="K757" s="17"/>
      <c r="L757" s="17"/>
      <c r="M757" s="17"/>
      <c r="N757" s="17"/>
      <c r="O757" s="17"/>
      <c r="P757" s="17"/>
      <c r="Q757" s="17"/>
      <c r="R757" s="17"/>
      <c r="S757" s="17"/>
      <c r="T757" s="17"/>
      <c r="U757" s="17"/>
      <c r="V757" s="17"/>
      <c r="W757" s="17"/>
      <c r="X757" s="17"/>
      <c r="Y757" s="17"/>
      <c r="Z757" s="17"/>
      <c r="AA757" s="17"/>
      <c r="AB757" s="17"/>
      <c r="AC757" s="17"/>
      <c r="AD757" s="17"/>
      <c r="AE757" s="17"/>
      <c r="AF757" s="17"/>
      <c r="AG757" s="17"/>
      <c r="AH757" s="17"/>
      <c r="AI757" s="17"/>
      <c r="AJ757" s="17"/>
      <c r="AK757" s="17"/>
      <c r="AL757" s="17"/>
      <c r="AM757" s="17"/>
      <c r="AN757" s="17"/>
      <c r="AO757" s="17"/>
      <c r="AP757" s="1"/>
      <c r="AQ757" s="1"/>
    </row>
    <row r="758" spans="1:43" x14ac:dyDescent="0.35">
      <c r="A758" s="6"/>
      <c r="B758" s="13"/>
      <c r="C758" s="81"/>
      <c r="D758" s="4"/>
      <c r="E758" s="8"/>
      <c r="F758" s="17"/>
      <c r="G758" s="17"/>
      <c r="H758" s="17"/>
      <c r="I758" s="17"/>
      <c r="J758" s="17"/>
      <c r="K758" s="17"/>
      <c r="L758" s="17"/>
      <c r="M758" s="17"/>
      <c r="N758" s="17"/>
      <c r="O758" s="17"/>
      <c r="P758" s="17"/>
      <c r="Q758" s="17"/>
      <c r="R758" s="17"/>
      <c r="S758" s="17"/>
      <c r="T758" s="17"/>
      <c r="U758" s="17"/>
      <c r="V758" s="17"/>
      <c r="W758" s="17"/>
      <c r="X758" s="17"/>
      <c r="Y758" s="17"/>
      <c r="Z758" s="17"/>
      <c r="AA758" s="17"/>
      <c r="AB758" s="17"/>
      <c r="AC758" s="17"/>
      <c r="AD758" s="17"/>
      <c r="AE758" s="17"/>
      <c r="AF758" s="17"/>
      <c r="AG758" s="17"/>
      <c r="AH758" s="17"/>
      <c r="AI758" s="17"/>
      <c r="AJ758" s="17"/>
      <c r="AK758" s="17"/>
      <c r="AL758" s="17"/>
      <c r="AM758" s="17"/>
      <c r="AN758" s="17"/>
      <c r="AO758" s="17"/>
      <c r="AP758" s="1"/>
      <c r="AQ758" s="1"/>
    </row>
    <row r="759" spans="1:43" x14ac:dyDescent="0.35">
      <c r="A759" s="6"/>
      <c r="B759" s="13"/>
      <c r="C759" s="81"/>
      <c r="D759" s="4"/>
      <c r="E759" s="8"/>
      <c r="F759" s="17"/>
      <c r="G759" s="17"/>
      <c r="H759" s="17"/>
      <c r="I759" s="17"/>
      <c r="J759" s="17"/>
      <c r="K759" s="17"/>
      <c r="L759" s="17"/>
      <c r="M759" s="17"/>
      <c r="N759" s="17"/>
      <c r="O759" s="17"/>
      <c r="P759" s="17"/>
      <c r="Q759" s="17"/>
      <c r="R759" s="17"/>
      <c r="S759" s="17"/>
      <c r="T759" s="17"/>
      <c r="U759" s="17"/>
      <c r="V759" s="17"/>
      <c r="W759" s="17"/>
      <c r="X759" s="17"/>
      <c r="Y759" s="17"/>
      <c r="Z759" s="17"/>
      <c r="AA759" s="17"/>
      <c r="AB759" s="17"/>
      <c r="AC759" s="17"/>
      <c r="AD759" s="17"/>
      <c r="AE759" s="17"/>
      <c r="AF759" s="17"/>
      <c r="AG759" s="17"/>
      <c r="AH759" s="17"/>
      <c r="AI759" s="17"/>
      <c r="AJ759" s="17"/>
      <c r="AK759" s="17"/>
      <c r="AL759" s="17"/>
      <c r="AM759" s="17"/>
      <c r="AN759" s="17"/>
      <c r="AO759" s="17"/>
      <c r="AP759" s="1"/>
      <c r="AQ759" s="1"/>
    </row>
    <row r="760" spans="1:43" x14ac:dyDescent="0.35">
      <c r="A760" s="6"/>
      <c r="B760" s="13"/>
      <c r="C760" s="81"/>
      <c r="D760" s="4"/>
      <c r="E760" s="8"/>
      <c r="F760" s="17"/>
      <c r="G760" s="17"/>
      <c r="H760" s="17"/>
      <c r="I760" s="17"/>
      <c r="J760" s="17"/>
      <c r="K760" s="17"/>
      <c r="L760" s="17"/>
      <c r="M760" s="17"/>
      <c r="N760" s="17"/>
      <c r="O760" s="17"/>
      <c r="P760" s="17"/>
      <c r="Q760" s="17"/>
      <c r="R760" s="17"/>
      <c r="S760" s="17"/>
      <c r="T760" s="17"/>
      <c r="U760" s="17"/>
      <c r="V760" s="17"/>
      <c r="W760" s="17"/>
      <c r="X760" s="17"/>
      <c r="Y760" s="17"/>
      <c r="Z760" s="17"/>
      <c r="AA760" s="17"/>
      <c r="AB760" s="17"/>
      <c r="AC760" s="17"/>
      <c r="AD760" s="17"/>
      <c r="AE760" s="17"/>
      <c r="AF760" s="17"/>
      <c r="AG760" s="17"/>
      <c r="AH760" s="17"/>
      <c r="AI760" s="17"/>
      <c r="AJ760" s="17"/>
      <c r="AK760" s="17"/>
      <c r="AL760" s="17"/>
      <c r="AM760" s="17"/>
      <c r="AN760" s="17"/>
      <c r="AO760" s="17"/>
      <c r="AP760" s="1"/>
      <c r="AQ760" s="1"/>
    </row>
    <row r="761" spans="1:43" x14ac:dyDescent="0.35">
      <c r="A761" s="6"/>
      <c r="B761" s="13"/>
      <c r="C761" s="81"/>
      <c r="D761" s="4"/>
      <c r="E761" s="8"/>
      <c r="F761" s="17"/>
      <c r="G761" s="17"/>
      <c r="H761" s="17"/>
      <c r="I761" s="17"/>
      <c r="J761" s="17"/>
      <c r="K761" s="17"/>
      <c r="L761" s="17"/>
      <c r="M761" s="17"/>
      <c r="N761" s="17"/>
      <c r="O761" s="17"/>
      <c r="P761" s="17"/>
      <c r="Q761" s="17"/>
      <c r="R761" s="17"/>
      <c r="S761" s="17"/>
      <c r="T761" s="17"/>
      <c r="U761" s="17"/>
      <c r="V761" s="17"/>
      <c r="W761" s="17"/>
      <c r="X761" s="17"/>
      <c r="Y761" s="17"/>
      <c r="Z761" s="17"/>
      <c r="AA761" s="17"/>
      <c r="AB761" s="17"/>
      <c r="AC761" s="17"/>
      <c r="AD761" s="17"/>
      <c r="AE761" s="17"/>
      <c r="AF761" s="17"/>
      <c r="AG761" s="17"/>
      <c r="AH761" s="17"/>
      <c r="AI761" s="17"/>
      <c r="AJ761" s="17"/>
      <c r="AK761" s="17"/>
      <c r="AL761" s="17"/>
      <c r="AM761" s="17"/>
      <c r="AN761" s="17"/>
      <c r="AO761" s="17"/>
      <c r="AP761" s="1"/>
      <c r="AQ761" s="1"/>
    </row>
    <row r="762" spans="1:43" x14ac:dyDescent="0.35">
      <c r="A762" s="6"/>
      <c r="B762" s="13"/>
      <c r="C762" s="81"/>
      <c r="D762" s="4"/>
      <c r="E762" s="8"/>
      <c r="F762" s="17"/>
      <c r="G762" s="17"/>
      <c r="H762" s="17"/>
      <c r="I762" s="17"/>
      <c r="J762" s="17"/>
      <c r="K762" s="17"/>
      <c r="L762" s="17"/>
      <c r="M762" s="17"/>
      <c r="N762" s="17"/>
      <c r="O762" s="17"/>
      <c r="P762" s="17"/>
      <c r="Q762" s="17"/>
      <c r="R762" s="17"/>
      <c r="S762" s="17"/>
      <c r="T762" s="17"/>
      <c r="U762" s="17"/>
      <c r="V762" s="17"/>
      <c r="W762" s="17"/>
      <c r="X762" s="17"/>
      <c r="Y762" s="17"/>
      <c r="Z762" s="17"/>
      <c r="AA762" s="17"/>
      <c r="AB762" s="17"/>
      <c r="AC762" s="17"/>
      <c r="AD762" s="17"/>
      <c r="AE762" s="17"/>
      <c r="AF762" s="17"/>
      <c r="AG762" s="17"/>
      <c r="AH762" s="17"/>
      <c r="AI762" s="17"/>
      <c r="AJ762" s="17"/>
      <c r="AK762" s="17"/>
      <c r="AL762" s="17"/>
      <c r="AM762" s="17"/>
      <c r="AN762" s="17"/>
      <c r="AO762" s="17"/>
      <c r="AP762" s="1"/>
      <c r="AQ762" s="1"/>
    </row>
    <row r="763" spans="1:43" x14ac:dyDescent="0.35">
      <c r="A763" s="6"/>
      <c r="B763" s="13"/>
      <c r="C763" s="81"/>
      <c r="D763" s="4"/>
      <c r="E763" s="8"/>
      <c r="F763" s="17"/>
      <c r="G763" s="17"/>
      <c r="H763" s="17"/>
      <c r="I763" s="17"/>
      <c r="J763" s="17"/>
      <c r="K763" s="17"/>
      <c r="L763" s="17"/>
      <c r="M763" s="17"/>
      <c r="N763" s="17"/>
      <c r="O763" s="17"/>
      <c r="P763" s="17"/>
      <c r="Q763" s="17"/>
      <c r="R763" s="17"/>
      <c r="S763" s="17"/>
      <c r="T763" s="17"/>
      <c r="U763" s="17"/>
      <c r="V763" s="17"/>
      <c r="W763" s="17"/>
      <c r="X763" s="17"/>
      <c r="Y763" s="17"/>
      <c r="Z763" s="17"/>
      <c r="AA763" s="17"/>
      <c r="AB763" s="17"/>
      <c r="AC763" s="17"/>
      <c r="AD763" s="17"/>
      <c r="AE763" s="17"/>
      <c r="AF763" s="17"/>
      <c r="AG763" s="17"/>
      <c r="AH763" s="17"/>
      <c r="AI763" s="17"/>
      <c r="AJ763" s="17"/>
      <c r="AK763" s="17"/>
      <c r="AL763" s="17"/>
      <c r="AM763" s="17"/>
      <c r="AN763" s="17"/>
      <c r="AO763" s="17"/>
      <c r="AP763" s="1"/>
      <c r="AQ763" s="1"/>
    </row>
    <row r="764" spans="1:43" x14ac:dyDescent="0.35">
      <c r="A764" s="6"/>
      <c r="B764" s="13"/>
      <c r="C764" s="81"/>
      <c r="D764" s="4"/>
      <c r="E764" s="8"/>
      <c r="F764" s="17"/>
      <c r="G764" s="17"/>
      <c r="H764" s="17"/>
      <c r="I764" s="17"/>
      <c r="J764" s="17"/>
      <c r="K764" s="17"/>
      <c r="L764" s="17"/>
      <c r="M764" s="17"/>
      <c r="N764" s="17"/>
      <c r="O764" s="17"/>
      <c r="P764" s="17"/>
      <c r="Q764" s="17"/>
      <c r="R764" s="17"/>
      <c r="S764" s="17"/>
      <c r="T764" s="17"/>
      <c r="U764" s="17"/>
      <c r="V764" s="17"/>
      <c r="W764" s="17"/>
      <c r="X764" s="17"/>
      <c r="Y764" s="17"/>
      <c r="Z764" s="17"/>
      <c r="AA764" s="17"/>
      <c r="AB764" s="17"/>
      <c r="AC764" s="17"/>
      <c r="AD764" s="17"/>
      <c r="AE764" s="17"/>
      <c r="AF764" s="17"/>
      <c r="AG764" s="17"/>
      <c r="AH764" s="17"/>
      <c r="AI764" s="17"/>
      <c r="AJ764" s="17"/>
      <c r="AK764" s="17"/>
      <c r="AL764" s="17"/>
      <c r="AM764" s="17"/>
      <c r="AN764" s="17"/>
      <c r="AO764" s="17"/>
      <c r="AP764" s="1"/>
      <c r="AQ764" s="1"/>
    </row>
    <row r="765" spans="1:43" x14ac:dyDescent="0.35">
      <c r="A765" s="6"/>
      <c r="B765" s="13"/>
      <c r="C765" s="81"/>
      <c r="D765" s="4"/>
      <c r="E765" s="8"/>
      <c r="F765" s="17"/>
      <c r="G765" s="17"/>
      <c r="H765" s="17"/>
      <c r="I765" s="17"/>
      <c r="J765" s="17"/>
      <c r="K765" s="17"/>
      <c r="L765" s="17"/>
      <c r="M765" s="17"/>
      <c r="N765" s="17"/>
      <c r="O765" s="17"/>
      <c r="P765" s="17"/>
      <c r="Q765" s="17"/>
      <c r="R765" s="17"/>
      <c r="S765" s="17"/>
      <c r="T765" s="17"/>
      <c r="U765" s="17"/>
      <c r="V765" s="17"/>
      <c r="W765" s="17"/>
      <c r="X765" s="17"/>
      <c r="Y765" s="17"/>
      <c r="Z765" s="17"/>
      <c r="AA765" s="17"/>
      <c r="AB765" s="17"/>
      <c r="AC765" s="17"/>
      <c r="AD765" s="17"/>
      <c r="AE765" s="17"/>
      <c r="AF765" s="17"/>
      <c r="AG765" s="17"/>
      <c r="AH765" s="17"/>
      <c r="AI765" s="17"/>
      <c r="AJ765" s="17"/>
      <c r="AK765" s="17"/>
      <c r="AL765" s="17"/>
      <c r="AM765" s="17"/>
      <c r="AN765" s="17"/>
      <c r="AO765" s="17"/>
      <c r="AP765" s="1"/>
      <c r="AQ765" s="1"/>
    </row>
    <row r="766" spans="1:43" x14ac:dyDescent="0.35">
      <c r="A766" s="6"/>
      <c r="B766" s="13"/>
      <c r="C766" s="81"/>
      <c r="D766" s="4"/>
      <c r="E766" s="8"/>
      <c r="F766" s="17"/>
      <c r="G766" s="17"/>
      <c r="H766" s="17"/>
      <c r="I766" s="17"/>
      <c r="J766" s="17"/>
      <c r="K766" s="17"/>
      <c r="L766" s="17"/>
      <c r="M766" s="17"/>
      <c r="N766" s="17"/>
      <c r="O766" s="17"/>
      <c r="P766" s="17"/>
      <c r="Q766" s="17"/>
      <c r="R766" s="17"/>
      <c r="S766" s="17"/>
      <c r="T766" s="17"/>
      <c r="U766" s="17"/>
      <c r="V766" s="17"/>
      <c r="W766" s="17"/>
      <c r="X766" s="17"/>
      <c r="Y766" s="17"/>
      <c r="Z766" s="17"/>
      <c r="AA766" s="17"/>
      <c r="AB766" s="17"/>
      <c r="AC766" s="17"/>
      <c r="AD766" s="17"/>
      <c r="AE766" s="17"/>
      <c r="AF766" s="17"/>
      <c r="AG766" s="17"/>
      <c r="AH766" s="17"/>
      <c r="AI766" s="17"/>
      <c r="AJ766" s="17"/>
      <c r="AK766" s="17"/>
      <c r="AL766" s="17"/>
      <c r="AM766" s="17"/>
      <c r="AN766" s="17"/>
      <c r="AO766" s="17"/>
      <c r="AP766" s="1"/>
      <c r="AQ766" s="1"/>
    </row>
    <row r="767" spans="1:43" x14ac:dyDescent="0.35">
      <c r="A767" s="6"/>
      <c r="B767" s="13"/>
      <c r="C767" s="81"/>
      <c r="D767" s="4"/>
      <c r="E767" s="8"/>
      <c r="F767" s="17"/>
      <c r="G767" s="17"/>
      <c r="H767" s="17"/>
      <c r="I767" s="17"/>
      <c r="J767" s="17"/>
      <c r="K767" s="17"/>
      <c r="L767" s="17"/>
      <c r="M767" s="17"/>
      <c r="N767" s="17"/>
      <c r="O767" s="17"/>
      <c r="P767" s="17"/>
      <c r="Q767" s="17"/>
      <c r="R767" s="17"/>
      <c r="S767" s="17"/>
      <c r="T767" s="17"/>
      <c r="U767" s="17"/>
      <c r="V767" s="17"/>
      <c r="W767" s="17"/>
      <c r="X767" s="17"/>
      <c r="Y767" s="17"/>
      <c r="Z767" s="17"/>
      <c r="AA767" s="17"/>
      <c r="AB767" s="17"/>
      <c r="AC767" s="17"/>
      <c r="AD767" s="17"/>
      <c r="AE767" s="17"/>
      <c r="AF767" s="17"/>
      <c r="AG767" s="17"/>
      <c r="AH767" s="17"/>
      <c r="AI767" s="17"/>
      <c r="AJ767" s="17"/>
      <c r="AK767" s="17"/>
      <c r="AL767" s="17"/>
      <c r="AM767" s="17"/>
      <c r="AN767" s="17"/>
      <c r="AO767" s="17"/>
      <c r="AP767" s="1"/>
      <c r="AQ767" s="1"/>
    </row>
    <row r="768" spans="1:43" x14ac:dyDescent="0.35">
      <c r="A768" s="6"/>
      <c r="B768" s="13"/>
      <c r="C768" s="81"/>
      <c r="D768" s="4"/>
      <c r="E768" s="8"/>
      <c r="F768" s="17"/>
      <c r="G768" s="17"/>
      <c r="H768" s="17"/>
      <c r="I768" s="17"/>
      <c r="J768" s="17"/>
      <c r="K768" s="17"/>
      <c r="L768" s="17"/>
      <c r="M768" s="17"/>
      <c r="N768" s="17"/>
      <c r="O768" s="17"/>
      <c r="P768" s="17"/>
      <c r="Q768" s="17"/>
      <c r="R768" s="17"/>
      <c r="S768" s="17"/>
      <c r="T768" s="17"/>
      <c r="U768" s="17"/>
      <c r="V768" s="17"/>
      <c r="W768" s="17"/>
      <c r="X768" s="17"/>
      <c r="Y768" s="17"/>
      <c r="Z768" s="17"/>
      <c r="AA768" s="17"/>
      <c r="AB768" s="17"/>
      <c r="AC768" s="17"/>
      <c r="AD768" s="17"/>
      <c r="AE768" s="17"/>
      <c r="AF768" s="17"/>
      <c r="AG768" s="17"/>
      <c r="AH768" s="17"/>
      <c r="AI768" s="17"/>
      <c r="AJ768" s="17"/>
      <c r="AK768" s="17"/>
      <c r="AL768" s="17"/>
      <c r="AM768" s="17"/>
      <c r="AN768" s="17"/>
      <c r="AO768" s="17"/>
      <c r="AP768" s="1"/>
      <c r="AQ768" s="1"/>
    </row>
    <row r="769" spans="1:43" x14ac:dyDescent="0.35">
      <c r="A769" s="6"/>
      <c r="B769" s="13"/>
      <c r="C769" s="81"/>
      <c r="D769" s="4"/>
      <c r="E769" s="8"/>
      <c r="F769" s="17"/>
      <c r="G769" s="17"/>
      <c r="H769" s="17"/>
      <c r="I769" s="17"/>
      <c r="J769" s="17"/>
      <c r="K769" s="17"/>
      <c r="L769" s="17"/>
      <c r="M769" s="17"/>
      <c r="N769" s="17"/>
      <c r="O769" s="17"/>
      <c r="P769" s="17"/>
      <c r="Q769" s="17"/>
      <c r="R769" s="17"/>
      <c r="S769" s="17"/>
      <c r="T769" s="17"/>
      <c r="U769" s="17"/>
      <c r="V769" s="17"/>
      <c r="W769" s="17"/>
      <c r="X769" s="17"/>
      <c r="Y769" s="17"/>
      <c r="Z769" s="17"/>
      <c r="AA769" s="17"/>
      <c r="AB769" s="17"/>
      <c r="AC769" s="17"/>
      <c r="AD769" s="17"/>
      <c r="AE769" s="17"/>
      <c r="AF769" s="17"/>
      <c r="AG769" s="17"/>
      <c r="AH769" s="17"/>
      <c r="AI769" s="17"/>
      <c r="AJ769" s="17"/>
      <c r="AK769" s="17"/>
      <c r="AL769" s="17"/>
      <c r="AM769" s="17"/>
      <c r="AN769" s="17"/>
      <c r="AO769" s="17"/>
      <c r="AP769" s="1"/>
      <c r="AQ769" s="1"/>
    </row>
    <row r="770" spans="1:43" x14ac:dyDescent="0.35">
      <c r="A770" s="6"/>
      <c r="B770" s="13"/>
      <c r="C770" s="81"/>
      <c r="D770" s="4"/>
      <c r="E770" s="8"/>
      <c r="F770" s="17"/>
      <c r="G770" s="17"/>
      <c r="H770" s="17"/>
      <c r="I770" s="17"/>
      <c r="J770" s="17"/>
      <c r="K770" s="17"/>
      <c r="L770" s="17"/>
      <c r="M770" s="17"/>
      <c r="N770" s="17"/>
      <c r="O770" s="17"/>
      <c r="P770" s="17"/>
      <c r="Q770" s="17"/>
      <c r="R770" s="17"/>
      <c r="S770" s="17"/>
      <c r="T770" s="17"/>
      <c r="U770" s="17"/>
      <c r="V770" s="17"/>
      <c r="W770" s="17"/>
      <c r="X770" s="17"/>
      <c r="Y770" s="17"/>
      <c r="Z770" s="17"/>
      <c r="AA770" s="17"/>
      <c r="AB770" s="17"/>
      <c r="AC770" s="17"/>
      <c r="AD770" s="17"/>
      <c r="AE770" s="17"/>
      <c r="AF770" s="17"/>
      <c r="AG770" s="17"/>
      <c r="AH770" s="17"/>
      <c r="AI770" s="17"/>
      <c r="AJ770" s="17"/>
      <c r="AK770" s="17"/>
      <c r="AL770" s="17"/>
      <c r="AM770" s="17"/>
      <c r="AN770" s="17"/>
      <c r="AO770" s="17"/>
      <c r="AP770" s="1"/>
      <c r="AQ770" s="1"/>
    </row>
    <row r="771" spans="1:43" x14ac:dyDescent="0.35">
      <c r="A771" s="6"/>
      <c r="B771" s="13"/>
      <c r="C771" s="81"/>
      <c r="D771" s="4"/>
      <c r="E771" s="8"/>
      <c r="F771" s="17"/>
      <c r="G771" s="17"/>
      <c r="H771" s="17"/>
      <c r="I771" s="17"/>
      <c r="J771" s="17"/>
      <c r="K771" s="17"/>
      <c r="L771" s="17"/>
      <c r="M771" s="17"/>
      <c r="N771" s="17"/>
      <c r="O771" s="17"/>
      <c r="P771" s="17"/>
      <c r="Q771" s="17"/>
      <c r="R771" s="17"/>
      <c r="S771" s="17"/>
      <c r="T771" s="17"/>
      <c r="U771" s="17"/>
      <c r="V771" s="17"/>
      <c r="W771" s="17"/>
      <c r="X771" s="17"/>
      <c r="Y771" s="17"/>
      <c r="Z771" s="17"/>
      <c r="AA771" s="17"/>
      <c r="AB771" s="17"/>
      <c r="AC771" s="17"/>
      <c r="AD771" s="17"/>
      <c r="AE771" s="17"/>
      <c r="AF771" s="17"/>
      <c r="AG771" s="17"/>
      <c r="AH771" s="17"/>
      <c r="AI771" s="17"/>
      <c r="AJ771" s="17"/>
      <c r="AK771" s="17"/>
      <c r="AL771" s="17"/>
      <c r="AM771" s="17"/>
      <c r="AN771" s="17"/>
      <c r="AO771" s="17"/>
      <c r="AP771" s="1"/>
      <c r="AQ771" s="1"/>
    </row>
    <row r="772" spans="1:43" x14ac:dyDescent="0.35">
      <c r="A772" s="6"/>
      <c r="B772" s="13"/>
      <c r="C772" s="81"/>
      <c r="D772" s="4"/>
      <c r="E772" s="8"/>
      <c r="F772" s="17"/>
      <c r="G772" s="17"/>
      <c r="H772" s="17"/>
      <c r="I772" s="17"/>
      <c r="J772" s="17"/>
      <c r="K772" s="17"/>
      <c r="L772" s="17"/>
      <c r="M772" s="17"/>
      <c r="N772" s="17"/>
      <c r="O772" s="17"/>
      <c r="P772" s="17"/>
      <c r="Q772" s="17"/>
      <c r="R772" s="17"/>
      <c r="S772" s="17"/>
      <c r="T772" s="17"/>
      <c r="U772" s="17"/>
      <c r="V772" s="17"/>
      <c r="W772" s="17"/>
      <c r="X772" s="17"/>
      <c r="Y772" s="17"/>
      <c r="Z772" s="17"/>
      <c r="AA772" s="17"/>
      <c r="AB772" s="17"/>
      <c r="AC772" s="17"/>
      <c r="AD772" s="17"/>
      <c r="AE772" s="17"/>
      <c r="AF772" s="17"/>
      <c r="AG772" s="17"/>
      <c r="AH772" s="17"/>
      <c r="AI772" s="17"/>
      <c r="AJ772" s="17"/>
      <c r="AK772" s="17"/>
      <c r="AL772" s="17"/>
      <c r="AM772" s="17"/>
      <c r="AN772" s="17"/>
      <c r="AO772" s="17"/>
      <c r="AP772" s="1"/>
      <c r="AQ772" s="1"/>
    </row>
    <row r="773" spans="1:43" x14ac:dyDescent="0.35">
      <c r="A773" s="6"/>
      <c r="B773" s="13"/>
      <c r="C773" s="81"/>
      <c r="D773" s="4"/>
      <c r="E773" s="8"/>
      <c r="F773" s="17"/>
      <c r="G773" s="17"/>
      <c r="H773" s="17"/>
      <c r="I773" s="17"/>
      <c r="J773" s="17"/>
      <c r="K773" s="17"/>
      <c r="L773" s="17"/>
      <c r="M773" s="17"/>
      <c r="N773" s="17"/>
      <c r="O773" s="17"/>
      <c r="P773" s="17"/>
      <c r="Q773" s="17"/>
      <c r="R773" s="17"/>
      <c r="S773" s="17"/>
      <c r="T773" s="17"/>
      <c r="U773" s="17"/>
      <c r="V773" s="17"/>
      <c r="W773" s="17"/>
      <c r="X773" s="17"/>
      <c r="Y773" s="17"/>
      <c r="Z773" s="17"/>
      <c r="AA773" s="17"/>
      <c r="AB773" s="17"/>
      <c r="AC773" s="17"/>
      <c r="AD773" s="17"/>
      <c r="AE773" s="17"/>
      <c r="AF773" s="17"/>
      <c r="AG773" s="17"/>
      <c r="AH773" s="17"/>
      <c r="AI773" s="17"/>
      <c r="AJ773" s="17"/>
      <c r="AK773" s="17"/>
      <c r="AL773" s="17"/>
      <c r="AM773" s="17"/>
      <c r="AN773" s="17"/>
      <c r="AO773" s="17"/>
      <c r="AP773" s="1"/>
      <c r="AQ773" s="1"/>
    </row>
    <row r="774" spans="1:43" x14ac:dyDescent="0.35">
      <c r="A774" s="6"/>
      <c r="B774" s="13"/>
      <c r="C774" s="81"/>
      <c r="D774" s="4"/>
      <c r="E774" s="8"/>
      <c r="F774" s="17"/>
      <c r="G774" s="17"/>
      <c r="H774" s="17"/>
      <c r="I774" s="17"/>
      <c r="J774" s="17"/>
      <c r="K774" s="17"/>
      <c r="L774" s="17"/>
      <c r="M774" s="17"/>
      <c r="N774" s="17"/>
      <c r="O774" s="17"/>
      <c r="P774" s="17"/>
      <c r="Q774" s="17"/>
      <c r="R774" s="17"/>
      <c r="S774" s="17"/>
      <c r="T774" s="17"/>
      <c r="U774" s="17"/>
      <c r="V774" s="17"/>
      <c r="W774" s="17"/>
      <c r="X774" s="17"/>
      <c r="Y774" s="17"/>
      <c r="Z774" s="17"/>
      <c r="AA774" s="17"/>
      <c r="AB774" s="17"/>
      <c r="AC774" s="17"/>
      <c r="AD774" s="17"/>
      <c r="AE774" s="17"/>
      <c r="AF774" s="17"/>
      <c r="AG774" s="17"/>
      <c r="AH774" s="17"/>
      <c r="AI774" s="17"/>
      <c r="AJ774" s="17"/>
      <c r="AK774" s="17"/>
      <c r="AL774" s="17"/>
      <c r="AM774" s="17"/>
      <c r="AN774" s="17"/>
      <c r="AO774" s="17"/>
      <c r="AP774" s="1"/>
      <c r="AQ774" s="1"/>
    </row>
    <row r="775" spans="1:43" x14ac:dyDescent="0.35">
      <c r="A775" s="6"/>
      <c r="B775" s="13"/>
      <c r="C775" s="81"/>
      <c r="D775" s="4"/>
      <c r="E775" s="8"/>
      <c r="F775" s="17"/>
      <c r="G775" s="17"/>
      <c r="H775" s="17"/>
      <c r="I775" s="17"/>
      <c r="J775" s="17"/>
      <c r="K775" s="17"/>
      <c r="L775" s="17"/>
      <c r="M775" s="17"/>
      <c r="N775" s="17"/>
      <c r="O775" s="17"/>
      <c r="P775" s="17"/>
      <c r="Q775" s="17"/>
      <c r="R775" s="17"/>
      <c r="S775" s="17"/>
      <c r="T775" s="17"/>
      <c r="U775" s="17"/>
      <c r="V775" s="17"/>
      <c r="W775" s="17"/>
      <c r="X775" s="17"/>
      <c r="Y775" s="17"/>
      <c r="Z775" s="17"/>
      <c r="AA775" s="17"/>
      <c r="AB775" s="17"/>
      <c r="AC775" s="17"/>
      <c r="AD775" s="17"/>
      <c r="AE775" s="17"/>
      <c r="AF775" s="17"/>
      <c r="AG775" s="17"/>
      <c r="AH775" s="17"/>
      <c r="AI775" s="17"/>
      <c r="AJ775" s="17"/>
      <c r="AK775" s="17"/>
      <c r="AL775" s="17"/>
      <c r="AM775" s="17"/>
      <c r="AN775" s="17"/>
      <c r="AO775" s="17"/>
      <c r="AP775" s="1"/>
      <c r="AQ775" s="1"/>
    </row>
    <row r="776" spans="1:43" x14ac:dyDescent="0.35">
      <c r="A776" s="6"/>
      <c r="B776" s="13"/>
      <c r="C776" s="81"/>
      <c r="D776" s="4"/>
      <c r="E776" s="8"/>
      <c r="F776" s="17"/>
      <c r="G776" s="17"/>
      <c r="H776" s="17"/>
      <c r="I776" s="17"/>
      <c r="J776" s="17"/>
      <c r="K776" s="17"/>
      <c r="L776" s="17"/>
      <c r="M776" s="17"/>
      <c r="N776" s="17"/>
      <c r="O776" s="17"/>
      <c r="P776" s="17"/>
      <c r="Q776" s="17"/>
      <c r="R776" s="17"/>
      <c r="S776" s="17"/>
      <c r="T776" s="17"/>
      <c r="U776" s="17"/>
      <c r="V776" s="17"/>
      <c r="W776" s="17"/>
      <c r="X776" s="17"/>
      <c r="Y776" s="17"/>
      <c r="Z776" s="17"/>
      <c r="AA776" s="17"/>
      <c r="AB776" s="17"/>
      <c r="AC776" s="17"/>
      <c r="AD776" s="17"/>
      <c r="AE776" s="17"/>
      <c r="AF776" s="17"/>
      <c r="AG776" s="17"/>
      <c r="AH776" s="17"/>
      <c r="AI776" s="17"/>
      <c r="AJ776" s="17"/>
      <c r="AK776" s="17"/>
      <c r="AL776" s="17"/>
      <c r="AM776" s="17"/>
      <c r="AN776" s="17"/>
      <c r="AO776" s="17"/>
      <c r="AP776" s="1"/>
      <c r="AQ776" s="1"/>
    </row>
    <row r="777" spans="1:43" x14ac:dyDescent="0.35">
      <c r="A777" s="6"/>
      <c r="B777" s="13"/>
      <c r="C777" s="81"/>
      <c r="D777" s="4"/>
      <c r="E777" s="8"/>
      <c r="F777" s="17"/>
      <c r="G777" s="17"/>
      <c r="H777" s="17"/>
      <c r="I777" s="17"/>
      <c r="J777" s="17"/>
      <c r="K777" s="17"/>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c r="AN777" s="17"/>
      <c r="AO777" s="17"/>
      <c r="AP777" s="1"/>
      <c r="AQ777" s="1"/>
    </row>
    <row r="778" spans="1:43" x14ac:dyDescent="0.35">
      <c r="A778" s="6"/>
      <c r="B778" s="13"/>
      <c r="C778" s="81"/>
      <c r="D778" s="4"/>
      <c r="E778" s="8"/>
      <c r="F778" s="17"/>
      <c r="G778" s="17"/>
      <c r="H778" s="17"/>
      <c r="I778" s="17"/>
      <c r="J778" s="17"/>
      <c r="K778" s="17"/>
      <c r="L778" s="17"/>
      <c r="M778" s="17"/>
      <c r="N778" s="17"/>
      <c r="O778" s="17"/>
      <c r="P778" s="17"/>
      <c r="Q778" s="17"/>
      <c r="R778" s="17"/>
      <c r="S778" s="17"/>
      <c r="T778" s="17"/>
      <c r="U778" s="17"/>
      <c r="V778" s="17"/>
      <c r="W778" s="17"/>
      <c r="X778" s="17"/>
      <c r="Y778" s="17"/>
      <c r="Z778" s="17"/>
      <c r="AA778" s="17"/>
      <c r="AB778" s="17"/>
      <c r="AC778" s="17"/>
      <c r="AD778" s="17"/>
      <c r="AE778" s="17"/>
      <c r="AF778" s="17"/>
      <c r="AG778" s="17"/>
      <c r="AH778" s="17"/>
      <c r="AI778" s="17"/>
      <c r="AJ778" s="17"/>
      <c r="AK778" s="17"/>
      <c r="AL778" s="17"/>
      <c r="AM778" s="17"/>
      <c r="AN778" s="17"/>
      <c r="AO778" s="17"/>
      <c r="AP778" s="1"/>
      <c r="AQ778" s="1"/>
    </row>
    <row r="779" spans="1:43" x14ac:dyDescent="0.35">
      <c r="A779" s="6"/>
      <c r="B779" s="13"/>
      <c r="C779" s="81"/>
      <c r="D779" s="4"/>
      <c r="E779" s="8"/>
      <c r="F779" s="17"/>
      <c r="G779" s="17"/>
      <c r="H779" s="17"/>
      <c r="I779" s="17"/>
      <c r="J779" s="17"/>
      <c r="K779" s="17"/>
      <c r="L779" s="17"/>
      <c r="M779" s="17"/>
      <c r="N779" s="17"/>
      <c r="O779" s="17"/>
      <c r="P779" s="17"/>
      <c r="Q779" s="17"/>
      <c r="R779" s="17"/>
      <c r="S779" s="17"/>
      <c r="T779" s="17"/>
      <c r="U779" s="17"/>
      <c r="V779" s="17"/>
      <c r="W779" s="17"/>
      <c r="X779" s="17"/>
      <c r="Y779" s="17"/>
      <c r="Z779" s="17"/>
      <c r="AA779" s="17"/>
      <c r="AB779" s="17"/>
      <c r="AC779" s="17"/>
      <c r="AD779" s="17"/>
      <c r="AE779" s="17"/>
      <c r="AF779" s="17"/>
      <c r="AG779" s="17"/>
      <c r="AH779" s="17"/>
      <c r="AI779" s="17"/>
      <c r="AJ779" s="17"/>
      <c r="AK779" s="17"/>
      <c r="AL779" s="17"/>
      <c r="AM779" s="17"/>
      <c r="AN779" s="17"/>
      <c r="AO779" s="17"/>
      <c r="AP779" s="1"/>
      <c r="AQ779" s="1"/>
    </row>
    <row r="780" spans="1:43" x14ac:dyDescent="0.35">
      <c r="A780" s="6"/>
      <c r="B780" s="13"/>
      <c r="C780" s="81"/>
      <c r="D780" s="4"/>
      <c r="E780" s="8"/>
      <c r="F780" s="17"/>
      <c r="G780" s="17"/>
      <c r="H780" s="17"/>
      <c r="I780" s="17"/>
      <c r="J780" s="17"/>
      <c r="K780" s="17"/>
      <c r="L780" s="17"/>
      <c r="M780" s="17"/>
      <c r="N780" s="17"/>
      <c r="O780" s="17"/>
      <c r="P780" s="17"/>
      <c r="Q780" s="17"/>
      <c r="R780" s="17"/>
      <c r="S780" s="17"/>
      <c r="T780" s="17"/>
      <c r="U780" s="17"/>
      <c r="V780" s="17"/>
      <c r="W780" s="17"/>
      <c r="X780" s="17"/>
      <c r="Y780" s="17"/>
      <c r="Z780" s="17"/>
      <c r="AA780" s="17"/>
      <c r="AB780" s="17"/>
      <c r="AC780" s="17"/>
      <c r="AD780" s="17"/>
      <c r="AE780" s="17"/>
      <c r="AF780" s="17"/>
      <c r="AG780" s="17"/>
      <c r="AH780" s="17"/>
      <c r="AI780" s="17"/>
      <c r="AJ780" s="17"/>
      <c r="AK780" s="17"/>
      <c r="AL780" s="17"/>
      <c r="AM780" s="17"/>
      <c r="AN780" s="17"/>
      <c r="AO780" s="17"/>
      <c r="AP780" s="1"/>
      <c r="AQ780" s="1"/>
    </row>
    <row r="781" spans="1:43" x14ac:dyDescent="0.35">
      <c r="A781" s="6"/>
      <c r="B781" s="13"/>
      <c r="C781" s="81"/>
      <c r="D781" s="4"/>
      <c r="E781" s="8"/>
      <c r="F781" s="17"/>
      <c r="G781" s="17"/>
      <c r="H781" s="17"/>
      <c r="I781" s="17"/>
      <c r="J781" s="17"/>
      <c r="K781" s="17"/>
      <c r="L781" s="17"/>
      <c r="M781" s="17"/>
      <c r="N781" s="17"/>
      <c r="O781" s="17"/>
      <c r="P781" s="17"/>
      <c r="Q781" s="17"/>
      <c r="R781" s="17"/>
      <c r="S781" s="17"/>
      <c r="T781" s="17"/>
      <c r="U781" s="17"/>
      <c r="V781" s="17"/>
      <c r="W781" s="17"/>
      <c r="X781" s="17"/>
      <c r="Y781" s="17"/>
      <c r="Z781" s="17"/>
      <c r="AA781" s="17"/>
      <c r="AB781" s="17"/>
      <c r="AC781" s="17"/>
      <c r="AD781" s="17"/>
      <c r="AE781" s="17"/>
      <c r="AF781" s="17"/>
      <c r="AG781" s="17"/>
      <c r="AH781" s="17"/>
      <c r="AI781" s="17"/>
      <c r="AJ781" s="17"/>
      <c r="AK781" s="17"/>
      <c r="AL781" s="17"/>
      <c r="AM781" s="17"/>
      <c r="AN781" s="17"/>
      <c r="AO781" s="17"/>
      <c r="AP781" s="1"/>
      <c r="AQ781" s="1"/>
    </row>
    <row r="782" spans="1:43" x14ac:dyDescent="0.35">
      <c r="A782" s="6"/>
      <c r="B782" s="13"/>
      <c r="C782" s="81"/>
      <c r="D782" s="4"/>
      <c r="E782" s="8"/>
      <c r="F782" s="17"/>
      <c r="G782" s="17"/>
      <c r="H782" s="17"/>
      <c r="I782" s="17"/>
      <c r="J782" s="17"/>
      <c r="K782" s="17"/>
      <c r="L782" s="17"/>
      <c r="M782" s="17"/>
      <c r="N782" s="17"/>
      <c r="O782" s="17"/>
      <c r="P782" s="17"/>
      <c r="Q782" s="17"/>
      <c r="R782" s="17"/>
      <c r="S782" s="17"/>
      <c r="T782" s="17"/>
      <c r="U782" s="17"/>
      <c r="V782" s="17"/>
      <c r="W782" s="17"/>
      <c r="X782" s="17"/>
      <c r="Y782" s="17"/>
      <c r="Z782" s="17"/>
      <c r="AA782" s="17"/>
      <c r="AB782" s="17"/>
      <c r="AC782" s="17"/>
      <c r="AD782" s="17"/>
      <c r="AE782" s="17"/>
      <c r="AF782" s="17"/>
      <c r="AG782" s="17"/>
      <c r="AH782" s="17"/>
      <c r="AI782" s="17"/>
      <c r="AJ782" s="17"/>
      <c r="AK782" s="17"/>
      <c r="AL782" s="17"/>
      <c r="AM782" s="17"/>
      <c r="AN782" s="17"/>
      <c r="AO782" s="17"/>
      <c r="AP782" s="1"/>
      <c r="AQ782" s="1"/>
    </row>
    <row r="783" spans="1:43" x14ac:dyDescent="0.35">
      <c r="A783" s="6"/>
      <c r="B783" s="13"/>
      <c r="C783" s="81"/>
      <c r="D783" s="4"/>
      <c r="E783" s="8"/>
      <c r="F783" s="17"/>
      <c r="G783" s="17"/>
      <c r="H783" s="17"/>
      <c r="I783" s="17"/>
      <c r="J783" s="17"/>
      <c r="K783" s="17"/>
      <c r="L783" s="17"/>
      <c r="M783" s="17"/>
      <c r="N783" s="17"/>
      <c r="O783" s="17"/>
      <c r="P783" s="17"/>
      <c r="Q783" s="17"/>
      <c r="R783" s="17"/>
      <c r="S783" s="17"/>
      <c r="T783" s="17"/>
      <c r="U783" s="17"/>
      <c r="V783" s="17"/>
      <c r="W783" s="17"/>
      <c r="X783" s="17"/>
      <c r="Y783" s="17"/>
      <c r="Z783" s="17"/>
      <c r="AA783" s="17"/>
      <c r="AB783" s="17"/>
      <c r="AC783" s="17"/>
      <c r="AD783" s="17"/>
      <c r="AE783" s="17"/>
      <c r="AF783" s="17"/>
      <c r="AG783" s="17"/>
      <c r="AH783" s="17"/>
      <c r="AI783" s="17"/>
      <c r="AJ783" s="17"/>
      <c r="AK783" s="17"/>
      <c r="AL783" s="17"/>
      <c r="AM783" s="17"/>
      <c r="AN783" s="17"/>
      <c r="AO783" s="17"/>
      <c r="AP783" s="1"/>
      <c r="AQ783" s="1"/>
    </row>
    <row r="784" spans="1:43" x14ac:dyDescent="0.35">
      <c r="A784" s="6"/>
      <c r="B784" s="13"/>
      <c r="C784" s="81"/>
      <c r="D784" s="4"/>
      <c r="E784" s="8"/>
      <c r="F784" s="17"/>
      <c r="G784" s="17"/>
      <c r="H784" s="17"/>
      <c r="I784" s="17"/>
      <c r="J784" s="17"/>
      <c r="K784" s="17"/>
      <c r="L784" s="17"/>
      <c r="M784" s="17"/>
      <c r="N784" s="17"/>
      <c r="O784" s="17"/>
      <c r="P784" s="17"/>
      <c r="Q784" s="17"/>
      <c r="R784" s="17"/>
      <c r="S784" s="17"/>
      <c r="T784" s="17"/>
      <c r="U784" s="17"/>
      <c r="V784" s="17"/>
      <c r="W784" s="17"/>
      <c r="X784" s="17"/>
      <c r="Y784" s="17"/>
      <c r="Z784" s="17"/>
      <c r="AA784" s="17"/>
      <c r="AB784" s="17"/>
      <c r="AC784" s="17"/>
      <c r="AD784" s="17"/>
      <c r="AE784" s="17"/>
      <c r="AF784" s="17"/>
      <c r="AG784" s="17"/>
      <c r="AH784" s="17"/>
      <c r="AI784" s="17"/>
      <c r="AJ784" s="17"/>
      <c r="AK784" s="17"/>
      <c r="AL784" s="17"/>
      <c r="AM784" s="17"/>
      <c r="AN784" s="17"/>
      <c r="AO784" s="17"/>
      <c r="AP784" s="1"/>
      <c r="AQ784" s="1"/>
    </row>
    <row r="785" spans="1:43" x14ac:dyDescent="0.35">
      <c r="A785" s="6"/>
      <c r="B785" s="13"/>
      <c r="C785" s="81"/>
      <c r="D785" s="4"/>
      <c r="E785" s="8"/>
      <c r="F785" s="17"/>
      <c r="G785" s="17"/>
      <c r="H785" s="17"/>
      <c r="I785" s="17"/>
      <c r="J785" s="17"/>
      <c r="K785" s="17"/>
      <c r="L785" s="17"/>
      <c r="M785" s="17"/>
      <c r="N785" s="17"/>
      <c r="O785" s="17"/>
      <c r="P785" s="17"/>
      <c r="Q785" s="17"/>
      <c r="R785" s="17"/>
      <c r="S785" s="17"/>
      <c r="T785" s="17"/>
      <c r="U785" s="17"/>
      <c r="V785" s="17"/>
      <c r="W785" s="17"/>
      <c r="X785" s="17"/>
      <c r="Y785" s="17"/>
      <c r="Z785" s="17"/>
      <c r="AA785" s="17"/>
      <c r="AB785" s="17"/>
      <c r="AC785" s="17"/>
      <c r="AD785" s="17"/>
      <c r="AE785" s="17"/>
      <c r="AF785" s="17"/>
      <c r="AG785" s="17"/>
      <c r="AH785" s="17"/>
      <c r="AI785" s="17"/>
      <c r="AJ785" s="17"/>
      <c r="AK785" s="17"/>
      <c r="AL785" s="17"/>
      <c r="AM785" s="17"/>
      <c r="AN785" s="17"/>
      <c r="AO785" s="17"/>
      <c r="AP785" s="1"/>
      <c r="AQ785" s="1"/>
    </row>
    <row r="786" spans="1:43" x14ac:dyDescent="0.35">
      <c r="A786" s="6"/>
      <c r="B786" s="13"/>
      <c r="C786" s="81"/>
      <c r="D786" s="4"/>
      <c r="E786" s="8"/>
      <c r="F786" s="17"/>
      <c r="G786" s="17"/>
      <c r="H786" s="17"/>
      <c r="I786" s="17"/>
      <c r="J786" s="17"/>
      <c r="K786" s="17"/>
      <c r="L786" s="17"/>
      <c r="M786" s="17"/>
      <c r="N786" s="17"/>
      <c r="O786" s="17"/>
      <c r="P786" s="17"/>
      <c r="Q786" s="17"/>
      <c r="R786" s="17"/>
      <c r="S786" s="17"/>
      <c r="T786" s="17"/>
      <c r="U786" s="17"/>
      <c r="V786" s="17"/>
      <c r="W786" s="17"/>
      <c r="X786" s="17"/>
      <c r="Y786" s="17"/>
      <c r="Z786" s="17"/>
      <c r="AA786" s="17"/>
      <c r="AB786" s="17"/>
      <c r="AC786" s="17"/>
      <c r="AD786" s="17"/>
      <c r="AE786" s="17"/>
      <c r="AF786" s="17"/>
      <c r="AG786" s="17"/>
      <c r="AH786" s="17"/>
      <c r="AI786" s="17"/>
      <c r="AJ786" s="17"/>
      <c r="AK786" s="17"/>
      <c r="AL786" s="17"/>
      <c r="AM786" s="17"/>
      <c r="AN786" s="17"/>
      <c r="AO786" s="17"/>
      <c r="AP786" s="1"/>
      <c r="AQ786" s="1"/>
    </row>
    <row r="787" spans="1:43" x14ac:dyDescent="0.35">
      <c r="A787" s="6"/>
      <c r="B787" s="13"/>
      <c r="C787" s="81"/>
      <c r="D787" s="4"/>
      <c r="E787" s="8"/>
      <c r="F787" s="17"/>
      <c r="G787" s="17"/>
      <c r="H787" s="17"/>
      <c r="I787" s="17"/>
      <c r="J787" s="17"/>
      <c r="K787" s="17"/>
      <c r="L787" s="17"/>
      <c r="M787" s="17"/>
      <c r="N787" s="17"/>
      <c r="O787" s="17"/>
      <c r="P787" s="17"/>
      <c r="Q787" s="17"/>
      <c r="R787" s="17"/>
      <c r="S787" s="17"/>
      <c r="T787" s="17"/>
      <c r="U787" s="17"/>
      <c r="V787" s="17"/>
      <c r="W787" s="17"/>
      <c r="X787" s="17"/>
      <c r="Y787" s="17"/>
      <c r="Z787" s="17"/>
      <c r="AA787" s="17"/>
      <c r="AB787" s="17"/>
      <c r="AC787" s="17"/>
      <c r="AD787" s="17"/>
      <c r="AE787" s="17"/>
      <c r="AF787" s="17"/>
      <c r="AG787" s="17"/>
      <c r="AH787" s="17"/>
      <c r="AI787" s="17"/>
      <c r="AJ787" s="17"/>
      <c r="AK787" s="17"/>
      <c r="AL787" s="17"/>
      <c r="AM787" s="17"/>
      <c r="AN787" s="17"/>
      <c r="AO787" s="17"/>
      <c r="AP787" s="1"/>
      <c r="AQ787" s="1"/>
    </row>
    <row r="788" spans="1:43" x14ac:dyDescent="0.35">
      <c r="A788" s="6"/>
      <c r="B788" s="13"/>
      <c r="C788" s="81"/>
      <c r="D788" s="4"/>
      <c r="E788" s="8"/>
      <c r="F788" s="17"/>
      <c r="G788" s="17"/>
      <c r="H788" s="17"/>
      <c r="I788" s="17"/>
      <c r="J788" s="17"/>
      <c r="K788" s="17"/>
      <c r="L788" s="17"/>
      <c r="M788" s="17"/>
      <c r="N788" s="17"/>
      <c r="O788" s="17"/>
      <c r="P788" s="17"/>
      <c r="Q788" s="17"/>
      <c r="R788" s="17"/>
      <c r="S788" s="17"/>
      <c r="T788" s="17"/>
      <c r="U788" s="17"/>
      <c r="V788" s="17"/>
      <c r="W788" s="17"/>
      <c r="X788" s="17"/>
      <c r="Y788" s="17"/>
      <c r="Z788" s="17"/>
      <c r="AA788" s="17"/>
      <c r="AB788" s="17"/>
      <c r="AC788" s="17"/>
      <c r="AD788" s="17"/>
      <c r="AE788" s="17"/>
      <c r="AF788" s="17"/>
      <c r="AG788" s="17"/>
      <c r="AH788" s="17"/>
      <c r="AI788" s="17"/>
      <c r="AJ788" s="17"/>
      <c r="AK788" s="17"/>
      <c r="AL788" s="17"/>
      <c r="AM788" s="17"/>
      <c r="AN788" s="17"/>
      <c r="AO788" s="17"/>
      <c r="AP788" s="1"/>
      <c r="AQ788" s="1"/>
    </row>
    <row r="789" spans="1:43" x14ac:dyDescent="0.35">
      <c r="A789" s="6"/>
      <c r="B789" s="13"/>
      <c r="C789" s="81"/>
      <c r="D789" s="4"/>
      <c r="E789" s="8"/>
      <c r="F789" s="17"/>
      <c r="G789" s="17"/>
      <c r="H789" s="17"/>
      <c r="I789" s="17"/>
      <c r="J789" s="17"/>
      <c r="K789" s="17"/>
      <c r="L789" s="17"/>
      <c r="M789" s="17"/>
      <c r="N789" s="17"/>
      <c r="O789" s="17"/>
      <c r="P789" s="17"/>
      <c r="Q789" s="17"/>
      <c r="R789" s="17"/>
      <c r="S789" s="17"/>
      <c r="T789" s="17"/>
      <c r="U789" s="17"/>
      <c r="V789" s="17"/>
      <c r="W789" s="17"/>
      <c r="X789" s="17"/>
      <c r="Y789" s="17"/>
      <c r="Z789" s="17"/>
      <c r="AA789" s="17"/>
      <c r="AB789" s="17"/>
      <c r="AC789" s="17"/>
      <c r="AD789" s="17"/>
      <c r="AE789" s="17"/>
      <c r="AF789" s="17"/>
      <c r="AG789" s="17"/>
      <c r="AH789" s="17"/>
      <c r="AI789" s="17"/>
      <c r="AJ789" s="17"/>
      <c r="AK789" s="17"/>
      <c r="AL789" s="17"/>
      <c r="AM789" s="17"/>
      <c r="AN789" s="17"/>
      <c r="AO789" s="17"/>
      <c r="AP789" s="1"/>
      <c r="AQ789" s="1"/>
    </row>
    <row r="790" spans="1:43" x14ac:dyDescent="0.35">
      <c r="A790" s="6"/>
      <c r="B790" s="13"/>
      <c r="C790" s="81"/>
      <c r="D790" s="4"/>
      <c r="E790" s="8"/>
      <c r="F790" s="17"/>
      <c r="G790" s="17"/>
      <c r="H790" s="17"/>
      <c r="I790" s="17"/>
      <c r="J790" s="17"/>
      <c r="K790" s="17"/>
      <c r="L790" s="17"/>
      <c r="M790" s="17"/>
      <c r="N790" s="17"/>
      <c r="O790" s="17"/>
      <c r="P790" s="17"/>
      <c r="Q790" s="17"/>
      <c r="R790" s="17"/>
      <c r="S790" s="17"/>
      <c r="T790" s="17"/>
      <c r="U790" s="17"/>
      <c r="V790" s="17"/>
      <c r="W790" s="17"/>
      <c r="X790" s="17"/>
      <c r="Y790" s="17"/>
      <c r="Z790" s="17"/>
      <c r="AA790" s="17"/>
      <c r="AB790" s="17"/>
      <c r="AC790" s="17"/>
      <c r="AD790" s="17"/>
      <c r="AE790" s="17"/>
      <c r="AF790" s="17"/>
      <c r="AG790" s="17"/>
      <c r="AH790" s="17"/>
      <c r="AI790" s="17"/>
      <c r="AJ790" s="17"/>
      <c r="AK790" s="17"/>
      <c r="AL790" s="17"/>
      <c r="AM790" s="17"/>
      <c r="AN790" s="17"/>
      <c r="AO790" s="17"/>
      <c r="AP790" s="1"/>
      <c r="AQ790" s="1"/>
    </row>
    <row r="791" spans="1:43" x14ac:dyDescent="0.35">
      <c r="A791" s="6"/>
      <c r="B791" s="13"/>
      <c r="C791" s="81"/>
      <c r="D791" s="4"/>
      <c r="E791" s="8"/>
      <c r="F791" s="17"/>
      <c r="G791" s="17"/>
      <c r="H791" s="17"/>
      <c r="I791" s="17"/>
      <c r="J791" s="17"/>
      <c r="K791" s="17"/>
      <c r="L791" s="17"/>
      <c r="M791" s="17"/>
      <c r="N791" s="17"/>
      <c r="O791" s="17"/>
      <c r="P791" s="17"/>
      <c r="Q791" s="17"/>
      <c r="R791" s="17"/>
      <c r="S791" s="17"/>
      <c r="T791" s="17"/>
      <c r="U791" s="17"/>
      <c r="V791" s="17"/>
      <c r="W791" s="17"/>
      <c r="X791" s="17"/>
      <c r="Y791" s="17"/>
      <c r="Z791" s="17"/>
      <c r="AA791" s="17"/>
      <c r="AB791" s="17"/>
      <c r="AC791" s="17"/>
      <c r="AD791" s="17"/>
      <c r="AE791" s="17"/>
      <c r="AF791" s="17"/>
      <c r="AG791" s="17"/>
      <c r="AH791" s="17"/>
      <c r="AI791" s="17"/>
      <c r="AJ791" s="17"/>
      <c r="AK791" s="17"/>
      <c r="AL791" s="17"/>
      <c r="AM791" s="17"/>
      <c r="AN791" s="17"/>
      <c r="AO791" s="17"/>
      <c r="AP791" s="1"/>
      <c r="AQ791" s="1"/>
    </row>
    <row r="792" spans="1:43" x14ac:dyDescent="0.35">
      <c r="A792" s="6"/>
      <c r="B792" s="13"/>
      <c r="C792" s="81"/>
      <c r="D792" s="4"/>
      <c r="E792" s="8"/>
      <c r="F792" s="17"/>
      <c r="G792" s="17"/>
      <c r="H792" s="17"/>
      <c r="I792" s="17"/>
      <c r="J792" s="17"/>
      <c r="K792" s="17"/>
      <c r="L792" s="17"/>
      <c r="M792" s="17"/>
      <c r="N792" s="17"/>
      <c r="O792" s="17"/>
      <c r="P792" s="17"/>
      <c r="Q792" s="17"/>
      <c r="R792" s="17"/>
      <c r="S792" s="17"/>
      <c r="T792" s="17"/>
      <c r="U792" s="17"/>
      <c r="V792" s="17"/>
      <c r="W792" s="17"/>
      <c r="X792" s="17"/>
      <c r="Y792" s="17"/>
      <c r="Z792" s="17"/>
      <c r="AA792" s="17"/>
      <c r="AB792" s="17"/>
      <c r="AC792" s="17"/>
      <c r="AD792" s="17"/>
      <c r="AE792" s="17"/>
      <c r="AF792" s="17"/>
      <c r="AG792" s="17"/>
      <c r="AH792" s="17"/>
      <c r="AI792" s="17"/>
      <c r="AJ792" s="17"/>
      <c r="AK792" s="17"/>
      <c r="AL792" s="17"/>
      <c r="AM792" s="17"/>
      <c r="AN792" s="17"/>
      <c r="AO792" s="17"/>
      <c r="AP792" s="1"/>
      <c r="AQ792" s="1"/>
    </row>
    <row r="793" spans="1:43" x14ac:dyDescent="0.35">
      <c r="A793" s="6"/>
      <c r="B793" s="13"/>
      <c r="C793" s="81"/>
      <c r="D793" s="4"/>
      <c r="E793" s="8"/>
      <c r="F793" s="17"/>
      <c r="G793" s="17"/>
      <c r="H793" s="17"/>
      <c r="I793" s="17"/>
      <c r="J793" s="17"/>
      <c r="K793" s="17"/>
      <c r="L793" s="17"/>
      <c r="M793" s="17"/>
      <c r="N793" s="17"/>
      <c r="O793" s="17"/>
      <c r="P793" s="17"/>
      <c r="Q793" s="17"/>
      <c r="R793" s="17"/>
      <c r="S793" s="17"/>
      <c r="T793" s="17"/>
      <c r="U793" s="17"/>
      <c r="V793" s="17"/>
      <c r="W793" s="17"/>
      <c r="X793" s="17"/>
      <c r="Y793" s="17"/>
      <c r="Z793" s="17"/>
      <c r="AA793" s="17"/>
      <c r="AB793" s="17"/>
      <c r="AC793" s="17"/>
      <c r="AD793" s="17"/>
      <c r="AE793" s="17"/>
      <c r="AF793" s="17"/>
      <c r="AG793" s="17"/>
      <c r="AH793" s="17"/>
      <c r="AI793" s="17"/>
      <c r="AJ793" s="17"/>
      <c r="AK793" s="17"/>
      <c r="AL793" s="17"/>
      <c r="AM793" s="17"/>
      <c r="AN793" s="17"/>
      <c r="AO793" s="17"/>
      <c r="AP793" s="1"/>
      <c r="AQ793" s="1"/>
    </row>
    <row r="794" spans="1:43" x14ac:dyDescent="0.35">
      <c r="A794" s="6"/>
      <c r="B794" s="13"/>
      <c r="C794" s="81"/>
      <c r="D794" s="4"/>
      <c r="E794" s="8"/>
      <c r="F794" s="17"/>
      <c r="G794" s="17"/>
      <c r="H794" s="17"/>
      <c r="I794" s="17"/>
      <c r="J794" s="17"/>
      <c r="K794" s="17"/>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7"/>
      <c r="AI794" s="17"/>
      <c r="AJ794" s="17"/>
      <c r="AK794" s="17"/>
      <c r="AL794" s="17"/>
      <c r="AM794" s="17"/>
      <c r="AN794" s="17"/>
      <c r="AO794" s="17"/>
      <c r="AP794" s="1"/>
      <c r="AQ794" s="1"/>
    </row>
    <row r="795" spans="1:43" x14ac:dyDescent="0.35">
      <c r="A795" s="6"/>
      <c r="B795" s="13"/>
      <c r="C795" s="81"/>
      <c r="D795" s="4"/>
      <c r="E795" s="8"/>
      <c r="F795" s="17"/>
      <c r="G795" s="17"/>
      <c r="H795" s="17"/>
      <c r="I795" s="17"/>
      <c r="J795" s="17"/>
      <c r="K795" s="17"/>
      <c r="L795" s="17"/>
      <c r="M795" s="17"/>
      <c r="N795" s="17"/>
      <c r="O795" s="17"/>
      <c r="P795" s="17"/>
      <c r="Q795" s="17"/>
      <c r="R795" s="17"/>
      <c r="S795" s="17"/>
      <c r="T795" s="17"/>
      <c r="U795" s="17"/>
      <c r="V795" s="17"/>
      <c r="W795" s="17"/>
      <c r="X795" s="17"/>
      <c r="Y795" s="17"/>
      <c r="Z795" s="17"/>
      <c r="AA795" s="17"/>
      <c r="AB795" s="17"/>
      <c r="AC795" s="17"/>
      <c r="AD795" s="17"/>
      <c r="AE795" s="17"/>
      <c r="AF795" s="17"/>
      <c r="AG795" s="17"/>
      <c r="AH795" s="17"/>
      <c r="AI795" s="17"/>
      <c r="AJ795" s="17"/>
      <c r="AK795" s="17"/>
      <c r="AL795" s="17"/>
      <c r="AM795" s="17"/>
      <c r="AN795" s="17"/>
      <c r="AO795" s="17"/>
      <c r="AP795" s="1"/>
      <c r="AQ795" s="1"/>
    </row>
    <row r="796" spans="1:43" x14ac:dyDescent="0.35">
      <c r="A796" s="6"/>
      <c r="B796" s="13"/>
      <c r="C796" s="81"/>
      <c r="D796" s="4"/>
      <c r="E796" s="8"/>
      <c r="F796" s="17"/>
      <c r="G796" s="17"/>
      <c r="H796" s="17"/>
      <c r="I796" s="17"/>
      <c r="J796" s="17"/>
      <c r="K796" s="17"/>
      <c r="L796" s="17"/>
      <c r="M796" s="17"/>
      <c r="N796" s="17"/>
      <c r="O796" s="17"/>
      <c r="P796" s="17"/>
      <c r="Q796" s="17"/>
      <c r="R796" s="17"/>
      <c r="S796" s="17"/>
      <c r="T796" s="17"/>
      <c r="U796" s="17"/>
      <c r="V796" s="17"/>
      <c r="W796" s="17"/>
      <c r="X796" s="17"/>
      <c r="Y796" s="17"/>
      <c r="Z796" s="17"/>
      <c r="AA796" s="17"/>
      <c r="AB796" s="17"/>
      <c r="AC796" s="17"/>
      <c r="AD796" s="17"/>
      <c r="AE796" s="17"/>
      <c r="AF796" s="17"/>
      <c r="AG796" s="17"/>
      <c r="AH796" s="17"/>
      <c r="AI796" s="17"/>
      <c r="AJ796" s="17"/>
      <c r="AK796" s="17"/>
      <c r="AL796" s="17"/>
      <c r="AM796" s="17"/>
      <c r="AN796" s="17"/>
      <c r="AO796" s="17"/>
      <c r="AP796" s="1"/>
      <c r="AQ796" s="1"/>
    </row>
    <row r="797" spans="1:43" x14ac:dyDescent="0.35">
      <c r="A797" s="6"/>
      <c r="B797" s="13"/>
      <c r="C797" s="81"/>
      <c r="D797" s="4"/>
      <c r="E797" s="8"/>
      <c r="F797" s="17"/>
      <c r="G797" s="17"/>
      <c r="H797" s="17"/>
      <c r="I797" s="17"/>
      <c r="J797" s="17"/>
      <c r="K797" s="17"/>
      <c r="L797" s="17"/>
      <c r="M797" s="17"/>
      <c r="N797" s="17"/>
      <c r="O797" s="17"/>
      <c r="P797" s="17"/>
      <c r="Q797" s="17"/>
      <c r="R797" s="17"/>
      <c r="S797" s="17"/>
      <c r="T797" s="17"/>
      <c r="U797" s="17"/>
      <c r="V797" s="17"/>
      <c r="W797" s="17"/>
      <c r="X797" s="17"/>
      <c r="Y797" s="17"/>
      <c r="Z797" s="17"/>
      <c r="AA797" s="17"/>
      <c r="AB797" s="17"/>
      <c r="AC797" s="17"/>
      <c r="AD797" s="17"/>
      <c r="AE797" s="17"/>
      <c r="AF797" s="17"/>
      <c r="AG797" s="17"/>
      <c r="AH797" s="17"/>
      <c r="AI797" s="17"/>
      <c r="AJ797" s="17"/>
      <c r="AK797" s="17"/>
      <c r="AL797" s="17"/>
      <c r="AM797" s="17"/>
      <c r="AN797" s="17"/>
      <c r="AO797" s="17"/>
      <c r="AP797" s="1"/>
      <c r="AQ797" s="1"/>
    </row>
    <row r="798" spans="1:43" x14ac:dyDescent="0.35">
      <c r="A798" s="6"/>
      <c r="B798" s="13"/>
      <c r="C798" s="81"/>
      <c r="D798" s="4"/>
      <c r="E798" s="8"/>
      <c r="F798" s="17"/>
      <c r="G798" s="17"/>
      <c r="H798" s="17"/>
      <c r="I798" s="17"/>
      <c r="J798" s="17"/>
      <c r="K798" s="17"/>
      <c r="L798" s="17"/>
      <c r="M798" s="17"/>
      <c r="N798" s="17"/>
      <c r="O798" s="17"/>
      <c r="P798" s="17"/>
      <c r="Q798" s="17"/>
      <c r="R798" s="17"/>
      <c r="S798" s="17"/>
      <c r="T798" s="17"/>
      <c r="U798" s="17"/>
      <c r="V798" s="17"/>
      <c r="W798" s="17"/>
      <c r="X798" s="17"/>
      <c r="Y798" s="17"/>
      <c r="Z798" s="17"/>
      <c r="AA798" s="17"/>
      <c r="AB798" s="17"/>
      <c r="AC798" s="17"/>
      <c r="AD798" s="17"/>
      <c r="AE798" s="17"/>
      <c r="AF798" s="17"/>
      <c r="AG798" s="17"/>
      <c r="AH798" s="17"/>
      <c r="AI798" s="17"/>
      <c r="AJ798" s="17"/>
      <c r="AK798" s="17"/>
      <c r="AL798" s="17"/>
      <c r="AM798" s="17"/>
      <c r="AN798" s="17"/>
      <c r="AO798" s="17"/>
      <c r="AP798" s="1"/>
      <c r="AQ798" s="1"/>
    </row>
    <row r="799" spans="1:43" x14ac:dyDescent="0.35">
      <c r="A799" s="6"/>
      <c r="B799" s="13"/>
      <c r="C799" s="81"/>
      <c r="D799" s="4"/>
      <c r="E799" s="8"/>
      <c r="F799" s="17"/>
      <c r="G799" s="17"/>
      <c r="H799" s="17"/>
      <c r="I799" s="17"/>
      <c r="J799" s="17"/>
      <c r="K799" s="17"/>
      <c r="L799" s="17"/>
      <c r="M799" s="17"/>
      <c r="N799" s="17"/>
      <c r="O799" s="17"/>
      <c r="P799" s="17"/>
      <c r="Q799" s="17"/>
      <c r="R799" s="17"/>
      <c r="S799" s="17"/>
      <c r="T799" s="17"/>
      <c r="U799" s="17"/>
      <c r="V799" s="17"/>
      <c r="W799" s="17"/>
      <c r="X799" s="17"/>
      <c r="Y799" s="17"/>
      <c r="Z799" s="17"/>
      <c r="AA799" s="17"/>
      <c r="AB799" s="17"/>
      <c r="AC799" s="17"/>
      <c r="AD799" s="17"/>
      <c r="AE799" s="17"/>
      <c r="AF799" s="17"/>
      <c r="AG799" s="17"/>
      <c r="AH799" s="17"/>
      <c r="AI799" s="17"/>
      <c r="AJ799" s="17"/>
      <c r="AK799" s="17"/>
      <c r="AL799" s="17"/>
      <c r="AM799" s="17"/>
      <c r="AN799" s="17"/>
      <c r="AO799" s="17"/>
      <c r="AP799" s="1"/>
      <c r="AQ799" s="1"/>
    </row>
    <row r="800" spans="1:43" x14ac:dyDescent="0.35">
      <c r="A800" s="6"/>
      <c r="B800" s="13"/>
      <c r="C800" s="81"/>
      <c r="D800" s="4"/>
      <c r="E800" s="8"/>
      <c r="F800" s="17"/>
      <c r="G800" s="17"/>
      <c r="H800" s="17"/>
      <c r="I800" s="17"/>
      <c r="J800" s="17"/>
      <c r="K800" s="17"/>
      <c r="L800" s="17"/>
      <c r="M800" s="17"/>
      <c r="N800" s="17"/>
      <c r="O800" s="17"/>
      <c r="P800" s="17"/>
      <c r="Q800" s="17"/>
      <c r="R800" s="17"/>
      <c r="S800" s="17"/>
      <c r="T800" s="17"/>
      <c r="U800" s="17"/>
      <c r="V800" s="17"/>
      <c r="W800" s="17"/>
      <c r="X800" s="17"/>
      <c r="Y800" s="17"/>
      <c r="Z800" s="17"/>
      <c r="AA800" s="17"/>
      <c r="AB800" s="17"/>
      <c r="AC800" s="17"/>
      <c r="AD800" s="17"/>
      <c r="AE800" s="17"/>
      <c r="AF800" s="17"/>
      <c r="AG800" s="17"/>
      <c r="AH800" s="17"/>
      <c r="AI800" s="17"/>
      <c r="AJ800" s="17"/>
      <c r="AK800" s="17"/>
      <c r="AL800" s="17"/>
      <c r="AM800" s="17"/>
      <c r="AN800" s="17"/>
      <c r="AO800" s="17"/>
      <c r="AP800" s="1"/>
      <c r="AQ800" s="1"/>
    </row>
    <row r="801" spans="1:43" x14ac:dyDescent="0.35">
      <c r="A801" s="6"/>
      <c r="B801" s="13"/>
      <c r="C801" s="81"/>
      <c r="D801" s="4"/>
      <c r="E801" s="8"/>
      <c r="F801" s="17"/>
      <c r="G801" s="17"/>
      <c r="H801" s="17"/>
      <c r="I801" s="17"/>
      <c r="J801" s="17"/>
      <c r="K801" s="17"/>
      <c r="L801" s="17"/>
      <c r="M801" s="17"/>
      <c r="N801" s="17"/>
      <c r="O801" s="17"/>
      <c r="P801" s="17"/>
      <c r="Q801" s="17"/>
      <c r="R801" s="17"/>
      <c r="S801" s="17"/>
      <c r="T801" s="17"/>
      <c r="U801" s="17"/>
      <c r="V801" s="17"/>
      <c r="W801" s="17"/>
      <c r="X801" s="17"/>
      <c r="Y801" s="17"/>
      <c r="Z801" s="17"/>
      <c r="AA801" s="17"/>
      <c r="AB801" s="17"/>
      <c r="AC801" s="17"/>
      <c r="AD801" s="17"/>
      <c r="AE801" s="17"/>
      <c r="AF801" s="17"/>
      <c r="AG801" s="17"/>
      <c r="AH801" s="17"/>
      <c r="AI801" s="17"/>
      <c r="AJ801" s="17"/>
      <c r="AK801" s="17"/>
      <c r="AL801" s="17"/>
      <c r="AM801" s="17"/>
      <c r="AN801" s="17"/>
      <c r="AO801" s="17"/>
      <c r="AP801" s="1"/>
      <c r="AQ801" s="1"/>
    </row>
    <row r="802" spans="1:43" x14ac:dyDescent="0.35">
      <c r="A802" s="6"/>
      <c r="B802" s="13"/>
      <c r="C802" s="81"/>
      <c r="D802" s="4"/>
      <c r="E802" s="8"/>
      <c r="F802" s="17"/>
      <c r="G802" s="17"/>
      <c r="H802" s="17"/>
      <c r="I802" s="17"/>
      <c r="J802" s="17"/>
      <c r="K802" s="17"/>
      <c r="L802" s="17"/>
      <c r="M802" s="17"/>
      <c r="N802" s="17"/>
      <c r="O802" s="17"/>
      <c r="P802" s="17"/>
      <c r="Q802" s="17"/>
      <c r="R802" s="17"/>
      <c r="S802" s="17"/>
      <c r="T802" s="17"/>
      <c r="U802" s="17"/>
      <c r="V802" s="17"/>
      <c r="W802" s="17"/>
      <c r="X802" s="17"/>
      <c r="Y802" s="17"/>
      <c r="Z802" s="17"/>
      <c r="AA802" s="17"/>
      <c r="AB802" s="17"/>
      <c r="AC802" s="17"/>
      <c r="AD802" s="17"/>
      <c r="AE802" s="17"/>
      <c r="AF802" s="17"/>
      <c r="AG802" s="17"/>
      <c r="AH802" s="17"/>
      <c r="AI802" s="17"/>
      <c r="AJ802" s="17"/>
      <c r="AK802" s="17"/>
      <c r="AL802" s="17"/>
      <c r="AM802" s="17"/>
      <c r="AN802" s="17"/>
      <c r="AO802" s="17"/>
      <c r="AP802" s="1"/>
      <c r="AQ802" s="1"/>
    </row>
    <row r="803" spans="1:43" x14ac:dyDescent="0.35">
      <c r="A803" s="6"/>
      <c r="B803" s="13"/>
      <c r="C803" s="81"/>
      <c r="D803" s="4"/>
      <c r="E803" s="8"/>
      <c r="F803" s="17"/>
      <c r="G803" s="17"/>
      <c r="H803" s="17"/>
      <c r="I803" s="17"/>
      <c r="J803" s="17"/>
      <c r="K803" s="17"/>
      <c r="L803" s="17"/>
      <c r="M803" s="17"/>
      <c r="N803" s="17"/>
      <c r="O803" s="17"/>
      <c r="P803" s="17"/>
      <c r="Q803" s="17"/>
      <c r="R803" s="17"/>
      <c r="S803" s="17"/>
      <c r="T803" s="17"/>
      <c r="U803" s="17"/>
      <c r="V803" s="17"/>
      <c r="W803" s="17"/>
      <c r="X803" s="17"/>
      <c r="Y803" s="17"/>
      <c r="Z803" s="17"/>
      <c r="AA803" s="17"/>
      <c r="AB803" s="17"/>
      <c r="AC803" s="17"/>
      <c r="AD803" s="17"/>
      <c r="AE803" s="17"/>
      <c r="AF803" s="17"/>
      <c r="AG803" s="17"/>
      <c r="AH803" s="17"/>
      <c r="AI803" s="17"/>
      <c r="AJ803" s="17"/>
      <c r="AK803" s="17"/>
      <c r="AL803" s="17"/>
      <c r="AM803" s="17"/>
      <c r="AN803" s="17"/>
      <c r="AO803" s="17"/>
      <c r="AP803" s="1"/>
      <c r="AQ803" s="1"/>
    </row>
    <row r="804" spans="1:43" x14ac:dyDescent="0.35">
      <c r="A804" s="6"/>
      <c r="B804" s="13"/>
      <c r="C804" s="81"/>
      <c r="D804" s="4"/>
      <c r="E804" s="8"/>
      <c r="F804" s="17"/>
      <c r="G804" s="17"/>
      <c r="H804" s="17"/>
      <c r="I804" s="17"/>
      <c r="J804" s="17"/>
      <c r="K804" s="17"/>
      <c r="L804" s="17"/>
      <c r="M804" s="17"/>
      <c r="N804" s="17"/>
      <c r="O804" s="17"/>
      <c r="P804" s="17"/>
      <c r="Q804" s="17"/>
      <c r="R804" s="17"/>
      <c r="S804" s="17"/>
      <c r="T804" s="17"/>
      <c r="U804" s="17"/>
      <c r="V804" s="17"/>
      <c r="W804" s="17"/>
      <c r="X804" s="17"/>
      <c r="Y804" s="17"/>
      <c r="Z804" s="17"/>
      <c r="AA804" s="17"/>
      <c r="AB804" s="17"/>
      <c r="AC804" s="17"/>
      <c r="AD804" s="17"/>
      <c r="AE804" s="17"/>
      <c r="AF804" s="17"/>
      <c r="AG804" s="17"/>
      <c r="AH804" s="17"/>
      <c r="AI804" s="17"/>
      <c r="AJ804" s="17"/>
      <c r="AK804" s="17"/>
      <c r="AL804" s="17"/>
      <c r="AM804" s="17"/>
      <c r="AN804" s="17"/>
      <c r="AO804" s="17"/>
      <c r="AP804" s="1"/>
      <c r="AQ804" s="1"/>
    </row>
    <row r="805" spans="1:43" x14ac:dyDescent="0.35">
      <c r="A805" s="6"/>
      <c r="B805" s="13"/>
      <c r="C805" s="81"/>
      <c r="D805" s="4"/>
      <c r="E805" s="8"/>
      <c r="F805" s="17"/>
      <c r="G805" s="17"/>
      <c r="H805" s="17"/>
      <c r="I805" s="17"/>
      <c r="J805" s="17"/>
      <c r="K805" s="17"/>
      <c r="L805" s="17"/>
      <c r="M805" s="17"/>
      <c r="N805" s="17"/>
      <c r="O805" s="17"/>
      <c r="P805" s="17"/>
      <c r="Q805" s="17"/>
      <c r="R805" s="17"/>
      <c r="S805" s="17"/>
      <c r="T805" s="17"/>
      <c r="U805" s="17"/>
      <c r="V805" s="17"/>
      <c r="W805" s="17"/>
      <c r="X805" s="17"/>
      <c r="Y805" s="17"/>
      <c r="Z805" s="17"/>
      <c r="AA805" s="17"/>
      <c r="AB805" s="17"/>
      <c r="AC805" s="17"/>
      <c r="AD805" s="17"/>
      <c r="AE805" s="17"/>
      <c r="AF805" s="17"/>
      <c r="AG805" s="17"/>
      <c r="AH805" s="17"/>
      <c r="AI805" s="17"/>
      <c r="AJ805" s="17"/>
      <c r="AK805" s="17"/>
      <c r="AL805" s="17"/>
      <c r="AM805" s="17"/>
      <c r="AN805" s="17"/>
      <c r="AO805" s="17"/>
      <c r="AP805" s="1"/>
      <c r="AQ805" s="1"/>
    </row>
    <row r="806" spans="1:43" x14ac:dyDescent="0.35">
      <c r="A806" s="6"/>
      <c r="B806" s="13"/>
      <c r="C806" s="81"/>
      <c r="D806" s="4"/>
      <c r="E806" s="8"/>
      <c r="F806" s="17"/>
      <c r="G806" s="17"/>
      <c r="H806" s="17"/>
      <c r="I806" s="17"/>
      <c r="J806" s="17"/>
      <c r="K806" s="17"/>
      <c r="L806" s="17"/>
      <c r="M806" s="17"/>
      <c r="N806" s="17"/>
      <c r="O806" s="17"/>
      <c r="P806" s="17"/>
      <c r="Q806" s="17"/>
      <c r="R806" s="17"/>
      <c r="S806" s="17"/>
      <c r="T806" s="17"/>
      <c r="U806" s="17"/>
      <c r="V806" s="17"/>
      <c r="W806" s="17"/>
      <c r="X806" s="17"/>
      <c r="Y806" s="17"/>
      <c r="Z806" s="17"/>
      <c r="AA806" s="17"/>
      <c r="AB806" s="17"/>
      <c r="AC806" s="17"/>
      <c r="AD806" s="17"/>
      <c r="AE806" s="17"/>
      <c r="AF806" s="17"/>
      <c r="AG806" s="17"/>
      <c r="AH806" s="17"/>
      <c r="AI806" s="17"/>
      <c r="AJ806" s="17"/>
      <c r="AK806" s="17"/>
      <c r="AL806" s="17"/>
      <c r="AM806" s="17"/>
      <c r="AN806" s="17"/>
      <c r="AO806" s="17"/>
      <c r="AP806" s="1"/>
      <c r="AQ806" s="1"/>
    </row>
    <row r="807" spans="1:43" x14ac:dyDescent="0.35">
      <c r="A807" s="6"/>
      <c r="B807" s="13"/>
      <c r="C807" s="81"/>
      <c r="D807" s="4"/>
      <c r="E807" s="8"/>
      <c r="F807" s="17"/>
      <c r="G807" s="17"/>
      <c r="H807" s="17"/>
      <c r="I807" s="17"/>
      <c r="J807" s="17"/>
      <c r="K807" s="17"/>
      <c r="L807" s="17"/>
      <c r="M807" s="17"/>
      <c r="N807" s="17"/>
      <c r="O807" s="17"/>
      <c r="P807" s="17"/>
      <c r="Q807" s="17"/>
      <c r="R807" s="17"/>
      <c r="S807" s="17"/>
      <c r="T807" s="17"/>
      <c r="U807" s="17"/>
      <c r="V807" s="17"/>
      <c r="W807" s="17"/>
      <c r="X807" s="17"/>
      <c r="Y807" s="17"/>
      <c r="Z807" s="17"/>
      <c r="AA807" s="17"/>
      <c r="AB807" s="17"/>
      <c r="AC807" s="17"/>
      <c r="AD807" s="17"/>
      <c r="AE807" s="17"/>
      <c r="AF807" s="17"/>
      <c r="AG807" s="17"/>
      <c r="AH807" s="17"/>
      <c r="AI807" s="17"/>
      <c r="AJ807" s="17"/>
      <c r="AK807" s="17"/>
      <c r="AL807" s="17"/>
      <c r="AM807" s="17"/>
      <c r="AN807" s="17"/>
      <c r="AO807" s="17"/>
      <c r="AP807" s="1"/>
      <c r="AQ807" s="1"/>
    </row>
    <row r="808" spans="1:43" x14ac:dyDescent="0.35">
      <c r="A808" s="6"/>
      <c r="B808" s="13"/>
      <c r="C808" s="81"/>
      <c r="D808" s="4"/>
      <c r="E808" s="8"/>
      <c r="F808" s="17"/>
      <c r="G808" s="17"/>
      <c r="H808" s="17"/>
      <c r="I808" s="17"/>
      <c r="J808" s="17"/>
      <c r="K808" s="17"/>
      <c r="L808" s="17"/>
      <c r="M808" s="17"/>
      <c r="N808" s="17"/>
      <c r="O808" s="17"/>
      <c r="P808" s="17"/>
      <c r="Q808" s="17"/>
      <c r="R808" s="17"/>
      <c r="S808" s="17"/>
      <c r="T808" s="17"/>
      <c r="U808" s="17"/>
      <c r="V808" s="17"/>
      <c r="W808" s="17"/>
      <c r="X808" s="17"/>
      <c r="Y808" s="17"/>
      <c r="Z808" s="17"/>
      <c r="AA808" s="17"/>
      <c r="AB808" s="17"/>
      <c r="AC808" s="17"/>
      <c r="AD808" s="17"/>
      <c r="AE808" s="17"/>
      <c r="AF808" s="17"/>
      <c r="AG808" s="17"/>
      <c r="AH808" s="17"/>
      <c r="AI808" s="17"/>
      <c r="AJ808" s="17"/>
      <c r="AK808" s="17"/>
      <c r="AL808" s="17"/>
      <c r="AM808" s="17"/>
      <c r="AN808" s="17"/>
      <c r="AO808" s="17"/>
      <c r="AP808" s="1"/>
      <c r="AQ808" s="1"/>
    </row>
    <row r="809" spans="1:43" x14ac:dyDescent="0.35">
      <c r="A809" s="6"/>
      <c r="B809" s="13"/>
      <c r="C809" s="81"/>
      <c r="D809" s="4"/>
      <c r="E809" s="8"/>
      <c r="F809" s="17"/>
      <c r="G809" s="17"/>
      <c r="H809" s="17"/>
      <c r="I809" s="17"/>
      <c r="J809" s="17"/>
      <c r="K809" s="17"/>
      <c r="L809" s="17"/>
      <c r="M809" s="17"/>
      <c r="N809" s="17"/>
      <c r="O809" s="17"/>
      <c r="P809" s="17"/>
      <c r="Q809" s="17"/>
      <c r="R809" s="17"/>
      <c r="S809" s="17"/>
      <c r="T809" s="17"/>
      <c r="U809" s="17"/>
      <c r="V809" s="17"/>
      <c r="W809" s="17"/>
      <c r="X809" s="17"/>
      <c r="Y809" s="17"/>
      <c r="Z809" s="17"/>
      <c r="AA809" s="17"/>
      <c r="AB809" s="17"/>
      <c r="AC809" s="17"/>
      <c r="AD809" s="17"/>
      <c r="AE809" s="17"/>
      <c r="AF809" s="17"/>
      <c r="AG809" s="17"/>
      <c r="AH809" s="17"/>
      <c r="AI809" s="17"/>
      <c r="AJ809" s="17"/>
      <c r="AK809" s="17"/>
      <c r="AL809" s="17"/>
      <c r="AM809" s="17"/>
      <c r="AN809" s="17"/>
      <c r="AO809" s="17"/>
      <c r="AP809" s="1"/>
      <c r="AQ809" s="1"/>
    </row>
    <row r="810" spans="1:43" x14ac:dyDescent="0.35">
      <c r="A810" s="6"/>
      <c r="B810" s="13"/>
      <c r="C810" s="81"/>
      <c r="D810" s="4"/>
      <c r="E810" s="8"/>
      <c r="F810" s="17"/>
      <c r="G810" s="17"/>
      <c r="H810" s="17"/>
      <c r="I810" s="17"/>
      <c r="J810" s="17"/>
      <c r="K810" s="17"/>
      <c r="L810" s="17"/>
      <c r="M810" s="17"/>
      <c r="N810" s="17"/>
      <c r="O810" s="17"/>
      <c r="P810" s="17"/>
      <c r="Q810" s="17"/>
      <c r="R810" s="17"/>
      <c r="S810" s="17"/>
      <c r="T810" s="17"/>
      <c r="U810" s="17"/>
      <c r="V810" s="17"/>
      <c r="W810" s="17"/>
      <c r="X810" s="17"/>
      <c r="Y810" s="17"/>
      <c r="Z810" s="17"/>
      <c r="AA810" s="17"/>
      <c r="AB810" s="17"/>
      <c r="AC810" s="17"/>
      <c r="AD810" s="17"/>
      <c r="AE810" s="17"/>
      <c r="AF810" s="17"/>
      <c r="AG810" s="17"/>
      <c r="AH810" s="17"/>
      <c r="AI810" s="17"/>
      <c r="AJ810" s="17"/>
      <c r="AK810" s="17"/>
      <c r="AL810" s="17"/>
      <c r="AM810" s="17"/>
      <c r="AN810" s="17"/>
      <c r="AO810" s="17"/>
      <c r="AP810" s="1"/>
      <c r="AQ810" s="1"/>
    </row>
    <row r="811" spans="1:43" x14ac:dyDescent="0.35">
      <c r="A811" s="6"/>
      <c r="B811" s="13"/>
      <c r="C811" s="81"/>
      <c r="D811" s="4"/>
      <c r="E811" s="8"/>
      <c r="F811" s="17"/>
      <c r="G811" s="17"/>
      <c r="H811" s="17"/>
      <c r="I811" s="17"/>
      <c r="J811" s="17"/>
      <c r="K811" s="17"/>
      <c r="L811" s="17"/>
      <c r="M811" s="17"/>
      <c r="N811" s="17"/>
      <c r="O811" s="17"/>
      <c r="P811" s="17"/>
      <c r="Q811" s="17"/>
      <c r="R811" s="17"/>
      <c r="S811" s="17"/>
      <c r="T811" s="17"/>
      <c r="U811" s="17"/>
      <c r="V811" s="17"/>
      <c r="W811" s="17"/>
      <c r="X811" s="17"/>
      <c r="Y811" s="17"/>
      <c r="Z811" s="17"/>
      <c r="AA811" s="17"/>
      <c r="AB811" s="17"/>
      <c r="AC811" s="17"/>
      <c r="AD811" s="17"/>
      <c r="AE811" s="17"/>
      <c r="AF811" s="17"/>
      <c r="AG811" s="17"/>
      <c r="AH811" s="17"/>
      <c r="AI811" s="17"/>
      <c r="AJ811" s="17"/>
      <c r="AK811" s="17"/>
      <c r="AL811" s="17"/>
      <c r="AM811" s="17"/>
      <c r="AN811" s="17"/>
      <c r="AO811" s="17"/>
      <c r="AP811" s="1"/>
      <c r="AQ811" s="1"/>
    </row>
    <row r="812" spans="1:43" x14ac:dyDescent="0.35">
      <c r="A812" s="6"/>
      <c r="B812" s="13"/>
      <c r="C812" s="81"/>
      <c r="D812" s="4"/>
      <c r="E812" s="8"/>
      <c r="F812" s="17"/>
      <c r="G812" s="17"/>
      <c r="H812" s="17"/>
      <c r="I812" s="17"/>
      <c r="J812" s="17"/>
      <c r="K812" s="17"/>
      <c r="L812" s="17"/>
      <c r="M812" s="17"/>
      <c r="N812" s="17"/>
      <c r="O812" s="17"/>
      <c r="P812" s="17"/>
      <c r="Q812" s="17"/>
      <c r="R812" s="17"/>
      <c r="S812" s="17"/>
      <c r="T812" s="17"/>
      <c r="U812" s="17"/>
      <c r="V812" s="17"/>
      <c r="W812" s="17"/>
      <c r="X812" s="17"/>
      <c r="Y812" s="17"/>
      <c r="Z812" s="17"/>
      <c r="AA812" s="17"/>
      <c r="AB812" s="17"/>
      <c r="AC812" s="17"/>
      <c r="AD812" s="17"/>
      <c r="AE812" s="17"/>
      <c r="AF812" s="17"/>
      <c r="AG812" s="17"/>
      <c r="AH812" s="17"/>
      <c r="AI812" s="17"/>
      <c r="AJ812" s="17"/>
      <c r="AK812" s="17"/>
      <c r="AL812" s="17"/>
      <c r="AM812" s="17"/>
      <c r="AN812" s="17"/>
      <c r="AO812" s="17"/>
      <c r="AP812" s="1"/>
      <c r="AQ812" s="1"/>
    </row>
    <row r="813" spans="1:43" x14ac:dyDescent="0.35">
      <c r="A813" s="6"/>
      <c r="B813" s="13"/>
      <c r="C813" s="81"/>
      <c r="D813" s="4"/>
      <c r="E813" s="8"/>
      <c r="F813" s="17"/>
      <c r="G813" s="17"/>
      <c r="H813" s="17"/>
      <c r="I813" s="17"/>
      <c r="J813" s="17"/>
      <c r="K813" s="17"/>
      <c r="L813" s="17"/>
      <c r="M813" s="17"/>
      <c r="N813" s="17"/>
      <c r="O813" s="17"/>
      <c r="P813" s="17"/>
      <c r="Q813" s="17"/>
      <c r="R813" s="17"/>
      <c r="S813" s="17"/>
      <c r="T813" s="17"/>
      <c r="U813" s="17"/>
      <c r="V813" s="17"/>
      <c r="W813" s="17"/>
      <c r="X813" s="17"/>
      <c r="Y813" s="17"/>
      <c r="Z813" s="17"/>
      <c r="AA813" s="17"/>
      <c r="AB813" s="17"/>
      <c r="AC813" s="17"/>
      <c r="AD813" s="17"/>
      <c r="AE813" s="17"/>
      <c r="AF813" s="17"/>
      <c r="AG813" s="17"/>
      <c r="AH813" s="17"/>
      <c r="AI813" s="17"/>
      <c r="AJ813" s="17"/>
      <c r="AK813" s="17"/>
      <c r="AL813" s="17"/>
      <c r="AM813" s="17"/>
      <c r="AN813" s="17"/>
      <c r="AO813" s="17"/>
      <c r="AP813" s="1"/>
      <c r="AQ813" s="1"/>
    </row>
    <row r="814" spans="1:43" x14ac:dyDescent="0.35">
      <c r="A814" s="6"/>
      <c r="B814" s="13"/>
      <c r="C814" s="81"/>
      <c r="D814" s="4"/>
      <c r="E814" s="8"/>
      <c r="F814" s="17"/>
      <c r="G814" s="17"/>
      <c r="H814" s="17"/>
      <c r="I814" s="17"/>
      <c r="J814" s="17"/>
      <c r="K814" s="17"/>
      <c r="L814" s="17"/>
      <c r="M814" s="17"/>
      <c r="N814" s="17"/>
      <c r="O814" s="17"/>
      <c r="P814" s="17"/>
      <c r="Q814" s="17"/>
      <c r="R814" s="17"/>
      <c r="S814" s="17"/>
      <c r="T814" s="17"/>
      <c r="U814" s="17"/>
      <c r="V814" s="17"/>
      <c r="W814" s="17"/>
      <c r="X814" s="17"/>
      <c r="Y814" s="17"/>
      <c r="Z814" s="17"/>
      <c r="AA814" s="17"/>
      <c r="AB814" s="17"/>
      <c r="AC814" s="17"/>
      <c r="AD814" s="17"/>
      <c r="AE814" s="17"/>
      <c r="AF814" s="17"/>
      <c r="AG814" s="17"/>
      <c r="AH814" s="17"/>
      <c r="AI814" s="17"/>
      <c r="AJ814" s="17"/>
      <c r="AK814" s="17"/>
      <c r="AL814" s="17"/>
      <c r="AM814" s="17"/>
      <c r="AN814" s="17"/>
      <c r="AO814" s="17"/>
      <c r="AP814" s="1"/>
      <c r="AQ814" s="1"/>
    </row>
    <row r="815" spans="1:43" x14ac:dyDescent="0.35">
      <c r="A815" s="6"/>
      <c r="B815" s="13"/>
      <c r="C815" s="81"/>
      <c r="D815" s="4"/>
      <c r="E815" s="8"/>
      <c r="F815" s="17"/>
      <c r="G815" s="17"/>
      <c r="H815" s="17"/>
      <c r="I815" s="17"/>
      <c r="J815" s="17"/>
      <c r="K815" s="17"/>
      <c r="L815" s="17"/>
      <c r="M815" s="17"/>
      <c r="N815" s="17"/>
      <c r="O815" s="17"/>
      <c r="P815" s="17"/>
      <c r="Q815" s="17"/>
      <c r="R815" s="17"/>
      <c r="S815" s="17"/>
      <c r="T815" s="17"/>
      <c r="U815" s="17"/>
      <c r="V815" s="17"/>
      <c r="W815" s="17"/>
      <c r="X815" s="17"/>
      <c r="Y815" s="17"/>
      <c r="Z815" s="17"/>
      <c r="AA815" s="17"/>
      <c r="AB815" s="17"/>
      <c r="AC815" s="17"/>
      <c r="AD815" s="17"/>
      <c r="AE815" s="17"/>
      <c r="AF815" s="17"/>
      <c r="AG815" s="17"/>
      <c r="AH815" s="17"/>
      <c r="AI815" s="17"/>
      <c r="AJ815" s="17"/>
      <c r="AK815" s="17"/>
      <c r="AL815" s="17"/>
      <c r="AM815" s="17"/>
      <c r="AN815" s="17"/>
      <c r="AO815" s="17"/>
      <c r="AP815" s="1"/>
      <c r="AQ815" s="1"/>
    </row>
    <row r="816" spans="1:43" x14ac:dyDescent="0.35">
      <c r="A816" s="6"/>
      <c r="B816" s="13"/>
      <c r="C816" s="81"/>
      <c r="D816" s="4"/>
      <c r="E816" s="8"/>
      <c r="F816" s="17"/>
      <c r="G816" s="17"/>
      <c r="H816" s="17"/>
      <c r="I816" s="17"/>
      <c r="J816" s="17"/>
      <c r="K816" s="17"/>
      <c r="L816" s="17"/>
      <c r="M816" s="17"/>
      <c r="N816" s="17"/>
      <c r="O816" s="17"/>
      <c r="P816" s="17"/>
      <c r="Q816" s="17"/>
      <c r="R816" s="17"/>
      <c r="S816" s="17"/>
      <c r="T816" s="17"/>
      <c r="U816" s="17"/>
      <c r="V816" s="17"/>
      <c r="W816" s="17"/>
      <c r="X816" s="17"/>
      <c r="Y816" s="17"/>
      <c r="Z816" s="17"/>
      <c r="AA816" s="17"/>
      <c r="AB816" s="17"/>
      <c r="AC816" s="17"/>
      <c r="AD816" s="17"/>
      <c r="AE816" s="17"/>
      <c r="AF816" s="17"/>
      <c r="AG816" s="17"/>
      <c r="AH816" s="17"/>
      <c r="AI816" s="17"/>
      <c r="AJ816" s="17"/>
      <c r="AK816" s="17"/>
      <c r="AL816" s="17"/>
      <c r="AM816" s="17"/>
      <c r="AN816" s="17"/>
      <c r="AO816" s="17"/>
      <c r="AP816" s="1"/>
      <c r="AQ816" s="1"/>
    </row>
    <row r="817" spans="1:43" x14ac:dyDescent="0.35">
      <c r="A817" s="6"/>
      <c r="B817" s="13"/>
      <c r="C817" s="81"/>
      <c r="D817" s="4"/>
      <c r="E817" s="8"/>
      <c r="F817" s="17"/>
      <c r="G817" s="17"/>
      <c r="H817" s="17"/>
      <c r="I817" s="17"/>
      <c r="J817" s="17"/>
      <c r="K817" s="17"/>
      <c r="L817" s="17"/>
      <c r="M817" s="17"/>
      <c r="N817" s="17"/>
      <c r="O817" s="17"/>
      <c r="P817" s="17"/>
      <c r="Q817" s="17"/>
      <c r="R817" s="17"/>
      <c r="S817" s="17"/>
      <c r="T817" s="17"/>
      <c r="U817" s="17"/>
      <c r="V817" s="17"/>
      <c r="W817" s="17"/>
      <c r="X817" s="17"/>
      <c r="Y817" s="17"/>
      <c r="Z817" s="17"/>
      <c r="AA817" s="17"/>
      <c r="AB817" s="17"/>
      <c r="AC817" s="17"/>
      <c r="AD817" s="17"/>
      <c r="AE817" s="17"/>
      <c r="AF817" s="17"/>
      <c r="AG817" s="17"/>
      <c r="AH817" s="17"/>
      <c r="AI817" s="17"/>
      <c r="AJ817" s="17"/>
      <c r="AK817" s="17"/>
      <c r="AL817" s="17"/>
      <c r="AM817" s="17"/>
      <c r="AN817" s="17"/>
      <c r="AO817" s="17"/>
      <c r="AP817" s="1"/>
      <c r="AQ817" s="1"/>
    </row>
    <row r="818" spans="1:43" x14ac:dyDescent="0.35">
      <c r="A818" s="6"/>
      <c r="B818" s="13"/>
      <c r="C818" s="81"/>
      <c r="D818" s="4"/>
      <c r="E818" s="8"/>
      <c r="F818" s="17"/>
      <c r="G818" s="17"/>
      <c r="H818" s="17"/>
      <c r="I818" s="17"/>
      <c r="J818" s="17"/>
      <c r="K818" s="17"/>
      <c r="L818" s="17"/>
      <c r="M818" s="17"/>
      <c r="N818" s="17"/>
      <c r="O818" s="17"/>
      <c r="P818" s="17"/>
      <c r="Q818" s="17"/>
      <c r="R818" s="17"/>
      <c r="S818" s="17"/>
      <c r="T818" s="17"/>
      <c r="U818" s="17"/>
      <c r="V818" s="17"/>
      <c r="W818" s="17"/>
      <c r="X818" s="17"/>
      <c r="Y818" s="17"/>
      <c r="Z818" s="17"/>
      <c r="AA818" s="17"/>
      <c r="AB818" s="17"/>
      <c r="AC818" s="17"/>
      <c r="AD818" s="17"/>
      <c r="AE818" s="17"/>
      <c r="AF818" s="17"/>
      <c r="AG818" s="17"/>
      <c r="AH818" s="17"/>
      <c r="AI818" s="17"/>
      <c r="AJ818" s="17"/>
      <c r="AK818" s="17"/>
      <c r="AL818" s="17"/>
      <c r="AM818" s="17"/>
      <c r="AN818" s="17"/>
      <c r="AO818" s="17"/>
      <c r="AP818" s="1"/>
      <c r="AQ818" s="1"/>
    </row>
    <row r="819" spans="1:43" x14ac:dyDescent="0.35">
      <c r="A819" s="6"/>
      <c r="B819" s="13"/>
      <c r="C819" s="81"/>
      <c r="D819" s="4"/>
      <c r="E819" s="8"/>
      <c r="F819" s="17"/>
      <c r="G819" s="17"/>
      <c r="H819" s="17"/>
      <c r="I819" s="17"/>
      <c r="J819" s="17"/>
      <c r="K819" s="17"/>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c r="AN819" s="17"/>
      <c r="AO819" s="17"/>
      <c r="AP819" s="1"/>
      <c r="AQ819" s="1"/>
    </row>
    <row r="820" spans="1:43" x14ac:dyDescent="0.35">
      <c r="A820" s="6"/>
      <c r="B820" s="13"/>
      <c r="C820" s="81"/>
      <c r="D820" s="4"/>
      <c r="E820" s="8"/>
      <c r="F820" s="17"/>
      <c r="G820" s="17"/>
      <c r="H820" s="17"/>
      <c r="I820" s="17"/>
      <c r="J820" s="17"/>
      <c r="K820" s="17"/>
      <c r="L820" s="17"/>
      <c r="M820" s="17"/>
      <c r="N820" s="17"/>
      <c r="O820" s="17"/>
      <c r="P820" s="17"/>
      <c r="Q820" s="17"/>
      <c r="R820" s="17"/>
      <c r="S820" s="17"/>
      <c r="T820" s="17"/>
      <c r="U820" s="17"/>
      <c r="V820" s="17"/>
      <c r="W820" s="17"/>
      <c r="X820" s="17"/>
      <c r="Y820" s="17"/>
      <c r="Z820" s="17"/>
      <c r="AA820" s="17"/>
      <c r="AB820" s="17"/>
      <c r="AC820" s="17"/>
      <c r="AD820" s="17"/>
      <c r="AE820" s="17"/>
      <c r="AF820" s="17"/>
      <c r="AG820" s="17"/>
      <c r="AH820" s="17"/>
      <c r="AI820" s="17"/>
      <c r="AJ820" s="17"/>
      <c r="AK820" s="17"/>
      <c r="AL820" s="17"/>
      <c r="AM820" s="17"/>
      <c r="AN820" s="17"/>
      <c r="AO820" s="17"/>
      <c r="AP820" s="1"/>
      <c r="AQ820" s="1"/>
    </row>
    <row r="821" spans="1:43" x14ac:dyDescent="0.35">
      <c r="A821" s="6"/>
      <c r="B821" s="13"/>
      <c r="C821" s="81"/>
      <c r="D821" s="4"/>
      <c r="E821" s="8"/>
      <c r="F821" s="17"/>
      <c r="G821" s="17"/>
      <c r="H821" s="17"/>
      <c r="I821" s="17"/>
      <c r="J821" s="17"/>
      <c r="K821" s="17"/>
      <c r="L821" s="17"/>
      <c r="M821" s="17"/>
      <c r="N821" s="17"/>
      <c r="O821" s="17"/>
      <c r="P821" s="17"/>
      <c r="Q821" s="17"/>
      <c r="R821" s="17"/>
      <c r="S821" s="17"/>
      <c r="T821" s="17"/>
      <c r="U821" s="17"/>
      <c r="V821" s="17"/>
      <c r="W821" s="17"/>
      <c r="X821" s="17"/>
      <c r="Y821" s="17"/>
      <c r="Z821" s="17"/>
      <c r="AA821" s="17"/>
      <c r="AB821" s="17"/>
      <c r="AC821" s="17"/>
      <c r="AD821" s="17"/>
      <c r="AE821" s="17"/>
      <c r="AF821" s="17"/>
      <c r="AG821" s="17"/>
      <c r="AH821" s="17"/>
      <c r="AI821" s="17"/>
      <c r="AJ821" s="17"/>
      <c r="AK821" s="17"/>
      <c r="AL821" s="17"/>
      <c r="AM821" s="17"/>
      <c r="AN821" s="17"/>
      <c r="AO821" s="17"/>
      <c r="AP821" s="1"/>
      <c r="AQ821" s="1"/>
    </row>
    <row r="822" spans="1:43" x14ac:dyDescent="0.35">
      <c r="A822" s="6"/>
      <c r="B822" s="13"/>
      <c r="C822" s="81"/>
      <c r="D822" s="4"/>
      <c r="E822" s="8"/>
      <c r="F822" s="17"/>
      <c r="G822" s="17"/>
      <c r="H822" s="17"/>
      <c r="I822" s="17"/>
      <c r="J822" s="17"/>
      <c r="K822" s="17"/>
      <c r="L822" s="17"/>
      <c r="M822" s="17"/>
      <c r="N822" s="17"/>
      <c r="O822" s="17"/>
      <c r="P822" s="17"/>
      <c r="Q822" s="17"/>
      <c r="R822" s="17"/>
      <c r="S822" s="17"/>
      <c r="T822" s="17"/>
      <c r="U822" s="17"/>
      <c r="V822" s="17"/>
      <c r="W822" s="17"/>
      <c r="X822" s="17"/>
      <c r="Y822" s="17"/>
      <c r="Z822" s="17"/>
      <c r="AA822" s="17"/>
      <c r="AB822" s="17"/>
      <c r="AC822" s="17"/>
      <c r="AD822" s="17"/>
      <c r="AE822" s="17"/>
      <c r="AF822" s="17"/>
      <c r="AG822" s="17"/>
      <c r="AH822" s="17"/>
      <c r="AI822" s="17"/>
      <c r="AJ822" s="17"/>
      <c r="AK822" s="17"/>
      <c r="AL822" s="17"/>
      <c r="AM822" s="17"/>
      <c r="AN822" s="17"/>
      <c r="AO822" s="17"/>
      <c r="AP822" s="1"/>
      <c r="AQ822" s="1"/>
    </row>
    <row r="823" spans="1:43" x14ac:dyDescent="0.35">
      <c r="A823" s="6"/>
      <c r="B823" s="13"/>
      <c r="C823" s="81"/>
      <c r="D823" s="4"/>
      <c r="E823" s="8"/>
      <c r="F823" s="17"/>
      <c r="G823" s="17"/>
      <c r="H823" s="17"/>
      <c r="I823" s="17"/>
      <c r="J823" s="17"/>
      <c r="K823" s="17"/>
      <c r="L823" s="17"/>
      <c r="M823" s="17"/>
      <c r="N823" s="17"/>
      <c r="O823" s="17"/>
      <c r="P823" s="17"/>
      <c r="Q823" s="17"/>
      <c r="R823" s="17"/>
      <c r="S823" s="17"/>
      <c r="T823" s="17"/>
      <c r="U823" s="17"/>
      <c r="V823" s="17"/>
      <c r="W823" s="17"/>
      <c r="X823" s="17"/>
      <c r="Y823" s="17"/>
      <c r="Z823" s="17"/>
      <c r="AA823" s="17"/>
      <c r="AB823" s="17"/>
      <c r="AC823" s="17"/>
      <c r="AD823" s="17"/>
      <c r="AE823" s="17"/>
      <c r="AF823" s="17"/>
      <c r="AG823" s="17"/>
      <c r="AH823" s="17"/>
      <c r="AI823" s="17"/>
      <c r="AJ823" s="17"/>
      <c r="AK823" s="17"/>
      <c r="AL823" s="17"/>
      <c r="AM823" s="17"/>
      <c r="AN823" s="17"/>
      <c r="AO823" s="17"/>
      <c r="AP823" s="1"/>
      <c r="AQ823" s="1"/>
    </row>
    <row r="824" spans="1:43" x14ac:dyDescent="0.35">
      <c r="A824" s="6"/>
      <c r="B824" s="13"/>
      <c r="C824" s="81"/>
      <c r="D824" s="4"/>
      <c r="E824" s="8"/>
      <c r="F824" s="17"/>
      <c r="G824" s="17"/>
      <c r="H824" s="17"/>
      <c r="I824" s="17"/>
      <c r="J824" s="17"/>
      <c r="K824" s="17"/>
      <c r="L824" s="17"/>
      <c r="M824" s="17"/>
      <c r="N824" s="17"/>
      <c r="O824" s="17"/>
      <c r="P824" s="17"/>
      <c r="Q824" s="17"/>
      <c r="R824" s="17"/>
      <c r="S824" s="17"/>
      <c r="T824" s="17"/>
      <c r="U824" s="17"/>
      <c r="V824" s="17"/>
      <c r="W824" s="17"/>
      <c r="X824" s="17"/>
      <c r="Y824" s="17"/>
      <c r="Z824" s="17"/>
      <c r="AA824" s="17"/>
      <c r="AB824" s="17"/>
      <c r="AC824" s="17"/>
      <c r="AD824" s="17"/>
      <c r="AE824" s="17"/>
      <c r="AF824" s="17"/>
      <c r="AG824" s="17"/>
      <c r="AH824" s="17"/>
      <c r="AI824" s="17"/>
      <c r="AJ824" s="17"/>
      <c r="AK824" s="17"/>
      <c r="AL824" s="17"/>
      <c r="AM824" s="17"/>
      <c r="AN824" s="17"/>
      <c r="AO824" s="17"/>
      <c r="AP824" s="1"/>
      <c r="AQ824" s="1"/>
    </row>
    <row r="825" spans="1:43" x14ac:dyDescent="0.35">
      <c r="A825" s="6"/>
      <c r="B825" s="13"/>
      <c r="C825" s="81"/>
      <c r="D825" s="4"/>
      <c r="E825" s="8"/>
      <c r="F825" s="17"/>
      <c r="G825" s="17"/>
      <c r="H825" s="17"/>
      <c r="I825" s="17"/>
      <c r="J825" s="17"/>
      <c r="K825" s="17"/>
      <c r="L825" s="17"/>
      <c r="M825" s="17"/>
      <c r="N825" s="17"/>
      <c r="O825" s="17"/>
      <c r="P825" s="17"/>
      <c r="Q825" s="17"/>
      <c r="R825" s="17"/>
      <c r="S825" s="17"/>
      <c r="T825" s="17"/>
      <c r="U825" s="17"/>
      <c r="V825" s="17"/>
      <c r="W825" s="17"/>
      <c r="X825" s="17"/>
      <c r="Y825" s="17"/>
      <c r="Z825" s="17"/>
      <c r="AA825" s="17"/>
      <c r="AB825" s="17"/>
      <c r="AC825" s="17"/>
      <c r="AD825" s="17"/>
      <c r="AE825" s="17"/>
      <c r="AF825" s="17"/>
      <c r="AG825" s="17"/>
      <c r="AH825" s="17"/>
      <c r="AI825" s="17"/>
      <c r="AJ825" s="17"/>
      <c r="AK825" s="17"/>
      <c r="AL825" s="17"/>
      <c r="AM825" s="17"/>
      <c r="AN825" s="17"/>
      <c r="AO825" s="17"/>
      <c r="AP825" s="1"/>
      <c r="AQ825" s="1"/>
    </row>
    <row r="826" spans="1:43" x14ac:dyDescent="0.35">
      <c r="A826" s="6"/>
      <c r="B826" s="13"/>
      <c r="C826" s="81"/>
      <c r="D826" s="4"/>
      <c r="E826" s="8"/>
      <c r="F826" s="17"/>
      <c r="G826" s="17"/>
      <c r="H826" s="17"/>
      <c r="I826" s="17"/>
      <c r="J826" s="17"/>
      <c r="K826" s="17"/>
      <c r="L826" s="17"/>
      <c r="M826" s="17"/>
      <c r="N826" s="17"/>
      <c r="O826" s="17"/>
      <c r="P826" s="17"/>
      <c r="Q826" s="17"/>
      <c r="R826" s="17"/>
      <c r="S826" s="17"/>
      <c r="T826" s="17"/>
      <c r="U826" s="17"/>
      <c r="V826" s="17"/>
      <c r="W826" s="17"/>
      <c r="X826" s="17"/>
      <c r="Y826" s="17"/>
      <c r="Z826" s="17"/>
      <c r="AA826" s="17"/>
      <c r="AB826" s="17"/>
      <c r="AC826" s="17"/>
      <c r="AD826" s="17"/>
      <c r="AE826" s="17"/>
      <c r="AF826" s="17"/>
      <c r="AG826" s="17"/>
      <c r="AH826" s="17"/>
      <c r="AI826" s="17"/>
      <c r="AJ826" s="17"/>
      <c r="AK826" s="17"/>
      <c r="AL826" s="17"/>
      <c r="AM826" s="17"/>
      <c r="AN826" s="17"/>
      <c r="AO826" s="17"/>
      <c r="AP826" s="1"/>
      <c r="AQ826" s="1"/>
    </row>
    <row r="827" spans="1:43" x14ac:dyDescent="0.35">
      <c r="A827" s="6"/>
      <c r="B827" s="13"/>
      <c r="C827" s="81"/>
      <c r="D827" s="4"/>
      <c r="E827" s="8"/>
      <c r="F827" s="17"/>
      <c r="G827" s="17"/>
      <c r="H827" s="17"/>
      <c r="I827" s="17"/>
      <c r="J827" s="17"/>
      <c r="K827" s="17"/>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c r="AN827" s="17"/>
      <c r="AO827" s="17"/>
      <c r="AP827" s="1"/>
      <c r="AQ827" s="1"/>
    </row>
    <row r="828" spans="1:43" x14ac:dyDescent="0.35">
      <c r="A828" s="6"/>
      <c r="B828" s="13"/>
      <c r="C828" s="81"/>
      <c r="D828" s="4"/>
      <c r="E828" s="8"/>
      <c r="F828" s="17"/>
      <c r="G828" s="17"/>
      <c r="H828" s="17"/>
      <c r="I828" s="17"/>
      <c r="J828" s="17"/>
      <c r="K828" s="17"/>
      <c r="L828" s="17"/>
      <c r="M828" s="17"/>
      <c r="N828" s="17"/>
      <c r="O828" s="17"/>
      <c r="P828" s="17"/>
      <c r="Q828" s="17"/>
      <c r="R828" s="17"/>
      <c r="S828" s="17"/>
      <c r="T828" s="17"/>
      <c r="U828" s="17"/>
      <c r="V828" s="17"/>
      <c r="W828" s="17"/>
      <c r="X828" s="17"/>
      <c r="Y828" s="17"/>
      <c r="Z828" s="17"/>
      <c r="AA828" s="17"/>
      <c r="AB828" s="17"/>
      <c r="AC828" s="17"/>
      <c r="AD828" s="17"/>
      <c r="AE828" s="17"/>
      <c r="AF828" s="17"/>
      <c r="AG828" s="17"/>
      <c r="AH828" s="17"/>
      <c r="AI828" s="17"/>
      <c r="AJ828" s="17"/>
      <c r="AK828" s="17"/>
      <c r="AL828" s="17"/>
      <c r="AM828" s="17"/>
      <c r="AN828" s="17"/>
      <c r="AO828" s="17"/>
      <c r="AP828" s="1"/>
      <c r="AQ828" s="1"/>
    </row>
    <row r="829" spans="1:43" x14ac:dyDescent="0.35">
      <c r="A829" s="6"/>
      <c r="B829" s="13"/>
      <c r="C829" s="81"/>
      <c r="D829" s="4"/>
      <c r="E829" s="8"/>
      <c r="F829" s="17"/>
      <c r="G829" s="17"/>
      <c r="H829" s="17"/>
      <c r="I829" s="17"/>
      <c r="J829" s="17"/>
      <c r="K829" s="17"/>
      <c r="L829" s="17"/>
      <c r="M829" s="17"/>
      <c r="N829" s="17"/>
      <c r="O829" s="17"/>
      <c r="P829" s="17"/>
      <c r="Q829" s="17"/>
      <c r="R829" s="17"/>
      <c r="S829" s="17"/>
      <c r="T829" s="17"/>
      <c r="U829" s="17"/>
      <c r="V829" s="17"/>
      <c r="W829" s="17"/>
      <c r="X829" s="17"/>
      <c r="Y829" s="17"/>
      <c r="Z829" s="17"/>
      <c r="AA829" s="17"/>
      <c r="AB829" s="17"/>
      <c r="AC829" s="17"/>
      <c r="AD829" s="17"/>
      <c r="AE829" s="17"/>
      <c r="AF829" s="17"/>
      <c r="AG829" s="17"/>
      <c r="AH829" s="17"/>
      <c r="AI829" s="17"/>
      <c r="AJ829" s="17"/>
      <c r="AK829" s="17"/>
      <c r="AL829" s="17"/>
      <c r="AM829" s="17"/>
      <c r="AN829" s="17"/>
      <c r="AO829" s="17"/>
      <c r="AP829" s="1"/>
      <c r="AQ829" s="1"/>
    </row>
    <row r="830" spans="1:43" x14ac:dyDescent="0.35">
      <c r="A830" s="6"/>
      <c r="B830" s="13"/>
      <c r="C830" s="81"/>
      <c r="D830" s="4"/>
      <c r="E830" s="8"/>
      <c r="F830" s="17"/>
      <c r="G830" s="17"/>
      <c r="H830" s="17"/>
      <c r="I830" s="17"/>
      <c r="J830" s="17"/>
      <c r="K830" s="17"/>
      <c r="L830" s="17"/>
      <c r="M830" s="17"/>
      <c r="N830" s="17"/>
      <c r="O830" s="17"/>
      <c r="P830" s="17"/>
      <c r="Q830" s="17"/>
      <c r="R830" s="17"/>
      <c r="S830" s="17"/>
      <c r="T830" s="17"/>
      <c r="U830" s="17"/>
      <c r="V830" s="17"/>
      <c r="W830" s="17"/>
      <c r="X830" s="17"/>
      <c r="Y830" s="17"/>
      <c r="Z830" s="17"/>
      <c r="AA830" s="17"/>
      <c r="AB830" s="17"/>
      <c r="AC830" s="17"/>
      <c r="AD830" s="17"/>
      <c r="AE830" s="17"/>
      <c r="AF830" s="17"/>
      <c r="AG830" s="17"/>
      <c r="AH830" s="17"/>
      <c r="AI830" s="17"/>
      <c r="AJ830" s="17"/>
      <c r="AK830" s="17"/>
      <c r="AL830" s="17"/>
      <c r="AM830" s="17"/>
      <c r="AN830" s="17"/>
      <c r="AO830" s="17"/>
      <c r="AP830" s="1"/>
      <c r="AQ830" s="1"/>
    </row>
    <row r="831" spans="1:43" x14ac:dyDescent="0.35">
      <c r="A831" s="6"/>
      <c r="B831" s="13"/>
      <c r="C831" s="81"/>
      <c r="D831" s="4"/>
      <c r="E831" s="8"/>
      <c r="F831" s="17"/>
      <c r="G831" s="17"/>
      <c r="H831" s="17"/>
      <c r="I831" s="17"/>
      <c r="J831" s="17"/>
      <c r="K831" s="17"/>
      <c r="L831" s="17"/>
      <c r="M831" s="17"/>
      <c r="N831" s="17"/>
      <c r="O831" s="17"/>
      <c r="P831" s="17"/>
      <c r="Q831" s="17"/>
      <c r="R831" s="17"/>
      <c r="S831" s="17"/>
      <c r="T831" s="17"/>
      <c r="U831" s="17"/>
      <c r="V831" s="17"/>
      <c r="W831" s="17"/>
      <c r="X831" s="17"/>
      <c r="Y831" s="17"/>
      <c r="Z831" s="17"/>
      <c r="AA831" s="17"/>
      <c r="AB831" s="17"/>
      <c r="AC831" s="17"/>
      <c r="AD831" s="17"/>
      <c r="AE831" s="17"/>
      <c r="AF831" s="17"/>
      <c r="AG831" s="17"/>
      <c r="AH831" s="17"/>
      <c r="AI831" s="17"/>
      <c r="AJ831" s="17"/>
      <c r="AK831" s="17"/>
      <c r="AL831" s="17"/>
      <c r="AM831" s="17"/>
      <c r="AN831" s="17"/>
      <c r="AO831" s="17"/>
      <c r="AP831" s="1"/>
      <c r="AQ831" s="1"/>
    </row>
    <row r="832" spans="1:43" x14ac:dyDescent="0.35">
      <c r="A832" s="6"/>
      <c r="B832" s="13"/>
      <c r="C832" s="81"/>
      <c r="D832" s="4"/>
      <c r="E832" s="8"/>
      <c r="F832" s="17"/>
      <c r="G832" s="17"/>
      <c r="H832" s="17"/>
      <c r="I832" s="17"/>
      <c r="J832" s="17"/>
      <c r="K832" s="17"/>
      <c r="L832" s="17"/>
      <c r="M832" s="17"/>
      <c r="N832" s="17"/>
      <c r="O832" s="17"/>
      <c r="P832" s="17"/>
      <c r="Q832" s="17"/>
      <c r="R832" s="17"/>
      <c r="S832" s="17"/>
      <c r="T832" s="17"/>
      <c r="U832" s="17"/>
      <c r="V832" s="17"/>
      <c r="W832" s="17"/>
      <c r="X832" s="17"/>
      <c r="Y832" s="17"/>
      <c r="Z832" s="17"/>
      <c r="AA832" s="17"/>
      <c r="AB832" s="17"/>
      <c r="AC832" s="17"/>
      <c r="AD832" s="17"/>
      <c r="AE832" s="17"/>
      <c r="AF832" s="17"/>
      <c r="AG832" s="17"/>
      <c r="AH832" s="17"/>
      <c r="AI832" s="17"/>
      <c r="AJ832" s="17"/>
      <c r="AK832" s="17"/>
      <c r="AL832" s="17"/>
      <c r="AM832" s="17"/>
      <c r="AN832" s="17"/>
      <c r="AO832" s="17"/>
      <c r="AP832" s="1"/>
      <c r="AQ832" s="1"/>
    </row>
    <row r="833" spans="1:43" x14ac:dyDescent="0.35">
      <c r="A833" s="6"/>
      <c r="B833" s="13"/>
      <c r="C833" s="81"/>
      <c r="D833" s="4"/>
      <c r="E833" s="8"/>
      <c r="F833" s="17"/>
      <c r="G833" s="17"/>
      <c r="H833" s="17"/>
      <c r="I833" s="17"/>
      <c r="J833" s="17"/>
      <c r="K833" s="17"/>
      <c r="L833" s="17"/>
      <c r="M833" s="17"/>
      <c r="N833" s="17"/>
      <c r="O833" s="17"/>
      <c r="P833" s="17"/>
      <c r="Q833" s="17"/>
      <c r="R833" s="17"/>
      <c r="S833" s="17"/>
      <c r="T833" s="17"/>
      <c r="U833" s="17"/>
      <c r="V833" s="17"/>
      <c r="W833" s="17"/>
      <c r="X833" s="17"/>
      <c r="Y833" s="17"/>
      <c r="Z833" s="17"/>
      <c r="AA833" s="17"/>
      <c r="AB833" s="17"/>
      <c r="AC833" s="17"/>
      <c r="AD833" s="17"/>
      <c r="AE833" s="17"/>
      <c r="AF833" s="17"/>
      <c r="AG833" s="17"/>
      <c r="AH833" s="17"/>
      <c r="AI833" s="17"/>
      <c r="AJ833" s="17"/>
      <c r="AK833" s="17"/>
      <c r="AL833" s="17"/>
      <c r="AM833" s="17"/>
      <c r="AN833" s="17"/>
      <c r="AO833" s="17"/>
      <c r="AP833" s="1"/>
      <c r="AQ833" s="1"/>
    </row>
    <row r="834" spans="1:43" x14ac:dyDescent="0.35">
      <c r="A834" s="6"/>
      <c r="B834" s="13"/>
      <c r="C834" s="81"/>
      <c r="D834" s="4"/>
      <c r="E834" s="8"/>
      <c r="F834" s="17"/>
      <c r="G834" s="17"/>
      <c r="H834" s="17"/>
      <c r="I834" s="17"/>
      <c r="J834" s="17"/>
      <c r="K834" s="17"/>
      <c r="L834" s="17"/>
      <c r="M834" s="17"/>
      <c r="N834" s="17"/>
      <c r="O834" s="17"/>
      <c r="P834" s="17"/>
      <c r="Q834" s="17"/>
      <c r="R834" s="17"/>
      <c r="S834" s="17"/>
      <c r="T834" s="17"/>
      <c r="U834" s="17"/>
      <c r="V834" s="17"/>
      <c r="W834" s="17"/>
      <c r="X834" s="17"/>
      <c r="Y834" s="17"/>
      <c r="Z834" s="17"/>
      <c r="AA834" s="17"/>
      <c r="AB834" s="17"/>
      <c r="AC834" s="17"/>
      <c r="AD834" s="17"/>
      <c r="AE834" s="17"/>
      <c r="AF834" s="17"/>
      <c r="AG834" s="17"/>
      <c r="AH834" s="17"/>
      <c r="AI834" s="17"/>
      <c r="AJ834" s="17"/>
      <c r="AK834" s="17"/>
      <c r="AL834" s="17"/>
      <c r="AM834" s="17"/>
      <c r="AN834" s="17"/>
      <c r="AO834" s="17"/>
      <c r="AP834" s="1"/>
      <c r="AQ834" s="1"/>
    </row>
    <row r="835" spans="1:43" x14ac:dyDescent="0.35">
      <c r="A835" s="6"/>
      <c r="B835" s="13"/>
      <c r="C835" s="81"/>
      <c r="D835" s="4"/>
      <c r="E835" s="8"/>
      <c r="F835" s="17"/>
      <c r="G835" s="17"/>
      <c r="H835" s="17"/>
      <c r="I835" s="17"/>
      <c r="J835" s="17"/>
      <c r="K835" s="17"/>
      <c r="L835" s="17"/>
      <c r="M835" s="17"/>
      <c r="N835" s="17"/>
      <c r="O835" s="17"/>
      <c r="P835" s="17"/>
      <c r="Q835" s="17"/>
      <c r="R835" s="17"/>
      <c r="S835" s="17"/>
      <c r="T835" s="17"/>
      <c r="U835" s="17"/>
      <c r="V835" s="17"/>
      <c r="W835" s="17"/>
      <c r="X835" s="17"/>
      <c r="Y835" s="17"/>
      <c r="Z835" s="17"/>
      <c r="AA835" s="17"/>
      <c r="AB835" s="17"/>
      <c r="AC835" s="17"/>
      <c r="AD835" s="17"/>
      <c r="AE835" s="17"/>
      <c r="AF835" s="17"/>
      <c r="AG835" s="17"/>
      <c r="AH835" s="17"/>
      <c r="AI835" s="17"/>
      <c r="AJ835" s="17"/>
      <c r="AK835" s="17"/>
      <c r="AL835" s="17"/>
      <c r="AM835" s="17"/>
      <c r="AN835" s="17"/>
      <c r="AO835" s="17"/>
      <c r="AP835" s="1"/>
      <c r="AQ835" s="1"/>
    </row>
    <row r="836" spans="1:43" x14ac:dyDescent="0.35">
      <c r="A836" s="6"/>
      <c r="B836" s="13"/>
      <c r="C836" s="81"/>
      <c r="D836" s="4"/>
      <c r="E836" s="8"/>
      <c r="F836" s="17"/>
      <c r="G836" s="17"/>
      <c r="H836" s="17"/>
      <c r="I836" s="17"/>
      <c r="J836" s="17"/>
      <c r="K836" s="17"/>
      <c r="L836" s="17"/>
      <c r="M836" s="17"/>
      <c r="N836" s="17"/>
      <c r="O836" s="17"/>
      <c r="P836" s="17"/>
      <c r="Q836" s="17"/>
      <c r="R836" s="17"/>
      <c r="S836" s="17"/>
      <c r="T836" s="17"/>
      <c r="U836" s="17"/>
      <c r="V836" s="17"/>
      <c r="W836" s="17"/>
      <c r="X836" s="17"/>
      <c r="Y836" s="17"/>
      <c r="Z836" s="17"/>
      <c r="AA836" s="17"/>
      <c r="AB836" s="17"/>
      <c r="AC836" s="17"/>
      <c r="AD836" s="17"/>
      <c r="AE836" s="17"/>
      <c r="AF836" s="17"/>
      <c r="AG836" s="17"/>
      <c r="AH836" s="17"/>
      <c r="AI836" s="17"/>
      <c r="AJ836" s="17"/>
      <c r="AK836" s="17"/>
      <c r="AL836" s="17"/>
      <c r="AM836" s="17"/>
      <c r="AN836" s="17"/>
      <c r="AO836" s="17"/>
      <c r="AP836" s="1"/>
      <c r="AQ836" s="1"/>
    </row>
    <row r="837" spans="1:43" x14ac:dyDescent="0.35">
      <c r="A837" s="6"/>
      <c r="B837" s="13"/>
      <c r="C837" s="81"/>
      <c r="D837" s="4"/>
      <c r="E837" s="8"/>
      <c r="F837" s="17"/>
      <c r="G837" s="17"/>
      <c r="H837" s="17"/>
      <c r="I837" s="17"/>
      <c r="J837" s="17"/>
      <c r="K837" s="17"/>
      <c r="L837" s="17"/>
      <c r="M837" s="17"/>
      <c r="N837" s="17"/>
      <c r="O837" s="17"/>
      <c r="P837" s="17"/>
      <c r="Q837" s="17"/>
      <c r="R837" s="17"/>
      <c r="S837" s="17"/>
      <c r="T837" s="17"/>
      <c r="U837" s="17"/>
      <c r="V837" s="17"/>
      <c r="W837" s="17"/>
      <c r="X837" s="17"/>
      <c r="Y837" s="17"/>
      <c r="Z837" s="17"/>
      <c r="AA837" s="17"/>
      <c r="AB837" s="17"/>
      <c r="AC837" s="17"/>
      <c r="AD837" s="17"/>
      <c r="AE837" s="17"/>
      <c r="AF837" s="17"/>
      <c r="AG837" s="17"/>
      <c r="AH837" s="17"/>
      <c r="AI837" s="17"/>
      <c r="AJ837" s="17"/>
      <c r="AK837" s="17"/>
      <c r="AL837" s="17"/>
      <c r="AM837" s="17"/>
      <c r="AN837" s="17"/>
      <c r="AO837" s="17"/>
      <c r="AP837" s="1"/>
      <c r="AQ837" s="1"/>
    </row>
    <row r="838" spans="1:43" x14ac:dyDescent="0.35">
      <c r="A838" s="6"/>
      <c r="B838" s="13"/>
      <c r="C838" s="81"/>
      <c r="D838" s="4"/>
      <c r="E838" s="8"/>
      <c r="F838" s="17"/>
      <c r="G838" s="17"/>
      <c r="H838" s="17"/>
      <c r="I838" s="17"/>
      <c r="J838" s="17"/>
      <c r="K838" s="17"/>
      <c r="L838" s="17"/>
      <c r="M838" s="17"/>
      <c r="N838" s="17"/>
      <c r="O838" s="17"/>
      <c r="P838" s="17"/>
      <c r="Q838" s="17"/>
      <c r="R838" s="17"/>
      <c r="S838" s="17"/>
      <c r="T838" s="17"/>
      <c r="U838" s="17"/>
      <c r="V838" s="17"/>
      <c r="W838" s="17"/>
      <c r="X838" s="17"/>
      <c r="Y838" s="17"/>
      <c r="Z838" s="17"/>
      <c r="AA838" s="17"/>
      <c r="AB838" s="17"/>
      <c r="AC838" s="17"/>
      <c r="AD838" s="17"/>
      <c r="AE838" s="17"/>
      <c r="AF838" s="17"/>
      <c r="AG838" s="17"/>
      <c r="AH838" s="17"/>
      <c r="AI838" s="17"/>
      <c r="AJ838" s="17"/>
      <c r="AK838" s="17"/>
      <c r="AL838" s="17"/>
      <c r="AM838" s="17"/>
      <c r="AN838" s="17"/>
      <c r="AO838" s="17"/>
      <c r="AP838" s="1"/>
      <c r="AQ838" s="1"/>
    </row>
    <row r="839" spans="1:43" x14ac:dyDescent="0.35">
      <c r="A839" s="6"/>
      <c r="B839" s="13"/>
      <c r="C839" s="81"/>
      <c r="D839" s="4"/>
      <c r="E839" s="8"/>
      <c r="F839" s="17"/>
      <c r="G839" s="17"/>
      <c r="H839" s="17"/>
      <c r="I839" s="17"/>
      <c r="J839" s="17"/>
      <c r="K839" s="17"/>
      <c r="L839" s="17"/>
      <c r="M839" s="17"/>
      <c r="N839" s="17"/>
      <c r="O839" s="17"/>
      <c r="P839" s="17"/>
      <c r="Q839" s="17"/>
      <c r="R839" s="17"/>
      <c r="S839" s="17"/>
      <c r="T839" s="17"/>
      <c r="U839" s="17"/>
      <c r="V839" s="17"/>
      <c r="W839" s="17"/>
      <c r="X839" s="17"/>
      <c r="Y839" s="17"/>
      <c r="Z839" s="17"/>
      <c r="AA839" s="17"/>
      <c r="AB839" s="17"/>
      <c r="AC839" s="17"/>
      <c r="AD839" s="17"/>
      <c r="AE839" s="17"/>
      <c r="AF839" s="17"/>
      <c r="AG839" s="17"/>
      <c r="AH839" s="17"/>
      <c r="AI839" s="17"/>
      <c r="AJ839" s="17"/>
      <c r="AK839" s="17"/>
      <c r="AL839" s="17"/>
      <c r="AM839" s="17"/>
      <c r="AN839" s="17"/>
      <c r="AO839" s="17"/>
      <c r="AP839" s="1"/>
      <c r="AQ839" s="1"/>
    </row>
    <row r="840" spans="1:43" x14ac:dyDescent="0.35">
      <c r="A840" s="6"/>
      <c r="B840" s="13"/>
      <c r="C840" s="81"/>
      <c r="D840" s="4"/>
      <c r="E840" s="8"/>
      <c r="F840" s="17"/>
      <c r="G840" s="17"/>
      <c r="H840" s="17"/>
      <c r="I840" s="17"/>
      <c r="J840" s="17"/>
      <c r="K840" s="17"/>
      <c r="L840" s="17"/>
      <c r="M840" s="17"/>
      <c r="N840" s="17"/>
      <c r="O840" s="17"/>
      <c r="P840" s="17"/>
      <c r="Q840" s="17"/>
      <c r="R840" s="17"/>
      <c r="S840" s="17"/>
      <c r="T840" s="17"/>
      <c r="U840" s="17"/>
      <c r="V840" s="17"/>
      <c r="W840" s="17"/>
      <c r="X840" s="17"/>
      <c r="Y840" s="17"/>
      <c r="Z840" s="17"/>
      <c r="AA840" s="17"/>
      <c r="AB840" s="17"/>
      <c r="AC840" s="17"/>
      <c r="AD840" s="17"/>
      <c r="AE840" s="17"/>
      <c r="AF840" s="17"/>
      <c r="AG840" s="17"/>
      <c r="AH840" s="17"/>
      <c r="AI840" s="17"/>
      <c r="AJ840" s="17"/>
      <c r="AK840" s="17"/>
      <c r="AL840" s="17"/>
      <c r="AM840" s="17"/>
      <c r="AN840" s="17"/>
      <c r="AO840" s="17"/>
      <c r="AP840" s="1"/>
      <c r="AQ840" s="1"/>
    </row>
    <row r="841" spans="1:43" x14ac:dyDescent="0.35">
      <c r="A841" s="6"/>
      <c r="B841" s="13"/>
      <c r="C841" s="81"/>
      <c r="D841" s="4"/>
      <c r="E841" s="8"/>
      <c r="F841" s="17"/>
      <c r="G841" s="17"/>
      <c r="H841" s="17"/>
      <c r="I841" s="17"/>
      <c r="J841" s="17"/>
      <c r="K841" s="17"/>
      <c r="L841" s="17"/>
      <c r="M841" s="17"/>
      <c r="N841" s="17"/>
      <c r="O841" s="17"/>
      <c r="P841" s="17"/>
      <c r="Q841" s="17"/>
      <c r="R841" s="17"/>
      <c r="S841" s="17"/>
      <c r="T841" s="17"/>
      <c r="U841" s="17"/>
      <c r="V841" s="17"/>
      <c r="W841" s="17"/>
      <c r="X841" s="17"/>
      <c r="Y841" s="17"/>
      <c r="Z841" s="17"/>
      <c r="AA841" s="17"/>
      <c r="AB841" s="17"/>
      <c r="AC841" s="17"/>
      <c r="AD841" s="17"/>
      <c r="AE841" s="17"/>
      <c r="AF841" s="17"/>
      <c r="AG841" s="17"/>
      <c r="AH841" s="17"/>
      <c r="AI841" s="17"/>
      <c r="AJ841" s="17"/>
      <c r="AK841" s="17"/>
      <c r="AL841" s="17"/>
      <c r="AM841" s="17"/>
      <c r="AN841" s="17"/>
      <c r="AO841" s="17"/>
      <c r="AP841" s="1"/>
      <c r="AQ841" s="1"/>
    </row>
    <row r="842" spans="1:43" x14ac:dyDescent="0.35">
      <c r="A842" s="6"/>
      <c r="B842" s="13"/>
      <c r="C842" s="81"/>
      <c r="D842" s="4"/>
      <c r="E842" s="8"/>
      <c r="F842" s="17"/>
      <c r="G842" s="17"/>
      <c r="H842" s="17"/>
      <c r="I842" s="17"/>
      <c r="J842" s="17"/>
      <c r="K842" s="17"/>
      <c r="L842" s="17"/>
      <c r="M842" s="17"/>
      <c r="N842" s="17"/>
      <c r="O842" s="17"/>
      <c r="P842" s="17"/>
      <c r="Q842" s="17"/>
      <c r="R842" s="17"/>
      <c r="S842" s="17"/>
      <c r="T842" s="17"/>
      <c r="U842" s="17"/>
      <c r="V842" s="17"/>
      <c r="W842" s="17"/>
      <c r="X842" s="17"/>
      <c r="Y842" s="17"/>
      <c r="Z842" s="17"/>
      <c r="AA842" s="17"/>
      <c r="AB842" s="17"/>
      <c r="AC842" s="17"/>
      <c r="AD842" s="17"/>
      <c r="AE842" s="17"/>
      <c r="AF842" s="17"/>
      <c r="AG842" s="17"/>
      <c r="AH842" s="17"/>
      <c r="AI842" s="17"/>
      <c r="AJ842" s="17"/>
      <c r="AK842" s="17"/>
      <c r="AL842" s="17"/>
      <c r="AM842" s="17"/>
      <c r="AN842" s="17"/>
      <c r="AO842" s="17"/>
      <c r="AP842" s="1"/>
      <c r="AQ842" s="1"/>
    </row>
    <row r="843" spans="1:43" x14ac:dyDescent="0.35">
      <c r="A843" s="6"/>
      <c r="B843" s="13"/>
      <c r="C843" s="81"/>
      <c r="D843" s="4"/>
      <c r="E843" s="8"/>
      <c r="F843" s="17"/>
      <c r="G843" s="17"/>
      <c r="H843" s="17"/>
      <c r="I843" s="17"/>
      <c r="J843" s="17"/>
      <c r="K843" s="17"/>
      <c r="L843" s="17"/>
      <c r="M843" s="17"/>
      <c r="N843" s="17"/>
      <c r="O843" s="17"/>
      <c r="P843" s="17"/>
      <c r="Q843" s="17"/>
      <c r="R843" s="17"/>
      <c r="S843" s="17"/>
      <c r="T843" s="17"/>
      <c r="U843" s="17"/>
      <c r="V843" s="17"/>
      <c r="W843" s="17"/>
      <c r="X843" s="17"/>
      <c r="Y843" s="17"/>
      <c r="Z843" s="17"/>
      <c r="AA843" s="17"/>
      <c r="AB843" s="17"/>
      <c r="AC843" s="17"/>
      <c r="AD843" s="17"/>
      <c r="AE843" s="17"/>
      <c r="AF843" s="17"/>
      <c r="AG843" s="17"/>
      <c r="AH843" s="17"/>
      <c r="AI843" s="17"/>
      <c r="AJ843" s="17"/>
      <c r="AK843" s="17"/>
      <c r="AL843" s="17"/>
      <c r="AM843" s="17"/>
      <c r="AN843" s="17"/>
      <c r="AO843" s="17"/>
      <c r="AP843" s="1"/>
      <c r="AQ843" s="1"/>
    </row>
    <row r="844" spans="1:43" x14ac:dyDescent="0.35">
      <c r="A844" s="6"/>
      <c r="B844" s="13"/>
      <c r="C844" s="81"/>
      <c r="D844" s="4"/>
      <c r="E844" s="8"/>
      <c r="F844" s="17"/>
      <c r="G844" s="17"/>
      <c r="H844" s="17"/>
      <c r="I844" s="17"/>
      <c r="J844" s="17"/>
      <c r="K844" s="17"/>
      <c r="L844" s="17"/>
      <c r="M844" s="17"/>
      <c r="N844" s="17"/>
      <c r="O844" s="17"/>
      <c r="P844" s="17"/>
      <c r="Q844" s="17"/>
      <c r="R844" s="17"/>
      <c r="S844" s="17"/>
      <c r="T844" s="17"/>
      <c r="U844" s="17"/>
      <c r="V844" s="17"/>
      <c r="W844" s="17"/>
      <c r="X844" s="17"/>
      <c r="Y844" s="17"/>
      <c r="Z844" s="17"/>
      <c r="AA844" s="17"/>
      <c r="AB844" s="17"/>
      <c r="AC844" s="17"/>
      <c r="AD844" s="17"/>
      <c r="AE844" s="17"/>
      <c r="AF844" s="17"/>
      <c r="AG844" s="17"/>
      <c r="AH844" s="17"/>
      <c r="AI844" s="17"/>
      <c r="AJ844" s="17"/>
      <c r="AK844" s="17"/>
      <c r="AL844" s="17"/>
      <c r="AM844" s="17"/>
      <c r="AN844" s="17"/>
      <c r="AO844" s="17"/>
      <c r="AP844" s="1"/>
      <c r="AQ844" s="1"/>
    </row>
    <row r="845" spans="1:43" x14ac:dyDescent="0.35">
      <c r="A845" s="6"/>
      <c r="B845" s="13"/>
      <c r="C845" s="81"/>
      <c r="D845" s="4"/>
      <c r="E845" s="8"/>
      <c r="F845" s="17"/>
      <c r="G845" s="17"/>
      <c r="H845" s="17"/>
      <c r="I845" s="17"/>
      <c r="J845" s="17"/>
      <c r="K845" s="17"/>
      <c r="L845" s="17"/>
      <c r="M845" s="17"/>
      <c r="N845" s="17"/>
      <c r="O845" s="17"/>
      <c r="P845" s="17"/>
      <c r="Q845" s="17"/>
      <c r="R845" s="17"/>
      <c r="S845" s="17"/>
      <c r="T845" s="17"/>
      <c r="U845" s="17"/>
      <c r="V845" s="17"/>
      <c r="W845" s="17"/>
      <c r="X845" s="17"/>
      <c r="Y845" s="17"/>
      <c r="Z845" s="17"/>
      <c r="AA845" s="17"/>
      <c r="AB845" s="17"/>
      <c r="AC845" s="17"/>
      <c r="AD845" s="17"/>
      <c r="AE845" s="17"/>
      <c r="AF845" s="17"/>
      <c r="AG845" s="17"/>
      <c r="AH845" s="17"/>
      <c r="AI845" s="17"/>
      <c r="AJ845" s="17"/>
      <c r="AK845" s="17"/>
      <c r="AL845" s="17"/>
      <c r="AM845" s="17"/>
      <c r="AN845" s="17"/>
      <c r="AO845" s="17"/>
      <c r="AP845" s="1"/>
      <c r="AQ845" s="1"/>
    </row>
    <row r="846" spans="1:43" x14ac:dyDescent="0.35">
      <c r="A846" s="6"/>
      <c r="B846" s="13"/>
      <c r="C846" s="81"/>
      <c r="D846" s="4"/>
      <c r="E846" s="8"/>
      <c r="F846" s="17"/>
      <c r="G846" s="17"/>
      <c r="H846" s="17"/>
      <c r="I846" s="17"/>
      <c r="J846" s="17"/>
      <c r="K846" s="17"/>
      <c r="L846" s="17"/>
      <c r="M846" s="17"/>
      <c r="N846" s="17"/>
      <c r="O846" s="17"/>
      <c r="P846" s="17"/>
      <c r="Q846" s="17"/>
      <c r="R846" s="17"/>
      <c r="S846" s="17"/>
      <c r="T846" s="17"/>
      <c r="U846" s="17"/>
      <c r="V846" s="17"/>
      <c r="W846" s="17"/>
      <c r="X846" s="17"/>
      <c r="Y846" s="17"/>
      <c r="Z846" s="17"/>
      <c r="AA846" s="17"/>
      <c r="AB846" s="17"/>
      <c r="AC846" s="17"/>
      <c r="AD846" s="17"/>
      <c r="AE846" s="17"/>
      <c r="AF846" s="17"/>
      <c r="AG846" s="17"/>
      <c r="AH846" s="17"/>
      <c r="AI846" s="17"/>
      <c r="AJ846" s="17"/>
      <c r="AK846" s="17"/>
      <c r="AL846" s="17"/>
      <c r="AM846" s="17"/>
      <c r="AN846" s="17"/>
      <c r="AO846" s="17"/>
      <c r="AP846" s="1"/>
      <c r="AQ846" s="1"/>
    </row>
    <row r="847" spans="1:43" x14ac:dyDescent="0.35">
      <c r="A847" s="6"/>
      <c r="B847" s="13"/>
      <c r="C847" s="81"/>
      <c r="D847" s="4"/>
      <c r="E847" s="8"/>
      <c r="F847" s="17"/>
      <c r="G847" s="17"/>
      <c r="H847" s="17"/>
      <c r="I847" s="17"/>
      <c r="J847" s="17"/>
      <c r="K847" s="17"/>
      <c r="L847" s="17"/>
      <c r="M847" s="17"/>
      <c r="N847" s="17"/>
      <c r="O847" s="17"/>
      <c r="P847" s="17"/>
      <c r="Q847" s="17"/>
      <c r="R847" s="17"/>
      <c r="S847" s="17"/>
      <c r="T847" s="17"/>
      <c r="U847" s="17"/>
      <c r="V847" s="17"/>
      <c r="W847" s="17"/>
      <c r="X847" s="17"/>
      <c r="Y847" s="17"/>
      <c r="Z847" s="17"/>
      <c r="AA847" s="17"/>
      <c r="AB847" s="17"/>
      <c r="AC847" s="17"/>
      <c r="AD847" s="17"/>
      <c r="AE847" s="17"/>
      <c r="AF847" s="17"/>
      <c r="AG847" s="17"/>
      <c r="AH847" s="17"/>
      <c r="AI847" s="17"/>
      <c r="AJ847" s="17"/>
      <c r="AK847" s="17"/>
      <c r="AL847" s="17"/>
      <c r="AM847" s="17"/>
      <c r="AN847" s="17"/>
      <c r="AO847" s="17"/>
      <c r="AP847" s="1"/>
      <c r="AQ847" s="1"/>
    </row>
    <row r="848" spans="1:43" x14ac:dyDescent="0.35">
      <c r="A848" s="6"/>
      <c r="B848" s="13"/>
      <c r="C848" s="81"/>
      <c r="D848" s="4"/>
      <c r="E848" s="8"/>
      <c r="F848" s="17"/>
      <c r="G848" s="17"/>
      <c r="H848" s="17"/>
      <c r="I848" s="17"/>
      <c r="J848" s="17"/>
      <c r="K848" s="17"/>
      <c r="L848" s="17"/>
      <c r="M848" s="17"/>
      <c r="N848" s="17"/>
      <c r="O848" s="17"/>
      <c r="P848" s="17"/>
      <c r="Q848" s="17"/>
      <c r="R848" s="17"/>
      <c r="S848" s="17"/>
      <c r="T848" s="17"/>
      <c r="U848" s="17"/>
      <c r="V848" s="17"/>
      <c r="W848" s="17"/>
      <c r="X848" s="17"/>
      <c r="Y848" s="17"/>
      <c r="Z848" s="17"/>
      <c r="AA848" s="17"/>
      <c r="AB848" s="17"/>
      <c r="AC848" s="17"/>
      <c r="AD848" s="17"/>
      <c r="AE848" s="17"/>
      <c r="AF848" s="17"/>
      <c r="AG848" s="17"/>
      <c r="AH848" s="17"/>
      <c r="AI848" s="17"/>
      <c r="AJ848" s="17"/>
      <c r="AK848" s="17"/>
      <c r="AL848" s="17"/>
      <c r="AM848" s="17"/>
      <c r="AN848" s="17"/>
      <c r="AO848" s="17"/>
      <c r="AP848" s="1"/>
      <c r="AQ848" s="1"/>
    </row>
    <row r="849" spans="1:43" x14ac:dyDescent="0.35">
      <c r="A849" s="6"/>
      <c r="B849" s="13"/>
      <c r="C849" s="81"/>
      <c r="D849" s="4"/>
      <c r="E849" s="8"/>
      <c r="F849" s="17"/>
      <c r="G849" s="17"/>
      <c r="H849" s="17"/>
      <c r="I849" s="17"/>
      <c r="J849" s="17"/>
      <c r="K849" s="17"/>
      <c r="L849" s="17"/>
      <c r="M849" s="17"/>
      <c r="N849" s="17"/>
      <c r="O849" s="17"/>
      <c r="P849" s="17"/>
      <c r="Q849" s="17"/>
      <c r="R849" s="17"/>
      <c r="S849" s="17"/>
      <c r="T849" s="17"/>
      <c r="U849" s="17"/>
      <c r="V849" s="17"/>
      <c r="W849" s="17"/>
      <c r="X849" s="17"/>
      <c r="Y849" s="17"/>
      <c r="Z849" s="17"/>
      <c r="AA849" s="17"/>
      <c r="AB849" s="17"/>
      <c r="AC849" s="17"/>
      <c r="AD849" s="17"/>
      <c r="AE849" s="17"/>
      <c r="AF849" s="17"/>
      <c r="AG849" s="17"/>
      <c r="AH849" s="17"/>
      <c r="AI849" s="17"/>
      <c r="AJ849" s="17"/>
      <c r="AK849" s="17"/>
      <c r="AL849" s="17"/>
      <c r="AM849" s="17"/>
      <c r="AN849" s="17"/>
      <c r="AO849" s="17"/>
      <c r="AP849" s="1"/>
      <c r="AQ849" s="1"/>
    </row>
    <row r="850" spans="1:43" x14ac:dyDescent="0.35">
      <c r="A850" s="6"/>
      <c r="B850" s="13"/>
      <c r="C850" s="81"/>
      <c r="D850" s="4"/>
      <c r="E850" s="8"/>
      <c r="F850" s="17"/>
      <c r="G850" s="17"/>
      <c r="H850" s="17"/>
      <c r="I850" s="17"/>
      <c r="J850" s="17"/>
      <c r="K850" s="17"/>
      <c r="L850" s="17"/>
      <c r="M850" s="17"/>
      <c r="N850" s="17"/>
      <c r="O850" s="17"/>
      <c r="P850" s="17"/>
      <c r="Q850" s="17"/>
      <c r="R850" s="17"/>
      <c r="S850" s="17"/>
      <c r="T850" s="17"/>
      <c r="U850" s="17"/>
      <c r="V850" s="17"/>
      <c r="W850" s="17"/>
      <c r="X850" s="17"/>
      <c r="Y850" s="17"/>
      <c r="Z850" s="17"/>
      <c r="AA850" s="17"/>
      <c r="AB850" s="17"/>
      <c r="AC850" s="17"/>
      <c r="AD850" s="17"/>
      <c r="AE850" s="17"/>
      <c r="AF850" s="17"/>
      <c r="AG850" s="17"/>
      <c r="AH850" s="17"/>
      <c r="AI850" s="17"/>
      <c r="AJ850" s="17"/>
      <c r="AK850" s="17"/>
      <c r="AL850" s="17"/>
      <c r="AM850" s="17"/>
      <c r="AN850" s="17"/>
      <c r="AO850" s="17"/>
      <c r="AP850" s="1"/>
      <c r="AQ850" s="1"/>
    </row>
    <row r="851" spans="1:43" x14ac:dyDescent="0.35">
      <c r="A851" s="6"/>
      <c r="B851" s="13"/>
      <c r="C851" s="81"/>
      <c r="D851" s="4"/>
      <c r="E851" s="8"/>
      <c r="F851" s="17"/>
      <c r="G851" s="17"/>
      <c r="H851" s="17"/>
      <c r="I851" s="17"/>
      <c r="J851" s="17"/>
      <c r="K851" s="17"/>
      <c r="L851" s="17"/>
      <c r="M851" s="17"/>
      <c r="N851" s="17"/>
      <c r="O851" s="17"/>
      <c r="P851" s="17"/>
      <c r="Q851" s="17"/>
      <c r="R851" s="17"/>
      <c r="S851" s="17"/>
      <c r="T851" s="17"/>
      <c r="U851" s="17"/>
      <c r="V851" s="17"/>
      <c r="W851" s="17"/>
      <c r="X851" s="17"/>
      <c r="Y851" s="17"/>
      <c r="Z851" s="17"/>
      <c r="AA851" s="17"/>
      <c r="AB851" s="17"/>
      <c r="AC851" s="17"/>
      <c r="AD851" s="17"/>
      <c r="AE851" s="17"/>
      <c r="AF851" s="17"/>
      <c r="AG851" s="17"/>
      <c r="AH851" s="17"/>
      <c r="AI851" s="17"/>
      <c r="AJ851" s="17"/>
      <c r="AK851" s="17"/>
      <c r="AL851" s="17"/>
      <c r="AM851" s="17"/>
      <c r="AN851" s="17"/>
      <c r="AO851" s="17"/>
      <c r="AP851" s="1"/>
      <c r="AQ851" s="1"/>
    </row>
    <row r="852" spans="1:43" x14ac:dyDescent="0.35">
      <c r="A852" s="6"/>
      <c r="B852" s="13"/>
      <c r="C852" s="81"/>
      <c r="D852" s="4"/>
      <c r="E852" s="8"/>
      <c r="F852" s="17"/>
      <c r="G852" s="17"/>
      <c r="H852" s="17"/>
      <c r="I852" s="17"/>
      <c r="J852" s="17"/>
      <c r="K852" s="17"/>
      <c r="L852" s="17"/>
      <c r="M852" s="17"/>
      <c r="N852" s="17"/>
      <c r="O852" s="17"/>
      <c r="P852" s="17"/>
      <c r="Q852" s="17"/>
      <c r="R852" s="17"/>
      <c r="S852" s="17"/>
      <c r="T852" s="17"/>
      <c r="U852" s="17"/>
      <c r="V852" s="17"/>
      <c r="W852" s="17"/>
      <c r="X852" s="17"/>
      <c r="Y852" s="17"/>
      <c r="Z852" s="17"/>
      <c r="AA852" s="17"/>
      <c r="AB852" s="17"/>
      <c r="AC852" s="17"/>
      <c r="AD852" s="17"/>
      <c r="AE852" s="17"/>
      <c r="AF852" s="17"/>
      <c r="AG852" s="17"/>
      <c r="AH852" s="17"/>
      <c r="AI852" s="17"/>
      <c r="AJ852" s="17"/>
      <c r="AK852" s="17"/>
      <c r="AL852" s="17"/>
      <c r="AM852" s="17"/>
      <c r="AN852" s="17"/>
      <c r="AO852" s="17"/>
      <c r="AP852" s="1"/>
      <c r="AQ852" s="1"/>
    </row>
    <row r="853" spans="1:43" x14ac:dyDescent="0.35">
      <c r="A853" s="6"/>
      <c r="B853" s="13"/>
      <c r="C853" s="81"/>
      <c r="D853" s="4"/>
      <c r="E853" s="8"/>
      <c r="F853" s="17"/>
      <c r="G853" s="17"/>
      <c r="H853" s="17"/>
      <c r="I853" s="17"/>
      <c r="J853" s="17"/>
      <c r="K853" s="17"/>
      <c r="L853" s="17"/>
      <c r="M853" s="17"/>
      <c r="N853" s="17"/>
      <c r="O853" s="17"/>
      <c r="P853" s="17"/>
      <c r="Q853" s="17"/>
      <c r="R853" s="17"/>
      <c r="S853" s="17"/>
      <c r="T853" s="17"/>
      <c r="U853" s="17"/>
      <c r="V853" s="17"/>
      <c r="W853" s="17"/>
      <c r="X853" s="17"/>
      <c r="Y853" s="17"/>
      <c r="Z853" s="17"/>
      <c r="AA853" s="17"/>
      <c r="AB853" s="17"/>
      <c r="AC853" s="17"/>
      <c r="AD853" s="17"/>
      <c r="AE853" s="17"/>
      <c r="AF853" s="17"/>
      <c r="AG853" s="17"/>
      <c r="AH853" s="17"/>
      <c r="AI853" s="17"/>
      <c r="AJ853" s="17"/>
      <c r="AK853" s="17"/>
      <c r="AL853" s="17"/>
      <c r="AM853" s="17"/>
      <c r="AN853" s="17"/>
      <c r="AO853" s="17"/>
      <c r="AP853" s="1"/>
      <c r="AQ853" s="1"/>
    </row>
    <row r="854" spans="1:43" x14ac:dyDescent="0.35">
      <c r="A854" s="6"/>
      <c r="B854" s="13"/>
      <c r="C854" s="81"/>
      <c r="D854" s="4"/>
      <c r="E854" s="8"/>
      <c r="F854" s="17"/>
      <c r="G854" s="17"/>
      <c r="H854" s="17"/>
      <c r="I854" s="17"/>
      <c r="J854" s="17"/>
      <c r="K854" s="17"/>
      <c r="L854" s="17"/>
      <c r="M854" s="17"/>
      <c r="N854" s="17"/>
      <c r="O854" s="17"/>
      <c r="P854" s="17"/>
      <c r="Q854" s="17"/>
      <c r="R854" s="17"/>
      <c r="S854" s="17"/>
      <c r="T854" s="17"/>
      <c r="U854" s="17"/>
      <c r="V854" s="17"/>
      <c r="W854" s="17"/>
      <c r="X854" s="17"/>
      <c r="Y854" s="17"/>
      <c r="Z854" s="17"/>
      <c r="AA854" s="17"/>
      <c r="AB854" s="17"/>
      <c r="AC854" s="17"/>
      <c r="AD854" s="17"/>
      <c r="AE854" s="17"/>
      <c r="AF854" s="17"/>
      <c r="AG854" s="17"/>
      <c r="AH854" s="17"/>
      <c r="AI854" s="17"/>
      <c r="AJ854" s="17"/>
      <c r="AK854" s="17"/>
      <c r="AL854" s="17"/>
      <c r="AM854" s="17"/>
      <c r="AN854" s="17"/>
      <c r="AO854" s="17"/>
      <c r="AP854" s="1"/>
      <c r="AQ854" s="1"/>
    </row>
    <row r="855" spans="1:43" x14ac:dyDescent="0.35">
      <c r="A855" s="6"/>
      <c r="B855" s="13"/>
      <c r="C855" s="81"/>
      <c r="D855" s="4"/>
      <c r="E855" s="8"/>
      <c r="F855" s="17"/>
      <c r="G855" s="17"/>
      <c r="H855" s="17"/>
      <c r="I855" s="17"/>
      <c r="J855" s="17"/>
      <c r="K855" s="17"/>
      <c r="L855" s="17"/>
      <c r="M855" s="17"/>
      <c r="N855" s="17"/>
      <c r="O855" s="17"/>
      <c r="P855" s="17"/>
      <c r="Q855" s="17"/>
      <c r="R855" s="17"/>
      <c r="S855" s="17"/>
      <c r="T855" s="17"/>
      <c r="U855" s="17"/>
      <c r="V855" s="17"/>
      <c r="W855" s="17"/>
      <c r="X855" s="17"/>
      <c r="Y855" s="17"/>
      <c r="Z855" s="17"/>
      <c r="AA855" s="17"/>
      <c r="AB855" s="17"/>
      <c r="AC855" s="17"/>
      <c r="AD855" s="17"/>
      <c r="AE855" s="17"/>
      <c r="AF855" s="17"/>
      <c r="AG855" s="17"/>
      <c r="AH855" s="17"/>
      <c r="AI855" s="17"/>
      <c r="AJ855" s="17"/>
      <c r="AK855" s="17"/>
      <c r="AL855" s="17"/>
      <c r="AM855" s="17"/>
      <c r="AN855" s="17"/>
      <c r="AO855" s="17"/>
      <c r="AP855" s="1"/>
      <c r="AQ855" s="1"/>
    </row>
    <row r="856" spans="1:43" x14ac:dyDescent="0.35">
      <c r="A856" s="6"/>
      <c r="B856" s="13"/>
      <c r="C856" s="81"/>
      <c r="D856" s="4"/>
      <c r="E856" s="8"/>
      <c r="F856" s="17"/>
      <c r="G856" s="17"/>
      <c r="H856" s="17"/>
      <c r="I856" s="17"/>
      <c r="J856" s="17"/>
      <c r="K856" s="17"/>
      <c r="L856" s="17"/>
      <c r="M856" s="17"/>
      <c r="N856" s="17"/>
      <c r="O856" s="17"/>
      <c r="P856" s="17"/>
      <c r="Q856" s="17"/>
      <c r="R856" s="17"/>
      <c r="S856" s="17"/>
      <c r="T856" s="17"/>
      <c r="U856" s="17"/>
      <c r="V856" s="17"/>
      <c r="W856" s="17"/>
      <c r="X856" s="17"/>
      <c r="Y856" s="17"/>
      <c r="Z856" s="17"/>
      <c r="AA856" s="17"/>
      <c r="AB856" s="17"/>
      <c r="AC856" s="17"/>
      <c r="AD856" s="17"/>
      <c r="AE856" s="17"/>
      <c r="AF856" s="17"/>
      <c r="AG856" s="17"/>
      <c r="AH856" s="17"/>
      <c r="AI856" s="17"/>
      <c r="AJ856" s="17"/>
      <c r="AK856" s="17"/>
      <c r="AL856" s="17"/>
      <c r="AM856" s="17"/>
      <c r="AN856" s="17"/>
      <c r="AO856" s="17"/>
      <c r="AP856" s="1"/>
      <c r="AQ856" s="1"/>
    </row>
    <row r="857" spans="1:43" x14ac:dyDescent="0.35">
      <c r="A857" s="6"/>
      <c r="B857" s="13"/>
      <c r="C857" s="81"/>
      <c r="D857" s="4"/>
      <c r="E857" s="8"/>
      <c r="F857" s="17"/>
      <c r="G857" s="17"/>
      <c r="H857" s="17"/>
      <c r="I857" s="17"/>
      <c r="J857" s="17"/>
      <c r="K857" s="17"/>
      <c r="L857" s="17"/>
      <c r="M857" s="17"/>
      <c r="N857" s="17"/>
      <c r="O857" s="17"/>
      <c r="P857" s="17"/>
      <c r="Q857" s="17"/>
      <c r="R857" s="17"/>
      <c r="S857" s="17"/>
      <c r="T857" s="17"/>
      <c r="U857" s="17"/>
      <c r="V857" s="17"/>
      <c r="W857" s="17"/>
      <c r="X857" s="17"/>
      <c r="Y857" s="17"/>
      <c r="Z857" s="17"/>
      <c r="AA857" s="17"/>
      <c r="AB857" s="17"/>
      <c r="AC857" s="17"/>
      <c r="AD857" s="17"/>
      <c r="AE857" s="17"/>
      <c r="AF857" s="17"/>
      <c r="AG857" s="17"/>
      <c r="AH857" s="17"/>
      <c r="AI857" s="17"/>
      <c r="AJ857" s="17"/>
      <c r="AK857" s="17"/>
      <c r="AL857" s="17"/>
      <c r="AM857" s="17"/>
      <c r="AN857" s="17"/>
      <c r="AO857" s="17"/>
      <c r="AP857" s="1"/>
      <c r="AQ857" s="1"/>
    </row>
    <row r="858" spans="1:43" x14ac:dyDescent="0.35">
      <c r="A858" s="6"/>
      <c r="B858" s="13"/>
      <c r="C858" s="81"/>
      <c r="D858" s="4"/>
      <c r="E858" s="8"/>
      <c r="F858" s="17"/>
      <c r="G858" s="17"/>
      <c r="H858" s="17"/>
      <c r="I858" s="17"/>
      <c r="J858" s="17"/>
      <c r="K858" s="17"/>
      <c r="L858" s="17"/>
      <c r="M858" s="17"/>
      <c r="N858" s="17"/>
      <c r="O858" s="17"/>
      <c r="P858" s="17"/>
      <c r="Q858" s="17"/>
      <c r="R858" s="17"/>
      <c r="S858" s="17"/>
      <c r="T858" s="17"/>
      <c r="U858" s="17"/>
      <c r="V858" s="17"/>
      <c r="W858" s="17"/>
      <c r="X858" s="17"/>
      <c r="Y858" s="17"/>
      <c r="Z858" s="17"/>
      <c r="AA858" s="17"/>
      <c r="AB858" s="17"/>
      <c r="AC858" s="17"/>
      <c r="AD858" s="17"/>
      <c r="AE858" s="17"/>
      <c r="AF858" s="17"/>
      <c r="AG858" s="17"/>
      <c r="AH858" s="17"/>
      <c r="AI858" s="17"/>
      <c r="AJ858" s="17"/>
      <c r="AK858" s="17"/>
      <c r="AL858" s="17"/>
      <c r="AM858" s="17"/>
      <c r="AN858" s="17"/>
      <c r="AO858" s="17"/>
      <c r="AP858" s="1"/>
      <c r="AQ858" s="1"/>
    </row>
    <row r="859" spans="1:43" x14ac:dyDescent="0.35">
      <c r="A859" s="6"/>
      <c r="B859" s="13"/>
      <c r="C859" s="81"/>
      <c r="D859" s="4"/>
      <c r="E859" s="8"/>
      <c r="F859" s="17"/>
      <c r="G859" s="17"/>
      <c r="H859" s="17"/>
      <c r="I859" s="17"/>
      <c r="J859" s="17"/>
      <c r="K859" s="17"/>
      <c r="L859" s="17"/>
      <c r="M859" s="17"/>
      <c r="N859" s="17"/>
      <c r="O859" s="17"/>
      <c r="P859" s="17"/>
      <c r="Q859" s="17"/>
      <c r="R859" s="17"/>
      <c r="S859" s="17"/>
      <c r="T859" s="17"/>
      <c r="U859" s="17"/>
      <c r="V859" s="17"/>
      <c r="W859" s="17"/>
      <c r="X859" s="17"/>
      <c r="Y859" s="17"/>
      <c r="Z859" s="17"/>
      <c r="AA859" s="17"/>
      <c r="AB859" s="17"/>
      <c r="AC859" s="17"/>
      <c r="AD859" s="17"/>
      <c r="AE859" s="17"/>
      <c r="AF859" s="17"/>
      <c r="AG859" s="17"/>
      <c r="AH859" s="17"/>
      <c r="AI859" s="17"/>
      <c r="AJ859" s="17"/>
      <c r="AK859" s="17"/>
      <c r="AL859" s="17"/>
      <c r="AM859" s="17"/>
      <c r="AN859" s="17"/>
      <c r="AO859" s="17"/>
      <c r="AP859" s="1"/>
      <c r="AQ859" s="1"/>
    </row>
    <row r="860" spans="1:43" x14ac:dyDescent="0.35">
      <c r="A860" s="6"/>
      <c r="B860" s="13"/>
      <c r="C860" s="81"/>
      <c r="D860" s="4"/>
      <c r="E860" s="8"/>
      <c r="F860" s="17"/>
      <c r="G860" s="17"/>
      <c r="H860" s="17"/>
      <c r="I860" s="17"/>
      <c r="J860" s="17"/>
      <c r="K860" s="17"/>
      <c r="L860" s="17"/>
      <c r="M860" s="17"/>
      <c r="N860" s="17"/>
      <c r="O860" s="17"/>
      <c r="P860" s="17"/>
      <c r="Q860" s="17"/>
      <c r="R860" s="17"/>
      <c r="S860" s="17"/>
      <c r="T860" s="17"/>
      <c r="U860" s="17"/>
      <c r="V860" s="17"/>
      <c r="W860" s="17"/>
      <c r="X860" s="17"/>
      <c r="Y860" s="17"/>
      <c r="Z860" s="17"/>
      <c r="AA860" s="17"/>
      <c r="AB860" s="17"/>
      <c r="AC860" s="17"/>
      <c r="AD860" s="17"/>
      <c r="AE860" s="17"/>
      <c r="AF860" s="17"/>
      <c r="AG860" s="17"/>
      <c r="AH860" s="17"/>
      <c r="AI860" s="17"/>
      <c r="AJ860" s="17"/>
      <c r="AK860" s="17"/>
      <c r="AL860" s="17"/>
      <c r="AM860" s="17"/>
      <c r="AN860" s="17"/>
      <c r="AO860" s="17"/>
      <c r="AP860" s="1"/>
      <c r="AQ860" s="1"/>
    </row>
    <row r="861" spans="1:43" x14ac:dyDescent="0.35">
      <c r="A861" s="6"/>
      <c r="B861" s="13"/>
      <c r="C861" s="81"/>
      <c r="D861" s="4"/>
      <c r="E861" s="8"/>
      <c r="F861" s="17"/>
      <c r="G861" s="17"/>
      <c r="H861" s="17"/>
      <c r="I861" s="17"/>
      <c r="J861" s="17"/>
      <c r="K861" s="17"/>
      <c r="L861" s="17"/>
      <c r="M861" s="17"/>
      <c r="N861" s="17"/>
      <c r="O861" s="17"/>
      <c r="P861" s="17"/>
      <c r="Q861" s="17"/>
      <c r="R861" s="17"/>
      <c r="S861" s="17"/>
      <c r="T861" s="17"/>
      <c r="U861" s="17"/>
      <c r="V861" s="17"/>
      <c r="W861" s="17"/>
      <c r="X861" s="17"/>
      <c r="Y861" s="17"/>
      <c r="Z861" s="17"/>
      <c r="AA861" s="17"/>
      <c r="AB861" s="17"/>
      <c r="AC861" s="17"/>
      <c r="AD861" s="17"/>
      <c r="AE861" s="17"/>
      <c r="AF861" s="17"/>
      <c r="AG861" s="17"/>
      <c r="AH861" s="17"/>
      <c r="AI861" s="17"/>
      <c r="AJ861" s="17"/>
      <c r="AK861" s="17"/>
      <c r="AL861" s="17"/>
      <c r="AM861" s="17"/>
      <c r="AN861" s="17"/>
      <c r="AO861" s="17"/>
      <c r="AP861" s="1"/>
      <c r="AQ861" s="1"/>
    </row>
    <row r="862" spans="1:43" x14ac:dyDescent="0.35">
      <c r="A862" s="6"/>
      <c r="B862" s="13"/>
      <c r="C862" s="81"/>
      <c r="D862" s="4"/>
      <c r="E862" s="8"/>
      <c r="F862" s="17"/>
      <c r="G862" s="17"/>
      <c r="H862" s="17"/>
      <c r="I862" s="17"/>
      <c r="J862" s="17"/>
      <c r="K862" s="17"/>
      <c r="L862" s="17"/>
      <c r="M862" s="17"/>
      <c r="N862" s="17"/>
      <c r="O862" s="17"/>
      <c r="P862" s="17"/>
      <c r="Q862" s="17"/>
      <c r="R862" s="17"/>
      <c r="S862" s="17"/>
      <c r="T862" s="17"/>
      <c r="U862" s="17"/>
      <c r="V862" s="17"/>
      <c r="W862" s="17"/>
      <c r="X862" s="17"/>
      <c r="Y862" s="17"/>
      <c r="Z862" s="17"/>
      <c r="AA862" s="17"/>
      <c r="AB862" s="17"/>
      <c r="AC862" s="17"/>
      <c r="AD862" s="17"/>
      <c r="AE862" s="17"/>
      <c r="AF862" s="17"/>
      <c r="AG862" s="17"/>
      <c r="AH862" s="17"/>
      <c r="AI862" s="17"/>
      <c r="AJ862" s="17"/>
      <c r="AK862" s="17"/>
      <c r="AL862" s="17"/>
      <c r="AM862" s="17"/>
      <c r="AN862" s="17"/>
      <c r="AO862" s="17"/>
      <c r="AP862" s="1"/>
      <c r="AQ862" s="1"/>
    </row>
    <row r="863" spans="1:43" x14ac:dyDescent="0.35">
      <c r="A863" s="6"/>
      <c r="B863" s="13"/>
      <c r="C863" s="81"/>
      <c r="D863" s="4"/>
      <c r="E863" s="8"/>
      <c r="F863" s="17"/>
      <c r="G863" s="17"/>
      <c r="H863" s="17"/>
      <c r="I863" s="17"/>
      <c r="J863" s="17"/>
      <c r="K863" s="17"/>
      <c r="L863" s="17"/>
      <c r="M863" s="17"/>
      <c r="N863" s="17"/>
      <c r="O863" s="17"/>
      <c r="P863" s="17"/>
      <c r="Q863" s="17"/>
      <c r="R863" s="17"/>
      <c r="S863" s="17"/>
      <c r="T863" s="17"/>
      <c r="U863" s="17"/>
      <c r="V863" s="17"/>
      <c r="W863" s="17"/>
      <c r="X863" s="17"/>
      <c r="Y863" s="17"/>
      <c r="Z863" s="17"/>
      <c r="AA863" s="17"/>
      <c r="AB863" s="17"/>
      <c r="AC863" s="17"/>
      <c r="AD863" s="17"/>
      <c r="AE863" s="17"/>
      <c r="AF863" s="17"/>
      <c r="AG863" s="17"/>
      <c r="AH863" s="17"/>
      <c r="AI863" s="17"/>
      <c r="AJ863" s="17"/>
      <c r="AK863" s="17"/>
      <c r="AL863" s="17"/>
      <c r="AM863" s="17"/>
      <c r="AN863" s="17"/>
      <c r="AO863" s="17"/>
      <c r="AP863" s="1"/>
      <c r="AQ863" s="1"/>
    </row>
    <row r="864" spans="1:43" x14ac:dyDescent="0.35">
      <c r="A864" s="6"/>
      <c r="B864" s="13"/>
      <c r="C864" s="81"/>
      <c r="D864" s="4"/>
      <c r="E864" s="8"/>
      <c r="F864" s="17"/>
      <c r="G864" s="17"/>
      <c r="H864" s="17"/>
      <c r="I864" s="17"/>
      <c r="J864" s="17"/>
      <c r="K864" s="17"/>
      <c r="L864" s="17"/>
      <c r="M864" s="17"/>
      <c r="N864" s="17"/>
      <c r="O864" s="17"/>
      <c r="P864" s="17"/>
      <c r="Q864" s="17"/>
      <c r="R864" s="17"/>
      <c r="S864" s="17"/>
      <c r="T864" s="17"/>
      <c r="U864" s="17"/>
      <c r="V864" s="17"/>
      <c r="W864" s="17"/>
      <c r="X864" s="17"/>
      <c r="Y864" s="17"/>
      <c r="Z864" s="17"/>
      <c r="AA864" s="17"/>
      <c r="AB864" s="17"/>
      <c r="AC864" s="17"/>
      <c r="AD864" s="17"/>
      <c r="AE864" s="17"/>
      <c r="AF864" s="17"/>
      <c r="AG864" s="17"/>
      <c r="AH864" s="17"/>
      <c r="AI864" s="17"/>
      <c r="AJ864" s="17"/>
      <c r="AK864" s="17"/>
      <c r="AL864" s="17"/>
      <c r="AM864" s="17"/>
      <c r="AN864" s="17"/>
      <c r="AO864" s="17"/>
      <c r="AP864" s="1"/>
      <c r="AQ864" s="1"/>
    </row>
    <row r="865" spans="1:43" x14ac:dyDescent="0.35">
      <c r="A865" s="6"/>
      <c r="B865" s="13"/>
      <c r="C865" s="81"/>
      <c r="D865" s="4"/>
      <c r="E865" s="8"/>
      <c r="F865" s="17"/>
      <c r="G865" s="17"/>
      <c r="H865" s="17"/>
      <c r="I865" s="17"/>
      <c r="J865" s="17"/>
      <c r="K865" s="17"/>
      <c r="L865" s="17"/>
      <c r="M865" s="17"/>
      <c r="N865" s="17"/>
      <c r="O865" s="17"/>
      <c r="P865" s="17"/>
      <c r="Q865" s="17"/>
      <c r="R865" s="17"/>
      <c r="S865" s="17"/>
      <c r="T865" s="17"/>
      <c r="U865" s="17"/>
      <c r="V865" s="17"/>
      <c r="W865" s="17"/>
      <c r="X865" s="17"/>
      <c r="Y865" s="17"/>
      <c r="Z865" s="17"/>
      <c r="AA865" s="17"/>
      <c r="AB865" s="17"/>
      <c r="AC865" s="17"/>
      <c r="AD865" s="17"/>
      <c r="AE865" s="17"/>
      <c r="AF865" s="17"/>
      <c r="AG865" s="17"/>
      <c r="AH865" s="17"/>
      <c r="AI865" s="17"/>
      <c r="AJ865" s="17"/>
      <c r="AK865" s="17"/>
      <c r="AL865" s="17"/>
      <c r="AM865" s="17"/>
      <c r="AN865" s="17"/>
      <c r="AO865" s="17"/>
      <c r="AP865" s="1"/>
      <c r="AQ865" s="1"/>
    </row>
    <row r="866" spans="1:43" x14ac:dyDescent="0.35">
      <c r="A866" s="6"/>
      <c r="B866" s="13"/>
      <c r="C866" s="81"/>
      <c r="D866" s="4"/>
      <c r="E866" s="8"/>
      <c r="F866" s="17"/>
      <c r="G866" s="17"/>
      <c r="H866" s="17"/>
      <c r="I866" s="17"/>
      <c r="J866" s="17"/>
      <c r="K866" s="17"/>
      <c r="L866" s="17"/>
      <c r="M866" s="17"/>
      <c r="N866" s="17"/>
      <c r="O866" s="17"/>
      <c r="P866" s="17"/>
      <c r="Q866" s="17"/>
      <c r="R866" s="17"/>
      <c r="S866" s="17"/>
      <c r="T866" s="17"/>
      <c r="U866" s="17"/>
      <c r="V866" s="17"/>
      <c r="W866" s="17"/>
      <c r="X866" s="17"/>
      <c r="Y866" s="17"/>
      <c r="Z866" s="17"/>
      <c r="AA866" s="17"/>
      <c r="AB866" s="17"/>
      <c r="AC866" s="17"/>
      <c r="AD866" s="17"/>
      <c r="AE866" s="17"/>
      <c r="AF866" s="17"/>
      <c r="AG866" s="17"/>
      <c r="AH866" s="17"/>
      <c r="AI866" s="17"/>
      <c r="AJ866" s="17"/>
      <c r="AK866" s="17"/>
      <c r="AL866" s="17"/>
      <c r="AM866" s="17"/>
      <c r="AN866" s="17"/>
      <c r="AO866" s="17"/>
      <c r="AP866" s="1"/>
      <c r="AQ866" s="1"/>
    </row>
    <row r="867" spans="1:43" x14ac:dyDescent="0.35">
      <c r="A867" s="6"/>
      <c r="B867" s="13"/>
      <c r="C867" s="81"/>
      <c r="D867" s="4"/>
      <c r="E867" s="8"/>
      <c r="F867" s="17"/>
      <c r="G867" s="17"/>
      <c r="H867" s="17"/>
      <c r="I867" s="17"/>
      <c r="J867" s="17"/>
      <c r="K867" s="17"/>
      <c r="L867" s="17"/>
      <c r="M867" s="17"/>
      <c r="N867" s="17"/>
      <c r="O867" s="17"/>
      <c r="P867" s="17"/>
      <c r="Q867" s="17"/>
      <c r="R867" s="17"/>
      <c r="S867" s="17"/>
      <c r="T867" s="17"/>
      <c r="U867" s="17"/>
      <c r="V867" s="17"/>
      <c r="W867" s="17"/>
      <c r="X867" s="17"/>
      <c r="Y867" s="17"/>
      <c r="Z867" s="17"/>
      <c r="AA867" s="17"/>
      <c r="AB867" s="17"/>
      <c r="AC867" s="17"/>
      <c r="AD867" s="17"/>
      <c r="AE867" s="17"/>
      <c r="AF867" s="17"/>
      <c r="AG867" s="17"/>
      <c r="AH867" s="17"/>
      <c r="AI867" s="17"/>
      <c r="AJ867" s="17"/>
      <c r="AK867" s="17"/>
      <c r="AL867" s="17"/>
      <c r="AM867" s="17"/>
      <c r="AN867" s="17"/>
      <c r="AO867" s="17"/>
      <c r="AP867" s="1"/>
      <c r="AQ867" s="1"/>
    </row>
    <row r="868" spans="1:43" x14ac:dyDescent="0.35">
      <c r="A868" s="6"/>
      <c r="B868" s="13"/>
      <c r="C868" s="81"/>
      <c r="D868" s="4"/>
      <c r="E868" s="8"/>
      <c r="F868" s="17"/>
      <c r="G868" s="17"/>
      <c r="H868" s="17"/>
      <c r="I868" s="17"/>
      <c r="J868" s="17"/>
      <c r="K868" s="17"/>
      <c r="L868" s="17"/>
      <c r="M868" s="17"/>
      <c r="N868" s="17"/>
      <c r="O868" s="17"/>
      <c r="P868" s="17"/>
      <c r="Q868" s="17"/>
      <c r="R868" s="17"/>
      <c r="S868" s="17"/>
      <c r="T868" s="17"/>
      <c r="U868" s="17"/>
      <c r="V868" s="17"/>
      <c r="W868" s="17"/>
      <c r="X868" s="17"/>
      <c r="Y868" s="17"/>
      <c r="Z868" s="17"/>
      <c r="AA868" s="17"/>
      <c r="AB868" s="17"/>
      <c r="AC868" s="17"/>
      <c r="AD868" s="17"/>
      <c r="AE868" s="17"/>
      <c r="AF868" s="17"/>
      <c r="AG868" s="17"/>
      <c r="AH868" s="17"/>
      <c r="AI868" s="17"/>
      <c r="AJ868" s="17"/>
      <c r="AK868" s="17"/>
      <c r="AL868" s="17"/>
      <c r="AM868" s="17"/>
      <c r="AN868" s="17"/>
      <c r="AO868" s="17"/>
      <c r="AP868" s="1"/>
      <c r="AQ868" s="1"/>
    </row>
    <row r="869" spans="1:43" x14ac:dyDescent="0.35">
      <c r="A869" s="6"/>
      <c r="B869" s="13"/>
      <c r="C869" s="81"/>
      <c r="D869" s="4"/>
      <c r="E869" s="8"/>
      <c r="F869" s="17"/>
      <c r="G869" s="17"/>
      <c r="H869" s="17"/>
      <c r="I869" s="17"/>
      <c r="J869" s="17"/>
      <c r="K869" s="17"/>
      <c r="L869" s="17"/>
      <c r="M869" s="17"/>
      <c r="N869" s="17"/>
      <c r="O869" s="17"/>
      <c r="P869" s="17"/>
      <c r="Q869" s="17"/>
      <c r="R869" s="17"/>
      <c r="S869" s="17"/>
      <c r="T869" s="17"/>
      <c r="U869" s="17"/>
      <c r="V869" s="17"/>
      <c r="W869" s="17"/>
      <c r="X869" s="17"/>
      <c r="Y869" s="17"/>
      <c r="Z869" s="17"/>
      <c r="AA869" s="17"/>
      <c r="AB869" s="17"/>
      <c r="AC869" s="17"/>
      <c r="AD869" s="17"/>
      <c r="AE869" s="17"/>
      <c r="AF869" s="17"/>
      <c r="AG869" s="17"/>
      <c r="AH869" s="17"/>
      <c r="AI869" s="17"/>
      <c r="AJ869" s="17"/>
      <c r="AK869" s="17"/>
      <c r="AL869" s="17"/>
      <c r="AM869" s="17"/>
      <c r="AN869" s="17"/>
      <c r="AO869" s="17"/>
      <c r="AP869" s="1"/>
      <c r="AQ869" s="1"/>
    </row>
    <row r="870" spans="1:43" x14ac:dyDescent="0.35">
      <c r="A870" s="6"/>
      <c r="B870" s="13"/>
      <c r="C870" s="81"/>
      <c r="D870" s="4"/>
      <c r="E870" s="8"/>
      <c r="F870" s="17"/>
      <c r="G870" s="17"/>
      <c r="H870" s="17"/>
      <c r="I870" s="17"/>
      <c r="J870" s="17"/>
      <c r="K870" s="17"/>
      <c r="L870" s="17"/>
      <c r="M870" s="17"/>
      <c r="N870" s="17"/>
      <c r="O870" s="17"/>
      <c r="P870" s="17"/>
      <c r="Q870" s="17"/>
      <c r="R870" s="17"/>
      <c r="S870" s="17"/>
      <c r="T870" s="17"/>
      <c r="U870" s="17"/>
      <c r="V870" s="17"/>
      <c r="W870" s="17"/>
      <c r="X870" s="17"/>
      <c r="Y870" s="17"/>
      <c r="Z870" s="17"/>
      <c r="AA870" s="17"/>
      <c r="AB870" s="17"/>
      <c r="AC870" s="17"/>
      <c r="AD870" s="17"/>
      <c r="AE870" s="17"/>
      <c r="AF870" s="17"/>
      <c r="AG870" s="17"/>
      <c r="AH870" s="17"/>
      <c r="AI870" s="17"/>
      <c r="AJ870" s="17"/>
      <c r="AK870" s="17"/>
      <c r="AL870" s="17"/>
      <c r="AM870" s="17"/>
      <c r="AN870" s="17"/>
      <c r="AO870" s="17"/>
      <c r="AP870" s="1"/>
      <c r="AQ870" s="1"/>
    </row>
    <row r="871" spans="1:43" x14ac:dyDescent="0.35">
      <c r="A871" s="6"/>
      <c r="B871" s="13"/>
      <c r="C871" s="81"/>
      <c r="D871" s="4"/>
      <c r="E871" s="8"/>
      <c r="F871" s="17"/>
      <c r="G871" s="17"/>
      <c r="H871" s="17"/>
      <c r="I871" s="17"/>
      <c r="J871" s="17"/>
      <c r="K871" s="17"/>
      <c r="L871" s="17"/>
      <c r="M871" s="17"/>
      <c r="N871" s="17"/>
      <c r="O871" s="17"/>
      <c r="P871" s="17"/>
      <c r="Q871" s="17"/>
      <c r="R871" s="17"/>
      <c r="S871" s="17"/>
      <c r="T871" s="17"/>
      <c r="U871" s="17"/>
      <c r="V871" s="17"/>
      <c r="W871" s="17"/>
      <c r="X871" s="17"/>
      <c r="Y871" s="17"/>
      <c r="Z871" s="17"/>
      <c r="AA871" s="17"/>
      <c r="AB871" s="17"/>
      <c r="AC871" s="17"/>
      <c r="AD871" s="17"/>
      <c r="AE871" s="17"/>
      <c r="AF871" s="17"/>
      <c r="AG871" s="17"/>
      <c r="AH871" s="17"/>
      <c r="AI871" s="17"/>
      <c r="AJ871" s="17"/>
      <c r="AK871" s="17"/>
      <c r="AL871" s="17"/>
      <c r="AM871" s="17"/>
      <c r="AN871" s="17"/>
      <c r="AO871" s="17"/>
      <c r="AP871" s="1"/>
      <c r="AQ871" s="1"/>
    </row>
    <row r="872" spans="1:43" x14ac:dyDescent="0.35">
      <c r="A872" s="6"/>
      <c r="B872" s="13"/>
      <c r="C872" s="81"/>
      <c r="D872" s="4"/>
      <c r="E872" s="8"/>
      <c r="F872" s="17"/>
      <c r="G872" s="17"/>
      <c r="H872" s="17"/>
      <c r="I872" s="17"/>
      <c r="J872" s="17"/>
      <c r="K872" s="17"/>
      <c r="L872" s="17"/>
      <c r="M872" s="17"/>
      <c r="N872" s="17"/>
      <c r="O872" s="17"/>
      <c r="P872" s="17"/>
      <c r="Q872" s="17"/>
      <c r="R872" s="17"/>
      <c r="S872" s="17"/>
      <c r="T872" s="17"/>
      <c r="U872" s="17"/>
      <c r="V872" s="17"/>
      <c r="W872" s="17"/>
      <c r="X872" s="17"/>
      <c r="Y872" s="17"/>
      <c r="Z872" s="17"/>
      <c r="AA872" s="17"/>
      <c r="AB872" s="17"/>
      <c r="AC872" s="17"/>
      <c r="AD872" s="17"/>
      <c r="AE872" s="17"/>
      <c r="AF872" s="17"/>
      <c r="AG872" s="17"/>
      <c r="AH872" s="17"/>
      <c r="AI872" s="17"/>
      <c r="AJ872" s="17"/>
      <c r="AK872" s="17"/>
      <c r="AL872" s="17"/>
      <c r="AM872" s="17"/>
      <c r="AN872" s="17"/>
      <c r="AO872" s="17"/>
      <c r="AP872" s="1"/>
      <c r="AQ872" s="1"/>
    </row>
    <row r="873" spans="1:43" x14ac:dyDescent="0.35">
      <c r="A873" s="6"/>
      <c r="B873" s="13"/>
      <c r="C873" s="81"/>
      <c r="D873" s="4"/>
      <c r="E873" s="8"/>
      <c r="F873" s="17"/>
      <c r="G873" s="17"/>
      <c r="H873" s="17"/>
      <c r="I873" s="17"/>
      <c r="J873" s="17"/>
      <c r="K873" s="17"/>
      <c r="L873" s="17"/>
      <c r="M873" s="17"/>
      <c r="N873" s="17"/>
      <c r="O873" s="17"/>
      <c r="P873" s="17"/>
      <c r="Q873" s="17"/>
      <c r="R873" s="17"/>
      <c r="S873" s="17"/>
      <c r="T873" s="17"/>
      <c r="U873" s="17"/>
      <c r="V873" s="17"/>
      <c r="W873" s="17"/>
      <c r="X873" s="17"/>
      <c r="Y873" s="17"/>
      <c r="Z873" s="17"/>
      <c r="AA873" s="17"/>
      <c r="AB873" s="17"/>
      <c r="AC873" s="17"/>
      <c r="AD873" s="17"/>
      <c r="AE873" s="17"/>
      <c r="AF873" s="17"/>
      <c r="AG873" s="17"/>
      <c r="AH873" s="17"/>
      <c r="AI873" s="17"/>
      <c r="AJ873" s="17"/>
      <c r="AK873" s="17"/>
      <c r="AL873" s="17"/>
      <c r="AM873" s="17"/>
      <c r="AN873" s="17"/>
      <c r="AO873" s="17"/>
      <c r="AP873" s="1"/>
      <c r="AQ873" s="1"/>
    </row>
    <row r="874" spans="1:43" x14ac:dyDescent="0.35">
      <c r="A874" s="6"/>
      <c r="B874" s="13"/>
      <c r="C874" s="81"/>
      <c r="D874" s="4"/>
      <c r="E874" s="8"/>
      <c r="F874" s="17"/>
      <c r="G874" s="17"/>
      <c r="H874" s="17"/>
      <c r="I874" s="17"/>
      <c r="J874" s="17"/>
      <c r="K874" s="17"/>
      <c r="L874" s="17"/>
      <c r="M874" s="17"/>
      <c r="N874" s="17"/>
      <c r="O874" s="17"/>
      <c r="P874" s="17"/>
      <c r="Q874" s="17"/>
      <c r="R874" s="17"/>
      <c r="S874" s="17"/>
      <c r="T874" s="17"/>
      <c r="U874" s="17"/>
      <c r="V874" s="17"/>
      <c r="W874" s="17"/>
      <c r="X874" s="17"/>
      <c r="Y874" s="17"/>
      <c r="Z874" s="17"/>
      <c r="AA874" s="17"/>
      <c r="AB874" s="17"/>
      <c r="AC874" s="17"/>
      <c r="AD874" s="17"/>
      <c r="AE874" s="17"/>
      <c r="AF874" s="17"/>
      <c r="AG874" s="17"/>
      <c r="AH874" s="17"/>
      <c r="AI874" s="17"/>
      <c r="AJ874" s="17"/>
      <c r="AK874" s="17"/>
      <c r="AL874" s="17"/>
      <c r="AM874" s="17"/>
      <c r="AN874" s="17"/>
      <c r="AO874" s="17"/>
      <c r="AP874" s="1"/>
      <c r="AQ874" s="1"/>
    </row>
    <row r="875" spans="1:43" x14ac:dyDescent="0.35">
      <c r="A875" s="6"/>
      <c r="B875" s="13"/>
      <c r="C875" s="81"/>
      <c r="D875" s="4"/>
      <c r="E875" s="8"/>
      <c r="F875" s="17"/>
      <c r="G875" s="17"/>
      <c r="H875" s="17"/>
      <c r="I875" s="17"/>
      <c r="J875" s="17"/>
      <c r="K875" s="17"/>
      <c r="L875" s="17"/>
      <c r="M875" s="17"/>
      <c r="N875" s="17"/>
      <c r="O875" s="17"/>
      <c r="P875" s="17"/>
      <c r="Q875" s="17"/>
      <c r="R875" s="17"/>
      <c r="S875" s="17"/>
      <c r="T875" s="17"/>
      <c r="U875" s="17"/>
      <c r="V875" s="17"/>
      <c r="W875" s="17"/>
      <c r="X875" s="17"/>
      <c r="Y875" s="17"/>
      <c r="Z875" s="17"/>
      <c r="AA875" s="17"/>
      <c r="AB875" s="17"/>
      <c r="AC875" s="17"/>
      <c r="AD875" s="17"/>
      <c r="AE875" s="17"/>
      <c r="AF875" s="17"/>
      <c r="AG875" s="17"/>
      <c r="AH875" s="17"/>
      <c r="AI875" s="17"/>
      <c r="AJ875" s="17"/>
      <c r="AK875" s="17"/>
      <c r="AL875" s="17"/>
      <c r="AM875" s="17"/>
      <c r="AN875" s="17"/>
      <c r="AO875" s="17"/>
      <c r="AP875" s="1"/>
      <c r="AQ875" s="1"/>
    </row>
    <row r="876" spans="1:43" x14ac:dyDescent="0.35">
      <c r="A876" s="6"/>
      <c r="B876" s="13"/>
      <c r="C876" s="81"/>
      <c r="D876" s="4"/>
      <c r="E876" s="8"/>
      <c r="F876" s="17"/>
      <c r="G876" s="17"/>
      <c r="H876" s="17"/>
      <c r="I876" s="17"/>
      <c r="J876" s="17"/>
      <c r="K876" s="17"/>
      <c r="L876" s="17"/>
      <c r="M876" s="17"/>
      <c r="N876" s="17"/>
      <c r="O876" s="17"/>
      <c r="P876" s="17"/>
      <c r="Q876" s="17"/>
      <c r="R876" s="17"/>
      <c r="S876" s="17"/>
      <c r="T876" s="17"/>
      <c r="U876" s="17"/>
      <c r="V876" s="17"/>
      <c r="W876" s="17"/>
      <c r="X876" s="17"/>
      <c r="Y876" s="17"/>
      <c r="Z876" s="17"/>
      <c r="AA876" s="17"/>
      <c r="AB876" s="17"/>
      <c r="AC876" s="17"/>
      <c r="AD876" s="17"/>
      <c r="AE876" s="17"/>
      <c r="AF876" s="17"/>
      <c r="AG876" s="17"/>
      <c r="AH876" s="17"/>
      <c r="AI876" s="17"/>
      <c r="AJ876" s="17"/>
      <c r="AK876" s="17"/>
      <c r="AL876" s="17"/>
      <c r="AM876" s="17"/>
      <c r="AN876" s="17"/>
      <c r="AO876" s="17"/>
      <c r="AP876" s="1"/>
      <c r="AQ876" s="1"/>
    </row>
    <row r="877" spans="1:43" x14ac:dyDescent="0.35">
      <c r="A877" s="6"/>
      <c r="B877" s="13"/>
      <c r="C877" s="81"/>
      <c r="D877" s="4"/>
      <c r="E877" s="8"/>
      <c r="F877" s="17"/>
      <c r="G877" s="17"/>
      <c r="H877" s="17"/>
      <c r="I877" s="17"/>
      <c r="J877" s="17"/>
      <c r="K877" s="17"/>
      <c r="L877" s="17"/>
      <c r="M877" s="17"/>
      <c r="N877" s="17"/>
      <c r="O877" s="17"/>
      <c r="P877" s="17"/>
      <c r="Q877" s="17"/>
      <c r="R877" s="17"/>
      <c r="S877" s="17"/>
      <c r="T877" s="17"/>
      <c r="U877" s="17"/>
      <c r="V877" s="17"/>
      <c r="W877" s="17"/>
      <c r="X877" s="17"/>
      <c r="Y877" s="17"/>
      <c r="Z877" s="17"/>
      <c r="AA877" s="17"/>
      <c r="AB877" s="17"/>
      <c r="AC877" s="17"/>
      <c r="AD877" s="17"/>
      <c r="AE877" s="17"/>
      <c r="AF877" s="17"/>
      <c r="AG877" s="17"/>
      <c r="AH877" s="17"/>
      <c r="AI877" s="17"/>
      <c r="AJ877" s="17"/>
      <c r="AK877" s="17"/>
      <c r="AL877" s="17"/>
      <c r="AM877" s="17"/>
      <c r="AN877" s="17"/>
      <c r="AO877" s="17"/>
      <c r="AP877" s="1"/>
      <c r="AQ877" s="1"/>
    </row>
    <row r="878" spans="1:43" x14ac:dyDescent="0.35">
      <c r="A878" s="6"/>
      <c r="B878" s="13"/>
      <c r="C878" s="81"/>
      <c r="D878" s="4"/>
      <c r="E878" s="8"/>
      <c r="F878" s="17"/>
      <c r="G878" s="17"/>
      <c r="H878" s="17"/>
      <c r="I878" s="17"/>
      <c r="J878" s="17"/>
      <c r="K878" s="17"/>
      <c r="L878" s="17"/>
      <c r="M878" s="17"/>
      <c r="N878" s="17"/>
      <c r="O878" s="17"/>
      <c r="P878" s="17"/>
      <c r="Q878" s="17"/>
      <c r="R878" s="17"/>
      <c r="S878" s="17"/>
      <c r="T878" s="17"/>
      <c r="U878" s="17"/>
      <c r="V878" s="17"/>
      <c r="W878" s="17"/>
      <c r="X878" s="17"/>
      <c r="Y878" s="17"/>
      <c r="Z878" s="17"/>
      <c r="AA878" s="17"/>
      <c r="AB878" s="17"/>
      <c r="AC878" s="17"/>
      <c r="AD878" s="17"/>
      <c r="AE878" s="17"/>
      <c r="AF878" s="17"/>
      <c r="AG878" s="17"/>
      <c r="AH878" s="17"/>
      <c r="AI878" s="17"/>
      <c r="AJ878" s="17"/>
      <c r="AK878" s="17"/>
      <c r="AL878" s="17"/>
      <c r="AM878" s="17"/>
      <c r="AN878" s="17"/>
      <c r="AO878" s="17"/>
      <c r="AP878" s="1"/>
      <c r="AQ878" s="1"/>
    </row>
    <row r="879" spans="1:43" x14ac:dyDescent="0.35">
      <c r="A879" s="6"/>
      <c r="B879" s="13"/>
      <c r="C879" s="81"/>
      <c r="D879" s="4"/>
      <c r="E879" s="8"/>
      <c r="F879" s="17"/>
      <c r="G879" s="17"/>
      <c r="H879" s="17"/>
      <c r="I879" s="17"/>
      <c r="J879" s="17"/>
      <c r="K879" s="17"/>
      <c r="L879" s="17"/>
      <c r="M879" s="17"/>
      <c r="N879" s="17"/>
      <c r="O879" s="17"/>
      <c r="P879" s="17"/>
      <c r="Q879" s="17"/>
      <c r="R879" s="17"/>
      <c r="S879" s="17"/>
      <c r="T879" s="17"/>
      <c r="U879" s="17"/>
      <c r="V879" s="17"/>
      <c r="W879" s="17"/>
      <c r="X879" s="17"/>
      <c r="Y879" s="17"/>
      <c r="Z879" s="17"/>
      <c r="AA879" s="17"/>
      <c r="AB879" s="17"/>
      <c r="AC879" s="17"/>
      <c r="AD879" s="17"/>
      <c r="AE879" s="17"/>
      <c r="AF879" s="17"/>
      <c r="AG879" s="17"/>
      <c r="AH879" s="17"/>
      <c r="AI879" s="17"/>
      <c r="AJ879" s="17"/>
      <c r="AK879" s="17"/>
      <c r="AL879" s="17"/>
      <c r="AM879" s="17"/>
      <c r="AN879" s="17"/>
      <c r="AO879" s="17"/>
      <c r="AP879" s="1"/>
      <c r="AQ879" s="1"/>
    </row>
    <row r="880" spans="1:43" x14ac:dyDescent="0.35">
      <c r="A880" s="6"/>
      <c r="B880" s="13"/>
      <c r="C880" s="81"/>
      <c r="D880" s="4"/>
      <c r="E880" s="8"/>
      <c r="F880" s="17"/>
      <c r="G880" s="17"/>
      <c r="H880" s="17"/>
      <c r="I880" s="17"/>
      <c r="J880" s="17"/>
      <c r="K880" s="17"/>
      <c r="L880" s="17"/>
      <c r="M880" s="17"/>
      <c r="N880" s="17"/>
      <c r="O880" s="17"/>
      <c r="P880" s="17"/>
      <c r="Q880" s="17"/>
      <c r="R880" s="17"/>
      <c r="S880" s="17"/>
      <c r="T880" s="17"/>
      <c r="U880" s="17"/>
      <c r="V880" s="17"/>
      <c r="W880" s="17"/>
      <c r="X880" s="17"/>
      <c r="Y880" s="17"/>
      <c r="Z880" s="17"/>
      <c r="AA880" s="17"/>
      <c r="AB880" s="17"/>
      <c r="AC880" s="17"/>
      <c r="AD880" s="17"/>
      <c r="AE880" s="17"/>
      <c r="AF880" s="17"/>
      <c r="AG880" s="17"/>
      <c r="AH880" s="17"/>
      <c r="AI880" s="17"/>
      <c r="AJ880" s="17"/>
      <c r="AK880" s="17"/>
      <c r="AL880" s="17"/>
      <c r="AM880" s="17"/>
      <c r="AN880" s="17"/>
      <c r="AO880" s="17"/>
      <c r="AP880" s="1"/>
      <c r="AQ880" s="1"/>
    </row>
    <row r="881" spans="1:43" x14ac:dyDescent="0.35">
      <c r="A881" s="6"/>
      <c r="B881" s="13"/>
      <c r="C881" s="81"/>
      <c r="D881" s="4"/>
      <c r="E881" s="8"/>
      <c r="F881" s="17"/>
      <c r="G881" s="17"/>
      <c r="H881" s="17"/>
      <c r="I881" s="17"/>
      <c r="J881" s="17"/>
      <c r="K881" s="17"/>
      <c r="L881" s="17"/>
      <c r="M881" s="17"/>
      <c r="N881" s="17"/>
      <c r="O881" s="17"/>
      <c r="P881" s="17"/>
      <c r="Q881" s="17"/>
      <c r="R881" s="17"/>
      <c r="S881" s="17"/>
      <c r="T881" s="17"/>
      <c r="U881" s="17"/>
      <c r="V881" s="17"/>
      <c r="W881" s="17"/>
      <c r="X881" s="17"/>
      <c r="Y881" s="17"/>
      <c r="Z881" s="17"/>
      <c r="AA881" s="17"/>
      <c r="AB881" s="17"/>
      <c r="AC881" s="17"/>
      <c r="AD881" s="17"/>
      <c r="AE881" s="17"/>
      <c r="AF881" s="17"/>
      <c r="AG881" s="17"/>
      <c r="AH881" s="17"/>
      <c r="AI881" s="17"/>
      <c r="AJ881" s="17"/>
      <c r="AK881" s="17"/>
      <c r="AL881" s="17"/>
      <c r="AM881" s="17"/>
      <c r="AN881" s="17"/>
      <c r="AO881" s="17"/>
      <c r="AP881" s="1"/>
      <c r="AQ881" s="1"/>
    </row>
    <row r="882" spans="1:43" x14ac:dyDescent="0.35">
      <c r="A882" s="6"/>
      <c r="B882" s="13"/>
      <c r="C882" s="81"/>
      <c r="D882" s="4"/>
      <c r="E882" s="8"/>
      <c r="F882" s="17"/>
      <c r="G882" s="17"/>
      <c r="H882" s="17"/>
      <c r="I882" s="17"/>
      <c r="J882" s="17"/>
      <c r="K882" s="17"/>
      <c r="L882" s="17"/>
      <c r="M882" s="17"/>
      <c r="N882" s="17"/>
      <c r="O882" s="17"/>
      <c r="P882" s="17"/>
      <c r="Q882" s="17"/>
      <c r="R882" s="17"/>
      <c r="S882" s="17"/>
      <c r="T882" s="17"/>
      <c r="U882" s="17"/>
      <c r="V882" s="17"/>
      <c r="W882" s="17"/>
      <c r="X882" s="17"/>
      <c r="Y882" s="17"/>
      <c r="Z882" s="17"/>
      <c r="AA882" s="17"/>
      <c r="AB882" s="17"/>
      <c r="AC882" s="17"/>
      <c r="AD882" s="17"/>
      <c r="AE882" s="17"/>
      <c r="AF882" s="17"/>
      <c r="AG882" s="17"/>
      <c r="AH882" s="17"/>
      <c r="AI882" s="17"/>
      <c r="AJ882" s="17"/>
      <c r="AK882" s="17"/>
      <c r="AL882" s="17"/>
      <c r="AM882" s="17"/>
      <c r="AN882" s="17"/>
      <c r="AO882" s="17"/>
      <c r="AP882" s="1"/>
      <c r="AQ882" s="1"/>
    </row>
    <row r="883" spans="1:43" x14ac:dyDescent="0.35">
      <c r="A883" s="6"/>
      <c r="B883" s="13"/>
      <c r="C883" s="81"/>
      <c r="D883" s="4"/>
      <c r="E883" s="8"/>
      <c r="F883" s="17"/>
      <c r="G883" s="17"/>
      <c r="H883" s="17"/>
      <c r="I883" s="17"/>
      <c r="J883" s="17"/>
      <c r="K883" s="17"/>
      <c r="L883" s="17"/>
      <c r="M883" s="17"/>
      <c r="N883" s="17"/>
      <c r="O883" s="17"/>
      <c r="P883" s="17"/>
      <c r="Q883" s="17"/>
      <c r="R883" s="17"/>
      <c r="S883" s="17"/>
      <c r="T883" s="17"/>
      <c r="U883" s="17"/>
      <c r="V883" s="17"/>
      <c r="W883" s="17"/>
      <c r="X883" s="17"/>
      <c r="Y883" s="17"/>
      <c r="Z883" s="17"/>
      <c r="AA883" s="17"/>
      <c r="AB883" s="17"/>
      <c r="AC883" s="17"/>
      <c r="AD883" s="17"/>
      <c r="AE883" s="17"/>
      <c r="AF883" s="17"/>
      <c r="AG883" s="17"/>
      <c r="AH883" s="17"/>
      <c r="AI883" s="17"/>
      <c r="AJ883" s="17"/>
      <c r="AK883" s="17"/>
      <c r="AL883" s="17"/>
      <c r="AM883" s="17"/>
      <c r="AN883" s="17"/>
      <c r="AO883" s="17"/>
      <c r="AP883" s="1"/>
      <c r="AQ883" s="1"/>
    </row>
    <row r="884" spans="1:43" x14ac:dyDescent="0.35">
      <c r="A884" s="6"/>
      <c r="B884" s="13"/>
      <c r="C884" s="81"/>
      <c r="D884" s="4"/>
      <c r="E884" s="8"/>
      <c r="F884" s="17"/>
      <c r="G884" s="17"/>
      <c r="H884" s="17"/>
      <c r="I884" s="17"/>
      <c r="J884" s="17"/>
      <c r="K884" s="17"/>
      <c r="L884" s="17"/>
      <c r="M884" s="17"/>
      <c r="N884" s="17"/>
      <c r="O884" s="17"/>
      <c r="P884" s="17"/>
      <c r="Q884" s="17"/>
      <c r="R884" s="17"/>
      <c r="S884" s="17"/>
      <c r="T884" s="17"/>
      <c r="U884" s="17"/>
      <c r="V884" s="17"/>
      <c r="W884" s="17"/>
      <c r="X884" s="17"/>
      <c r="Y884" s="17"/>
      <c r="Z884" s="17"/>
      <c r="AA884" s="17"/>
      <c r="AB884" s="17"/>
      <c r="AC884" s="17"/>
      <c r="AD884" s="17"/>
      <c r="AE884" s="17"/>
      <c r="AF884" s="17"/>
      <c r="AG884" s="17"/>
      <c r="AH884" s="17"/>
      <c r="AI884" s="17"/>
      <c r="AJ884" s="17"/>
      <c r="AK884" s="17"/>
      <c r="AL884" s="17"/>
      <c r="AM884" s="17"/>
      <c r="AN884" s="17"/>
      <c r="AO884" s="17"/>
      <c r="AP884" s="1"/>
      <c r="AQ884" s="1"/>
    </row>
    <row r="885" spans="1:43" x14ac:dyDescent="0.35">
      <c r="A885" s="6"/>
      <c r="B885" s="13"/>
      <c r="C885" s="81"/>
      <c r="D885" s="4"/>
      <c r="E885" s="8"/>
      <c r="F885" s="17"/>
      <c r="G885" s="17"/>
      <c r="H885" s="17"/>
      <c r="I885" s="17"/>
      <c r="J885" s="17"/>
      <c r="K885" s="17"/>
      <c r="L885" s="17"/>
      <c r="M885" s="17"/>
      <c r="N885" s="17"/>
      <c r="O885" s="17"/>
      <c r="P885" s="17"/>
      <c r="Q885" s="17"/>
      <c r="R885" s="17"/>
      <c r="S885" s="17"/>
      <c r="T885" s="17"/>
      <c r="U885" s="17"/>
      <c r="V885" s="17"/>
      <c r="W885" s="17"/>
      <c r="X885" s="17"/>
      <c r="Y885" s="17"/>
      <c r="Z885" s="17"/>
      <c r="AA885" s="17"/>
      <c r="AB885" s="17"/>
      <c r="AC885" s="17"/>
      <c r="AD885" s="17"/>
      <c r="AE885" s="17"/>
      <c r="AF885" s="17"/>
      <c r="AG885" s="17"/>
      <c r="AH885" s="17"/>
      <c r="AI885" s="17"/>
      <c r="AJ885" s="17"/>
      <c r="AK885" s="17"/>
      <c r="AL885" s="17"/>
      <c r="AM885" s="17"/>
      <c r="AN885" s="17"/>
      <c r="AO885" s="17"/>
      <c r="AP885" s="1"/>
      <c r="AQ885" s="1"/>
    </row>
    <row r="886" spans="1:43" x14ac:dyDescent="0.35">
      <c r="A886" s="6"/>
      <c r="B886" s="13"/>
      <c r="C886" s="81"/>
      <c r="D886" s="4"/>
      <c r="E886" s="8"/>
      <c r="F886" s="17"/>
      <c r="G886" s="17"/>
      <c r="H886" s="17"/>
      <c r="I886" s="17"/>
      <c r="J886" s="17"/>
      <c r="K886" s="17"/>
      <c r="L886" s="17"/>
      <c r="M886" s="17"/>
      <c r="N886" s="17"/>
      <c r="O886" s="17"/>
      <c r="P886" s="17"/>
      <c r="Q886" s="17"/>
      <c r="R886" s="17"/>
      <c r="S886" s="17"/>
      <c r="T886" s="17"/>
      <c r="U886" s="17"/>
      <c r="V886" s="17"/>
      <c r="W886" s="17"/>
      <c r="X886" s="17"/>
      <c r="Y886" s="17"/>
      <c r="Z886" s="17"/>
      <c r="AA886" s="17"/>
      <c r="AB886" s="17"/>
      <c r="AC886" s="17"/>
      <c r="AD886" s="17"/>
      <c r="AE886" s="17"/>
      <c r="AF886" s="17"/>
      <c r="AG886" s="17"/>
      <c r="AH886" s="17"/>
      <c r="AI886" s="17"/>
      <c r="AJ886" s="17"/>
      <c r="AK886" s="17"/>
      <c r="AL886" s="17"/>
      <c r="AM886" s="17"/>
      <c r="AN886" s="17"/>
      <c r="AO886" s="17"/>
      <c r="AP886" s="1"/>
      <c r="AQ886" s="1"/>
    </row>
    <row r="887" spans="1:43" x14ac:dyDescent="0.35">
      <c r="A887" s="6"/>
      <c r="B887" s="13"/>
      <c r="C887" s="81"/>
      <c r="D887" s="4"/>
      <c r="E887" s="8"/>
      <c r="F887" s="17"/>
      <c r="G887" s="17"/>
      <c r="H887" s="17"/>
      <c r="I887" s="17"/>
      <c r="J887" s="17"/>
      <c r="K887" s="17"/>
      <c r="L887" s="17"/>
      <c r="M887" s="17"/>
      <c r="N887" s="17"/>
      <c r="O887" s="17"/>
      <c r="P887" s="17"/>
      <c r="Q887" s="17"/>
      <c r="R887" s="17"/>
      <c r="S887" s="17"/>
      <c r="T887" s="17"/>
      <c r="U887" s="17"/>
      <c r="V887" s="17"/>
      <c r="W887" s="17"/>
      <c r="X887" s="17"/>
      <c r="Y887" s="17"/>
      <c r="Z887" s="17"/>
      <c r="AA887" s="17"/>
      <c r="AB887" s="17"/>
      <c r="AC887" s="17"/>
      <c r="AD887" s="17"/>
      <c r="AE887" s="17"/>
      <c r="AF887" s="17"/>
      <c r="AG887" s="17"/>
      <c r="AH887" s="17"/>
      <c r="AI887" s="17"/>
      <c r="AJ887" s="17"/>
      <c r="AK887" s="17"/>
      <c r="AL887" s="17"/>
      <c r="AM887" s="17"/>
      <c r="AN887" s="17"/>
      <c r="AO887" s="17"/>
      <c r="AP887" s="1"/>
      <c r="AQ887" s="1"/>
    </row>
    <row r="888" spans="1:43" x14ac:dyDescent="0.35">
      <c r="A888" s="6"/>
      <c r="B888" s="13"/>
      <c r="C888" s="81"/>
      <c r="D888" s="4"/>
      <c r="E888" s="8"/>
      <c r="F888" s="17"/>
      <c r="G888" s="17"/>
      <c r="H888" s="17"/>
      <c r="I888" s="17"/>
      <c r="J888" s="17"/>
      <c r="K888" s="17"/>
      <c r="L888" s="17"/>
      <c r="M888" s="17"/>
      <c r="N888" s="17"/>
      <c r="O888" s="17"/>
      <c r="P888" s="17"/>
      <c r="Q888" s="17"/>
      <c r="R888" s="17"/>
      <c r="S888" s="17"/>
      <c r="T888" s="17"/>
      <c r="U888" s="17"/>
      <c r="V888" s="17"/>
      <c r="W888" s="17"/>
      <c r="X888" s="17"/>
      <c r="Y888" s="17"/>
      <c r="Z888" s="17"/>
      <c r="AA888" s="17"/>
      <c r="AB888" s="17"/>
      <c r="AC888" s="17"/>
      <c r="AD888" s="17"/>
      <c r="AE888" s="17"/>
      <c r="AF888" s="17"/>
      <c r="AG888" s="17"/>
      <c r="AH888" s="17"/>
      <c r="AI888" s="17"/>
      <c r="AJ888" s="17"/>
      <c r="AK888" s="17"/>
      <c r="AL888" s="17"/>
      <c r="AM888" s="17"/>
      <c r="AN888" s="17"/>
      <c r="AO888" s="17"/>
      <c r="AP888" s="1"/>
      <c r="AQ888" s="1"/>
    </row>
    <row r="889" spans="1:43" x14ac:dyDescent="0.35">
      <c r="A889" s="6"/>
      <c r="B889" s="13"/>
      <c r="C889" s="81"/>
      <c r="D889" s="4"/>
      <c r="E889" s="8"/>
      <c r="F889" s="17"/>
      <c r="G889" s="17"/>
      <c r="H889" s="17"/>
      <c r="I889" s="17"/>
      <c r="J889" s="17"/>
      <c r="K889" s="17"/>
      <c r="L889" s="17"/>
      <c r="M889" s="17"/>
      <c r="N889" s="17"/>
      <c r="O889" s="17"/>
      <c r="P889" s="17"/>
      <c r="Q889" s="17"/>
      <c r="R889" s="17"/>
      <c r="S889" s="17"/>
      <c r="T889" s="17"/>
      <c r="U889" s="17"/>
      <c r="V889" s="17"/>
      <c r="W889" s="17"/>
      <c r="X889" s="17"/>
      <c r="Y889" s="17"/>
      <c r="Z889" s="17"/>
      <c r="AA889" s="17"/>
      <c r="AB889" s="17"/>
      <c r="AC889" s="17"/>
      <c r="AD889" s="17"/>
      <c r="AE889" s="17"/>
      <c r="AF889" s="17"/>
      <c r="AG889" s="17"/>
      <c r="AH889" s="17"/>
      <c r="AI889" s="17"/>
      <c r="AJ889" s="17"/>
      <c r="AK889" s="17"/>
      <c r="AL889" s="17"/>
      <c r="AM889" s="17"/>
      <c r="AN889" s="17"/>
      <c r="AO889" s="17"/>
      <c r="AP889" s="1"/>
      <c r="AQ889" s="1"/>
    </row>
    <row r="890" spans="1:43" x14ac:dyDescent="0.35">
      <c r="A890" s="6"/>
      <c r="B890" s="13"/>
      <c r="C890" s="81"/>
      <c r="D890" s="4"/>
      <c r="E890" s="8"/>
      <c r="F890" s="17"/>
      <c r="G890" s="17"/>
      <c r="H890" s="17"/>
      <c r="I890" s="17"/>
      <c r="J890" s="17"/>
      <c r="K890" s="17"/>
      <c r="L890" s="17"/>
      <c r="M890" s="17"/>
      <c r="N890" s="17"/>
      <c r="O890" s="17"/>
      <c r="P890" s="17"/>
      <c r="Q890" s="17"/>
      <c r="R890" s="17"/>
      <c r="S890" s="17"/>
      <c r="T890" s="17"/>
      <c r="U890" s="17"/>
      <c r="V890" s="17"/>
      <c r="W890" s="17"/>
      <c r="X890" s="17"/>
      <c r="Y890" s="17"/>
      <c r="Z890" s="17"/>
      <c r="AA890" s="17"/>
      <c r="AB890" s="17"/>
      <c r="AC890" s="17"/>
      <c r="AD890" s="17"/>
      <c r="AE890" s="17"/>
      <c r="AF890" s="17"/>
      <c r="AG890" s="17"/>
      <c r="AH890" s="17"/>
      <c r="AI890" s="17"/>
      <c r="AJ890" s="17"/>
      <c r="AK890" s="17"/>
      <c r="AL890" s="17"/>
      <c r="AM890" s="17"/>
      <c r="AN890" s="17"/>
      <c r="AO890" s="17"/>
      <c r="AP890" s="1"/>
      <c r="AQ890" s="1"/>
    </row>
    <row r="891" spans="1:43" x14ac:dyDescent="0.35">
      <c r="A891" s="6"/>
      <c r="B891" s="13"/>
      <c r="C891" s="81"/>
      <c r="D891" s="4"/>
      <c r="E891" s="8"/>
      <c r="F891" s="17"/>
      <c r="G891" s="17"/>
      <c r="H891" s="17"/>
      <c r="I891" s="17"/>
      <c r="J891" s="17"/>
      <c r="K891" s="17"/>
      <c r="L891" s="17"/>
      <c r="M891" s="17"/>
      <c r="N891" s="17"/>
      <c r="O891" s="17"/>
      <c r="P891" s="17"/>
      <c r="Q891" s="17"/>
      <c r="R891" s="17"/>
      <c r="S891" s="17"/>
      <c r="T891" s="17"/>
      <c r="U891" s="17"/>
      <c r="V891" s="17"/>
      <c r="W891" s="17"/>
      <c r="X891" s="17"/>
      <c r="Y891" s="17"/>
      <c r="Z891" s="17"/>
      <c r="AA891" s="17"/>
      <c r="AB891" s="17"/>
      <c r="AC891" s="17"/>
      <c r="AD891" s="17"/>
      <c r="AE891" s="17"/>
      <c r="AF891" s="17"/>
      <c r="AG891" s="17"/>
      <c r="AH891" s="17"/>
      <c r="AI891" s="17"/>
      <c r="AJ891" s="17"/>
      <c r="AK891" s="17"/>
      <c r="AL891" s="17"/>
      <c r="AM891" s="17"/>
      <c r="AN891" s="17"/>
      <c r="AO891" s="17"/>
      <c r="AP891" s="1"/>
      <c r="AQ891" s="1"/>
    </row>
    <row r="892" spans="1:43" x14ac:dyDescent="0.35">
      <c r="A892" s="6"/>
      <c r="B892" s="13"/>
      <c r="C892" s="81"/>
      <c r="D892" s="4"/>
      <c r="E892" s="8"/>
      <c r="F892" s="17"/>
      <c r="G892" s="17"/>
      <c r="H892" s="17"/>
      <c r="I892" s="17"/>
      <c r="J892" s="17"/>
      <c r="K892" s="17"/>
      <c r="L892" s="17"/>
      <c r="M892" s="17"/>
      <c r="N892" s="17"/>
      <c r="O892" s="17"/>
      <c r="P892" s="17"/>
      <c r="Q892" s="17"/>
      <c r="R892" s="17"/>
      <c r="S892" s="17"/>
      <c r="T892" s="17"/>
      <c r="U892" s="17"/>
      <c r="V892" s="17"/>
      <c r="W892" s="17"/>
      <c r="X892" s="17"/>
      <c r="Y892" s="17"/>
      <c r="Z892" s="17"/>
      <c r="AA892" s="17"/>
      <c r="AB892" s="17"/>
      <c r="AC892" s="17"/>
      <c r="AD892" s="17"/>
      <c r="AE892" s="17"/>
      <c r="AF892" s="17"/>
      <c r="AG892" s="17"/>
      <c r="AH892" s="17"/>
      <c r="AI892" s="17"/>
      <c r="AJ892" s="17"/>
      <c r="AK892" s="17"/>
      <c r="AL892" s="17"/>
      <c r="AM892" s="17"/>
      <c r="AN892" s="17"/>
      <c r="AO892" s="17"/>
      <c r="AP892" s="1"/>
      <c r="AQ892" s="1"/>
    </row>
    <row r="893" spans="1:43" x14ac:dyDescent="0.35">
      <c r="A893" s="6"/>
      <c r="B893" s="13"/>
      <c r="C893" s="81"/>
      <c r="D893" s="4"/>
      <c r="E893" s="8"/>
      <c r="F893" s="17"/>
      <c r="G893" s="17"/>
      <c r="H893" s="17"/>
      <c r="I893" s="17"/>
      <c r="J893" s="17"/>
      <c r="K893" s="17"/>
      <c r="L893" s="17"/>
      <c r="M893" s="17"/>
      <c r="N893" s="17"/>
      <c r="O893" s="17"/>
      <c r="P893" s="17"/>
      <c r="Q893" s="17"/>
      <c r="R893" s="17"/>
      <c r="S893" s="17"/>
      <c r="T893" s="17"/>
      <c r="U893" s="17"/>
      <c r="V893" s="17"/>
      <c r="W893" s="17"/>
      <c r="X893" s="17"/>
      <c r="Y893" s="17"/>
      <c r="Z893" s="17"/>
      <c r="AA893" s="17"/>
      <c r="AB893" s="17"/>
      <c r="AC893" s="17"/>
      <c r="AD893" s="17"/>
      <c r="AE893" s="17"/>
      <c r="AF893" s="17"/>
      <c r="AG893" s="17"/>
      <c r="AH893" s="17"/>
      <c r="AI893" s="17"/>
      <c r="AJ893" s="17"/>
      <c r="AK893" s="17"/>
      <c r="AL893" s="17"/>
      <c r="AM893" s="17"/>
      <c r="AN893" s="17"/>
      <c r="AO893" s="17"/>
      <c r="AP893" s="1"/>
      <c r="AQ893" s="1"/>
    </row>
    <row r="894" spans="1:43" x14ac:dyDescent="0.35">
      <c r="A894" s="6"/>
      <c r="B894" s="13"/>
      <c r="C894" s="81"/>
      <c r="D894" s="4"/>
      <c r="E894" s="8"/>
      <c r="F894" s="17"/>
      <c r="G894" s="17"/>
      <c r="H894" s="17"/>
      <c r="I894" s="17"/>
      <c r="J894" s="17"/>
      <c r="K894" s="17"/>
      <c r="L894" s="17"/>
      <c r="M894" s="17"/>
      <c r="N894" s="17"/>
      <c r="O894" s="17"/>
      <c r="P894" s="17"/>
      <c r="Q894" s="17"/>
      <c r="R894" s="17"/>
      <c r="S894" s="17"/>
      <c r="T894" s="17"/>
      <c r="U894" s="17"/>
      <c r="V894" s="17"/>
      <c r="W894" s="17"/>
      <c r="X894" s="17"/>
      <c r="Y894" s="17"/>
      <c r="Z894" s="17"/>
      <c r="AA894" s="17"/>
      <c r="AB894" s="17"/>
      <c r="AC894" s="17"/>
      <c r="AD894" s="17"/>
      <c r="AE894" s="17"/>
      <c r="AF894" s="17"/>
      <c r="AG894" s="17"/>
      <c r="AH894" s="17"/>
      <c r="AI894" s="17"/>
      <c r="AJ894" s="17"/>
      <c r="AK894" s="17"/>
      <c r="AL894" s="17"/>
      <c r="AM894" s="17"/>
      <c r="AN894" s="17"/>
      <c r="AO894" s="17"/>
      <c r="AP894" s="1"/>
      <c r="AQ894" s="1"/>
    </row>
    <row r="895" spans="1:43" x14ac:dyDescent="0.35">
      <c r="A895" s="6"/>
      <c r="B895" s="13"/>
      <c r="C895" s="81"/>
      <c r="D895" s="4"/>
      <c r="E895" s="8"/>
      <c r="F895" s="17"/>
      <c r="G895" s="17"/>
      <c r="H895" s="17"/>
      <c r="I895" s="17"/>
      <c r="J895" s="17"/>
      <c r="K895" s="17"/>
      <c r="L895" s="17"/>
      <c r="M895" s="17"/>
      <c r="N895" s="17"/>
      <c r="O895" s="17"/>
      <c r="P895" s="17"/>
      <c r="Q895" s="17"/>
      <c r="R895" s="17"/>
      <c r="S895" s="17"/>
      <c r="T895" s="17"/>
      <c r="U895" s="17"/>
      <c r="V895" s="17"/>
      <c r="W895" s="17"/>
      <c r="X895" s="17"/>
      <c r="Y895" s="17"/>
      <c r="Z895" s="17"/>
      <c r="AA895" s="17"/>
      <c r="AB895" s="17"/>
      <c r="AC895" s="17"/>
      <c r="AD895" s="17"/>
      <c r="AE895" s="17"/>
      <c r="AF895" s="17"/>
      <c r="AG895" s="17"/>
      <c r="AH895" s="17"/>
      <c r="AI895" s="17"/>
      <c r="AJ895" s="17"/>
      <c r="AK895" s="17"/>
      <c r="AL895" s="17"/>
      <c r="AM895" s="17"/>
      <c r="AN895" s="17"/>
      <c r="AO895" s="17"/>
      <c r="AP895" s="1"/>
      <c r="AQ895" s="1"/>
    </row>
    <row r="896" spans="1:43" x14ac:dyDescent="0.35">
      <c r="A896" s="6"/>
      <c r="B896" s="13"/>
      <c r="C896" s="81"/>
      <c r="D896" s="4"/>
      <c r="E896" s="8"/>
      <c r="F896" s="17"/>
      <c r="G896" s="17"/>
      <c r="H896" s="17"/>
      <c r="I896" s="17"/>
      <c r="J896" s="17"/>
      <c r="K896" s="17"/>
      <c r="L896" s="17"/>
      <c r="M896" s="17"/>
      <c r="N896" s="17"/>
      <c r="O896" s="17"/>
      <c r="P896" s="17"/>
      <c r="Q896" s="17"/>
      <c r="R896" s="17"/>
      <c r="S896" s="17"/>
      <c r="T896" s="17"/>
      <c r="U896" s="17"/>
      <c r="V896" s="17"/>
      <c r="W896" s="17"/>
      <c r="X896" s="17"/>
      <c r="Y896" s="17"/>
      <c r="Z896" s="17"/>
      <c r="AA896" s="17"/>
      <c r="AB896" s="17"/>
      <c r="AC896" s="17"/>
      <c r="AD896" s="17"/>
      <c r="AE896" s="17"/>
      <c r="AF896" s="17"/>
      <c r="AG896" s="17"/>
      <c r="AH896" s="17"/>
      <c r="AI896" s="17"/>
      <c r="AJ896" s="17"/>
      <c r="AK896" s="17"/>
      <c r="AL896" s="17"/>
      <c r="AM896" s="17"/>
      <c r="AN896" s="17"/>
      <c r="AO896" s="17"/>
      <c r="AP896" s="1"/>
      <c r="AQ896" s="1"/>
    </row>
    <row r="897" spans="1:43" x14ac:dyDescent="0.35">
      <c r="A897" s="6"/>
      <c r="B897" s="13"/>
      <c r="C897" s="81"/>
      <c r="D897" s="4"/>
      <c r="E897" s="8"/>
      <c r="F897" s="17"/>
      <c r="G897" s="17"/>
      <c r="H897" s="17"/>
      <c r="I897" s="17"/>
      <c r="J897" s="17"/>
      <c r="K897" s="17"/>
      <c r="L897" s="17"/>
      <c r="M897" s="17"/>
      <c r="N897" s="17"/>
      <c r="O897" s="17"/>
      <c r="P897" s="17"/>
      <c r="Q897" s="17"/>
      <c r="R897" s="17"/>
      <c r="S897" s="17"/>
      <c r="T897" s="17"/>
      <c r="U897" s="17"/>
      <c r="V897" s="17"/>
      <c r="W897" s="17"/>
      <c r="X897" s="17"/>
      <c r="Y897" s="17"/>
      <c r="Z897" s="17"/>
      <c r="AA897" s="17"/>
      <c r="AB897" s="17"/>
      <c r="AC897" s="17"/>
      <c r="AD897" s="17"/>
      <c r="AE897" s="17"/>
      <c r="AF897" s="17"/>
      <c r="AG897" s="17"/>
      <c r="AH897" s="17"/>
      <c r="AI897" s="17"/>
      <c r="AJ897" s="17"/>
      <c r="AK897" s="17"/>
      <c r="AL897" s="17"/>
      <c r="AM897" s="17"/>
      <c r="AN897" s="17"/>
      <c r="AO897" s="17"/>
      <c r="AP897" s="1"/>
      <c r="AQ897" s="1"/>
    </row>
    <row r="898" spans="1:43" x14ac:dyDescent="0.35">
      <c r="A898" s="6"/>
      <c r="B898" s="13"/>
      <c r="C898" s="81"/>
      <c r="D898" s="4"/>
      <c r="E898" s="8"/>
      <c r="F898" s="17"/>
      <c r="G898" s="17"/>
      <c r="H898" s="17"/>
      <c r="I898" s="17"/>
      <c r="J898" s="17"/>
      <c r="K898" s="17"/>
      <c r="L898" s="17"/>
      <c r="M898" s="17"/>
      <c r="N898" s="17"/>
      <c r="O898" s="17"/>
      <c r="P898" s="17"/>
      <c r="Q898" s="17"/>
      <c r="R898" s="17"/>
      <c r="S898" s="17"/>
      <c r="T898" s="17"/>
      <c r="U898" s="17"/>
      <c r="V898" s="17"/>
      <c r="W898" s="17"/>
      <c r="X898" s="17"/>
      <c r="Y898" s="17"/>
      <c r="Z898" s="17"/>
      <c r="AA898" s="17"/>
      <c r="AB898" s="17"/>
      <c r="AC898" s="17"/>
      <c r="AD898" s="17"/>
      <c r="AE898" s="17"/>
      <c r="AF898" s="17"/>
      <c r="AG898" s="17"/>
      <c r="AH898" s="17"/>
      <c r="AI898" s="17"/>
      <c r="AJ898" s="17"/>
      <c r="AK898" s="17"/>
      <c r="AL898" s="17"/>
      <c r="AM898" s="17"/>
      <c r="AN898" s="17"/>
      <c r="AO898" s="17"/>
      <c r="AP898" s="1"/>
      <c r="AQ898" s="1"/>
    </row>
    <row r="899" spans="1:43" x14ac:dyDescent="0.35">
      <c r="A899" s="6"/>
      <c r="B899" s="13"/>
      <c r="C899" s="81"/>
      <c r="D899" s="4"/>
      <c r="E899" s="8"/>
      <c r="F899" s="17"/>
      <c r="G899" s="17"/>
      <c r="H899" s="17"/>
      <c r="I899" s="17"/>
      <c r="J899" s="17"/>
      <c r="K899" s="17"/>
      <c r="L899" s="17"/>
      <c r="M899" s="17"/>
      <c r="N899" s="17"/>
      <c r="O899" s="17"/>
      <c r="P899" s="17"/>
      <c r="Q899" s="17"/>
      <c r="R899" s="17"/>
      <c r="S899" s="17"/>
      <c r="T899" s="17"/>
      <c r="U899" s="17"/>
      <c r="V899" s="17"/>
      <c r="W899" s="17"/>
      <c r="X899" s="17"/>
      <c r="Y899" s="17"/>
      <c r="Z899" s="17"/>
      <c r="AA899" s="17"/>
      <c r="AB899" s="17"/>
      <c r="AC899" s="17"/>
      <c r="AD899" s="17"/>
      <c r="AE899" s="17"/>
      <c r="AF899" s="17"/>
      <c r="AG899" s="17"/>
      <c r="AH899" s="17"/>
      <c r="AI899" s="17"/>
      <c r="AJ899" s="17"/>
      <c r="AK899" s="17"/>
      <c r="AL899" s="17"/>
      <c r="AM899" s="17"/>
      <c r="AN899" s="17"/>
      <c r="AO899" s="17"/>
      <c r="AP899" s="1"/>
      <c r="AQ899" s="1"/>
    </row>
    <row r="900" spans="1:43" x14ac:dyDescent="0.35">
      <c r="A900" s="6"/>
      <c r="B900" s="13"/>
      <c r="C900" s="81"/>
      <c r="D900" s="4"/>
      <c r="E900" s="8"/>
      <c r="F900" s="17"/>
      <c r="G900" s="17"/>
      <c r="H900" s="17"/>
      <c r="I900" s="17"/>
      <c r="J900" s="17"/>
      <c r="K900" s="17"/>
      <c r="L900" s="17"/>
      <c r="M900" s="17"/>
      <c r="N900" s="17"/>
      <c r="O900" s="17"/>
      <c r="P900" s="17"/>
      <c r="Q900" s="17"/>
      <c r="R900" s="17"/>
      <c r="S900" s="17"/>
      <c r="T900" s="17"/>
      <c r="U900" s="17"/>
      <c r="V900" s="17"/>
      <c r="W900" s="17"/>
      <c r="X900" s="17"/>
      <c r="Y900" s="17"/>
      <c r="Z900" s="17"/>
      <c r="AA900" s="17"/>
      <c r="AB900" s="17"/>
      <c r="AC900" s="17"/>
      <c r="AD900" s="17"/>
      <c r="AE900" s="17"/>
      <c r="AF900" s="17"/>
      <c r="AG900" s="17"/>
      <c r="AH900" s="17"/>
      <c r="AI900" s="17"/>
      <c r="AJ900" s="17"/>
      <c r="AK900" s="17"/>
      <c r="AL900" s="17"/>
      <c r="AM900" s="17"/>
      <c r="AN900" s="17"/>
      <c r="AO900" s="17"/>
      <c r="AP900" s="1"/>
      <c r="AQ900" s="1"/>
    </row>
    <row r="901" spans="1:43" x14ac:dyDescent="0.35">
      <c r="A901" s="6"/>
      <c r="B901" s="13"/>
      <c r="C901" s="81"/>
      <c r="D901" s="4"/>
      <c r="E901" s="8"/>
      <c r="F901" s="17"/>
      <c r="G901" s="17"/>
      <c r="H901" s="17"/>
      <c r="I901" s="17"/>
      <c r="J901" s="17"/>
      <c r="K901" s="17"/>
      <c r="L901" s="17"/>
      <c r="M901" s="17"/>
      <c r="N901" s="17"/>
      <c r="O901" s="17"/>
      <c r="P901" s="17"/>
      <c r="Q901" s="17"/>
      <c r="R901" s="17"/>
      <c r="S901" s="17"/>
      <c r="T901" s="17"/>
      <c r="U901" s="17"/>
      <c r="V901" s="17"/>
      <c r="W901" s="17"/>
      <c r="X901" s="17"/>
      <c r="Y901" s="17"/>
      <c r="Z901" s="17"/>
      <c r="AA901" s="17"/>
      <c r="AB901" s="17"/>
      <c r="AC901" s="17"/>
      <c r="AD901" s="17"/>
      <c r="AE901" s="17"/>
      <c r="AF901" s="17"/>
      <c r="AG901" s="17"/>
      <c r="AH901" s="17"/>
      <c r="AI901" s="17"/>
      <c r="AJ901" s="17"/>
      <c r="AK901" s="17"/>
      <c r="AL901" s="17"/>
      <c r="AM901" s="17"/>
      <c r="AN901" s="17"/>
      <c r="AO901" s="17"/>
      <c r="AP901" s="1"/>
      <c r="AQ901" s="1"/>
    </row>
    <row r="902" spans="1:43" x14ac:dyDescent="0.35">
      <c r="A902" s="6"/>
      <c r="B902" s="13"/>
      <c r="C902" s="81"/>
      <c r="D902" s="4"/>
      <c r="E902" s="8"/>
      <c r="F902" s="17"/>
      <c r="G902" s="17"/>
      <c r="H902" s="17"/>
      <c r="I902" s="17"/>
      <c r="J902" s="17"/>
      <c r="K902" s="17"/>
      <c r="L902" s="17"/>
      <c r="M902" s="17"/>
      <c r="N902" s="17"/>
      <c r="O902" s="17"/>
      <c r="P902" s="17"/>
      <c r="Q902" s="17"/>
      <c r="R902" s="17"/>
      <c r="S902" s="17"/>
      <c r="T902" s="17"/>
      <c r="U902" s="17"/>
      <c r="V902" s="17"/>
      <c r="W902" s="17"/>
      <c r="X902" s="17"/>
      <c r="Y902" s="17"/>
      <c r="Z902" s="17"/>
      <c r="AA902" s="17"/>
      <c r="AB902" s="17"/>
      <c r="AC902" s="17"/>
      <c r="AD902" s="17"/>
      <c r="AE902" s="17"/>
      <c r="AF902" s="17"/>
      <c r="AG902" s="17"/>
      <c r="AH902" s="17"/>
      <c r="AI902" s="17"/>
      <c r="AJ902" s="17"/>
      <c r="AK902" s="17"/>
      <c r="AL902" s="17"/>
      <c r="AM902" s="17"/>
      <c r="AN902" s="17"/>
      <c r="AO902" s="17"/>
      <c r="AP902" s="1"/>
      <c r="AQ902" s="1"/>
    </row>
    <row r="903" spans="1:43" x14ac:dyDescent="0.35">
      <c r="A903" s="6"/>
      <c r="B903" s="13"/>
      <c r="C903" s="81"/>
      <c r="D903" s="4"/>
      <c r="E903" s="8"/>
      <c r="F903" s="17"/>
      <c r="G903" s="17"/>
      <c r="H903" s="17"/>
      <c r="I903" s="17"/>
      <c r="J903" s="17"/>
      <c r="K903" s="17"/>
      <c r="L903" s="17"/>
      <c r="M903" s="17"/>
      <c r="N903" s="17"/>
      <c r="O903" s="17"/>
      <c r="P903" s="17"/>
      <c r="Q903" s="17"/>
      <c r="R903" s="17"/>
      <c r="S903" s="17"/>
      <c r="T903" s="17"/>
      <c r="U903" s="17"/>
      <c r="V903" s="17"/>
      <c r="W903" s="17"/>
      <c r="X903" s="17"/>
      <c r="Y903" s="17"/>
      <c r="Z903" s="17"/>
      <c r="AA903" s="17"/>
      <c r="AB903" s="17"/>
      <c r="AC903" s="17"/>
      <c r="AD903" s="17"/>
      <c r="AE903" s="17"/>
      <c r="AF903" s="17"/>
      <c r="AG903" s="17"/>
      <c r="AH903" s="17"/>
      <c r="AI903" s="17"/>
      <c r="AJ903" s="17"/>
      <c r="AK903" s="17"/>
      <c r="AL903" s="17"/>
      <c r="AM903" s="17"/>
      <c r="AN903" s="17"/>
      <c r="AO903" s="17"/>
      <c r="AP903" s="1"/>
      <c r="AQ903" s="1"/>
    </row>
    <row r="904" spans="1:43" x14ac:dyDescent="0.35">
      <c r="A904" s="6"/>
      <c r="B904" s="13"/>
      <c r="C904" s="81"/>
      <c r="D904" s="4"/>
      <c r="E904" s="8"/>
      <c r="F904" s="17"/>
      <c r="G904" s="17"/>
      <c r="H904" s="17"/>
      <c r="I904" s="17"/>
      <c r="J904" s="17"/>
      <c r="K904" s="17"/>
      <c r="L904" s="17"/>
      <c r="M904" s="17"/>
      <c r="N904" s="17"/>
      <c r="O904" s="17"/>
      <c r="P904" s="17"/>
      <c r="Q904" s="17"/>
      <c r="R904" s="17"/>
      <c r="S904" s="17"/>
      <c r="T904" s="17"/>
      <c r="U904" s="17"/>
      <c r="V904" s="17"/>
      <c r="W904" s="17"/>
      <c r="X904" s="17"/>
      <c r="Y904" s="17"/>
      <c r="Z904" s="17"/>
      <c r="AA904" s="17"/>
      <c r="AB904" s="17"/>
      <c r="AC904" s="17"/>
      <c r="AD904" s="17"/>
      <c r="AE904" s="17"/>
      <c r="AF904" s="17"/>
      <c r="AG904" s="17"/>
      <c r="AH904" s="17"/>
      <c r="AI904" s="17"/>
      <c r="AJ904" s="17"/>
      <c r="AK904" s="17"/>
      <c r="AL904" s="17"/>
      <c r="AM904" s="17"/>
      <c r="AN904" s="17"/>
      <c r="AO904" s="17"/>
      <c r="AP904" s="1"/>
      <c r="AQ904" s="1"/>
    </row>
    <row r="905" spans="1:43" x14ac:dyDescent="0.35">
      <c r="A905" s="6"/>
      <c r="B905" s="13"/>
      <c r="C905" s="81"/>
      <c r="D905" s="4"/>
      <c r="E905" s="8"/>
      <c r="F905" s="17"/>
      <c r="G905" s="17"/>
      <c r="H905" s="17"/>
      <c r="I905" s="17"/>
      <c r="J905" s="17"/>
      <c r="K905" s="17"/>
      <c r="L905" s="17"/>
      <c r="M905" s="17"/>
      <c r="N905" s="17"/>
      <c r="O905" s="17"/>
      <c r="P905" s="17"/>
      <c r="Q905" s="17"/>
      <c r="R905" s="17"/>
      <c r="S905" s="17"/>
      <c r="T905" s="17"/>
      <c r="U905" s="17"/>
      <c r="V905" s="17"/>
      <c r="W905" s="17"/>
      <c r="X905" s="17"/>
      <c r="Y905" s="17"/>
      <c r="Z905" s="17"/>
      <c r="AA905" s="17"/>
      <c r="AB905" s="17"/>
      <c r="AC905" s="17"/>
      <c r="AD905" s="17"/>
      <c r="AE905" s="17"/>
      <c r="AF905" s="17"/>
      <c r="AG905" s="17"/>
      <c r="AH905" s="17"/>
      <c r="AI905" s="17"/>
      <c r="AJ905" s="17"/>
      <c r="AK905" s="17"/>
      <c r="AL905" s="17"/>
      <c r="AM905" s="17"/>
      <c r="AN905" s="17"/>
      <c r="AO905" s="17"/>
      <c r="AP905" s="1"/>
      <c r="AQ905" s="1"/>
    </row>
    <row r="906" spans="1:43" x14ac:dyDescent="0.35">
      <c r="A906" s="6"/>
      <c r="B906" s="13"/>
      <c r="C906" s="81"/>
      <c r="D906" s="4"/>
      <c r="E906" s="8"/>
      <c r="F906" s="17"/>
      <c r="G906" s="17"/>
      <c r="H906" s="17"/>
      <c r="I906" s="17"/>
      <c r="J906" s="17"/>
      <c r="K906" s="17"/>
      <c r="L906" s="17"/>
      <c r="M906" s="17"/>
      <c r="N906" s="17"/>
      <c r="O906" s="17"/>
      <c r="P906" s="17"/>
      <c r="Q906" s="17"/>
      <c r="R906" s="17"/>
      <c r="S906" s="17"/>
      <c r="T906" s="17"/>
      <c r="U906" s="17"/>
      <c r="V906" s="17"/>
      <c r="W906" s="17"/>
      <c r="X906" s="17"/>
      <c r="Y906" s="17"/>
      <c r="Z906" s="17"/>
      <c r="AA906" s="17"/>
      <c r="AB906" s="17"/>
      <c r="AC906" s="17"/>
      <c r="AD906" s="17"/>
      <c r="AE906" s="17"/>
      <c r="AF906" s="17"/>
      <c r="AG906" s="17"/>
      <c r="AH906" s="17"/>
      <c r="AI906" s="17"/>
      <c r="AJ906" s="17"/>
      <c r="AK906" s="17"/>
      <c r="AL906" s="17"/>
      <c r="AM906" s="17"/>
      <c r="AN906" s="17"/>
      <c r="AO906" s="17"/>
      <c r="AP906" s="1"/>
      <c r="AQ906" s="1"/>
    </row>
    <row r="907" spans="1:43" x14ac:dyDescent="0.35">
      <c r="A907" s="6"/>
      <c r="B907" s="13"/>
      <c r="C907" s="81"/>
      <c r="D907" s="4"/>
      <c r="E907" s="8"/>
      <c r="F907" s="17"/>
      <c r="G907" s="17"/>
      <c r="H907" s="17"/>
      <c r="I907" s="17"/>
      <c r="J907" s="17"/>
      <c r="K907" s="17"/>
      <c r="L907" s="17"/>
      <c r="M907" s="17"/>
      <c r="N907" s="17"/>
      <c r="O907" s="17"/>
      <c r="P907" s="17"/>
      <c r="Q907" s="17"/>
      <c r="R907" s="17"/>
      <c r="S907" s="17"/>
      <c r="T907" s="17"/>
      <c r="U907" s="17"/>
      <c r="V907" s="17"/>
      <c r="W907" s="17"/>
      <c r="X907" s="17"/>
      <c r="Y907" s="17"/>
      <c r="Z907" s="17"/>
      <c r="AA907" s="17"/>
      <c r="AB907" s="17"/>
      <c r="AC907" s="17"/>
      <c r="AD907" s="17"/>
      <c r="AE907" s="17"/>
      <c r="AF907" s="17"/>
      <c r="AG907" s="17"/>
      <c r="AH907" s="17"/>
      <c r="AI907" s="17"/>
      <c r="AJ907" s="17"/>
      <c r="AK907" s="17"/>
      <c r="AL907" s="17"/>
      <c r="AM907" s="17"/>
      <c r="AN907" s="17"/>
      <c r="AO907" s="17"/>
      <c r="AP907" s="1"/>
      <c r="AQ907" s="1"/>
    </row>
    <row r="908" spans="1:43" x14ac:dyDescent="0.35">
      <c r="A908" s="6"/>
      <c r="B908" s="13"/>
      <c r="C908" s="81"/>
      <c r="D908" s="4"/>
      <c r="E908" s="8"/>
      <c r="F908" s="17"/>
      <c r="G908" s="17"/>
      <c r="H908" s="17"/>
      <c r="I908" s="17"/>
      <c r="J908" s="17"/>
      <c r="K908" s="17"/>
      <c r="L908" s="17"/>
      <c r="M908" s="17"/>
      <c r="N908" s="17"/>
      <c r="O908" s="17"/>
      <c r="P908" s="17"/>
      <c r="Q908" s="17"/>
      <c r="R908" s="17"/>
      <c r="S908" s="17"/>
      <c r="T908" s="17"/>
      <c r="U908" s="17"/>
      <c r="V908" s="17"/>
      <c r="W908" s="17"/>
      <c r="X908" s="17"/>
      <c r="Y908" s="17"/>
      <c r="Z908" s="17"/>
      <c r="AA908" s="17"/>
      <c r="AB908" s="17"/>
      <c r="AC908" s="17"/>
      <c r="AD908" s="17"/>
      <c r="AE908" s="17"/>
      <c r="AF908" s="17"/>
      <c r="AG908" s="17"/>
      <c r="AH908" s="17"/>
      <c r="AI908" s="17"/>
      <c r="AJ908" s="17"/>
      <c r="AK908" s="17"/>
      <c r="AL908" s="17"/>
      <c r="AM908" s="17"/>
      <c r="AN908" s="17"/>
      <c r="AO908" s="17"/>
      <c r="AP908" s="1"/>
      <c r="AQ908" s="1"/>
    </row>
    <row r="909" spans="1:43" x14ac:dyDescent="0.35">
      <c r="A909" s="6"/>
      <c r="B909" s="13"/>
      <c r="C909" s="81"/>
      <c r="D909" s="4"/>
      <c r="E909" s="8"/>
      <c r="F909" s="17"/>
      <c r="G909" s="17"/>
      <c r="H909" s="17"/>
      <c r="I909" s="17"/>
      <c r="J909" s="17"/>
      <c r="K909" s="17"/>
      <c r="L909" s="17"/>
      <c r="M909" s="17"/>
      <c r="N909" s="17"/>
      <c r="O909" s="17"/>
      <c r="P909" s="17"/>
      <c r="Q909" s="17"/>
      <c r="R909" s="17"/>
      <c r="S909" s="17"/>
      <c r="T909" s="17"/>
      <c r="U909" s="17"/>
      <c r="V909" s="17"/>
      <c r="W909" s="17"/>
      <c r="X909" s="17"/>
      <c r="Y909" s="17"/>
      <c r="Z909" s="17"/>
      <c r="AA909" s="17"/>
      <c r="AB909" s="17"/>
      <c r="AC909" s="17"/>
      <c r="AD909" s="17"/>
      <c r="AE909" s="17"/>
      <c r="AF909" s="17"/>
      <c r="AG909" s="17"/>
      <c r="AH909" s="17"/>
      <c r="AI909" s="17"/>
      <c r="AJ909" s="17"/>
      <c r="AK909" s="17"/>
      <c r="AL909" s="17"/>
      <c r="AM909" s="17"/>
      <c r="AN909" s="17"/>
      <c r="AO909" s="17"/>
      <c r="AP909" s="1"/>
      <c r="AQ909" s="1"/>
    </row>
    <row r="910" spans="1:43" x14ac:dyDescent="0.35">
      <c r="A910" s="6"/>
      <c r="B910" s="13"/>
      <c r="C910" s="81"/>
      <c r="D910" s="4"/>
      <c r="E910" s="8"/>
      <c r="F910" s="17"/>
      <c r="G910" s="17"/>
      <c r="H910" s="17"/>
      <c r="I910" s="17"/>
      <c r="J910" s="17"/>
      <c r="K910" s="17"/>
      <c r="L910" s="17"/>
      <c r="M910" s="17"/>
      <c r="N910" s="17"/>
      <c r="O910" s="17"/>
      <c r="P910" s="17"/>
      <c r="Q910" s="17"/>
      <c r="R910" s="17"/>
      <c r="S910" s="17"/>
      <c r="T910" s="17"/>
      <c r="U910" s="17"/>
      <c r="V910" s="17"/>
      <c r="W910" s="17"/>
      <c r="X910" s="17"/>
      <c r="Y910" s="17"/>
      <c r="Z910" s="17"/>
      <c r="AA910" s="17"/>
      <c r="AB910" s="17"/>
      <c r="AC910" s="17"/>
      <c r="AD910" s="17"/>
      <c r="AE910" s="17"/>
      <c r="AF910" s="17"/>
      <c r="AG910" s="17"/>
      <c r="AH910" s="17"/>
      <c r="AI910" s="17"/>
      <c r="AJ910" s="17"/>
      <c r="AK910" s="17"/>
      <c r="AL910" s="17"/>
      <c r="AM910" s="17"/>
      <c r="AN910" s="17"/>
      <c r="AO910" s="17"/>
      <c r="AP910" s="1"/>
      <c r="AQ910" s="1"/>
    </row>
    <row r="911" spans="1:43" x14ac:dyDescent="0.35">
      <c r="A911" s="6"/>
      <c r="B911" s="13"/>
      <c r="C911" s="81"/>
      <c r="D911" s="4"/>
      <c r="E911" s="8"/>
      <c r="F911" s="17"/>
      <c r="G911" s="17"/>
      <c r="H911" s="17"/>
      <c r="I911" s="17"/>
      <c r="J911" s="17"/>
      <c r="K911" s="17"/>
      <c r="L911" s="17"/>
      <c r="M911" s="17"/>
      <c r="N911" s="17"/>
      <c r="O911" s="17"/>
      <c r="P911" s="17"/>
      <c r="Q911" s="17"/>
      <c r="R911" s="17"/>
      <c r="S911" s="17"/>
      <c r="T911" s="17"/>
      <c r="U911" s="17"/>
      <c r="V911" s="17"/>
      <c r="W911" s="17"/>
      <c r="X911" s="17"/>
      <c r="Y911" s="17"/>
      <c r="Z911" s="17"/>
      <c r="AA911" s="17"/>
      <c r="AB911" s="17"/>
      <c r="AC911" s="17"/>
      <c r="AD911" s="17"/>
      <c r="AE911" s="17"/>
      <c r="AF911" s="17"/>
      <c r="AG911" s="17"/>
      <c r="AH911" s="17"/>
      <c r="AI911" s="17"/>
      <c r="AJ911" s="17"/>
      <c r="AK911" s="17"/>
      <c r="AL911" s="17"/>
      <c r="AM911" s="17"/>
      <c r="AN911" s="17"/>
      <c r="AO911" s="17"/>
      <c r="AP911" s="1"/>
      <c r="AQ911" s="1"/>
    </row>
    <row r="912" spans="1:43" x14ac:dyDescent="0.35">
      <c r="A912" s="6"/>
      <c r="B912" s="13"/>
      <c r="C912" s="81"/>
      <c r="D912" s="4"/>
      <c r="E912" s="8"/>
      <c r="F912" s="17"/>
      <c r="G912" s="17"/>
      <c r="H912" s="17"/>
      <c r="I912" s="17"/>
      <c r="J912" s="17"/>
      <c r="K912" s="17"/>
      <c r="L912" s="17"/>
      <c r="M912" s="17"/>
      <c r="N912" s="17"/>
      <c r="O912" s="17"/>
      <c r="P912" s="17"/>
      <c r="Q912" s="17"/>
      <c r="R912" s="17"/>
      <c r="S912" s="17"/>
      <c r="T912" s="17"/>
      <c r="U912" s="17"/>
      <c r="V912" s="17"/>
      <c r="W912" s="17"/>
      <c r="X912" s="17"/>
      <c r="Y912" s="17"/>
      <c r="Z912" s="17"/>
      <c r="AA912" s="17"/>
      <c r="AB912" s="17"/>
      <c r="AC912" s="17"/>
      <c r="AD912" s="17"/>
      <c r="AE912" s="17"/>
      <c r="AF912" s="17"/>
      <c r="AG912" s="17"/>
      <c r="AH912" s="17"/>
      <c r="AI912" s="17"/>
      <c r="AJ912" s="17"/>
      <c r="AK912" s="17"/>
      <c r="AL912" s="17"/>
      <c r="AM912" s="17"/>
      <c r="AN912" s="17"/>
      <c r="AO912" s="17"/>
      <c r="AP912" s="1"/>
      <c r="AQ912" s="1"/>
    </row>
    <row r="913" spans="1:43" x14ac:dyDescent="0.35">
      <c r="A913" s="6"/>
      <c r="B913" s="13"/>
      <c r="C913" s="81"/>
      <c r="D913" s="4"/>
      <c r="E913" s="8"/>
      <c r="F913" s="17"/>
      <c r="G913" s="17"/>
      <c r="H913" s="17"/>
      <c r="I913" s="17"/>
      <c r="J913" s="17"/>
      <c r="K913" s="17"/>
      <c r="L913" s="17"/>
      <c r="M913" s="17"/>
      <c r="N913" s="17"/>
      <c r="O913" s="17"/>
      <c r="P913" s="17"/>
      <c r="Q913" s="17"/>
      <c r="R913" s="17"/>
      <c r="S913" s="17"/>
      <c r="T913" s="17"/>
      <c r="U913" s="17"/>
      <c r="V913" s="17"/>
      <c r="W913" s="17"/>
      <c r="X913" s="17"/>
      <c r="Y913" s="17"/>
      <c r="Z913" s="17"/>
      <c r="AA913" s="17"/>
      <c r="AB913" s="17"/>
      <c r="AC913" s="17"/>
      <c r="AD913" s="17"/>
      <c r="AE913" s="17"/>
      <c r="AF913" s="17"/>
      <c r="AG913" s="17"/>
      <c r="AH913" s="17"/>
      <c r="AI913" s="17"/>
      <c r="AJ913" s="17"/>
      <c r="AK913" s="17"/>
      <c r="AL913" s="17"/>
      <c r="AM913" s="17"/>
      <c r="AN913" s="17"/>
      <c r="AO913" s="17"/>
      <c r="AP913" s="1"/>
      <c r="AQ913" s="1"/>
    </row>
    <row r="914" spans="1:43" x14ac:dyDescent="0.35">
      <c r="A914" s="6"/>
      <c r="B914" s="13"/>
      <c r="C914" s="81"/>
      <c r="D914" s="4"/>
      <c r="E914" s="8"/>
      <c r="F914" s="17"/>
      <c r="G914" s="17"/>
      <c r="H914" s="17"/>
      <c r="I914" s="17"/>
      <c r="J914" s="17"/>
      <c r="K914" s="17"/>
      <c r="L914" s="17"/>
      <c r="M914" s="17"/>
      <c r="N914" s="17"/>
      <c r="O914" s="17"/>
      <c r="P914" s="17"/>
      <c r="Q914" s="17"/>
      <c r="R914" s="17"/>
      <c r="S914" s="17"/>
      <c r="T914" s="17"/>
      <c r="U914" s="17"/>
      <c r="V914" s="17"/>
      <c r="W914" s="17"/>
      <c r="X914" s="17"/>
      <c r="Y914" s="17"/>
      <c r="Z914" s="17"/>
      <c r="AA914" s="17"/>
      <c r="AB914" s="17"/>
      <c r="AC914" s="17"/>
      <c r="AD914" s="17"/>
      <c r="AE914" s="17"/>
      <c r="AF914" s="17"/>
      <c r="AG914" s="17"/>
      <c r="AH914" s="17"/>
      <c r="AI914" s="17"/>
      <c r="AJ914" s="17"/>
      <c r="AK914" s="17"/>
      <c r="AL914" s="17"/>
      <c r="AM914" s="17"/>
      <c r="AN914" s="17"/>
      <c r="AO914" s="17"/>
      <c r="AP914" s="1"/>
      <c r="AQ914" s="1"/>
    </row>
    <row r="915" spans="1:43" x14ac:dyDescent="0.35">
      <c r="A915" s="6"/>
      <c r="B915" s="13"/>
      <c r="C915" s="81"/>
      <c r="D915" s="4"/>
      <c r="E915" s="8"/>
      <c r="F915" s="17"/>
      <c r="G915" s="17"/>
      <c r="H915" s="17"/>
      <c r="I915" s="17"/>
      <c r="J915" s="17"/>
      <c r="K915" s="17"/>
      <c r="L915" s="17"/>
      <c r="M915" s="17"/>
      <c r="N915" s="17"/>
      <c r="O915" s="17"/>
      <c r="P915" s="17"/>
      <c r="Q915" s="17"/>
      <c r="R915" s="17"/>
      <c r="S915" s="17"/>
      <c r="T915" s="17"/>
      <c r="U915" s="17"/>
      <c r="V915" s="17"/>
      <c r="W915" s="17"/>
      <c r="X915" s="17"/>
      <c r="Y915" s="17"/>
      <c r="Z915" s="17"/>
      <c r="AA915" s="17"/>
      <c r="AB915" s="17"/>
      <c r="AC915" s="17"/>
      <c r="AD915" s="17"/>
      <c r="AE915" s="17"/>
      <c r="AF915" s="17"/>
      <c r="AG915" s="17"/>
      <c r="AH915" s="17"/>
      <c r="AI915" s="17"/>
      <c r="AJ915" s="17"/>
      <c r="AK915" s="17"/>
      <c r="AL915" s="17"/>
      <c r="AM915" s="17"/>
      <c r="AN915" s="17"/>
      <c r="AO915" s="17"/>
      <c r="AP915" s="1"/>
      <c r="AQ915" s="1"/>
    </row>
    <row r="916" spans="1:43" x14ac:dyDescent="0.35">
      <c r="A916" s="6"/>
      <c r="B916" s="13"/>
      <c r="C916" s="81"/>
      <c r="D916" s="4"/>
      <c r="E916" s="8"/>
      <c r="F916" s="17"/>
      <c r="G916" s="17"/>
      <c r="H916" s="17"/>
      <c r="I916" s="17"/>
      <c r="J916" s="17"/>
      <c r="K916" s="17"/>
      <c r="L916" s="17"/>
      <c r="M916" s="17"/>
      <c r="N916" s="17"/>
      <c r="O916" s="17"/>
      <c r="P916" s="17"/>
      <c r="Q916" s="17"/>
      <c r="R916" s="17"/>
      <c r="S916" s="17"/>
      <c r="T916" s="17"/>
      <c r="U916" s="17"/>
      <c r="V916" s="17"/>
      <c r="W916" s="17"/>
      <c r="X916" s="17"/>
      <c r="Y916" s="17"/>
      <c r="Z916" s="17"/>
      <c r="AA916" s="17"/>
      <c r="AB916" s="17"/>
      <c r="AC916" s="17"/>
      <c r="AD916" s="17"/>
      <c r="AE916" s="17"/>
      <c r="AF916" s="17"/>
      <c r="AG916" s="17"/>
      <c r="AH916" s="17"/>
      <c r="AI916" s="17"/>
      <c r="AJ916" s="17"/>
      <c r="AK916" s="17"/>
      <c r="AL916" s="17"/>
      <c r="AM916" s="17"/>
      <c r="AN916" s="17"/>
      <c r="AO916" s="17"/>
      <c r="AP916" s="1"/>
      <c r="AQ916" s="1"/>
    </row>
    <row r="917" spans="1:43" x14ac:dyDescent="0.35">
      <c r="A917" s="6"/>
      <c r="B917" s="13"/>
      <c r="C917" s="81"/>
      <c r="D917" s="4"/>
      <c r="E917" s="8"/>
      <c r="F917" s="17"/>
      <c r="G917" s="17"/>
      <c r="H917" s="17"/>
      <c r="I917" s="17"/>
      <c r="J917" s="17"/>
      <c r="K917" s="17"/>
      <c r="L917" s="17"/>
      <c r="M917" s="17"/>
      <c r="N917" s="17"/>
      <c r="O917" s="17"/>
      <c r="P917" s="17"/>
      <c r="Q917" s="17"/>
      <c r="R917" s="17"/>
      <c r="S917" s="17"/>
      <c r="T917" s="17"/>
      <c r="U917" s="17"/>
      <c r="V917" s="17"/>
      <c r="W917" s="17"/>
      <c r="X917" s="17"/>
      <c r="Y917" s="17"/>
      <c r="Z917" s="17"/>
      <c r="AA917" s="17"/>
      <c r="AB917" s="17"/>
      <c r="AC917" s="17"/>
      <c r="AD917" s="17"/>
      <c r="AE917" s="17"/>
      <c r="AF917" s="17"/>
      <c r="AG917" s="17"/>
      <c r="AH917" s="17"/>
      <c r="AI917" s="17"/>
      <c r="AJ917" s="17"/>
      <c r="AK917" s="17"/>
      <c r="AL917" s="17"/>
      <c r="AM917" s="17"/>
      <c r="AN917" s="17"/>
      <c r="AO917" s="17"/>
      <c r="AP917" s="1"/>
      <c r="AQ917" s="1"/>
    </row>
    <row r="918" spans="1:43" x14ac:dyDescent="0.35">
      <c r="A918" s="6"/>
      <c r="B918" s="13"/>
      <c r="C918" s="81"/>
      <c r="D918" s="4"/>
      <c r="E918" s="8"/>
      <c r="F918" s="17"/>
      <c r="G918" s="17"/>
      <c r="H918" s="17"/>
      <c r="I918" s="17"/>
      <c r="J918" s="17"/>
      <c r="K918" s="17"/>
      <c r="L918" s="17"/>
      <c r="M918" s="17"/>
      <c r="N918" s="17"/>
      <c r="O918" s="17"/>
      <c r="P918" s="17"/>
      <c r="Q918" s="17"/>
      <c r="R918" s="17"/>
      <c r="S918" s="17"/>
      <c r="T918" s="17"/>
      <c r="U918" s="17"/>
      <c r="V918" s="17"/>
      <c r="W918" s="17"/>
      <c r="X918" s="17"/>
      <c r="Y918" s="17"/>
      <c r="Z918" s="17"/>
      <c r="AA918" s="17"/>
      <c r="AB918" s="17"/>
      <c r="AC918" s="17"/>
      <c r="AD918" s="17"/>
      <c r="AE918" s="17"/>
      <c r="AF918" s="17"/>
      <c r="AG918" s="17"/>
      <c r="AH918" s="17"/>
      <c r="AI918" s="17"/>
      <c r="AJ918" s="17"/>
      <c r="AK918" s="17"/>
      <c r="AL918" s="17"/>
      <c r="AM918" s="17"/>
      <c r="AN918" s="17"/>
      <c r="AO918" s="17"/>
      <c r="AP918" s="1"/>
      <c r="AQ918" s="1"/>
    </row>
    <row r="919" spans="1:43" x14ac:dyDescent="0.35">
      <c r="A919" s="6"/>
      <c r="B919" s="13"/>
      <c r="C919" s="81"/>
      <c r="D919" s="4"/>
      <c r="E919" s="8"/>
      <c r="F919" s="17"/>
      <c r="G919" s="17"/>
      <c r="H919" s="17"/>
      <c r="I919" s="17"/>
      <c r="J919" s="17"/>
      <c r="K919" s="17"/>
      <c r="L919" s="17"/>
      <c r="M919" s="17"/>
      <c r="N919" s="17"/>
      <c r="O919" s="17"/>
      <c r="P919" s="17"/>
      <c r="Q919" s="17"/>
      <c r="R919" s="17"/>
      <c r="S919" s="17"/>
      <c r="T919" s="17"/>
      <c r="U919" s="17"/>
      <c r="V919" s="17"/>
      <c r="W919" s="17"/>
      <c r="X919" s="17"/>
      <c r="Y919" s="17"/>
      <c r="Z919" s="17"/>
      <c r="AA919" s="17"/>
      <c r="AB919" s="17"/>
      <c r="AC919" s="17"/>
      <c r="AD919" s="17"/>
      <c r="AE919" s="17"/>
      <c r="AF919" s="17"/>
      <c r="AG919" s="17"/>
      <c r="AH919" s="17"/>
      <c r="AI919" s="17"/>
      <c r="AJ919" s="17"/>
      <c r="AK919" s="17"/>
      <c r="AL919" s="17"/>
      <c r="AM919" s="17"/>
      <c r="AN919" s="17"/>
      <c r="AO919" s="17"/>
      <c r="AP919" s="1"/>
      <c r="AQ919" s="1"/>
    </row>
    <row r="920" spans="1:43" x14ac:dyDescent="0.35">
      <c r="A920" s="6"/>
      <c r="B920" s="13"/>
      <c r="C920" s="81"/>
      <c r="D920" s="4"/>
      <c r="E920" s="8"/>
      <c r="F920" s="17"/>
      <c r="G920" s="17"/>
      <c r="H920" s="17"/>
      <c r="I920" s="17"/>
      <c r="J920" s="17"/>
      <c r="K920" s="17"/>
      <c r="L920" s="17"/>
      <c r="M920" s="17"/>
      <c r="N920" s="17"/>
      <c r="O920" s="17"/>
      <c r="P920" s="17"/>
      <c r="Q920" s="17"/>
      <c r="R920" s="17"/>
      <c r="S920" s="17"/>
      <c r="T920" s="17"/>
      <c r="U920" s="17"/>
      <c r="V920" s="17"/>
      <c r="W920" s="17"/>
      <c r="X920" s="17"/>
      <c r="Y920" s="17"/>
      <c r="Z920" s="17"/>
      <c r="AA920" s="17"/>
      <c r="AB920" s="17"/>
      <c r="AC920" s="17"/>
      <c r="AD920" s="17"/>
      <c r="AE920" s="17"/>
      <c r="AF920" s="17"/>
      <c r="AG920" s="17"/>
      <c r="AH920" s="17"/>
      <c r="AI920" s="17"/>
      <c r="AJ920" s="17"/>
      <c r="AK920" s="17"/>
      <c r="AL920" s="17"/>
      <c r="AM920" s="17"/>
      <c r="AN920" s="17"/>
      <c r="AO920" s="17"/>
      <c r="AP920" s="1"/>
      <c r="AQ920" s="1"/>
    </row>
    <row r="921" spans="1:43" x14ac:dyDescent="0.35">
      <c r="A921" s="6"/>
      <c r="B921" s="13"/>
      <c r="C921" s="81"/>
      <c r="D921" s="4"/>
      <c r="E921" s="8"/>
      <c r="F921" s="17"/>
      <c r="G921" s="17"/>
      <c r="H921" s="17"/>
      <c r="I921" s="17"/>
      <c r="J921" s="17"/>
      <c r="K921" s="17"/>
      <c r="L921" s="17"/>
      <c r="M921" s="17"/>
      <c r="N921" s="17"/>
      <c r="O921" s="17"/>
      <c r="P921" s="17"/>
      <c r="Q921" s="17"/>
      <c r="R921" s="17"/>
      <c r="S921" s="17"/>
      <c r="T921" s="17"/>
      <c r="U921" s="17"/>
      <c r="V921" s="17"/>
      <c r="W921" s="17"/>
      <c r="X921" s="17"/>
      <c r="Y921" s="17"/>
      <c r="Z921" s="17"/>
      <c r="AA921" s="17"/>
      <c r="AB921" s="17"/>
      <c r="AC921" s="17"/>
      <c r="AD921" s="17"/>
      <c r="AE921" s="17"/>
      <c r="AF921" s="17"/>
      <c r="AG921" s="17"/>
      <c r="AH921" s="17"/>
      <c r="AI921" s="17"/>
      <c r="AJ921" s="17"/>
      <c r="AK921" s="17"/>
      <c r="AL921" s="17"/>
      <c r="AM921" s="17"/>
      <c r="AN921" s="17"/>
      <c r="AO921" s="17"/>
      <c r="AP921" s="1"/>
      <c r="AQ921" s="1"/>
    </row>
    <row r="922" spans="1:43" x14ac:dyDescent="0.35">
      <c r="A922" s="6"/>
      <c r="B922" s="13"/>
      <c r="C922" s="81"/>
      <c r="D922" s="4"/>
      <c r="E922" s="8"/>
      <c r="F922" s="17"/>
      <c r="G922" s="17"/>
      <c r="H922" s="17"/>
      <c r="I922" s="17"/>
      <c r="J922" s="17"/>
      <c r="K922" s="17"/>
      <c r="L922" s="17"/>
      <c r="M922" s="17"/>
      <c r="N922" s="17"/>
      <c r="O922" s="17"/>
      <c r="P922" s="17"/>
      <c r="Q922" s="17"/>
      <c r="R922" s="17"/>
      <c r="S922" s="17"/>
      <c r="T922" s="17"/>
      <c r="U922" s="17"/>
      <c r="V922" s="17"/>
      <c r="W922" s="17"/>
      <c r="X922" s="17"/>
      <c r="Y922" s="17"/>
      <c r="Z922" s="17"/>
      <c r="AA922" s="17"/>
      <c r="AB922" s="17"/>
      <c r="AC922" s="17"/>
      <c r="AD922" s="17"/>
      <c r="AE922" s="17"/>
      <c r="AF922" s="17"/>
      <c r="AG922" s="17"/>
      <c r="AH922" s="17"/>
      <c r="AI922" s="17"/>
      <c r="AJ922" s="17"/>
      <c r="AK922" s="17"/>
      <c r="AL922" s="17"/>
      <c r="AM922" s="17"/>
      <c r="AN922" s="17"/>
      <c r="AO922" s="17"/>
      <c r="AP922" s="1"/>
      <c r="AQ922" s="1"/>
    </row>
    <row r="923" spans="1:43" x14ac:dyDescent="0.35">
      <c r="A923" s="6"/>
      <c r="B923" s="13"/>
      <c r="C923" s="81"/>
      <c r="D923" s="4"/>
      <c r="E923" s="8"/>
      <c r="F923" s="17"/>
      <c r="G923" s="17"/>
      <c r="H923" s="17"/>
      <c r="I923" s="17"/>
      <c r="J923" s="17"/>
      <c r="K923" s="17"/>
      <c r="L923" s="17"/>
      <c r="M923" s="17"/>
      <c r="N923" s="17"/>
      <c r="O923" s="17"/>
      <c r="P923" s="17"/>
      <c r="Q923" s="17"/>
      <c r="R923" s="17"/>
      <c r="S923" s="17"/>
      <c r="T923" s="17"/>
      <c r="U923" s="17"/>
      <c r="V923" s="17"/>
      <c r="W923" s="17"/>
      <c r="X923" s="17"/>
      <c r="Y923" s="17"/>
      <c r="Z923" s="17"/>
      <c r="AA923" s="17"/>
      <c r="AB923" s="17"/>
      <c r="AC923" s="17"/>
      <c r="AD923" s="17"/>
      <c r="AE923" s="17"/>
      <c r="AF923" s="17"/>
      <c r="AG923" s="17"/>
      <c r="AH923" s="17"/>
      <c r="AI923" s="17"/>
      <c r="AJ923" s="17"/>
      <c r="AK923" s="17"/>
      <c r="AL923" s="17"/>
      <c r="AM923" s="17"/>
      <c r="AN923" s="17"/>
      <c r="AO923" s="17"/>
      <c r="AP923" s="1"/>
      <c r="AQ923" s="1"/>
    </row>
    <row r="924" spans="1:43" x14ac:dyDescent="0.35">
      <c r="A924" s="6"/>
      <c r="B924" s="13"/>
      <c r="C924" s="81"/>
      <c r="D924" s="4"/>
      <c r="E924" s="8"/>
      <c r="F924" s="17"/>
      <c r="G924" s="17"/>
      <c r="H924" s="17"/>
      <c r="I924" s="17"/>
      <c r="J924" s="17"/>
      <c r="K924" s="17"/>
      <c r="L924" s="17"/>
      <c r="M924" s="17"/>
      <c r="N924" s="17"/>
      <c r="O924" s="17"/>
      <c r="P924" s="17"/>
      <c r="Q924" s="17"/>
      <c r="R924" s="17"/>
      <c r="S924" s="17"/>
      <c r="T924" s="17"/>
      <c r="U924" s="17"/>
      <c r="V924" s="17"/>
      <c r="W924" s="17"/>
      <c r="X924" s="17"/>
      <c r="Y924" s="17"/>
      <c r="Z924" s="17"/>
      <c r="AA924" s="17"/>
      <c r="AB924" s="17"/>
      <c r="AC924" s="17"/>
      <c r="AD924" s="17"/>
      <c r="AE924" s="17"/>
      <c r="AF924" s="17"/>
      <c r="AG924" s="17"/>
      <c r="AH924" s="17"/>
      <c r="AI924" s="17"/>
      <c r="AJ924" s="17"/>
      <c r="AK924" s="17"/>
      <c r="AL924" s="17"/>
      <c r="AM924" s="17"/>
      <c r="AN924" s="17"/>
      <c r="AO924" s="17"/>
      <c r="AP924" s="1"/>
      <c r="AQ924" s="1"/>
    </row>
    <row r="925" spans="1:43" x14ac:dyDescent="0.35">
      <c r="A925" s="6"/>
      <c r="B925" s="13"/>
      <c r="C925" s="81"/>
      <c r="D925" s="4"/>
      <c r="E925" s="8"/>
      <c r="F925" s="17"/>
      <c r="G925" s="17"/>
      <c r="H925" s="17"/>
      <c r="I925" s="17"/>
      <c r="J925" s="17"/>
      <c r="K925" s="17"/>
      <c r="L925" s="17"/>
      <c r="M925" s="17"/>
      <c r="N925" s="17"/>
      <c r="O925" s="17"/>
      <c r="P925" s="17"/>
      <c r="Q925" s="17"/>
      <c r="R925" s="17"/>
      <c r="S925" s="17"/>
      <c r="T925" s="17"/>
      <c r="U925" s="17"/>
      <c r="V925" s="17"/>
      <c r="W925" s="17"/>
      <c r="X925" s="17"/>
      <c r="Y925" s="17"/>
      <c r="Z925" s="17"/>
      <c r="AA925" s="17"/>
      <c r="AB925" s="17"/>
      <c r="AC925" s="17"/>
      <c r="AD925" s="17"/>
      <c r="AE925" s="17"/>
      <c r="AF925" s="17"/>
      <c r="AG925" s="17"/>
      <c r="AH925" s="17"/>
      <c r="AI925" s="17"/>
      <c r="AJ925" s="17"/>
      <c r="AK925" s="17"/>
      <c r="AL925" s="17"/>
      <c r="AM925" s="17"/>
      <c r="AN925" s="17"/>
      <c r="AO925" s="17"/>
      <c r="AP925" s="1"/>
      <c r="AQ925" s="1"/>
    </row>
    <row r="926" spans="1:43" x14ac:dyDescent="0.35">
      <c r="A926" s="6"/>
      <c r="B926" s="13"/>
      <c r="C926" s="81"/>
      <c r="D926" s="4"/>
      <c r="E926" s="8"/>
      <c r="F926" s="17"/>
      <c r="G926" s="17"/>
      <c r="H926" s="17"/>
      <c r="I926" s="17"/>
      <c r="J926" s="17"/>
      <c r="K926" s="17"/>
      <c r="L926" s="17"/>
      <c r="M926" s="17"/>
      <c r="N926" s="17"/>
      <c r="O926" s="17"/>
      <c r="P926" s="17"/>
      <c r="Q926" s="17"/>
      <c r="R926" s="17"/>
      <c r="S926" s="17"/>
      <c r="T926" s="17"/>
      <c r="U926" s="17"/>
      <c r="V926" s="17"/>
      <c r="W926" s="17"/>
      <c r="X926" s="17"/>
      <c r="Y926" s="17"/>
      <c r="Z926" s="17"/>
      <c r="AA926" s="17"/>
      <c r="AB926" s="17"/>
      <c r="AC926" s="17"/>
      <c r="AD926" s="17"/>
      <c r="AE926" s="17"/>
      <c r="AF926" s="17"/>
      <c r="AG926" s="17"/>
      <c r="AH926" s="17"/>
      <c r="AI926" s="17"/>
      <c r="AJ926" s="17"/>
      <c r="AK926" s="17"/>
      <c r="AL926" s="17"/>
      <c r="AM926" s="17"/>
      <c r="AN926" s="17"/>
      <c r="AO926" s="17"/>
      <c r="AP926" s="1"/>
      <c r="AQ926" s="1"/>
    </row>
    <row r="927" spans="1:43" x14ac:dyDescent="0.35">
      <c r="A927" s="6"/>
      <c r="B927" s="13"/>
      <c r="C927" s="81"/>
      <c r="D927" s="4"/>
      <c r="E927" s="8"/>
      <c r="F927" s="17"/>
      <c r="G927" s="17"/>
      <c r="H927" s="17"/>
      <c r="I927" s="17"/>
      <c r="J927" s="17"/>
      <c r="K927" s="17"/>
      <c r="L927" s="17"/>
      <c r="M927" s="17"/>
      <c r="N927" s="17"/>
      <c r="O927" s="17"/>
      <c r="P927" s="17"/>
      <c r="Q927" s="17"/>
      <c r="R927" s="17"/>
      <c r="S927" s="17"/>
      <c r="T927" s="17"/>
      <c r="U927" s="17"/>
      <c r="V927" s="17"/>
      <c r="W927" s="17"/>
      <c r="X927" s="17"/>
      <c r="Y927" s="17"/>
      <c r="Z927" s="17"/>
      <c r="AA927" s="17"/>
      <c r="AB927" s="17"/>
      <c r="AC927" s="17"/>
      <c r="AD927" s="17"/>
      <c r="AE927" s="17"/>
      <c r="AF927" s="17"/>
      <c r="AG927" s="17"/>
      <c r="AH927" s="17"/>
      <c r="AI927" s="17"/>
      <c r="AJ927" s="17"/>
      <c r="AK927" s="17"/>
      <c r="AL927" s="17"/>
      <c r="AM927" s="17"/>
      <c r="AN927" s="17"/>
      <c r="AO927" s="17"/>
      <c r="AP927" s="1"/>
      <c r="AQ927" s="1"/>
    </row>
    <row r="928" spans="1:43" x14ac:dyDescent="0.35">
      <c r="A928" s="6"/>
      <c r="B928" s="13"/>
      <c r="C928" s="81"/>
      <c r="D928" s="4"/>
      <c r="E928" s="8"/>
      <c r="F928" s="17"/>
      <c r="G928" s="17"/>
      <c r="H928" s="17"/>
      <c r="I928" s="17"/>
      <c r="J928" s="17"/>
      <c r="K928" s="17"/>
      <c r="L928" s="17"/>
      <c r="M928" s="17"/>
      <c r="N928" s="17"/>
      <c r="O928" s="17"/>
      <c r="P928" s="17"/>
      <c r="Q928" s="17"/>
      <c r="R928" s="17"/>
      <c r="S928" s="17"/>
      <c r="T928" s="17"/>
      <c r="U928" s="17"/>
      <c r="V928" s="17"/>
      <c r="W928" s="17"/>
      <c r="X928" s="17"/>
      <c r="Y928" s="17"/>
      <c r="Z928" s="17"/>
      <c r="AA928" s="17"/>
      <c r="AB928" s="17"/>
      <c r="AC928" s="17"/>
      <c r="AD928" s="17"/>
      <c r="AE928" s="17"/>
      <c r="AF928" s="17"/>
      <c r="AG928" s="17"/>
      <c r="AH928" s="17"/>
      <c r="AI928" s="17"/>
      <c r="AJ928" s="17"/>
      <c r="AK928" s="17"/>
      <c r="AL928" s="17"/>
      <c r="AM928" s="17"/>
      <c r="AN928" s="17"/>
      <c r="AO928" s="17"/>
      <c r="AP928" s="1"/>
      <c r="AQ928" s="1"/>
    </row>
    <row r="929" spans="1:43" x14ac:dyDescent="0.35">
      <c r="A929" s="6"/>
      <c r="B929" s="13"/>
      <c r="C929" s="81"/>
      <c r="D929" s="4"/>
      <c r="E929" s="8"/>
      <c r="F929" s="17"/>
      <c r="G929" s="17"/>
      <c r="H929" s="17"/>
      <c r="I929" s="17"/>
      <c r="J929" s="17"/>
      <c r="K929" s="17"/>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c r="AN929" s="17"/>
      <c r="AO929" s="17"/>
      <c r="AP929" s="1"/>
      <c r="AQ929" s="1"/>
    </row>
    <row r="930" spans="1:43" x14ac:dyDescent="0.35">
      <c r="A930" s="6"/>
      <c r="B930" s="13"/>
      <c r="C930" s="81"/>
      <c r="D930" s="4"/>
      <c r="E930" s="8"/>
      <c r="F930" s="17"/>
      <c r="G930" s="17"/>
      <c r="H930" s="17"/>
      <c r="I930" s="17"/>
      <c r="J930" s="17"/>
      <c r="K930" s="17"/>
      <c r="L930" s="17"/>
      <c r="M930" s="17"/>
      <c r="N930" s="17"/>
      <c r="O930" s="17"/>
      <c r="P930" s="17"/>
      <c r="Q930" s="17"/>
      <c r="R930" s="17"/>
      <c r="S930" s="17"/>
      <c r="T930" s="17"/>
      <c r="U930" s="17"/>
      <c r="V930" s="17"/>
      <c r="W930" s="17"/>
      <c r="X930" s="17"/>
      <c r="Y930" s="17"/>
      <c r="Z930" s="17"/>
      <c r="AA930" s="17"/>
      <c r="AB930" s="17"/>
      <c r="AC930" s="17"/>
      <c r="AD930" s="17"/>
      <c r="AE930" s="17"/>
      <c r="AF930" s="17"/>
      <c r="AG930" s="17"/>
      <c r="AH930" s="17"/>
      <c r="AI930" s="17"/>
      <c r="AJ930" s="17"/>
      <c r="AK930" s="17"/>
      <c r="AL930" s="17"/>
      <c r="AM930" s="17"/>
      <c r="AN930" s="17"/>
      <c r="AO930" s="17"/>
      <c r="AP930" s="1"/>
      <c r="AQ930" s="1"/>
    </row>
    <row r="931" spans="1:43" x14ac:dyDescent="0.35">
      <c r="A931" s="6"/>
      <c r="B931" s="13"/>
      <c r="C931" s="81"/>
      <c r="D931" s="4"/>
      <c r="E931" s="8"/>
      <c r="F931" s="17"/>
      <c r="G931" s="17"/>
      <c r="H931" s="17"/>
      <c r="I931" s="17"/>
      <c r="J931" s="17"/>
      <c r="K931" s="17"/>
      <c r="L931" s="17"/>
      <c r="M931" s="17"/>
      <c r="N931" s="17"/>
      <c r="O931" s="17"/>
      <c r="P931" s="17"/>
      <c r="Q931" s="17"/>
      <c r="R931" s="17"/>
      <c r="S931" s="17"/>
      <c r="T931" s="17"/>
      <c r="U931" s="17"/>
      <c r="V931" s="17"/>
      <c r="W931" s="17"/>
      <c r="X931" s="17"/>
      <c r="Y931" s="17"/>
      <c r="Z931" s="17"/>
      <c r="AA931" s="17"/>
      <c r="AB931" s="17"/>
      <c r="AC931" s="17"/>
      <c r="AD931" s="17"/>
      <c r="AE931" s="17"/>
      <c r="AF931" s="17"/>
      <c r="AG931" s="17"/>
      <c r="AH931" s="17"/>
      <c r="AI931" s="17"/>
      <c r="AJ931" s="17"/>
      <c r="AK931" s="17"/>
      <c r="AL931" s="17"/>
      <c r="AM931" s="17"/>
      <c r="AN931" s="17"/>
      <c r="AO931" s="17"/>
      <c r="AP931" s="1"/>
      <c r="AQ931" s="1"/>
    </row>
    <row r="932" spans="1:43" x14ac:dyDescent="0.35">
      <c r="A932" s="6"/>
      <c r="B932" s="13"/>
      <c r="C932" s="81"/>
      <c r="D932" s="4"/>
      <c r="E932" s="8"/>
      <c r="F932" s="17"/>
      <c r="G932" s="17"/>
      <c r="H932" s="17"/>
      <c r="I932" s="17"/>
      <c r="J932" s="17"/>
      <c r="K932" s="17"/>
      <c r="L932" s="17"/>
      <c r="M932" s="17"/>
      <c r="N932" s="17"/>
      <c r="O932" s="17"/>
      <c r="P932" s="17"/>
      <c r="Q932" s="17"/>
      <c r="R932" s="17"/>
      <c r="S932" s="17"/>
      <c r="T932" s="17"/>
      <c r="U932" s="17"/>
      <c r="V932" s="17"/>
      <c r="W932" s="17"/>
      <c r="X932" s="17"/>
      <c r="Y932" s="17"/>
      <c r="Z932" s="17"/>
      <c r="AA932" s="17"/>
      <c r="AB932" s="17"/>
      <c r="AC932" s="17"/>
      <c r="AD932" s="17"/>
      <c r="AE932" s="17"/>
      <c r="AF932" s="17"/>
      <c r="AG932" s="17"/>
      <c r="AH932" s="17"/>
      <c r="AI932" s="17"/>
      <c r="AJ932" s="17"/>
      <c r="AK932" s="17"/>
      <c r="AL932" s="17"/>
      <c r="AM932" s="17"/>
      <c r="AN932" s="17"/>
      <c r="AO932" s="17"/>
      <c r="AP932" s="1"/>
      <c r="AQ932" s="1"/>
    </row>
    <row r="933" spans="1:43" x14ac:dyDescent="0.35">
      <c r="A933" s="6"/>
      <c r="B933" s="13"/>
      <c r="C933" s="81"/>
      <c r="D933" s="4"/>
      <c r="E933" s="8"/>
      <c r="F933" s="17"/>
      <c r="G933" s="17"/>
      <c r="H933" s="17"/>
      <c r="I933" s="17"/>
      <c r="J933" s="17"/>
      <c r="K933" s="17"/>
      <c r="L933" s="17"/>
      <c r="M933" s="17"/>
      <c r="N933" s="17"/>
      <c r="O933" s="17"/>
      <c r="P933" s="17"/>
      <c r="Q933" s="17"/>
      <c r="R933" s="17"/>
      <c r="S933" s="17"/>
      <c r="T933" s="17"/>
      <c r="U933" s="17"/>
      <c r="V933" s="17"/>
      <c r="W933" s="17"/>
      <c r="X933" s="17"/>
      <c r="Y933" s="17"/>
      <c r="Z933" s="17"/>
      <c r="AA933" s="17"/>
      <c r="AB933" s="17"/>
      <c r="AC933" s="17"/>
      <c r="AD933" s="17"/>
      <c r="AE933" s="17"/>
      <c r="AF933" s="17"/>
      <c r="AG933" s="17"/>
      <c r="AH933" s="17"/>
      <c r="AI933" s="17"/>
      <c r="AJ933" s="17"/>
      <c r="AK933" s="17"/>
      <c r="AL933" s="17"/>
      <c r="AM933" s="17"/>
      <c r="AN933" s="17"/>
      <c r="AO933" s="17"/>
      <c r="AP933" s="1"/>
      <c r="AQ933" s="1"/>
    </row>
    <row r="934" spans="1:43" x14ac:dyDescent="0.35">
      <c r="A934" s="6"/>
      <c r="B934" s="13"/>
      <c r="C934" s="81"/>
      <c r="D934" s="4"/>
      <c r="E934" s="8"/>
      <c r="F934" s="17"/>
      <c r="G934" s="17"/>
      <c r="H934" s="17"/>
      <c r="I934" s="17"/>
      <c r="J934" s="17"/>
      <c r="K934" s="17"/>
      <c r="L934" s="17"/>
      <c r="M934" s="17"/>
      <c r="N934" s="17"/>
      <c r="O934" s="17"/>
      <c r="P934" s="17"/>
      <c r="Q934" s="17"/>
      <c r="R934" s="17"/>
      <c r="S934" s="17"/>
      <c r="T934" s="17"/>
      <c r="U934" s="17"/>
      <c r="V934" s="17"/>
      <c r="W934" s="17"/>
      <c r="X934" s="17"/>
      <c r="Y934" s="17"/>
      <c r="Z934" s="17"/>
      <c r="AA934" s="17"/>
      <c r="AB934" s="17"/>
      <c r="AC934" s="17"/>
      <c r="AD934" s="17"/>
      <c r="AE934" s="17"/>
      <c r="AF934" s="17"/>
      <c r="AG934" s="17"/>
      <c r="AH934" s="17"/>
      <c r="AI934" s="17"/>
      <c r="AJ934" s="17"/>
      <c r="AK934" s="17"/>
      <c r="AL934" s="17"/>
      <c r="AM934" s="17"/>
      <c r="AN934" s="17"/>
      <c r="AO934" s="17"/>
      <c r="AP934" s="1"/>
      <c r="AQ934" s="1"/>
    </row>
    <row r="935" spans="1:43" x14ac:dyDescent="0.35">
      <c r="A935" s="6"/>
      <c r="B935" s="13"/>
      <c r="C935" s="81"/>
      <c r="D935" s="4"/>
      <c r="E935" s="8"/>
      <c r="F935" s="17"/>
      <c r="G935" s="17"/>
      <c r="H935" s="17"/>
      <c r="I935" s="17"/>
      <c r="J935" s="17"/>
      <c r="K935" s="17"/>
      <c r="L935" s="17"/>
      <c r="M935" s="17"/>
      <c r="N935" s="17"/>
      <c r="O935" s="17"/>
      <c r="P935" s="17"/>
      <c r="Q935" s="17"/>
      <c r="R935" s="17"/>
      <c r="S935" s="17"/>
      <c r="T935" s="17"/>
      <c r="U935" s="17"/>
      <c r="V935" s="17"/>
      <c r="W935" s="17"/>
      <c r="X935" s="17"/>
      <c r="Y935" s="17"/>
      <c r="Z935" s="17"/>
      <c r="AA935" s="17"/>
      <c r="AB935" s="17"/>
      <c r="AC935" s="17"/>
      <c r="AD935" s="17"/>
      <c r="AE935" s="17"/>
      <c r="AF935" s="17"/>
      <c r="AG935" s="17"/>
      <c r="AH935" s="17"/>
      <c r="AI935" s="17"/>
      <c r="AJ935" s="17"/>
      <c r="AK935" s="17"/>
      <c r="AL935" s="17"/>
      <c r="AM935" s="17"/>
      <c r="AN935" s="17"/>
      <c r="AO935" s="17"/>
      <c r="AP935" s="1"/>
      <c r="AQ935" s="1"/>
    </row>
    <row r="936" spans="1:43" x14ac:dyDescent="0.35">
      <c r="A936" s="6"/>
      <c r="B936" s="13"/>
      <c r="C936" s="81"/>
      <c r="D936" s="4"/>
      <c r="E936" s="8"/>
      <c r="F936" s="17"/>
      <c r="G936" s="17"/>
      <c r="H936" s="17"/>
      <c r="I936" s="17"/>
      <c r="J936" s="17"/>
      <c r="K936" s="17"/>
      <c r="L936" s="17"/>
      <c r="M936" s="17"/>
      <c r="N936" s="17"/>
      <c r="O936" s="17"/>
      <c r="P936" s="17"/>
      <c r="Q936" s="17"/>
      <c r="R936" s="17"/>
      <c r="S936" s="17"/>
      <c r="T936" s="17"/>
      <c r="U936" s="17"/>
      <c r="V936" s="17"/>
      <c r="W936" s="17"/>
      <c r="X936" s="17"/>
      <c r="Y936" s="17"/>
      <c r="Z936" s="17"/>
      <c r="AA936" s="17"/>
      <c r="AB936" s="17"/>
      <c r="AC936" s="17"/>
      <c r="AD936" s="17"/>
      <c r="AE936" s="17"/>
      <c r="AF936" s="17"/>
      <c r="AG936" s="17"/>
      <c r="AH936" s="17"/>
      <c r="AI936" s="17"/>
      <c r="AJ936" s="17"/>
      <c r="AK936" s="17"/>
      <c r="AL936" s="17"/>
      <c r="AM936" s="17"/>
      <c r="AN936" s="17"/>
      <c r="AO936" s="17"/>
      <c r="AP936" s="1"/>
      <c r="AQ936" s="1"/>
    </row>
    <row r="937" spans="1:43" x14ac:dyDescent="0.35">
      <c r="A937" s="6"/>
      <c r="B937" s="13"/>
      <c r="C937" s="81"/>
      <c r="D937" s="4"/>
      <c r="E937" s="8"/>
      <c r="F937" s="17"/>
      <c r="G937" s="17"/>
      <c r="H937" s="17"/>
      <c r="I937" s="17"/>
      <c r="J937" s="17"/>
      <c r="K937" s="17"/>
      <c r="L937" s="17"/>
      <c r="M937" s="17"/>
      <c r="N937" s="17"/>
      <c r="O937" s="17"/>
      <c r="P937" s="17"/>
      <c r="Q937" s="17"/>
      <c r="R937" s="17"/>
      <c r="S937" s="17"/>
      <c r="T937" s="17"/>
      <c r="U937" s="17"/>
      <c r="V937" s="17"/>
      <c r="W937" s="17"/>
      <c r="X937" s="17"/>
      <c r="Y937" s="17"/>
      <c r="Z937" s="17"/>
      <c r="AA937" s="17"/>
      <c r="AB937" s="17"/>
      <c r="AC937" s="17"/>
      <c r="AD937" s="17"/>
      <c r="AE937" s="17"/>
      <c r="AF937" s="17"/>
      <c r="AG937" s="17"/>
      <c r="AH937" s="17"/>
      <c r="AI937" s="17"/>
      <c r="AJ937" s="17"/>
      <c r="AK937" s="17"/>
      <c r="AL937" s="17"/>
      <c r="AM937" s="17"/>
      <c r="AN937" s="17"/>
      <c r="AO937" s="17"/>
      <c r="AP937" s="1"/>
      <c r="AQ937" s="1"/>
    </row>
    <row r="938" spans="1:43" x14ac:dyDescent="0.35">
      <c r="A938" s="6"/>
      <c r="B938" s="13"/>
      <c r="C938" s="81"/>
      <c r="D938" s="4"/>
      <c r="E938" s="8"/>
      <c r="F938" s="17"/>
      <c r="G938" s="17"/>
      <c r="H938" s="17"/>
      <c r="I938" s="17"/>
      <c r="J938" s="17"/>
      <c r="K938" s="17"/>
      <c r="L938" s="17"/>
      <c r="M938" s="17"/>
      <c r="N938" s="17"/>
      <c r="O938" s="17"/>
      <c r="P938" s="17"/>
      <c r="Q938" s="17"/>
      <c r="R938" s="17"/>
      <c r="S938" s="17"/>
      <c r="T938" s="17"/>
      <c r="U938" s="17"/>
      <c r="V938" s="17"/>
      <c r="W938" s="17"/>
      <c r="X938" s="17"/>
      <c r="Y938" s="17"/>
      <c r="Z938" s="17"/>
      <c r="AA938" s="17"/>
      <c r="AB938" s="17"/>
      <c r="AC938" s="17"/>
      <c r="AD938" s="17"/>
      <c r="AE938" s="17"/>
      <c r="AF938" s="17"/>
      <c r="AG938" s="17"/>
      <c r="AH938" s="17"/>
      <c r="AI938" s="17"/>
      <c r="AJ938" s="17"/>
      <c r="AK938" s="17"/>
      <c r="AL938" s="17"/>
      <c r="AM938" s="17"/>
      <c r="AN938" s="17"/>
      <c r="AO938" s="17"/>
      <c r="AP938" s="1"/>
      <c r="AQ938" s="1"/>
    </row>
    <row r="939" spans="1:43" x14ac:dyDescent="0.35">
      <c r="A939" s="6"/>
      <c r="B939" s="13"/>
      <c r="C939" s="81"/>
      <c r="D939" s="4"/>
      <c r="E939" s="8"/>
      <c r="F939" s="17"/>
      <c r="G939" s="17"/>
      <c r="H939" s="17"/>
      <c r="I939" s="17"/>
      <c r="J939" s="17"/>
      <c r="K939" s="17"/>
      <c r="L939" s="17"/>
      <c r="M939" s="17"/>
      <c r="N939" s="17"/>
      <c r="O939" s="17"/>
      <c r="P939" s="17"/>
      <c r="Q939" s="17"/>
      <c r="R939" s="17"/>
      <c r="S939" s="17"/>
      <c r="T939" s="17"/>
      <c r="U939" s="17"/>
      <c r="V939" s="17"/>
      <c r="W939" s="17"/>
      <c r="X939" s="17"/>
      <c r="Y939" s="17"/>
      <c r="Z939" s="17"/>
      <c r="AA939" s="17"/>
      <c r="AB939" s="17"/>
      <c r="AC939" s="17"/>
      <c r="AD939" s="17"/>
      <c r="AE939" s="17"/>
      <c r="AF939" s="17"/>
      <c r="AG939" s="17"/>
      <c r="AH939" s="17"/>
      <c r="AI939" s="17"/>
      <c r="AJ939" s="17"/>
      <c r="AK939" s="17"/>
      <c r="AL939" s="17"/>
      <c r="AM939" s="17"/>
      <c r="AN939" s="17"/>
      <c r="AO939" s="17"/>
      <c r="AP939" s="1"/>
      <c r="AQ939" s="1"/>
    </row>
    <row r="940" spans="1:43" x14ac:dyDescent="0.35">
      <c r="A940" s="6"/>
      <c r="B940" s="13"/>
      <c r="C940" s="81"/>
      <c r="D940" s="4"/>
      <c r="E940" s="8"/>
      <c r="F940" s="17"/>
      <c r="G940" s="17"/>
      <c r="H940" s="17"/>
      <c r="I940" s="17"/>
      <c r="J940" s="17"/>
      <c r="K940" s="17"/>
      <c r="L940" s="17"/>
      <c r="M940" s="17"/>
      <c r="N940" s="17"/>
      <c r="O940" s="17"/>
      <c r="P940" s="17"/>
      <c r="Q940" s="17"/>
      <c r="R940" s="17"/>
      <c r="S940" s="17"/>
      <c r="T940" s="17"/>
      <c r="U940" s="17"/>
      <c r="V940" s="17"/>
      <c r="W940" s="17"/>
      <c r="X940" s="17"/>
      <c r="Y940" s="17"/>
      <c r="Z940" s="17"/>
      <c r="AA940" s="17"/>
      <c r="AB940" s="17"/>
      <c r="AC940" s="17"/>
      <c r="AD940" s="17"/>
      <c r="AE940" s="17"/>
      <c r="AF940" s="17"/>
      <c r="AG940" s="17"/>
      <c r="AH940" s="17"/>
      <c r="AI940" s="17"/>
      <c r="AJ940" s="17"/>
      <c r="AK940" s="17"/>
      <c r="AL940" s="17"/>
      <c r="AM940" s="17"/>
      <c r="AN940" s="17"/>
      <c r="AO940" s="17"/>
      <c r="AP940" s="1"/>
      <c r="AQ940" s="1"/>
    </row>
    <row r="941" spans="1:43" x14ac:dyDescent="0.35">
      <c r="A941" s="6"/>
      <c r="B941" s="13"/>
      <c r="C941" s="81"/>
      <c r="D941" s="4"/>
      <c r="E941" s="8"/>
      <c r="F941" s="17"/>
      <c r="G941" s="17"/>
      <c r="H941" s="17"/>
      <c r="I941" s="17"/>
      <c r="J941" s="17"/>
      <c r="K941" s="17"/>
      <c r="L941" s="17"/>
      <c r="M941" s="17"/>
      <c r="N941" s="17"/>
      <c r="O941" s="17"/>
      <c r="P941" s="17"/>
      <c r="Q941" s="17"/>
      <c r="R941" s="17"/>
      <c r="S941" s="17"/>
      <c r="T941" s="17"/>
      <c r="U941" s="17"/>
      <c r="V941" s="17"/>
      <c r="W941" s="17"/>
      <c r="X941" s="17"/>
      <c r="Y941" s="17"/>
      <c r="Z941" s="17"/>
      <c r="AA941" s="17"/>
      <c r="AB941" s="17"/>
      <c r="AC941" s="17"/>
      <c r="AD941" s="17"/>
      <c r="AE941" s="17"/>
      <c r="AF941" s="17"/>
      <c r="AG941" s="17"/>
      <c r="AH941" s="17"/>
      <c r="AI941" s="17"/>
      <c r="AJ941" s="17"/>
      <c r="AK941" s="17"/>
      <c r="AL941" s="17"/>
      <c r="AM941" s="17"/>
      <c r="AN941" s="17"/>
      <c r="AO941" s="17"/>
      <c r="AP941" s="1"/>
      <c r="AQ941" s="1"/>
    </row>
    <row r="942" spans="1:43" x14ac:dyDescent="0.35">
      <c r="A942" s="6"/>
      <c r="B942" s="13"/>
      <c r="C942" s="81"/>
      <c r="D942" s="4"/>
      <c r="E942" s="8"/>
      <c r="F942" s="17"/>
      <c r="G942" s="17"/>
      <c r="H942" s="17"/>
      <c r="I942" s="17"/>
      <c r="J942" s="17"/>
      <c r="K942" s="17"/>
      <c r="L942" s="17"/>
      <c r="M942" s="17"/>
      <c r="N942" s="17"/>
      <c r="O942" s="17"/>
      <c r="P942" s="17"/>
      <c r="Q942" s="17"/>
      <c r="R942" s="17"/>
      <c r="S942" s="17"/>
      <c r="T942" s="17"/>
      <c r="U942" s="17"/>
      <c r="V942" s="17"/>
      <c r="W942" s="17"/>
      <c r="X942" s="17"/>
      <c r="Y942" s="17"/>
      <c r="Z942" s="17"/>
      <c r="AA942" s="17"/>
      <c r="AB942" s="17"/>
      <c r="AC942" s="17"/>
      <c r="AD942" s="17"/>
      <c r="AE942" s="17"/>
      <c r="AF942" s="17"/>
      <c r="AG942" s="17"/>
      <c r="AH942" s="17"/>
      <c r="AI942" s="17"/>
      <c r="AJ942" s="17"/>
      <c r="AK942" s="17"/>
      <c r="AL942" s="17"/>
      <c r="AM942" s="17"/>
      <c r="AN942" s="17"/>
      <c r="AO942" s="17"/>
      <c r="AP942" s="1"/>
      <c r="AQ942" s="1"/>
    </row>
    <row r="943" spans="1:43" x14ac:dyDescent="0.35">
      <c r="A943" s="6"/>
      <c r="B943" s="13"/>
      <c r="C943" s="81"/>
      <c r="D943" s="4"/>
      <c r="E943" s="8"/>
      <c r="F943" s="17"/>
      <c r="G943" s="17"/>
      <c r="H943" s="17"/>
      <c r="I943" s="17"/>
      <c r="J943" s="17"/>
      <c r="K943" s="17"/>
      <c r="L943" s="17"/>
      <c r="M943" s="17"/>
      <c r="N943" s="17"/>
      <c r="O943" s="17"/>
      <c r="P943" s="17"/>
      <c r="Q943" s="17"/>
      <c r="R943" s="17"/>
      <c r="S943" s="17"/>
      <c r="T943" s="17"/>
      <c r="U943" s="17"/>
      <c r="V943" s="17"/>
      <c r="W943" s="17"/>
      <c r="X943" s="17"/>
      <c r="Y943" s="17"/>
      <c r="Z943" s="17"/>
      <c r="AA943" s="17"/>
      <c r="AB943" s="17"/>
      <c r="AC943" s="17"/>
      <c r="AD943" s="17"/>
      <c r="AE943" s="17"/>
      <c r="AF943" s="17"/>
      <c r="AG943" s="17"/>
      <c r="AH943" s="17"/>
      <c r="AI943" s="17"/>
      <c r="AJ943" s="17"/>
      <c r="AK943" s="17"/>
      <c r="AL943" s="17"/>
      <c r="AM943" s="17"/>
      <c r="AN943" s="17"/>
      <c r="AO943" s="17"/>
      <c r="AP943" s="1"/>
      <c r="AQ943" s="1"/>
    </row>
    <row r="944" spans="1:43" x14ac:dyDescent="0.35">
      <c r="A944" s="6"/>
      <c r="B944" s="13"/>
      <c r="C944" s="81"/>
      <c r="D944" s="4"/>
      <c r="E944" s="8"/>
      <c r="F944" s="17"/>
      <c r="G944" s="17"/>
      <c r="H944" s="17"/>
      <c r="I944" s="17"/>
      <c r="J944" s="17"/>
      <c r="K944" s="17"/>
      <c r="L944" s="17"/>
      <c r="M944" s="17"/>
      <c r="N944" s="17"/>
      <c r="O944" s="17"/>
      <c r="P944" s="17"/>
      <c r="Q944" s="17"/>
      <c r="R944" s="17"/>
      <c r="S944" s="17"/>
      <c r="T944" s="17"/>
      <c r="U944" s="17"/>
      <c r="V944" s="17"/>
      <c r="W944" s="17"/>
      <c r="X944" s="17"/>
      <c r="Y944" s="17"/>
      <c r="Z944" s="17"/>
      <c r="AA944" s="17"/>
      <c r="AB944" s="17"/>
      <c r="AC944" s="17"/>
      <c r="AD944" s="17"/>
      <c r="AE944" s="17"/>
      <c r="AF944" s="17"/>
      <c r="AG944" s="17"/>
      <c r="AH944" s="17"/>
      <c r="AI944" s="17"/>
      <c r="AJ944" s="17"/>
      <c r="AK944" s="17"/>
      <c r="AL944" s="17"/>
      <c r="AM944" s="17"/>
      <c r="AN944" s="17"/>
      <c r="AO944" s="17"/>
      <c r="AP944" s="1"/>
      <c r="AQ944" s="1"/>
    </row>
    <row r="945" spans="1:43" x14ac:dyDescent="0.35">
      <c r="A945" s="6"/>
      <c r="B945" s="13"/>
      <c r="C945" s="81"/>
      <c r="D945" s="4"/>
      <c r="E945" s="8"/>
      <c r="F945" s="17"/>
      <c r="G945" s="17"/>
      <c r="H945" s="17"/>
      <c r="I945" s="17"/>
      <c r="J945" s="17"/>
      <c r="K945" s="17"/>
      <c r="L945" s="17"/>
      <c r="M945" s="17"/>
      <c r="N945" s="17"/>
      <c r="O945" s="17"/>
      <c r="P945" s="17"/>
      <c r="Q945" s="17"/>
      <c r="R945" s="17"/>
      <c r="S945" s="17"/>
      <c r="T945" s="17"/>
      <c r="U945" s="17"/>
      <c r="V945" s="17"/>
      <c r="W945" s="17"/>
      <c r="X945" s="17"/>
      <c r="Y945" s="17"/>
      <c r="Z945" s="17"/>
      <c r="AA945" s="17"/>
      <c r="AB945" s="17"/>
      <c r="AC945" s="17"/>
      <c r="AD945" s="17"/>
      <c r="AE945" s="17"/>
      <c r="AF945" s="17"/>
      <c r="AG945" s="17"/>
      <c r="AH945" s="17"/>
      <c r="AI945" s="17"/>
      <c r="AJ945" s="17"/>
      <c r="AK945" s="17"/>
      <c r="AL945" s="17"/>
      <c r="AM945" s="17"/>
      <c r="AN945" s="17"/>
      <c r="AO945" s="17"/>
      <c r="AP945" s="1"/>
      <c r="AQ945" s="1"/>
    </row>
    <row r="946" spans="1:43" x14ac:dyDescent="0.35">
      <c r="A946" s="6"/>
      <c r="B946" s="13"/>
      <c r="C946" s="81"/>
      <c r="D946" s="4"/>
      <c r="E946" s="8"/>
      <c r="F946" s="17"/>
      <c r="G946" s="17"/>
      <c r="H946" s="17"/>
      <c r="I946" s="17"/>
      <c r="J946" s="17"/>
      <c r="K946" s="17"/>
      <c r="L946" s="17"/>
      <c r="M946" s="17"/>
      <c r="N946" s="17"/>
      <c r="O946" s="17"/>
      <c r="P946" s="17"/>
      <c r="Q946" s="17"/>
      <c r="R946" s="17"/>
      <c r="S946" s="17"/>
      <c r="T946" s="17"/>
      <c r="U946" s="17"/>
      <c r="V946" s="17"/>
      <c r="W946" s="17"/>
      <c r="X946" s="17"/>
      <c r="Y946" s="17"/>
      <c r="Z946" s="17"/>
      <c r="AA946" s="17"/>
      <c r="AB946" s="17"/>
      <c r="AC946" s="17"/>
      <c r="AD946" s="17"/>
      <c r="AE946" s="17"/>
      <c r="AF946" s="17"/>
      <c r="AG946" s="17"/>
      <c r="AH946" s="17"/>
      <c r="AI946" s="17"/>
      <c r="AJ946" s="17"/>
      <c r="AK946" s="17"/>
      <c r="AL946" s="17"/>
      <c r="AM946" s="17"/>
      <c r="AN946" s="17"/>
      <c r="AO946" s="17"/>
      <c r="AP946" s="1"/>
      <c r="AQ946" s="1"/>
    </row>
    <row r="947" spans="1:43" x14ac:dyDescent="0.35">
      <c r="A947" s="6"/>
      <c r="B947" s="13"/>
      <c r="C947" s="81"/>
      <c r="D947" s="4"/>
      <c r="E947" s="8"/>
      <c r="F947" s="17"/>
      <c r="G947" s="17"/>
      <c r="H947" s="17"/>
      <c r="I947" s="17"/>
      <c r="J947" s="17"/>
      <c r="K947" s="17"/>
      <c r="L947" s="17"/>
      <c r="M947" s="17"/>
      <c r="N947" s="17"/>
      <c r="O947" s="17"/>
      <c r="P947" s="17"/>
      <c r="Q947" s="17"/>
      <c r="R947" s="17"/>
      <c r="S947" s="17"/>
      <c r="T947" s="17"/>
      <c r="U947" s="17"/>
      <c r="V947" s="17"/>
      <c r="W947" s="17"/>
      <c r="X947" s="17"/>
      <c r="Y947" s="17"/>
      <c r="Z947" s="17"/>
      <c r="AA947" s="17"/>
      <c r="AB947" s="17"/>
      <c r="AC947" s="17"/>
      <c r="AD947" s="17"/>
      <c r="AE947" s="17"/>
      <c r="AF947" s="17"/>
      <c r="AG947" s="17"/>
      <c r="AH947" s="17"/>
      <c r="AI947" s="17"/>
      <c r="AJ947" s="17"/>
      <c r="AK947" s="17"/>
      <c r="AL947" s="17"/>
      <c r="AM947" s="17"/>
      <c r="AN947" s="17"/>
      <c r="AO947" s="17"/>
      <c r="AP947" s="1"/>
      <c r="AQ947" s="1"/>
    </row>
    <row r="948" spans="1:43" x14ac:dyDescent="0.35">
      <c r="A948" s="6"/>
      <c r="B948" s="13"/>
      <c r="C948" s="81"/>
      <c r="D948" s="4"/>
      <c r="E948" s="8"/>
      <c r="F948" s="17"/>
      <c r="G948" s="17"/>
      <c r="H948" s="17"/>
      <c r="I948" s="17"/>
      <c r="J948" s="17"/>
      <c r="K948" s="17"/>
      <c r="L948" s="17"/>
      <c r="M948" s="17"/>
      <c r="N948" s="17"/>
      <c r="O948" s="17"/>
      <c r="P948" s="17"/>
      <c r="Q948" s="17"/>
      <c r="R948" s="17"/>
      <c r="S948" s="17"/>
      <c r="T948" s="17"/>
      <c r="U948" s="17"/>
      <c r="V948" s="17"/>
      <c r="W948" s="17"/>
      <c r="X948" s="17"/>
      <c r="Y948" s="17"/>
      <c r="Z948" s="17"/>
      <c r="AA948" s="17"/>
      <c r="AB948" s="17"/>
      <c r="AC948" s="17"/>
      <c r="AD948" s="17"/>
      <c r="AE948" s="17"/>
      <c r="AF948" s="17"/>
      <c r="AG948" s="17"/>
      <c r="AH948" s="17"/>
      <c r="AI948" s="17"/>
      <c r="AJ948" s="17"/>
      <c r="AK948" s="17"/>
      <c r="AL948" s="17"/>
      <c r="AM948" s="17"/>
      <c r="AN948" s="17"/>
      <c r="AO948" s="17"/>
      <c r="AP948" s="1"/>
      <c r="AQ948" s="1"/>
    </row>
    <row r="949" spans="1:43" x14ac:dyDescent="0.35">
      <c r="A949" s="6"/>
      <c r="B949" s="13"/>
      <c r="C949" s="81"/>
      <c r="D949" s="4"/>
      <c r="E949" s="8"/>
      <c r="F949" s="17"/>
      <c r="G949" s="17"/>
      <c r="H949" s="17"/>
      <c r="I949" s="17"/>
      <c r="J949" s="17"/>
      <c r="K949" s="17"/>
      <c r="L949" s="17"/>
      <c r="M949" s="17"/>
      <c r="N949" s="17"/>
      <c r="O949" s="17"/>
      <c r="P949" s="17"/>
      <c r="Q949" s="17"/>
      <c r="R949" s="17"/>
      <c r="S949" s="17"/>
      <c r="T949" s="17"/>
      <c r="U949" s="17"/>
      <c r="V949" s="17"/>
      <c r="W949" s="17"/>
      <c r="X949" s="17"/>
      <c r="Y949" s="17"/>
      <c r="Z949" s="17"/>
      <c r="AA949" s="17"/>
      <c r="AB949" s="17"/>
      <c r="AC949" s="17"/>
      <c r="AD949" s="17"/>
      <c r="AE949" s="17"/>
      <c r="AF949" s="17"/>
      <c r="AG949" s="17"/>
      <c r="AH949" s="17"/>
      <c r="AI949" s="17"/>
      <c r="AJ949" s="17"/>
      <c r="AK949" s="17"/>
      <c r="AL949" s="17"/>
      <c r="AM949" s="17"/>
      <c r="AN949" s="17"/>
      <c r="AO949" s="17"/>
      <c r="AP949" s="1"/>
      <c r="AQ949" s="1"/>
    </row>
    <row r="950" spans="1:43" x14ac:dyDescent="0.35">
      <c r="A950" s="6"/>
      <c r="B950" s="13"/>
      <c r="C950" s="81"/>
      <c r="D950" s="4"/>
      <c r="E950" s="8"/>
      <c r="F950" s="17"/>
      <c r="G950" s="17"/>
      <c r="H950" s="17"/>
      <c r="I950" s="17"/>
      <c r="J950" s="17"/>
      <c r="K950" s="17"/>
      <c r="L950" s="17"/>
      <c r="M950" s="17"/>
      <c r="N950" s="17"/>
      <c r="O950" s="17"/>
      <c r="P950" s="17"/>
      <c r="Q950" s="17"/>
      <c r="R950" s="17"/>
      <c r="S950" s="17"/>
      <c r="T950" s="17"/>
      <c r="U950" s="17"/>
      <c r="V950" s="17"/>
      <c r="W950" s="17"/>
      <c r="X950" s="17"/>
      <c r="Y950" s="17"/>
      <c r="Z950" s="17"/>
      <c r="AA950" s="17"/>
      <c r="AB950" s="17"/>
      <c r="AC950" s="17"/>
      <c r="AD950" s="17"/>
      <c r="AE950" s="17"/>
      <c r="AF950" s="17"/>
      <c r="AG950" s="17"/>
      <c r="AH950" s="17"/>
      <c r="AI950" s="17"/>
      <c r="AJ950" s="17"/>
      <c r="AK950" s="17"/>
      <c r="AL950" s="17"/>
      <c r="AM950" s="17"/>
      <c r="AN950" s="17"/>
      <c r="AO950" s="17"/>
      <c r="AP950" s="1"/>
      <c r="AQ950" s="1"/>
    </row>
    <row r="951" spans="1:43" x14ac:dyDescent="0.35">
      <c r="A951" s="6"/>
      <c r="B951" s="13"/>
      <c r="C951" s="81"/>
      <c r="D951" s="4"/>
      <c r="E951" s="8"/>
      <c r="F951" s="17"/>
      <c r="G951" s="17"/>
      <c r="H951" s="17"/>
      <c r="I951" s="17"/>
      <c r="J951" s="17"/>
      <c r="K951" s="17"/>
      <c r="L951" s="17"/>
      <c r="M951" s="17"/>
      <c r="N951" s="17"/>
      <c r="O951" s="17"/>
      <c r="P951" s="17"/>
      <c r="Q951" s="17"/>
      <c r="R951" s="17"/>
      <c r="S951" s="17"/>
      <c r="T951" s="17"/>
      <c r="U951" s="17"/>
      <c r="V951" s="17"/>
      <c r="W951" s="17"/>
      <c r="X951" s="17"/>
      <c r="Y951" s="17"/>
      <c r="Z951" s="17"/>
      <c r="AA951" s="17"/>
      <c r="AB951" s="17"/>
      <c r="AC951" s="17"/>
      <c r="AD951" s="17"/>
      <c r="AE951" s="17"/>
      <c r="AF951" s="17"/>
      <c r="AG951" s="17"/>
      <c r="AH951" s="17"/>
      <c r="AI951" s="17"/>
      <c r="AJ951" s="17"/>
      <c r="AK951" s="17"/>
      <c r="AL951" s="17"/>
      <c r="AM951" s="17"/>
      <c r="AN951" s="17"/>
      <c r="AO951" s="17"/>
      <c r="AP951" s="1"/>
      <c r="AQ951" s="1"/>
    </row>
    <row r="952" spans="1:43" x14ac:dyDescent="0.35">
      <c r="A952" s="6"/>
      <c r="B952" s="13"/>
      <c r="C952" s="81"/>
      <c r="D952" s="4"/>
      <c r="E952" s="8"/>
      <c r="F952" s="17"/>
      <c r="G952" s="17"/>
      <c r="H952" s="17"/>
      <c r="I952" s="17"/>
      <c r="J952" s="17"/>
      <c r="K952" s="17"/>
      <c r="L952" s="17"/>
      <c r="M952" s="17"/>
      <c r="N952" s="17"/>
      <c r="O952" s="17"/>
      <c r="P952" s="17"/>
      <c r="Q952" s="17"/>
      <c r="R952" s="17"/>
      <c r="S952" s="17"/>
      <c r="T952" s="17"/>
      <c r="U952" s="17"/>
      <c r="V952" s="17"/>
      <c r="W952" s="17"/>
      <c r="X952" s="17"/>
      <c r="Y952" s="17"/>
      <c r="Z952" s="17"/>
      <c r="AA952" s="17"/>
      <c r="AB952" s="17"/>
      <c r="AC952" s="17"/>
      <c r="AD952" s="17"/>
      <c r="AE952" s="17"/>
      <c r="AF952" s="17"/>
      <c r="AG952" s="17"/>
      <c r="AH952" s="17"/>
      <c r="AI952" s="17"/>
      <c r="AJ952" s="17"/>
      <c r="AK952" s="17"/>
      <c r="AL952" s="17"/>
      <c r="AM952" s="17"/>
      <c r="AN952" s="17"/>
      <c r="AO952" s="17"/>
      <c r="AP952" s="1"/>
      <c r="AQ952" s="1"/>
    </row>
    <row r="953" spans="1:43" x14ac:dyDescent="0.35">
      <c r="A953" s="6"/>
      <c r="B953" s="13"/>
      <c r="C953" s="81"/>
      <c r="D953" s="4"/>
      <c r="E953" s="8"/>
      <c r="F953" s="17"/>
      <c r="G953" s="17"/>
      <c r="H953" s="17"/>
      <c r="I953" s="17"/>
      <c r="J953" s="17"/>
      <c r="K953" s="17"/>
      <c r="L953" s="17"/>
      <c r="M953" s="17"/>
      <c r="N953" s="17"/>
      <c r="O953" s="17"/>
      <c r="P953" s="17"/>
      <c r="Q953" s="17"/>
      <c r="R953" s="17"/>
      <c r="S953" s="17"/>
      <c r="T953" s="17"/>
      <c r="U953" s="17"/>
      <c r="V953" s="17"/>
      <c r="W953" s="17"/>
      <c r="X953" s="17"/>
      <c r="Y953" s="17"/>
      <c r="Z953" s="17"/>
      <c r="AA953" s="17"/>
      <c r="AB953" s="17"/>
      <c r="AC953" s="17"/>
      <c r="AD953" s="17"/>
      <c r="AE953" s="17"/>
      <c r="AF953" s="17"/>
      <c r="AG953" s="17"/>
      <c r="AH953" s="17"/>
      <c r="AI953" s="17"/>
      <c r="AJ953" s="17"/>
      <c r="AK953" s="17"/>
      <c r="AL953" s="17"/>
      <c r="AM953" s="17"/>
      <c r="AN953" s="17"/>
      <c r="AO953" s="17"/>
      <c r="AP953" s="1"/>
      <c r="AQ953" s="1"/>
    </row>
    <row r="954" spans="1:43" x14ac:dyDescent="0.35">
      <c r="A954" s="6"/>
      <c r="B954" s="13"/>
      <c r="C954" s="81"/>
      <c r="D954" s="4"/>
      <c r="E954" s="8"/>
      <c r="F954" s="17"/>
      <c r="G954" s="17"/>
      <c r="H954" s="17"/>
      <c r="I954" s="17"/>
      <c r="J954" s="17"/>
      <c r="K954" s="17"/>
      <c r="L954" s="17"/>
      <c r="M954" s="17"/>
      <c r="N954" s="17"/>
      <c r="O954" s="17"/>
      <c r="P954" s="17"/>
      <c r="Q954" s="17"/>
      <c r="R954" s="17"/>
      <c r="S954" s="17"/>
      <c r="T954" s="17"/>
      <c r="U954" s="17"/>
      <c r="V954" s="17"/>
      <c r="W954" s="17"/>
      <c r="X954" s="17"/>
      <c r="Y954" s="17"/>
      <c r="Z954" s="17"/>
      <c r="AA954" s="17"/>
      <c r="AB954" s="17"/>
      <c r="AC954" s="17"/>
      <c r="AD954" s="17"/>
      <c r="AE954" s="17"/>
      <c r="AF954" s="17"/>
      <c r="AG954" s="17"/>
      <c r="AH954" s="17"/>
      <c r="AI954" s="17"/>
      <c r="AJ954" s="17"/>
      <c r="AK954" s="17"/>
      <c r="AL954" s="17"/>
      <c r="AM954" s="17"/>
      <c r="AN954" s="17"/>
      <c r="AO954" s="17"/>
      <c r="AP954" s="1"/>
      <c r="AQ954" s="1"/>
    </row>
    <row r="955" spans="1:43" x14ac:dyDescent="0.35">
      <c r="A955" s="6"/>
      <c r="B955" s="13"/>
      <c r="C955" s="81"/>
      <c r="D955" s="4"/>
      <c r="E955" s="8"/>
      <c r="F955" s="17"/>
      <c r="G955" s="17"/>
      <c r="H955" s="17"/>
      <c r="I955" s="17"/>
      <c r="J955" s="17"/>
      <c r="K955" s="17"/>
      <c r="L955" s="17"/>
      <c r="M955" s="17"/>
      <c r="N955" s="17"/>
      <c r="O955" s="17"/>
      <c r="P955" s="17"/>
      <c r="Q955" s="17"/>
      <c r="R955" s="17"/>
      <c r="S955" s="17"/>
      <c r="T955" s="17"/>
      <c r="U955" s="17"/>
      <c r="V955" s="17"/>
      <c r="W955" s="17"/>
      <c r="X955" s="17"/>
      <c r="Y955" s="17"/>
      <c r="Z955" s="17"/>
      <c r="AA955" s="17"/>
      <c r="AB955" s="17"/>
      <c r="AC955" s="17"/>
      <c r="AD955" s="17"/>
      <c r="AE955" s="17"/>
      <c r="AF955" s="17"/>
      <c r="AG955" s="17"/>
      <c r="AH955" s="17"/>
      <c r="AI955" s="17"/>
      <c r="AJ955" s="17"/>
      <c r="AK955" s="17"/>
      <c r="AL955" s="17"/>
      <c r="AM955" s="17"/>
      <c r="AN955" s="17"/>
      <c r="AO955" s="17"/>
      <c r="AP955" s="1"/>
      <c r="AQ955" s="1"/>
    </row>
    <row r="956" spans="1:43" x14ac:dyDescent="0.35">
      <c r="A956" s="6"/>
      <c r="B956" s="13"/>
      <c r="C956" s="81"/>
      <c r="D956" s="4"/>
      <c r="E956" s="8"/>
      <c r="F956" s="17"/>
      <c r="G956" s="17"/>
      <c r="H956" s="17"/>
      <c r="I956" s="17"/>
      <c r="J956" s="17"/>
      <c r="K956" s="17"/>
      <c r="L956" s="17"/>
      <c r="M956" s="17"/>
      <c r="N956" s="17"/>
      <c r="O956" s="17"/>
      <c r="P956" s="17"/>
      <c r="Q956" s="17"/>
      <c r="R956" s="17"/>
      <c r="S956" s="17"/>
      <c r="T956" s="17"/>
      <c r="U956" s="17"/>
      <c r="V956" s="17"/>
      <c r="W956" s="17"/>
      <c r="X956" s="17"/>
      <c r="Y956" s="17"/>
      <c r="Z956" s="17"/>
      <c r="AA956" s="17"/>
      <c r="AB956" s="17"/>
      <c r="AC956" s="17"/>
      <c r="AD956" s="17"/>
      <c r="AE956" s="17"/>
      <c r="AF956" s="17"/>
      <c r="AG956" s="17"/>
      <c r="AH956" s="17"/>
      <c r="AI956" s="17"/>
      <c r="AJ956" s="17"/>
      <c r="AK956" s="17"/>
      <c r="AL956" s="17"/>
      <c r="AM956" s="17"/>
      <c r="AN956" s="17"/>
      <c r="AO956" s="17"/>
      <c r="AP956" s="1"/>
      <c r="AQ956" s="1"/>
    </row>
    <row r="957" spans="1:43" x14ac:dyDescent="0.35">
      <c r="A957" s="6"/>
      <c r="B957" s="13"/>
      <c r="C957" s="81"/>
      <c r="D957" s="4"/>
      <c r="E957" s="8"/>
      <c r="F957" s="17"/>
      <c r="G957" s="17"/>
      <c r="H957" s="17"/>
      <c r="I957" s="17"/>
      <c r="J957" s="17"/>
      <c r="K957" s="17"/>
      <c r="L957" s="17"/>
      <c r="M957" s="17"/>
      <c r="N957" s="17"/>
      <c r="O957" s="17"/>
      <c r="P957" s="17"/>
      <c r="Q957" s="17"/>
      <c r="R957" s="17"/>
      <c r="S957" s="17"/>
      <c r="T957" s="17"/>
      <c r="U957" s="17"/>
      <c r="V957" s="17"/>
      <c r="W957" s="17"/>
      <c r="X957" s="17"/>
      <c r="Y957" s="17"/>
      <c r="Z957" s="17"/>
      <c r="AA957" s="17"/>
      <c r="AB957" s="17"/>
      <c r="AC957" s="17"/>
      <c r="AD957" s="17"/>
      <c r="AE957" s="17"/>
      <c r="AF957" s="17"/>
      <c r="AG957" s="17"/>
      <c r="AH957" s="17"/>
      <c r="AI957" s="17"/>
      <c r="AJ957" s="17"/>
      <c r="AK957" s="17"/>
      <c r="AL957" s="17"/>
      <c r="AM957" s="17"/>
      <c r="AN957" s="17"/>
      <c r="AO957" s="17"/>
      <c r="AP957" s="1"/>
      <c r="AQ957" s="1"/>
    </row>
    <row r="958" spans="1:43" x14ac:dyDescent="0.35">
      <c r="A958" s="6"/>
      <c r="B958" s="13"/>
      <c r="C958" s="81"/>
      <c r="D958" s="4"/>
      <c r="E958" s="8"/>
      <c r="F958" s="17"/>
      <c r="G958" s="17"/>
      <c r="H958" s="17"/>
      <c r="I958" s="17"/>
      <c r="J958" s="17"/>
      <c r="K958" s="17"/>
      <c r="L958" s="17"/>
      <c r="M958" s="17"/>
      <c r="N958" s="17"/>
      <c r="O958" s="17"/>
      <c r="P958" s="17"/>
      <c r="Q958" s="17"/>
      <c r="R958" s="17"/>
      <c r="S958" s="17"/>
      <c r="T958" s="17"/>
      <c r="U958" s="17"/>
      <c r="V958" s="17"/>
      <c r="W958" s="17"/>
      <c r="X958" s="17"/>
      <c r="Y958" s="17"/>
      <c r="Z958" s="17"/>
      <c r="AA958" s="17"/>
      <c r="AB958" s="17"/>
      <c r="AC958" s="17"/>
      <c r="AD958" s="17"/>
      <c r="AE958" s="17"/>
      <c r="AF958" s="17"/>
      <c r="AG958" s="17"/>
      <c r="AH958" s="17"/>
      <c r="AI958" s="17"/>
      <c r="AJ958" s="17"/>
      <c r="AK958" s="17"/>
      <c r="AL958" s="17"/>
      <c r="AM958" s="17"/>
      <c r="AN958" s="17"/>
      <c r="AO958" s="17"/>
      <c r="AP958" s="1"/>
      <c r="AQ958" s="1"/>
    </row>
    <row r="959" spans="1:43" x14ac:dyDescent="0.35">
      <c r="A959" s="6"/>
      <c r="B959" s="13"/>
      <c r="C959" s="81"/>
      <c r="D959" s="4"/>
      <c r="E959" s="8"/>
      <c r="F959" s="17"/>
      <c r="G959" s="17"/>
      <c r="H959" s="17"/>
      <c r="I959" s="17"/>
      <c r="J959" s="17"/>
      <c r="K959" s="17"/>
      <c r="L959" s="17"/>
      <c r="M959" s="17"/>
      <c r="N959" s="17"/>
      <c r="O959" s="17"/>
      <c r="P959" s="17"/>
      <c r="Q959" s="17"/>
      <c r="R959" s="17"/>
      <c r="S959" s="17"/>
      <c r="T959" s="17"/>
      <c r="U959" s="17"/>
      <c r="V959" s="17"/>
      <c r="W959" s="17"/>
      <c r="X959" s="17"/>
      <c r="Y959" s="17"/>
      <c r="Z959" s="17"/>
      <c r="AA959" s="17"/>
      <c r="AB959" s="17"/>
      <c r="AC959" s="17"/>
      <c r="AD959" s="17"/>
      <c r="AE959" s="17"/>
      <c r="AF959" s="17"/>
      <c r="AG959" s="17"/>
      <c r="AH959" s="17"/>
      <c r="AI959" s="17"/>
      <c r="AJ959" s="17"/>
      <c r="AK959" s="17"/>
      <c r="AL959" s="17"/>
      <c r="AM959" s="17"/>
      <c r="AN959" s="17"/>
      <c r="AO959" s="17"/>
      <c r="AP959" s="1"/>
      <c r="AQ959" s="1"/>
    </row>
    <row r="960" spans="1:43" x14ac:dyDescent="0.35">
      <c r="A960" s="6"/>
      <c r="B960" s="13"/>
      <c r="C960" s="81"/>
      <c r="D960" s="4"/>
      <c r="E960" s="8"/>
      <c r="F960" s="17"/>
      <c r="G960" s="17"/>
      <c r="H960" s="17"/>
      <c r="I960" s="17"/>
      <c r="J960" s="17"/>
      <c r="K960" s="17"/>
      <c r="L960" s="17"/>
      <c r="M960" s="17"/>
      <c r="N960" s="17"/>
      <c r="O960" s="17"/>
      <c r="P960" s="17"/>
      <c r="Q960" s="17"/>
      <c r="R960" s="17"/>
      <c r="S960" s="17"/>
      <c r="T960" s="17"/>
      <c r="U960" s="17"/>
      <c r="V960" s="17"/>
      <c r="W960" s="17"/>
      <c r="X960" s="17"/>
      <c r="Y960" s="17"/>
      <c r="Z960" s="17"/>
      <c r="AA960" s="17"/>
      <c r="AB960" s="17"/>
      <c r="AC960" s="17"/>
      <c r="AD960" s="17"/>
      <c r="AE960" s="17"/>
      <c r="AF960" s="17"/>
      <c r="AG960" s="17"/>
      <c r="AH960" s="17"/>
      <c r="AI960" s="17"/>
      <c r="AJ960" s="17"/>
      <c r="AK960" s="17"/>
      <c r="AL960" s="17"/>
      <c r="AM960" s="17"/>
      <c r="AN960" s="17"/>
      <c r="AO960" s="17"/>
      <c r="AP960" s="1"/>
      <c r="AQ960" s="1"/>
    </row>
    <row r="961" spans="1:43" x14ac:dyDescent="0.35">
      <c r="A961" s="6"/>
      <c r="B961" s="13"/>
      <c r="C961" s="81"/>
      <c r="D961" s="4"/>
      <c r="E961" s="8"/>
      <c r="F961" s="17"/>
      <c r="G961" s="17"/>
      <c r="H961" s="17"/>
      <c r="I961" s="17"/>
      <c r="J961" s="17"/>
      <c r="K961" s="17"/>
      <c r="L961" s="17"/>
      <c r="M961" s="17"/>
      <c r="N961" s="17"/>
      <c r="O961" s="17"/>
      <c r="P961" s="17"/>
      <c r="Q961" s="17"/>
      <c r="R961" s="17"/>
      <c r="S961" s="17"/>
      <c r="T961" s="17"/>
      <c r="U961" s="17"/>
      <c r="V961" s="17"/>
      <c r="W961" s="17"/>
      <c r="X961" s="17"/>
      <c r="Y961" s="17"/>
      <c r="Z961" s="17"/>
      <c r="AA961" s="17"/>
      <c r="AB961" s="17"/>
      <c r="AC961" s="17"/>
      <c r="AD961" s="17"/>
      <c r="AE961" s="17"/>
      <c r="AF961" s="17"/>
      <c r="AG961" s="17"/>
      <c r="AH961" s="17"/>
      <c r="AI961" s="17"/>
      <c r="AJ961" s="17"/>
      <c r="AK961" s="17"/>
      <c r="AL961" s="17"/>
      <c r="AM961" s="17"/>
      <c r="AN961" s="17"/>
      <c r="AO961" s="17"/>
      <c r="AP961" s="1"/>
      <c r="AQ961" s="1"/>
    </row>
    <row r="962" spans="1:43" x14ac:dyDescent="0.35">
      <c r="A962" s="6"/>
      <c r="B962" s="13"/>
      <c r="C962" s="81"/>
      <c r="D962" s="4"/>
      <c r="E962" s="8"/>
      <c r="F962" s="17"/>
      <c r="G962" s="17"/>
      <c r="H962" s="17"/>
      <c r="I962" s="17"/>
      <c r="J962" s="17"/>
      <c r="K962" s="17"/>
      <c r="L962" s="17"/>
      <c r="M962" s="17"/>
      <c r="N962" s="17"/>
      <c r="O962" s="17"/>
      <c r="P962" s="17"/>
      <c r="Q962" s="17"/>
      <c r="R962" s="17"/>
      <c r="S962" s="17"/>
      <c r="T962" s="17"/>
      <c r="U962" s="17"/>
      <c r="V962" s="17"/>
      <c r="W962" s="17"/>
      <c r="X962" s="17"/>
      <c r="Y962" s="17"/>
      <c r="Z962" s="17"/>
      <c r="AA962" s="17"/>
      <c r="AB962" s="17"/>
      <c r="AC962" s="17"/>
      <c r="AD962" s="17"/>
      <c r="AE962" s="17"/>
      <c r="AF962" s="17"/>
      <c r="AG962" s="17"/>
      <c r="AH962" s="17"/>
      <c r="AI962" s="17"/>
      <c r="AJ962" s="17"/>
      <c r="AK962" s="17"/>
      <c r="AL962" s="17"/>
      <c r="AM962" s="17"/>
      <c r="AN962" s="17"/>
      <c r="AO962" s="17"/>
      <c r="AP962" s="1"/>
      <c r="AQ962" s="1"/>
    </row>
    <row r="963" spans="1:43" x14ac:dyDescent="0.35">
      <c r="A963" s="6"/>
      <c r="B963" s="13"/>
      <c r="C963" s="81"/>
      <c r="D963" s="4"/>
      <c r="E963" s="8"/>
      <c r="F963" s="17"/>
      <c r="G963" s="17"/>
      <c r="H963" s="17"/>
      <c r="I963" s="17"/>
      <c r="J963" s="17"/>
      <c r="K963" s="17"/>
      <c r="L963" s="17"/>
      <c r="M963" s="17"/>
      <c r="N963" s="17"/>
      <c r="O963" s="17"/>
      <c r="P963" s="17"/>
      <c r="Q963" s="17"/>
      <c r="R963" s="17"/>
      <c r="S963" s="17"/>
      <c r="T963" s="17"/>
      <c r="U963" s="17"/>
      <c r="V963" s="17"/>
      <c r="W963" s="17"/>
      <c r="X963" s="17"/>
      <c r="Y963" s="17"/>
      <c r="Z963" s="17"/>
      <c r="AA963" s="17"/>
      <c r="AB963" s="17"/>
      <c r="AC963" s="17"/>
      <c r="AD963" s="17"/>
      <c r="AE963" s="17"/>
      <c r="AF963" s="17"/>
      <c r="AG963" s="17"/>
      <c r="AH963" s="17"/>
      <c r="AI963" s="17"/>
      <c r="AJ963" s="17"/>
      <c r="AK963" s="17"/>
      <c r="AL963" s="17"/>
      <c r="AM963" s="17"/>
      <c r="AN963" s="17"/>
      <c r="AO963" s="17"/>
      <c r="AP963" s="1"/>
      <c r="AQ963" s="1"/>
    </row>
    <row r="964" spans="1:43" x14ac:dyDescent="0.35">
      <c r="A964" s="6"/>
      <c r="B964" s="13"/>
      <c r="C964" s="81"/>
      <c r="D964" s="4"/>
      <c r="E964" s="8"/>
      <c r="F964" s="17"/>
      <c r="G964" s="17"/>
      <c r="H964" s="17"/>
      <c r="I964" s="17"/>
      <c r="J964" s="17"/>
      <c r="K964" s="17"/>
      <c r="L964" s="17"/>
      <c r="M964" s="17"/>
      <c r="N964" s="17"/>
      <c r="O964" s="17"/>
      <c r="P964" s="17"/>
      <c r="Q964" s="17"/>
      <c r="R964" s="17"/>
      <c r="S964" s="17"/>
      <c r="T964" s="17"/>
      <c r="U964" s="17"/>
      <c r="V964" s="17"/>
      <c r="W964" s="17"/>
      <c r="X964" s="17"/>
      <c r="Y964" s="17"/>
      <c r="Z964" s="17"/>
      <c r="AA964" s="17"/>
      <c r="AB964" s="17"/>
      <c r="AC964" s="17"/>
      <c r="AD964" s="17"/>
      <c r="AE964" s="17"/>
      <c r="AF964" s="17"/>
      <c r="AG964" s="17"/>
      <c r="AH964" s="17"/>
      <c r="AI964" s="17"/>
      <c r="AJ964" s="17"/>
      <c r="AK964" s="17"/>
      <c r="AL964" s="17"/>
      <c r="AM964" s="17"/>
      <c r="AN964" s="17"/>
      <c r="AO964" s="17"/>
      <c r="AP964" s="1"/>
      <c r="AQ964" s="1"/>
    </row>
    <row r="965" spans="1:43" x14ac:dyDescent="0.35">
      <c r="A965" s="6"/>
      <c r="B965" s="13"/>
      <c r="C965" s="81"/>
      <c r="D965" s="4"/>
      <c r="E965" s="8"/>
      <c r="F965" s="17"/>
      <c r="G965" s="17"/>
      <c r="H965" s="17"/>
      <c r="I965" s="17"/>
      <c r="J965" s="17"/>
      <c r="K965" s="17"/>
      <c r="L965" s="17"/>
      <c r="M965" s="17"/>
      <c r="N965" s="17"/>
      <c r="O965" s="17"/>
      <c r="P965" s="17"/>
      <c r="Q965" s="17"/>
      <c r="R965" s="17"/>
      <c r="S965" s="17"/>
      <c r="T965" s="17"/>
      <c r="U965" s="17"/>
      <c r="V965" s="17"/>
      <c r="W965" s="17"/>
      <c r="X965" s="17"/>
      <c r="Y965" s="17"/>
      <c r="Z965" s="17"/>
      <c r="AA965" s="17"/>
      <c r="AB965" s="17"/>
      <c r="AC965" s="17"/>
      <c r="AD965" s="17"/>
      <c r="AE965" s="17"/>
      <c r="AF965" s="17"/>
      <c r="AG965" s="17"/>
      <c r="AH965" s="17"/>
      <c r="AI965" s="17"/>
      <c r="AJ965" s="17"/>
      <c r="AK965" s="17"/>
      <c r="AL965" s="17"/>
      <c r="AM965" s="17"/>
      <c r="AN965" s="17"/>
      <c r="AO965" s="17"/>
      <c r="AP965" s="1"/>
      <c r="AQ965" s="1"/>
    </row>
    <row r="966" spans="1:43" x14ac:dyDescent="0.35">
      <c r="A966" s="6"/>
      <c r="B966" s="13"/>
      <c r="C966" s="81"/>
      <c r="D966" s="4"/>
      <c r="E966" s="8"/>
      <c r="F966" s="17"/>
      <c r="G966" s="17"/>
      <c r="H966" s="17"/>
      <c r="I966" s="17"/>
      <c r="J966" s="17"/>
      <c r="K966" s="17"/>
      <c r="L966" s="17"/>
      <c r="M966" s="17"/>
      <c r="N966" s="17"/>
      <c r="O966" s="17"/>
      <c r="P966" s="17"/>
      <c r="Q966" s="17"/>
      <c r="R966" s="17"/>
      <c r="S966" s="17"/>
      <c r="T966" s="17"/>
      <c r="U966" s="17"/>
      <c r="V966" s="17"/>
      <c r="W966" s="17"/>
      <c r="X966" s="17"/>
      <c r="Y966" s="17"/>
      <c r="Z966" s="17"/>
      <c r="AA966" s="17"/>
      <c r="AB966" s="17"/>
      <c r="AC966" s="17"/>
      <c r="AD966" s="17"/>
      <c r="AE966" s="17"/>
      <c r="AF966" s="17"/>
      <c r="AG966" s="17"/>
      <c r="AH966" s="17"/>
      <c r="AI966" s="17"/>
      <c r="AJ966" s="17"/>
      <c r="AK966" s="17"/>
      <c r="AL966" s="17"/>
      <c r="AM966" s="17"/>
      <c r="AN966" s="17"/>
      <c r="AO966" s="17"/>
      <c r="AP966" s="1"/>
      <c r="AQ966" s="1"/>
    </row>
    <row r="967" spans="1:43" x14ac:dyDescent="0.35">
      <c r="A967" s="6"/>
      <c r="B967" s="13"/>
      <c r="C967" s="81"/>
      <c r="D967" s="4"/>
      <c r="E967" s="8"/>
      <c r="F967" s="17"/>
      <c r="G967" s="17"/>
      <c r="H967" s="17"/>
      <c r="I967" s="17"/>
      <c r="J967" s="17"/>
      <c r="K967" s="17"/>
      <c r="L967" s="17"/>
      <c r="M967" s="17"/>
      <c r="N967" s="17"/>
      <c r="O967" s="17"/>
      <c r="P967" s="17"/>
      <c r="Q967" s="17"/>
      <c r="R967" s="17"/>
      <c r="S967" s="17"/>
      <c r="T967" s="17"/>
      <c r="U967" s="17"/>
      <c r="V967" s="17"/>
      <c r="W967" s="17"/>
      <c r="X967" s="17"/>
      <c r="Y967" s="17"/>
      <c r="Z967" s="17"/>
      <c r="AA967" s="17"/>
      <c r="AB967" s="17"/>
      <c r="AC967" s="17"/>
      <c r="AD967" s="17"/>
      <c r="AE967" s="17"/>
      <c r="AF967" s="17"/>
      <c r="AG967" s="17"/>
      <c r="AH967" s="17"/>
      <c r="AI967" s="17"/>
      <c r="AJ967" s="17"/>
      <c r="AK967" s="17"/>
      <c r="AL967" s="17"/>
      <c r="AM967" s="17"/>
      <c r="AN967" s="17"/>
      <c r="AO967" s="17"/>
      <c r="AP967" s="1"/>
      <c r="AQ967" s="1"/>
    </row>
    <row r="968" spans="1:43" x14ac:dyDescent="0.35">
      <c r="A968" s="6"/>
      <c r="B968" s="13"/>
      <c r="C968" s="81"/>
      <c r="D968" s="4"/>
      <c r="E968" s="8"/>
      <c r="F968" s="17"/>
      <c r="G968" s="17"/>
      <c r="H968" s="17"/>
      <c r="I968" s="17"/>
      <c r="J968" s="17"/>
      <c r="K968" s="17"/>
      <c r="L968" s="17"/>
      <c r="M968" s="17"/>
      <c r="N968" s="17"/>
      <c r="O968" s="17"/>
      <c r="P968" s="17"/>
      <c r="Q968" s="17"/>
      <c r="R968" s="17"/>
      <c r="S968" s="17"/>
      <c r="T968" s="17"/>
      <c r="U968" s="17"/>
      <c r="V968" s="17"/>
      <c r="W968" s="17"/>
      <c r="X968" s="17"/>
      <c r="Y968" s="17"/>
      <c r="Z968" s="17"/>
      <c r="AA968" s="17"/>
      <c r="AB968" s="17"/>
      <c r="AC968" s="17"/>
      <c r="AD968" s="17"/>
      <c r="AE968" s="17"/>
      <c r="AF968" s="17"/>
      <c r="AG968" s="17"/>
      <c r="AH968" s="17"/>
      <c r="AI968" s="17"/>
      <c r="AJ968" s="17"/>
      <c r="AK968" s="17"/>
      <c r="AL968" s="17"/>
      <c r="AM968" s="17"/>
      <c r="AN968" s="17"/>
      <c r="AO968" s="17"/>
      <c r="AP968" s="1"/>
      <c r="AQ968" s="1"/>
    </row>
    <row r="969" spans="1:43" x14ac:dyDescent="0.35">
      <c r="A969" s="6"/>
      <c r="B969" s="13"/>
      <c r="C969" s="81"/>
      <c r="D969" s="4"/>
      <c r="E969" s="8"/>
      <c r="F969" s="17"/>
      <c r="G969" s="17"/>
      <c r="H969" s="17"/>
      <c r="I969" s="17"/>
      <c r="J969" s="17"/>
      <c r="K969" s="17"/>
      <c r="L969" s="17"/>
      <c r="M969" s="17"/>
      <c r="N969" s="17"/>
      <c r="O969" s="17"/>
      <c r="P969" s="17"/>
      <c r="Q969" s="17"/>
      <c r="R969" s="17"/>
      <c r="S969" s="17"/>
      <c r="T969" s="17"/>
      <c r="U969" s="17"/>
      <c r="V969" s="17"/>
      <c r="W969" s="17"/>
      <c r="X969" s="17"/>
      <c r="Y969" s="17"/>
      <c r="Z969" s="17"/>
      <c r="AA969" s="17"/>
      <c r="AB969" s="17"/>
      <c r="AC969" s="17"/>
      <c r="AD969" s="17"/>
      <c r="AE969" s="17"/>
      <c r="AF969" s="17"/>
      <c r="AG969" s="17"/>
      <c r="AH969" s="17"/>
      <c r="AI969" s="17"/>
      <c r="AJ969" s="17"/>
      <c r="AK969" s="17"/>
      <c r="AL969" s="17"/>
      <c r="AM969" s="17"/>
      <c r="AN969" s="17"/>
      <c r="AO969" s="17"/>
      <c r="AP969" s="1"/>
      <c r="AQ969" s="1"/>
    </row>
    <row r="970" spans="1:43" x14ac:dyDescent="0.35">
      <c r="A970" s="6"/>
      <c r="B970" s="13"/>
      <c r="C970" s="81"/>
      <c r="D970" s="4"/>
      <c r="E970" s="8"/>
      <c r="F970" s="17"/>
      <c r="G970" s="17"/>
      <c r="H970" s="17"/>
      <c r="I970" s="17"/>
      <c r="J970" s="17"/>
      <c r="K970" s="17"/>
      <c r="L970" s="17"/>
      <c r="M970" s="17"/>
      <c r="N970" s="17"/>
      <c r="O970" s="17"/>
      <c r="P970" s="17"/>
      <c r="Q970" s="17"/>
      <c r="R970" s="17"/>
      <c r="S970" s="17"/>
      <c r="T970" s="17"/>
      <c r="U970" s="17"/>
      <c r="V970" s="17"/>
      <c r="W970" s="17"/>
      <c r="X970" s="17"/>
      <c r="Y970" s="17"/>
      <c r="Z970" s="17"/>
      <c r="AA970" s="17"/>
      <c r="AB970" s="17"/>
      <c r="AC970" s="17"/>
      <c r="AD970" s="17"/>
      <c r="AE970" s="17"/>
      <c r="AF970" s="17"/>
      <c r="AG970" s="17"/>
      <c r="AH970" s="17"/>
      <c r="AI970" s="17"/>
      <c r="AJ970" s="17"/>
      <c r="AK970" s="17"/>
      <c r="AL970" s="17"/>
      <c r="AM970" s="17"/>
      <c r="AN970" s="17"/>
      <c r="AO970" s="17"/>
      <c r="AP970" s="1"/>
      <c r="AQ970" s="1"/>
    </row>
    <row r="971" spans="1:43" x14ac:dyDescent="0.35">
      <c r="A971" s="6"/>
      <c r="B971" s="13"/>
      <c r="C971" s="81"/>
      <c r="D971" s="4"/>
      <c r="E971" s="8"/>
      <c r="F971" s="17"/>
      <c r="G971" s="17"/>
      <c r="H971" s="17"/>
      <c r="I971" s="17"/>
      <c r="J971" s="17"/>
      <c r="K971" s="17"/>
      <c r="L971" s="17"/>
      <c r="M971" s="17"/>
      <c r="N971" s="17"/>
      <c r="O971" s="17"/>
      <c r="P971" s="17"/>
      <c r="Q971" s="17"/>
      <c r="R971" s="17"/>
      <c r="S971" s="17"/>
      <c r="T971" s="17"/>
      <c r="U971" s="17"/>
      <c r="V971" s="17"/>
      <c r="W971" s="17"/>
      <c r="X971" s="17"/>
      <c r="Y971" s="17"/>
      <c r="Z971" s="17"/>
      <c r="AA971" s="17"/>
      <c r="AB971" s="17"/>
      <c r="AC971" s="17"/>
      <c r="AD971" s="17"/>
      <c r="AE971" s="17"/>
      <c r="AF971" s="17"/>
      <c r="AG971" s="17"/>
      <c r="AH971" s="17"/>
      <c r="AI971" s="17"/>
      <c r="AJ971" s="17"/>
      <c r="AK971" s="17"/>
      <c r="AL971" s="17"/>
      <c r="AM971" s="17"/>
      <c r="AN971" s="17"/>
      <c r="AO971" s="17"/>
      <c r="AP971" s="1"/>
      <c r="AQ971" s="1"/>
    </row>
    <row r="972" spans="1:43" x14ac:dyDescent="0.35">
      <c r="A972" s="6"/>
      <c r="B972" s="13"/>
      <c r="C972" s="81"/>
      <c r="D972" s="4"/>
      <c r="E972" s="8"/>
      <c r="F972" s="17"/>
      <c r="G972" s="17"/>
      <c r="H972" s="17"/>
      <c r="I972" s="17"/>
      <c r="J972" s="17"/>
      <c r="K972" s="17"/>
      <c r="L972" s="17"/>
      <c r="M972" s="17"/>
      <c r="N972" s="17"/>
      <c r="O972" s="17"/>
      <c r="P972" s="17"/>
      <c r="Q972" s="17"/>
      <c r="R972" s="17"/>
      <c r="S972" s="17"/>
      <c r="T972" s="17"/>
      <c r="U972" s="17"/>
      <c r="V972" s="17"/>
      <c r="W972" s="17"/>
      <c r="X972" s="17"/>
      <c r="Y972" s="17"/>
      <c r="Z972" s="17"/>
      <c r="AA972" s="17"/>
      <c r="AB972" s="17"/>
      <c r="AC972" s="17"/>
      <c r="AD972" s="17"/>
      <c r="AE972" s="17"/>
      <c r="AF972" s="17"/>
      <c r="AG972" s="17"/>
      <c r="AH972" s="17"/>
      <c r="AI972" s="17"/>
      <c r="AJ972" s="17"/>
      <c r="AK972" s="17"/>
      <c r="AL972" s="17"/>
      <c r="AM972" s="17"/>
      <c r="AN972" s="17"/>
      <c r="AO972" s="17"/>
      <c r="AP972" s="1"/>
      <c r="AQ972" s="1"/>
    </row>
    <row r="973" spans="1:43" x14ac:dyDescent="0.35">
      <c r="A973" s="6"/>
      <c r="B973" s="13"/>
      <c r="C973" s="81"/>
      <c r="D973" s="4"/>
      <c r="E973" s="8"/>
      <c r="F973" s="17"/>
      <c r="G973" s="17"/>
      <c r="H973" s="17"/>
      <c r="I973" s="17"/>
      <c r="J973" s="17"/>
      <c r="K973" s="17"/>
      <c r="L973" s="17"/>
      <c r="M973" s="17"/>
      <c r="N973" s="17"/>
      <c r="O973" s="17"/>
      <c r="P973" s="17"/>
      <c r="Q973" s="17"/>
      <c r="R973" s="17"/>
      <c r="S973" s="17"/>
      <c r="T973" s="17"/>
      <c r="U973" s="17"/>
      <c r="V973" s="17"/>
      <c r="W973" s="17"/>
      <c r="X973" s="17"/>
      <c r="Y973" s="17"/>
      <c r="Z973" s="17"/>
      <c r="AA973" s="17"/>
      <c r="AB973" s="17"/>
      <c r="AC973" s="17"/>
      <c r="AD973" s="17"/>
      <c r="AE973" s="17"/>
      <c r="AF973" s="17"/>
      <c r="AG973" s="17"/>
      <c r="AH973" s="17"/>
      <c r="AI973" s="17"/>
      <c r="AJ973" s="17"/>
      <c r="AK973" s="17"/>
      <c r="AL973" s="17"/>
      <c r="AM973" s="17"/>
      <c r="AN973" s="17"/>
      <c r="AO973" s="17"/>
      <c r="AP973" s="1"/>
      <c r="AQ973" s="1"/>
    </row>
    <row r="974" spans="1:43" x14ac:dyDescent="0.35">
      <c r="A974" s="6"/>
      <c r="B974" s="13"/>
      <c r="C974" s="81"/>
      <c r="D974" s="4"/>
      <c r="E974" s="8"/>
      <c r="F974" s="17"/>
      <c r="G974" s="17"/>
      <c r="H974" s="17"/>
      <c r="I974" s="17"/>
      <c r="J974" s="17"/>
      <c r="K974" s="17"/>
      <c r="L974" s="17"/>
      <c r="M974" s="17"/>
      <c r="N974" s="17"/>
      <c r="O974" s="17"/>
      <c r="P974" s="17"/>
      <c r="Q974" s="17"/>
      <c r="R974" s="17"/>
      <c r="S974" s="17"/>
      <c r="T974" s="17"/>
      <c r="U974" s="17"/>
      <c r="V974" s="17"/>
      <c r="W974" s="17"/>
      <c r="X974" s="17"/>
      <c r="Y974" s="17"/>
      <c r="Z974" s="17"/>
      <c r="AA974" s="17"/>
      <c r="AB974" s="17"/>
      <c r="AC974" s="17"/>
      <c r="AD974" s="17"/>
      <c r="AE974" s="17"/>
      <c r="AF974" s="17"/>
      <c r="AG974" s="17"/>
      <c r="AH974" s="17"/>
      <c r="AI974" s="17"/>
      <c r="AJ974" s="17"/>
      <c r="AK974" s="17"/>
      <c r="AL974" s="17"/>
      <c r="AM974" s="17"/>
      <c r="AN974" s="17"/>
      <c r="AO974" s="17"/>
      <c r="AP974" s="1"/>
      <c r="AQ974" s="1"/>
    </row>
    <row r="975" spans="1:43" x14ac:dyDescent="0.35">
      <c r="A975" s="6"/>
      <c r="B975" s="13"/>
      <c r="C975" s="81"/>
      <c r="D975" s="4"/>
      <c r="E975" s="8"/>
      <c r="F975" s="17"/>
      <c r="G975" s="17"/>
      <c r="H975" s="17"/>
      <c r="I975" s="17"/>
      <c r="J975" s="17"/>
      <c r="K975" s="17"/>
      <c r="L975" s="17"/>
      <c r="M975" s="17"/>
      <c r="N975" s="17"/>
      <c r="O975" s="17"/>
      <c r="P975" s="17"/>
      <c r="Q975" s="17"/>
      <c r="R975" s="17"/>
      <c r="S975" s="17"/>
      <c r="T975" s="17"/>
      <c r="U975" s="17"/>
      <c r="V975" s="17"/>
      <c r="W975" s="17"/>
      <c r="X975" s="17"/>
      <c r="Y975" s="17"/>
      <c r="Z975" s="17"/>
      <c r="AA975" s="17"/>
      <c r="AB975" s="17"/>
      <c r="AC975" s="17"/>
      <c r="AD975" s="17"/>
      <c r="AE975" s="17"/>
      <c r="AF975" s="17"/>
      <c r="AG975" s="17"/>
      <c r="AH975" s="17"/>
      <c r="AI975" s="17"/>
      <c r="AJ975" s="17"/>
      <c r="AK975" s="17"/>
      <c r="AL975" s="17"/>
      <c r="AM975" s="17"/>
      <c r="AN975" s="17"/>
      <c r="AO975" s="17"/>
      <c r="AP975" s="1"/>
      <c r="AQ975" s="1"/>
    </row>
    <row r="976" spans="1:43" x14ac:dyDescent="0.35">
      <c r="A976" s="6"/>
      <c r="B976" s="13"/>
      <c r="C976" s="81"/>
      <c r="D976" s="4"/>
      <c r="E976" s="8"/>
      <c r="F976" s="17"/>
      <c r="G976" s="17"/>
      <c r="H976" s="17"/>
      <c r="I976" s="17"/>
      <c r="J976" s="17"/>
      <c r="K976" s="17"/>
      <c r="L976" s="17"/>
      <c r="M976" s="17"/>
      <c r="N976" s="17"/>
      <c r="O976" s="17"/>
      <c r="P976" s="17"/>
      <c r="Q976" s="17"/>
      <c r="R976" s="17"/>
      <c r="S976" s="17"/>
      <c r="T976" s="17"/>
      <c r="U976" s="17"/>
      <c r="V976" s="17"/>
      <c r="W976" s="17"/>
      <c r="X976" s="17"/>
      <c r="Y976" s="17"/>
      <c r="Z976" s="17"/>
      <c r="AA976" s="17"/>
      <c r="AB976" s="17"/>
      <c r="AC976" s="17"/>
      <c r="AD976" s="17"/>
      <c r="AE976" s="17"/>
      <c r="AF976" s="17"/>
      <c r="AG976" s="17"/>
      <c r="AH976" s="17"/>
      <c r="AI976" s="17"/>
      <c r="AJ976" s="17"/>
      <c r="AK976" s="17"/>
      <c r="AL976" s="17"/>
      <c r="AM976" s="17"/>
      <c r="AN976" s="17"/>
      <c r="AO976" s="17"/>
      <c r="AP976" s="1"/>
      <c r="AQ976" s="1"/>
    </row>
    <row r="977" spans="1:43" x14ac:dyDescent="0.35">
      <c r="A977" s="6"/>
      <c r="B977" s="13"/>
      <c r="C977" s="81"/>
      <c r="D977" s="4"/>
      <c r="E977" s="8"/>
      <c r="F977" s="17"/>
      <c r="G977" s="17"/>
      <c r="H977" s="17"/>
      <c r="I977" s="17"/>
      <c r="J977" s="17"/>
      <c r="K977" s="17"/>
      <c r="L977" s="17"/>
      <c r="M977" s="17"/>
      <c r="N977" s="17"/>
      <c r="O977" s="17"/>
      <c r="P977" s="17"/>
      <c r="Q977" s="17"/>
      <c r="R977" s="17"/>
      <c r="S977" s="17"/>
      <c r="T977" s="17"/>
      <c r="U977" s="17"/>
      <c r="V977" s="17"/>
      <c r="W977" s="17"/>
      <c r="X977" s="17"/>
      <c r="Y977" s="17"/>
      <c r="Z977" s="17"/>
      <c r="AA977" s="17"/>
      <c r="AB977" s="17"/>
      <c r="AC977" s="17"/>
      <c r="AD977" s="17"/>
      <c r="AE977" s="17"/>
      <c r="AF977" s="17"/>
      <c r="AG977" s="17"/>
      <c r="AH977" s="17"/>
      <c r="AI977" s="17"/>
      <c r="AJ977" s="17"/>
      <c r="AK977" s="17"/>
      <c r="AL977" s="17"/>
      <c r="AM977" s="17"/>
      <c r="AN977" s="17"/>
      <c r="AO977" s="17"/>
      <c r="AP977" s="1"/>
      <c r="AQ977" s="1"/>
    </row>
    <row r="978" spans="1:43" x14ac:dyDescent="0.35">
      <c r="A978" s="6"/>
      <c r="B978" s="13"/>
      <c r="C978" s="81"/>
      <c r="D978" s="4"/>
      <c r="E978" s="8"/>
      <c r="F978" s="17"/>
      <c r="G978" s="17"/>
      <c r="H978" s="17"/>
      <c r="I978" s="17"/>
      <c r="J978" s="17"/>
      <c r="K978" s="17"/>
      <c r="L978" s="17"/>
      <c r="M978" s="17"/>
      <c r="N978" s="17"/>
      <c r="O978" s="17"/>
      <c r="P978" s="17"/>
      <c r="Q978" s="17"/>
      <c r="R978" s="17"/>
      <c r="S978" s="17"/>
      <c r="T978" s="17"/>
      <c r="U978" s="17"/>
      <c r="V978" s="17"/>
      <c r="W978" s="17"/>
      <c r="X978" s="17"/>
      <c r="Y978" s="17"/>
      <c r="Z978" s="17"/>
      <c r="AA978" s="17"/>
      <c r="AB978" s="17"/>
      <c r="AC978" s="17"/>
      <c r="AD978" s="17"/>
      <c r="AE978" s="17"/>
      <c r="AF978" s="17"/>
      <c r="AG978" s="17"/>
      <c r="AH978" s="17"/>
      <c r="AI978" s="17"/>
      <c r="AJ978" s="17"/>
      <c r="AK978" s="17"/>
      <c r="AL978" s="17"/>
      <c r="AM978" s="17"/>
      <c r="AN978" s="17"/>
      <c r="AO978" s="17"/>
      <c r="AP978" s="1"/>
      <c r="AQ978" s="1"/>
    </row>
    <row r="979" spans="1:43" x14ac:dyDescent="0.35">
      <c r="A979" s="6"/>
      <c r="B979" s="13"/>
      <c r="C979" s="81"/>
      <c r="D979" s="4"/>
      <c r="E979" s="8"/>
      <c r="F979" s="17"/>
      <c r="G979" s="17"/>
      <c r="H979" s="17"/>
      <c r="I979" s="17"/>
      <c r="J979" s="17"/>
      <c r="K979" s="17"/>
      <c r="L979" s="17"/>
      <c r="M979" s="17"/>
      <c r="N979" s="17"/>
      <c r="O979" s="17"/>
      <c r="P979" s="17"/>
      <c r="Q979" s="17"/>
      <c r="R979" s="17"/>
      <c r="S979" s="17"/>
      <c r="T979" s="17"/>
      <c r="U979" s="17"/>
      <c r="V979" s="17"/>
      <c r="W979" s="17"/>
      <c r="X979" s="17"/>
      <c r="Y979" s="17"/>
      <c r="Z979" s="17"/>
      <c r="AA979" s="17"/>
      <c r="AB979" s="17"/>
      <c r="AC979" s="17"/>
      <c r="AD979" s="17"/>
      <c r="AE979" s="17"/>
      <c r="AF979" s="17"/>
      <c r="AG979" s="17"/>
      <c r="AH979" s="17"/>
      <c r="AI979" s="17"/>
      <c r="AJ979" s="17"/>
      <c r="AK979" s="17"/>
      <c r="AL979" s="17"/>
      <c r="AM979" s="17"/>
      <c r="AN979" s="17"/>
      <c r="AO979" s="17"/>
      <c r="AP979" s="1"/>
      <c r="AQ979" s="1"/>
    </row>
    <row r="980" spans="1:43" x14ac:dyDescent="0.35">
      <c r="A980" s="6"/>
      <c r="B980" s="13"/>
      <c r="C980" s="81"/>
      <c r="D980" s="4"/>
      <c r="E980" s="8"/>
      <c r="F980" s="17"/>
      <c r="G980" s="17"/>
      <c r="H980" s="17"/>
      <c r="I980" s="17"/>
      <c r="J980" s="17"/>
      <c r="K980" s="17"/>
      <c r="L980" s="17"/>
      <c r="M980" s="17"/>
      <c r="N980" s="17"/>
      <c r="O980" s="17"/>
      <c r="P980" s="17"/>
      <c r="Q980" s="17"/>
      <c r="R980" s="17"/>
      <c r="S980" s="17"/>
      <c r="T980" s="17"/>
      <c r="U980" s="17"/>
      <c r="V980" s="17"/>
      <c r="W980" s="17"/>
      <c r="X980" s="17"/>
      <c r="Y980" s="17"/>
      <c r="Z980" s="17"/>
      <c r="AA980" s="17"/>
      <c r="AB980" s="17"/>
      <c r="AC980" s="17"/>
      <c r="AD980" s="17"/>
      <c r="AE980" s="17"/>
      <c r="AF980" s="17"/>
      <c r="AG980" s="17"/>
      <c r="AH980" s="17"/>
      <c r="AI980" s="17"/>
      <c r="AJ980" s="17"/>
      <c r="AK980" s="17"/>
      <c r="AL980" s="17"/>
      <c r="AM980" s="17"/>
      <c r="AN980" s="17"/>
      <c r="AO980" s="17"/>
      <c r="AP980" s="1"/>
      <c r="AQ980" s="1"/>
    </row>
    <row r="981" spans="1:43" x14ac:dyDescent="0.35">
      <c r="A981" s="6"/>
      <c r="B981" s="13"/>
      <c r="C981" s="81"/>
      <c r="D981" s="4"/>
      <c r="E981" s="8"/>
      <c r="F981" s="17"/>
      <c r="G981" s="17"/>
      <c r="H981" s="17"/>
      <c r="I981" s="17"/>
      <c r="J981" s="17"/>
      <c r="K981" s="17"/>
      <c r="L981" s="17"/>
      <c r="M981" s="17"/>
      <c r="N981" s="17"/>
      <c r="O981" s="17"/>
      <c r="P981" s="17"/>
      <c r="Q981" s="17"/>
      <c r="R981" s="17"/>
      <c r="S981" s="17"/>
      <c r="T981" s="17"/>
      <c r="U981" s="17"/>
      <c r="V981" s="17"/>
      <c r="W981" s="17"/>
      <c r="X981" s="17"/>
      <c r="Y981" s="17"/>
      <c r="Z981" s="17"/>
      <c r="AA981" s="17"/>
      <c r="AB981" s="17"/>
      <c r="AC981" s="17"/>
      <c r="AD981" s="17"/>
      <c r="AE981" s="17"/>
      <c r="AF981" s="17"/>
      <c r="AG981" s="17"/>
      <c r="AH981" s="17"/>
      <c r="AI981" s="17"/>
      <c r="AJ981" s="17"/>
      <c r="AK981" s="17"/>
      <c r="AL981" s="17"/>
      <c r="AM981" s="17"/>
      <c r="AN981" s="17"/>
      <c r="AO981" s="17"/>
      <c r="AP981" s="1"/>
      <c r="AQ981" s="1"/>
    </row>
    <row r="982" spans="1:43" x14ac:dyDescent="0.35">
      <c r="A982" s="6"/>
      <c r="B982" s="13"/>
      <c r="C982" s="81"/>
      <c r="D982" s="4"/>
      <c r="E982" s="8"/>
      <c r="F982" s="17"/>
      <c r="G982" s="17"/>
      <c r="H982" s="17"/>
      <c r="I982" s="17"/>
      <c r="J982" s="17"/>
      <c r="K982" s="17"/>
      <c r="L982" s="17"/>
      <c r="M982" s="17"/>
      <c r="N982" s="17"/>
      <c r="O982" s="17"/>
      <c r="P982" s="17"/>
      <c r="Q982" s="17"/>
      <c r="R982" s="17"/>
      <c r="S982" s="17"/>
      <c r="T982" s="17"/>
      <c r="U982" s="17"/>
      <c r="V982" s="17"/>
      <c r="W982" s="17"/>
      <c r="X982" s="17"/>
      <c r="Y982" s="17"/>
      <c r="Z982" s="17"/>
      <c r="AA982" s="17"/>
      <c r="AB982" s="17"/>
      <c r="AC982" s="17"/>
      <c r="AD982" s="17"/>
      <c r="AE982" s="17"/>
      <c r="AF982" s="17"/>
      <c r="AG982" s="17"/>
      <c r="AH982" s="17"/>
      <c r="AI982" s="17"/>
      <c r="AJ982" s="17"/>
      <c r="AK982" s="17"/>
      <c r="AL982" s="17"/>
      <c r="AM982" s="17"/>
      <c r="AN982" s="17"/>
      <c r="AO982" s="17"/>
      <c r="AP982" s="1"/>
      <c r="AQ982" s="1"/>
    </row>
    <row r="983" spans="1:43" x14ac:dyDescent="0.35">
      <c r="A983" s="6"/>
      <c r="B983" s="13"/>
      <c r="C983" s="81"/>
      <c r="D983" s="4"/>
      <c r="E983" s="8"/>
      <c r="F983" s="17"/>
      <c r="G983" s="17"/>
      <c r="H983" s="17"/>
      <c r="I983" s="17"/>
      <c r="J983" s="17"/>
      <c r="K983" s="17"/>
      <c r="L983" s="17"/>
      <c r="M983" s="17"/>
      <c r="N983" s="17"/>
      <c r="O983" s="17"/>
      <c r="P983" s="17"/>
      <c r="Q983" s="17"/>
      <c r="R983" s="17"/>
      <c r="S983" s="17"/>
      <c r="T983" s="17"/>
      <c r="U983" s="17"/>
      <c r="V983" s="17"/>
      <c r="W983" s="17"/>
      <c r="X983" s="17"/>
      <c r="Y983" s="17"/>
      <c r="Z983" s="17"/>
      <c r="AA983" s="17"/>
      <c r="AB983" s="17"/>
      <c r="AC983" s="17"/>
      <c r="AD983" s="17"/>
      <c r="AE983" s="17"/>
      <c r="AF983" s="17"/>
      <c r="AG983" s="17"/>
      <c r="AH983" s="17"/>
      <c r="AI983" s="17"/>
      <c r="AJ983" s="17"/>
      <c r="AK983" s="17"/>
      <c r="AL983" s="17"/>
      <c r="AM983" s="17"/>
      <c r="AN983" s="17"/>
      <c r="AO983" s="17"/>
      <c r="AP983" s="1"/>
      <c r="AQ983" s="1"/>
    </row>
    <row r="984" spans="1:43" x14ac:dyDescent="0.35">
      <c r="A984" s="6"/>
      <c r="B984" s="13"/>
      <c r="C984" s="81"/>
      <c r="D984" s="4"/>
      <c r="E984" s="8"/>
      <c r="F984" s="17"/>
      <c r="G984" s="17"/>
      <c r="H984" s="17"/>
      <c r="I984" s="17"/>
      <c r="J984" s="17"/>
      <c r="K984" s="17"/>
      <c r="L984" s="17"/>
      <c r="M984" s="17"/>
      <c r="N984" s="17"/>
      <c r="O984" s="17"/>
      <c r="P984" s="17"/>
      <c r="Q984" s="17"/>
      <c r="R984" s="17"/>
      <c r="S984" s="17"/>
      <c r="T984" s="17"/>
      <c r="U984" s="17"/>
      <c r="V984" s="17"/>
      <c r="W984" s="17"/>
      <c r="X984" s="17"/>
      <c r="Y984" s="17"/>
      <c r="Z984" s="17"/>
      <c r="AA984" s="17"/>
      <c r="AB984" s="17"/>
      <c r="AC984" s="17"/>
      <c r="AD984" s="17"/>
      <c r="AE984" s="17"/>
      <c r="AF984" s="17"/>
      <c r="AG984" s="17"/>
      <c r="AH984" s="17"/>
      <c r="AI984" s="17"/>
      <c r="AJ984" s="17"/>
      <c r="AK984" s="17"/>
      <c r="AL984" s="17"/>
      <c r="AM984" s="17"/>
      <c r="AN984" s="17"/>
      <c r="AO984" s="17"/>
      <c r="AP984" s="1"/>
      <c r="AQ984" s="1"/>
    </row>
    <row r="985" spans="1:43" x14ac:dyDescent="0.35">
      <c r="A985" s="6"/>
      <c r="B985" s="13"/>
      <c r="C985" s="81"/>
      <c r="D985" s="4"/>
      <c r="E985" s="8"/>
      <c r="F985" s="17"/>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17"/>
      <c r="AO985" s="17"/>
      <c r="AP985" s="1"/>
      <c r="AQ985" s="1"/>
    </row>
    <row r="986" spans="1:43" x14ac:dyDescent="0.35">
      <c r="A986" s="6"/>
      <c r="B986" s="13"/>
      <c r="C986" s="81"/>
      <c r="D986" s="4"/>
      <c r="E986" s="8"/>
      <c r="F986" s="17"/>
      <c r="G986" s="17"/>
      <c r="H986" s="17"/>
      <c r="I986" s="17"/>
      <c r="J986" s="17"/>
      <c r="K986" s="17"/>
      <c r="L986" s="17"/>
      <c r="M986" s="17"/>
      <c r="N986" s="17"/>
      <c r="O986" s="17"/>
      <c r="P986" s="17"/>
      <c r="Q986" s="17"/>
      <c r="R986" s="17"/>
      <c r="S986" s="17"/>
      <c r="T986" s="17"/>
      <c r="U986" s="17"/>
      <c r="V986" s="17"/>
      <c r="W986" s="17"/>
      <c r="X986" s="17"/>
      <c r="Y986" s="17"/>
      <c r="Z986" s="17"/>
      <c r="AA986" s="17"/>
      <c r="AB986" s="17"/>
      <c r="AC986" s="17"/>
      <c r="AD986" s="17"/>
      <c r="AE986" s="17"/>
      <c r="AF986" s="17"/>
      <c r="AG986" s="17"/>
      <c r="AH986" s="17"/>
      <c r="AI986" s="17"/>
      <c r="AJ986" s="17"/>
      <c r="AK986" s="17"/>
      <c r="AL986" s="17"/>
      <c r="AM986" s="17"/>
      <c r="AN986" s="17"/>
      <c r="AO986" s="17"/>
      <c r="AP986" s="1"/>
      <c r="AQ986" s="1"/>
    </row>
    <row r="987" spans="1:43" x14ac:dyDescent="0.35">
      <c r="A987" s="6"/>
      <c r="B987" s="13"/>
      <c r="C987" s="81"/>
      <c r="D987" s="4"/>
      <c r="E987" s="8"/>
      <c r="F987" s="17"/>
      <c r="G987" s="17"/>
      <c r="H987" s="17"/>
      <c r="I987" s="17"/>
      <c r="J987" s="17"/>
      <c r="K987" s="17"/>
      <c r="L987" s="17"/>
      <c r="M987" s="17"/>
      <c r="N987" s="17"/>
      <c r="O987" s="17"/>
      <c r="P987" s="17"/>
      <c r="Q987" s="17"/>
      <c r="R987" s="17"/>
      <c r="S987" s="17"/>
      <c r="T987" s="17"/>
      <c r="U987" s="17"/>
      <c r="V987" s="17"/>
      <c r="W987" s="17"/>
      <c r="X987" s="17"/>
      <c r="Y987" s="17"/>
      <c r="Z987" s="17"/>
      <c r="AA987" s="17"/>
      <c r="AB987" s="17"/>
      <c r="AC987" s="17"/>
      <c r="AD987" s="17"/>
      <c r="AE987" s="17"/>
      <c r="AF987" s="17"/>
      <c r="AG987" s="17"/>
      <c r="AH987" s="17"/>
      <c r="AI987" s="17"/>
      <c r="AJ987" s="17"/>
      <c r="AK987" s="17"/>
      <c r="AL987" s="17"/>
      <c r="AM987" s="17"/>
      <c r="AN987" s="17"/>
      <c r="AO987" s="17"/>
      <c r="AP987" s="1"/>
      <c r="AQ987" s="1"/>
    </row>
    <row r="988" spans="1:43" x14ac:dyDescent="0.35">
      <c r="A988" s="6"/>
      <c r="B988" s="13"/>
      <c r="C988" s="81"/>
      <c r="D988" s="4"/>
      <c r="E988" s="8"/>
      <c r="F988" s="17"/>
      <c r="G988" s="17"/>
      <c r="H988" s="17"/>
      <c r="I988" s="17"/>
      <c r="J988" s="17"/>
      <c r="K988" s="17"/>
      <c r="L988" s="17"/>
      <c r="M988" s="17"/>
      <c r="N988" s="17"/>
      <c r="O988" s="17"/>
      <c r="P988" s="17"/>
      <c r="Q988" s="17"/>
      <c r="R988" s="17"/>
      <c r="S988" s="17"/>
      <c r="T988" s="17"/>
      <c r="U988" s="17"/>
      <c r="V988" s="17"/>
      <c r="W988" s="17"/>
      <c r="X988" s="17"/>
      <c r="Y988" s="17"/>
      <c r="Z988" s="17"/>
      <c r="AA988" s="17"/>
      <c r="AB988" s="17"/>
      <c r="AC988" s="17"/>
      <c r="AD988" s="17"/>
      <c r="AE988" s="17"/>
      <c r="AF988" s="17"/>
      <c r="AG988" s="17"/>
      <c r="AH988" s="17"/>
      <c r="AI988" s="17"/>
      <c r="AJ988" s="17"/>
      <c r="AK988" s="17"/>
      <c r="AL988" s="17"/>
      <c r="AM988" s="17"/>
      <c r="AN988" s="17"/>
      <c r="AO988" s="17"/>
      <c r="AP988" s="1"/>
      <c r="AQ988" s="1"/>
    </row>
    <row r="989" spans="1:43" x14ac:dyDescent="0.35">
      <c r="A989" s="6"/>
      <c r="B989" s="13"/>
      <c r="C989" s="81"/>
      <c r="D989" s="4"/>
      <c r="E989" s="8"/>
      <c r="F989" s="17"/>
      <c r="G989" s="17"/>
      <c r="H989" s="17"/>
      <c r="I989" s="17"/>
      <c r="J989" s="17"/>
      <c r="K989" s="17"/>
      <c r="L989" s="17"/>
      <c r="M989" s="17"/>
      <c r="N989" s="17"/>
      <c r="O989" s="17"/>
      <c r="P989" s="17"/>
      <c r="Q989" s="17"/>
      <c r="R989" s="17"/>
      <c r="S989" s="17"/>
      <c r="T989" s="17"/>
      <c r="U989" s="17"/>
      <c r="V989" s="17"/>
      <c r="W989" s="17"/>
      <c r="X989" s="17"/>
      <c r="Y989" s="17"/>
      <c r="Z989" s="17"/>
      <c r="AA989" s="17"/>
      <c r="AB989" s="17"/>
      <c r="AC989" s="17"/>
      <c r="AD989" s="17"/>
      <c r="AE989" s="17"/>
      <c r="AF989" s="17"/>
      <c r="AG989" s="17"/>
      <c r="AH989" s="17"/>
      <c r="AI989" s="17"/>
      <c r="AJ989" s="17"/>
      <c r="AK989" s="17"/>
      <c r="AL989" s="17"/>
      <c r="AM989" s="17"/>
      <c r="AN989" s="17"/>
      <c r="AO989" s="17"/>
      <c r="AP989" s="1"/>
      <c r="AQ989" s="1"/>
    </row>
    <row r="990" spans="1:43" x14ac:dyDescent="0.35">
      <c r="A990" s="6"/>
      <c r="B990" s="13"/>
      <c r="C990" s="81"/>
      <c r="D990" s="4"/>
      <c r="E990" s="8"/>
      <c r="F990" s="17"/>
      <c r="G990" s="17"/>
      <c r="H990" s="17"/>
      <c r="I990" s="17"/>
      <c r="J990" s="17"/>
      <c r="K990" s="17"/>
      <c r="L990" s="17"/>
      <c r="M990" s="17"/>
      <c r="N990" s="17"/>
      <c r="O990" s="17"/>
      <c r="P990" s="17"/>
      <c r="Q990" s="17"/>
      <c r="R990" s="17"/>
      <c r="S990" s="17"/>
      <c r="T990" s="17"/>
      <c r="U990" s="17"/>
      <c r="V990" s="17"/>
      <c r="W990" s="17"/>
      <c r="X990" s="17"/>
      <c r="Y990" s="17"/>
      <c r="Z990" s="17"/>
      <c r="AA990" s="17"/>
      <c r="AB990" s="17"/>
      <c r="AC990" s="17"/>
      <c r="AD990" s="17"/>
      <c r="AE990" s="17"/>
      <c r="AF990" s="17"/>
      <c r="AG990" s="17"/>
      <c r="AH990" s="17"/>
      <c r="AI990" s="17"/>
      <c r="AJ990" s="17"/>
      <c r="AK990" s="17"/>
      <c r="AL990" s="17"/>
      <c r="AM990" s="17"/>
      <c r="AN990" s="17"/>
      <c r="AO990" s="17"/>
      <c r="AP990" s="1"/>
      <c r="AQ990" s="1"/>
    </row>
    <row r="991" spans="1:43" x14ac:dyDescent="0.35">
      <c r="A991" s="6"/>
      <c r="B991" s="13"/>
      <c r="C991" s="81"/>
      <c r="D991" s="4"/>
      <c r="E991" s="8"/>
      <c r="F991" s="17"/>
      <c r="G991" s="17"/>
      <c r="H991" s="17"/>
      <c r="I991" s="17"/>
      <c r="J991" s="17"/>
      <c r="K991" s="17"/>
      <c r="L991" s="17"/>
      <c r="M991" s="17"/>
      <c r="N991" s="17"/>
      <c r="O991" s="17"/>
      <c r="P991" s="17"/>
      <c r="Q991" s="17"/>
      <c r="R991" s="17"/>
      <c r="S991" s="17"/>
      <c r="T991" s="17"/>
      <c r="U991" s="17"/>
      <c r="V991" s="17"/>
      <c r="W991" s="17"/>
      <c r="X991" s="17"/>
      <c r="Y991" s="17"/>
      <c r="Z991" s="17"/>
      <c r="AA991" s="17"/>
      <c r="AB991" s="17"/>
      <c r="AC991" s="17"/>
      <c r="AD991" s="17"/>
      <c r="AE991" s="17"/>
      <c r="AF991" s="17"/>
      <c r="AG991" s="17"/>
      <c r="AH991" s="17"/>
      <c r="AI991" s="17"/>
      <c r="AJ991" s="17"/>
      <c r="AK991" s="17"/>
      <c r="AL991" s="17"/>
      <c r="AM991" s="17"/>
      <c r="AN991" s="17"/>
      <c r="AO991" s="17"/>
      <c r="AP991" s="1"/>
      <c r="AQ991" s="1"/>
    </row>
    <row r="992" spans="1:43" x14ac:dyDescent="0.35">
      <c r="A992" s="6"/>
      <c r="B992" s="13"/>
      <c r="C992" s="81"/>
      <c r="D992" s="4"/>
      <c r="E992" s="8"/>
      <c r="F992" s="17"/>
      <c r="G992" s="17"/>
      <c r="H992" s="17"/>
      <c r="I992" s="17"/>
      <c r="J992" s="17"/>
      <c r="K992" s="17"/>
      <c r="L992" s="17"/>
      <c r="M992" s="17"/>
      <c r="N992" s="17"/>
      <c r="O992" s="17"/>
      <c r="P992" s="17"/>
      <c r="Q992" s="17"/>
      <c r="R992" s="17"/>
      <c r="S992" s="17"/>
      <c r="T992" s="17"/>
      <c r="U992" s="17"/>
      <c r="V992" s="17"/>
      <c r="W992" s="17"/>
      <c r="X992" s="17"/>
      <c r="Y992" s="17"/>
      <c r="Z992" s="17"/>
      <c r="AA992" s="17"/>
      <c r="AB992" s="17"/>
      <c r="AC992" s="17"/>
      <c r="AD992" s="17"/>
      <c r="AE992" s="17"/>
      <c r="AF992" s="17"/>
      <c r="AG992" s="17"/>
      <c r="AH992" s="17"/>
      <c r="AI992" s="17"/>
      <c r="AJ992" s="17"/>
      <c r="AK992" s="17"/>
      <c r="AL992" s="17"/>
      <c r="AM992" s="17"/>
      <c r="AN992" s="17"/>
      <c r="AO992" s="17"/>
      <c r="AP992" s="1"/>
      <c r="AQ992" s="1"/>
    </row>
    <row r="993" spans="1:43" x14ac:dyDescent="0.35">
      <c r="A993" s="6"/>
      <c r="B993" s="13"/>
      <c r="C993" s="81"/>
      <c r="D993" s="4"/>
      <c r="E993" s="8"/>
      <c r="F993" s="17"/>
      <c r="G993" s="17"/>
      <c r="H993" s="17"/>
      <c r="I993" s="17"/>
      <c r="J993" s="17"/>
      <c r="K993" s="17"/>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17"/>
      <c r="AO993" s="17"/>
      <c r="AP993" s="1"/>
      <c r="AQ993" s="1"/>
    </row>
    <row r="994" spans="1:43" x14ac:dyDescent="0.35">
      <c r="A994" s="6"/>
      <c r="B994" s="13"/>
      <c r="C994" s="81"/>
      <c r="D994" s="4"/>
      <c r="E994" s="8"/>
      <c r="F994" s="17"/>
      <c r="G994" s="17"/>
      <c r="H994" s="17"/>
      <c r="I994" s="17"/>
      <c r="J994" s="17"/>
      <c r="K994" s="17"/>
      <c r="L994" s="17"/>
      <c r="M994" s="17"/>
      <c r="N994" s="17"/>
      <c r="O994" s="17"/>
      <c r="P994" s="17"/>
      <c r="Q994" s="17"/>
      <c r="R994" s="17"/>
      <c r="S994" s="17"/>
      <c r="T994" s="17"/>
      <c r="U994" s="17"/>
      <c r="V994" s="17"/>
      <c r="W994" s="17"/>
      <c r="X994" s="17"/>
      <c r="Y994" s="17"/>
      <c r="Z994" s="17"/>
      <c r="AA994" s="17"/>
      <c r="AB994" s="17"/>
      <c r="AC994" s="17"/>
      <c r="AD994" s="17"/>
      <c r="AE994" s="17"/>
      <c r="AF994" s="17"/>
      <c r="AG994" s="17"/>
      <c r="AH994" s="17"/>
      <c r="AI994" s="17"/>
      <c r="AJ994" s="17"/>
      <c r="AK994" s="17"/>
      <c r="AL994" s="17"/>
      <c r="AM994" s="17"/>
      <c r="AN994" s="17"/>
      <c r="AO994" s="17"/>
      <c r="AP994" s="1"/>
      <c r="AQ994" s="1"/>
    </row>
    <row r="995" spans="1:43" x14ac:dyDescent="0.35">
      <c r="A995" s="6"/>
      <c r="B995" s="13"/>
      <c r="C995" s="81"/>
      <c r="D995" s="4"/>
      <c r="E995" s="8"/>
      <c r="F995" s="17"/>
      <c r="G995" s="17"/>
      <c r="H995" s="17"/>
      <c r="I995" s="17"/>
      <c r="J995" s="17"/>
      <c r="K995" s="17"/>
      <c r="L995" s="17"/>
      <c r="M995" s="17"/>
      <c r="N995" s="17"/>
      <c r="O995" s="17"/>
      <c r="P995" s="17"/>
      <c r="Q995" s="17"/>
      <c r="R995" s="17"/>
      <c r="S995" s="17"/>
      <c r="T995" s="17"/>
      <c r="U995" s="17"/>
      <c r="V995" s="17"/>
      <c r="W995" s="17"/>
      <c r="X995" s="17"/>
      <c r="Y995" s="17"/>
      <c r="Z995" s="17"/>
      <c r="AA995" s="17"/>
      <c r="AB995" s="17"/>
      <c r="AC995" s="17"/>
      <c r="AD995" s="17"/>
      <c r="AE995" s="17"/>
      <c r="AF995" s="17"/>
      <c r="AG995" s="17"/>
      <c r="AH995" s="17"/>
      <c r="AI995" s="17"/>
      <c r="AJ995" s="17"/>
      <c r="AK995" s="17"/>
      <c r="AL995" s="17"/>
      <c r="AM995" s="17"/>
      <c r="AN995" s="17"/>
      <c r="AO995" s="17"/>
      <c r="AP995" s="1"/>
      <c r="AQ995" s="1"/>
    </row>
    <row r="996" spans="1:43" x14ac:dyDescent="0.35">
      <c r="A996" s="6"/>
      <c r="B996" s="13"/>
      <c r="C996" s="81"/>
      <c r="D996" s="4"/>
      <c r="E996" s="8"/>
      <c r="F996" s="17"/>
      <c r="G996" s="17"/>
      <c r="H996" s="17"/>
      <c r="I996" s="17"/>
      <c r="J996" s="17"/>
      <c r="K996" s="17"/>
      <c r="L996" s="17"/>
      <c r="M996" s="17"/>
      <c r="N996" s="17"/>
      <c r="O996" s="17"/>
      <c r="P996" s="17"/>
      <c r="Q996" s="17"/>
      <c r="R996" s="17"/>
      <c r="S996" s="17"/>
      <c r="T996" s="17"/>
      <c r="U996" s="17"/>
      <c r="V996" s="17"/>
      <c r="W996" s="17"/>
      <c r="X996" s="17"/>
      <c r="Y996" s="17"/>
      <c r="Z996" s="17"/>
      <c r="AA996" s="17"/>
      <c r="AB996" s="17"/>
      <c r="AC996" s="17"/>
      <c r="AD996" s="17"/>
      <c r="AE996" s="17"/>
      <c r="AF996" s="17"/>
      <c r="AG996" s="17"/>
      <c r="AH996" s="17"/>
      <c r="AI996" s="17"/>
      <c r="AJ996" s="17"/>
      <c r="AK996" s="17"/>
      <c r="AL996" s="17"/>
      <c r="AM996" s="17"/>
      <c r="AN996" s="17"/>
      <c r="AO996" s="17"/>
      <c r="AP996" s="1"/>
      <c r="AQ996" s="1"/>
    </row>
    <row r="997" spans="1:43" x14ac:dyDescent="0.35">
      <c r="A997" s="6"/>
      <c r="B997" s="13"/>
      <c r="C997" s="81"/>
      <c r="D997" s="4"/>
      <c r="E997" s="8"/>
      <c r="F997" s="17"/>
      <c r="G997" s="17"/>
      <c r="H997" s="17"/>
      <c r="I997" s="17"/>
      <c r="J997" s="17"/>
      <c r="K997" s="17"/>
      <c r="L997" s="17"/>
      <c r="M997" s="17"/>
      <c r="N997" s="17"/>
      <c r="O997" s="17"/>
      <c r="P997" s="17"/>
      <c r="Q997" s="17"/>
      <c r="R997" s="17"/>
      <c r="S997" s="17"/>
      <c r="T997" s="17"/>
      <c r="U997" s="17"/>
      <c r="V997" s="17"/>
      <c r="W997" s="17"/>
      <c r="X997" s="17"/>
      <c r="Y997" s="17"/>
      <c r="Z997" s="17"/>
      <c r="AA997" s="17"/>
      <c r="AB997" s="17"/>
      <c r="AC997" s="17"/>
      <c r="AD997" s="17"/>
      <c r="AE997" s="17"/>
      <c r="AF997" s="17"/>
      <c r="AG997" s="17"/>
      <c r="AH997" s="17"/>
      <c r="AI997" s="17"/>
      <c r="AJ997" s="17"/>
      <c r="AK997" s="17"/>
      <c r="AL997" s="17"/>
      <c r="AM997" s="17"/>
      <c r="AN997" s="17"/>
      <c r="AO997" s="17"/>
      <c r="AP997" s="1"/>
      <c r="AQ997" s="1"/>
    </row>
    <row r="998" spans="1:43" x14ac:dyDescent="0.35">
      <c r="A998" s="6"/>
      <c r="B998" s="13"/>
      <c r="C998" s="81"/>
      <c r="D998" s="4"/>
      <c r="E998" s="8"/>
      <c r="F998" s="17"/>
      <c r="G998" s="17"/>
      <c r="H998" s="17"/>
      <c r="I998" s="17"/>
      <c r="J998" s="17"/>
      <c r="K998" s="17"/>
      <c r="L998" s="17"/>
      <c r="M998" s="17"/>
      <c r="N998" s="17"/>
      <c r="O998" s="17"/>
      <c r="P998" s="17"/>
      <c r="Q998" s="17"/>
      <c r="R998" s="17"/>
      <c r="S998" s="17"/>
      <c r="T998" s="17"/>
      <c r="U998" s="17"/>
      <c r="V998" s="17"/>
      <c r="W998" s="17"/>
      <c r="X998" s="17"/>
      <c r="Y998" s="17"/>
      <c r="Z998" s="17"/>
      <c r="AA998" s="17"/>
      <c r="AB998" s="17"/>
      <c r="AC998" s="17"/>
      <c r="AD998" s="17"/>
      <c r="AE998" s="17"/>
      <c r="AF998" s="17"/>
      <c r="AG998" s="17"/>
      <c r="AH998" s="17"/>
      <c r="AI998" s="17"/>
      <c r="AJ998" s="17"/>
      <c r="AK998" s="17"/>
      <c r="AL998" s="17"/>
      <c r="AM998" s="17"/>
      <c r="AN998" s="17"/>
      <c r="AO998" s="17"/>
      <c r="AP998" s="1"/>
      <c r="AQ998" s="1"/>
    </row>
    <row r="999" spans="1:43" x14ac:dyDescent="0.35">
      <c r="A999" s="6"/>
      <c r="B999" s="13"/>
      <c r="C999" s="81"/>
      <c r="D999" s="4"/>
      <c r="E999" s="8"/>
      <c r="F999" s="17"/>
      <c r="G999" s="17"/>
      <c r="H999" s="17"/>
      <c r="I999" s="17"/>
      <c r="J999" s="17"/>
      <c r="K999" s="17"/>
      <c r="L999" s="17"/>
      <c r="M999" s="17"/>
      <c r="N999" s="17"/>
      <c r="O999" s="17"/>
      <c r="P999" s="17"/>
      <c r="Q999" s="17"/>
      <c r="R999" s="17"/>
      <c r="S999" s="17"/>
      <c r="T999" s="17"/>
      <c r="U999" s="17"/>
      <c r="V999" s="17"/>
      <c r="W999" s="17"/>
      <c r="X999" s="17"/>
      <c r="Y999" s="17"/>
      <c r="Z999" s="17"/>
      <c r="AA999" s="17"/>
      <c r="AB999" s="17"/>
      <c r="AC999" s="17"/>
      <c r="AD999" s="17"/>
      <c r="AE999" s="17"/>
      <c r="AF999" s="17"/>
      <c r="AG999" s="17"/>
      <c r="AH999" s="17"/>
      <c r="AI999" s="17"/>
      <c r="AJ999" s="17"/>
      <c r="AK999" s="17"/>
      <c r="AL999" s="17"/>
      <c r="AM999" s="17"/>
      <c r="AN999" s="17"/>
      <c r="AO999" s="17"/>
      <c r="AP999" s="1"/>
      <c r="AQ999" s="1"/>
    </row>
    <row r="1000" spans="1:43" x14ac:dyDescent="0.35">
      <c r="A1000" s="6"/>
      <c r="B1000" s="13"/>
      <c r="C1000" s="81"/>
      <c r="D1000" s="4"/>
      <c r="E1000" s="8"/>
      <c r="F1000" s="17"/>
      <c r="G1000" s="17"/>
      <c r="H1000" s="17"/>
      <c r="I1000" s="17"/>
      <c r="J1000" s="17"/>
      <c r="K1000" s="17"/>
      <c r="L1000" s="17"/>
      <c r="M1000" s="17"/>
      <c r="N1000" s="17"/>
      <c r="O1000" s="17"/>
      <c r="P1000" s="17"/>
      <c r="Q1000" s="17"/>
      <c r="R1000" s="17"/>
      <c r="S1000" s="17"/>
      <c r="T1000" s="17"/>
      <c r="U1000" s="17"/>
      <c r="V1000" s="17"/>
      <c r="W1000" s="17"/>
      <c r="X1000" s="17"/>
      <c r="Y1000" s="17"/>
      <c r="Z1000" s="17"/>
      <c r="AA1000" s="17"/>
      <c r="AB1000" s="17"/>
      <c r="AC1000" s="17"/>
      <c r="AD1000" s="17"/>
      <c r="AE1000" s="17"/>
      <c r="AF1000" s="17"/>
      <c r="AG1000" s="17"/>
      <c r="AH1000" s="17"/>
      <c r="AI1000" s="17"/>
      <c r="AJ1000" s="17"/>
      <c r="AK1000" s="17"/>
      <c r="AL1000" s="17"/>
      <c r="AM1000" s="17"/>
      <c r="AN1000" s="17"/>
      <c r="AO1000" s="17"/>
      <c r="AP1000" s="1"/>
      <c r="AQ1000" s="1"/>
    </row>
    <row r="1001" spans="1:43" x14ac:dyDescent="0.35">
      <c r="A1001" s="6"/>
      <c r="B1001" s="13"/>
      <c r="C1001" s="81"/>
      <c r="D1001" s="4"/>
      <c r="E1001" s="8"/>
      <c r="F1001" s="17"/>
      <c r="G1001" s="17"/>
      <c r="H1001" s="17"/>
      <c r="I1001" s="17"/>
      <c r="J1001" s="17"/>
      <c r="K1001" s="17"/>
      <c r="L1001" s="17"/>
      <c r="M1001" s="17"/>
      <c r="N1001" s="17"/>
      <c r="O1001" s="17"/>
      <c r="P1001" s="17"/>
      <c r="Q1001" s="17"/>
      <c r="R1001" s="17"/>
      <c r="S1001" s="17"/>
      <c r="T1001" s="17"/>
      <c r="U1001" s="17"/>
      <c r="V1001" s="17"/>
      <c r="W1001" s="17"/>
      <c r="X1001" s="17"/>
      <c r="Y1001" s="17"/>
      <c r="Z1001" s="17"/>
      <c r="AA1001" s="17"/>
      <c r="AB1001" s="17"/>
      <c r="AC1001" s="17"/>
      <c r="AD1001" s="17"/>
      <c r="AE1001" s="17"/>
      <c r="AF1001" s="17"/>
      <c r="AG1001" s="17"/>
      <c r="AH1001" s="17"/>
      <c r="AI1001" s="17"/>
      <c r="AJ1001" s="17"/>
      <c r="AK1001" s="17"/>
      <c r="AL1001" s="17"/>
      <c r="AM1001" s="17"/>
      <c r="AN1001" s="17"/>
      <c r="AO1001" s="17"/>
      <c r="AP1001" s="1"/>
      <c r="AQ1001" s="1"/>
    </row>
    <row r="1002" spans="1:43" x14ac:dyDescent="0.35">
      <c r="A1002" s="6"/>
      <c r="B1002" s="13"/>
      <c r="C1002" s="81"/>
      <c r="D1002" s="4"/>
      <c r="E1002" s="8"/>
      <c r="F1002" s="17"/>
      <c r="G1002" s="17"/>
      <c r="H1002" s="17"/>
      <c r="I1002" s="17"/>
      <c r="J1002" s="17"/>
      <c r="K1002" s="17"/>
      <c r="L1002" s="17"/>
      <c r="M1002" s="17"/>
      <c r="N1002" s="17"/>
      <c r="O1002" s="17"/>
      <c r="P1002" s="17"/>
      <c r="Q1002" s="17"/>
      <c r="R1002" s="17"/>
      <c r="S1002" s="17"/>
      <c r="T1002" s="17"/>
      <c r="U1002" s="17"/>
      <c r="V1002" s="17"/>
      <c r="W1002" s="17"/>
      <c r="X1002" s="17"/>
      <c r="Y1002" s="17"/>
      <c r="Z1002" s="17"/>
      <c r="AA1002" s="17"/>
      <c r="AB1002" s="17"/>
      <c r="AC1002" s="17"/>
      <c r="AD1002" s="17"/>
      <c r="AE1002" s="17"/>
      <c r="AF1002" s="17"/>
      <c r="AG1002" s="17"/>
      <c r="AH1002" s="17"/>
      <c r="AI1002" s="17"/>
      <c r="AJ1002" s="17"/>
      <c r="AK1002" s="17"/>
      <c r="AL1002" s="17"/>
      <c r="AM1002" s="17"/>
      <c r="AN1002" s="17"/>
      <c r="AO1002" s="17"/>
      <c r="AP1002" s="1"/>
      <c r="AQ1002" s="1"/>
    </row>
    <row r="1003" spans="1:43" x14ac:dyDescent="0.35">
      <c r="A1003" s="6"/>
      <c r="B1003" s="13"/>
      <c r="C1003" s="81"/>
      <c r="D1003" s="4"/>
      <c r="E1003" s="8"/>
      <c r="F1003" s="17"/>
      <c r="G1003" s="17"/>
      <c r="H1003" s="17"/>
      <c r="I1003" s="17"/>
      <c r="J1003" s="17"/>
      <c r="K1003" s="17"/>
      <c r="L1003" s="17"/>
      <c r="M1003" s="17"/>
      <c r="N1003" s="17"/>
      <c r="O1003" s="17"/>
      <c r="P1003" s="17"/>
      <c r="Q1003" s="17"/>
      <c r="R1003" s="17"/>
      <c r="S1003" s="17"/>
      <c r="T1003" s="17"/>
      <c r="U1003" s="17"/>
      <c r="V1003" s="17"/>
      <c r="W1003" s="17"/>
      <c r="X1003" s="17"/>
      <c r="Y1003" s="17"/>
      <c r="Z1003" s="17"/>
      <c r="AA1003" s="17"/>
      <c r="AB1003" s="17"/>
      <c r="AC1003" s="17"/>
      <c r="AD1003" s="17"/>
      <c r="AE1003" s="17"/>
      <c r="AF1003" s="17"/>
      <c r="AG1003" s="17"/>
      <c r="AH1003" s="17"/>
      <c r="AI1003" s="17"/>
      <c r="AJ1003" s="17"/>
      <c r="AK1003" s="17"/>
      <c r="AL1003" s="17"/>
      <c r="AM1003" s="17"/>
      <c r="AN1003" s="17"/>
      <c r="AO1003" s="17"/>
      <c r="AP1003" s="1"/>
      <c r="AQ1003" s="1"/>
    </row>
    <row r="1004" spans="1:43" x14ac:dyDescent="0.35">
      <c r="A1004" s="6"/>
      <c r="B1004" s="13"/>
      <c r="C1004" s="81"/>
      <c r="D1004" s="4"/>
      <c r="E1004" s="8"/>
      <c r="F1004" s="17"/>
      <c r="G1004" s="17"/>
      <c r="H1004" s="17"/>
      <c r="I1004" s="17"/>
      <c r="J1004" s="17"/>
      <c r="K1004" s="17"/>
      <c r="L1004" s="17"/>
      <c r="M1004" s="17"/>
      <c r="N1004" s="17"/>
      <c r="O1004" s="17"/>
      <c r="P1004" s="17"/>
      <c r="Q1004" s="17"/>
      <c r="R1004" s="17"/>
      <c r="S1004" s="17"/>
      <c r="T1004" s="17"/>
      <c r="U1004" s="17"/>
      <c r="V1004" s="17"/>
      <c r="W1004" s="17"/>
      <c r="X1004" s="17"/>
      <c r="Y1004" s="17"/>
      <c r="Z1004" s="17"/>
      <c r="AA1004" s="17"/>
      <c r="AB1004" s="17"/>
      <c r="AC1004" s="17"/>
      <c r="AD1004" s="17"/>
      <c r="AE1004" s="17"/>
      <c r="AF1004" s="17"/>
      <c r="AG1004" s="17"/>
      <c r="AH1004" s="17"/>
      <c r="AI1004" s="17"/>
      <c r="AJ1004" s="17"/>
      <c r="AK1004" s="17"/>
      <c r="AL1004" s="17"/>
      <c r="AM1004" s="17"/>
      <c r="AN1004" s="17"/>
      <c r="AO1004" s="17"/>
      <c r="AP1004" s="1"/>
      <c r="AQ1004" s="1"/>
    </row>
    <row r="1005" spans="1:43" x14ac:dyDescent="0.35">
      <c r="A1005" s="6"/>
      <c r="B1005" s="13"/>
      <c r="C1005" s="81"/>
      <c r="D1005" s="4"/>
      <c r="E1005" s="8"/>
      <c r="F1005" s="17"/>
      <c r="G1005" s="17"/>
      <c r="H1005" s="17"/>
      <c r="I1005" s="17"/>
      <c r="J1005" s="17"/>
      <c r="K1005" s="17"/>
      <c r="L1005" s="17"/>
      <c r="M1005" s="17"/>
      <c r="N1005" s="17"/>
      <c r="O1005" s="17"/>
      <c r="P1005" s="17"/>
      <c r="Q1005" s="17"/>
      <c r="R1005" s="17"/>
      <c r="S1005" s="17"/>
      <c r="T1005" s="17"/>
      <c r="U1005" s="17"/>
      <c r="V1005" s="17"/>
      <c r="W1005" s="17"/>
      <c r="X1005" s="17"/>
      <c r="Y1005" s="17"/>
      <c r="Z1005" s="17"/>
      <c r="AA1005" s="17"/>
      <c r="AB1005" s="17"/>
      <c r="AC1005" s="17"/>
      <c r="AD1005" s="17"/>
      <c r="AE1005" s="17"/>
      <c r="AF1005" s="17"/>
      <c r="AG1005" s="17"/>
      <c r="AH1005" s="17"/>
      <c r="AI1005" s="17"/>
      <c r="AJ1005" s="17"/>
      <c r="AK1005" s="17"/>
      <c r="AL1005" s="17"/>
      <c r="AM1005" s="17"/>
      <c r="AN1005" s="17"/>
      <c r="AO1005" s="17"/>
      <c r="AP1005" s="1"/>
      <c r="AQ1005" s="1"/>
    </row>
    <row r="1006" spans="1:43" x14ac:dyDescent="0.35">
      <c r="A1006" s="6"/>
      <c r="B1006" s="13"/>
      <c r="C1006" s="81"/>
      <c r="D1006" s="4"/>
      <c r="E1006" s="8"/>
      <c r="F1006" s="17"/>
      <c r="G1006" s="17"/>
      <c r="H1006" s="17"/>
      <c r="I1006" s="17"/>
      <c r="J1006" s="17"/>
      <c r="K1006" s="17"/>
      <c r="L1006" s="17"/>
      <c r="M1006" s="17"/>
      <c r="N1006" s="17"/>
      <c r="O1006" s="17"/>
      <c r="P1006" s="17"/>
      <c r="Q1006" s="17"/>
      <c r="R1006" s="17"/>
      <c r="S1006" s="17"/>
      <c r="T1006" s="17"/>
      <c r="U1006" s="17"/>
      <c r="V1006" s="17"/>
      <c r="W1006" s="17"/>
      <c r="X1006" s="17"/>
      <c r="Y1006" s="17"/>
      <c r="Z1006" s="17"/>
      <c r="AA1006" s="17"/>
      <c r="AB1006" s="17"/>
      <c r="AC1006" s="17"/>
      <c r="AD1006" s="17"/>
      <c r="AE1006" s="17"/>
      <c r="AF1006" s="17"/>
      <c r="AG1006" s="17"/>
      <c r="AH1006" s="17"/>
      <c r="AI1006" s="17"/>
      <c r="AJ1006" s="17"/>
      <c r="AK1006" s="17"/>
      <c r="AL1006" s="17"/>
      <c r="AM1006" s="17"/>
      <c r="AN1006" s="17"/>
      <c r="AO1006" s="17"/>
      <c r="AP1006" s="1"/>
      <c r="AQ1006" s="1"/>
    </row>
    <row r="1007" spans="1:43" x14ac:dyDescent="0.35">
      <c r="A1007" s="6"/>
      <c r="B1007" s="13"/>
      <c r="C1007" s="81"/>
      <c r="D1007" s="4"/>
      <c r="E1007" s="8"/>
      <c r="F1007" s="17"/>
      <c r="G1007" s="17"/>
      <c r="H1007" s="17"/>
      <c r="I1007" s="17"/>
      <c r="J1007" s="17"/>
      <c r="K1007" s="17"/>
      <c r="L1007" s="17"/>
      <c r="M1007" s="17"/>
      <c r="N1007" s="17"/>
      <c r="O1007" s="17"/>
      <c r="P1007" s="17"/>
      <c r="Q1007" s="17"/>
      <c r="R1007" s="17"/>
      <c r="S1007" s="17"/>
      <c r="T1007" s="17"/>
      <c r="U1007" s="17"/>
      <c r="V1007" s="17"/>
      <c r="W1007" s="17"/>
      <c r="X1007" s="17"/>
      <c r="Y1007" s="17"/>
      <c r="Z1007" s="17"/>
      <c r="AA1007" s="17"/>
      <c r="AB1007" s="17"/>
      <c r="AC1007" s="17"/>
      <c r="AD1007" s="17"/>
      <c r="AE1007" s="17"/>
      <c r="AF1007" s="17"/>
      <c r="AG1007" s="17"/>
      <c r="AH1007" s="17"/>
      <c r="AI1007" s="17"/>
      <c r="AJ1007" s="17"/>
      <c r="AK1007" s="17"/>
      <c r="AL1007" s="17"/>
      <c r="AM1007" s="17"/>
      <c r="AN1007" s="17"/>
      <c r="AO1007" s="17"/>
      <c r="AP1007" s="1"/>
      <c r="AQ1007" s="1"/>
    </row>
    <row r="1008" spans="1:43" x14ac:dyDescent="0.35">
      <c r="A1008" s="6"/>
      <c r="B1008" s="13"/>
      <c r="C1008" s="81"/>
      <c r="D1008" s="4"/>
      <c r="E1008" s="8"/>
      <c r="F1008" s="17"/>
      <c r="G1008" s="17"/>
      <c r="H1008" s="17"/>
      <c r="I1008" s="17"/>
      <c r="J1008" s="17"/>
      <c r="K1008" s="17"/>
      <c r="L1008" s="17"/>
      <c r="M1008" s="17"/>
      <c r="N1008" s="17"/>
      <c r="O1008" s="17"/>
      <c r="P1008" s="17"/>
      <c r="Q1008" s="17"/>
      <c r="R1008" s="17"/>
      <c r="S1008" s="17"/>
      <c r="T1008" s="17"/>
      <c r="U1008" s="17"/>
      <c r="V1008" s="17"/>
      <c r="W1008" s="17"/>
      <c r="X1008" s="17"/>
      <c r="Y1008" s="17"/>
      <c r="Z1008" s="17"/>
      <c r="AA1008" s="17"/>
      <c r="AB1008" s="17"/>
      <c r="AC1008" s="17"/>
      <c r="AD1008" s="17"/>
      <c r="AE1008" s="17"/>
      <c r="AF1008" s="17"/>
      <c r="AG1008" s="17"/>
      <c r="AH1008" s="17"/>
      <c r="AI1008" s="17"/>
      <c r="AJ1008" s="17"/>
      <c r="AK1008" s="17"/>
      <c r="AL1008" s="17"/>
      <c r="AM1008" s="17"/>
      <c r="AN1008" s="17"/>
      <c r="AO1008" s="17"/>
      <c r="AP1008" s="1"/>
      <c r="AQ1008" s="1"/>
    </row>
    <row r="1009" spans="1:43" x14ac:dyDescent="0.35">
      <c r="A1009" s="6"/>
      <c r="B1009" s="13"/>
      <c r="C1009" s="81"/>
      <c r="D1009" s="4"/>
      <c r="E1009" s="8"/>
      <c r="F1009" s="17"/>
      <c r="G1009" s="17"/>
      <c r="H1009" s="17"/>
      <c r="I1009" s="17"/>
      <c r="J1009" s="17"/>
      <c r="K1009" s="17"/>
      <c r="L1009" s="17"/>
      <c r="M1009" s="17"/>
      <c r="N1009" s="17"/>
      <c r="O1009" s="17"/>
      <c r="P1009" s="17"/>
      <c r="Q1009" s="17"/>
      <c r="R1009" s="17"/>
      <c r="S1009" s="17"/>
      <c r="T1009" s="17"/>
      <c r="U1009" s="17"/>
      <c r="V1009" s="17"/>
      <c r="W1009" s="17"/>
      <c r="X1009" s="17"/>
      <c r="Y1009" s="17"/>
      <c r="Z1009" s="17"/>
      <c r="AA1009" s="17"/>
      <c r="AB1009" s="17"/>
      <c r="AC1009" s="17"/>
      <c r="AD1009" s="17"/>
      <c r="AE1009" s="17"/>
      <c r="AF1009" s="17"/>
      <c r="AG1009" s="17"/>
      <c r="AH1009" s="17"/>
      <c r="AI1009" s="17"/>
      <c r="AJ1009" s="17"/>
      <c r="AK1009" s="17"/>
      <c r="AL1009" s="17"/>
      <c r="AM1009" s="17"/>
      <c r="AN1009" s="17"/>
      <c r="AO1009" s="17"/>
      <c r="AP1009" s="1"/>
      <c r="AQ1009" s="1"/>
    </row>
    <row r="1010" spans="1:43" x14ac:dyDescent="0.35">
      <c r="A1010" s="6"/>
      <c r="B1010" s="13"/>
      <c r="C1010" s="81"/>
      <c r="D1010" s="4"/>
      <c r="E1010" s="8"/>
      <c r="F1010" s="17"/>
      <c r="G1010" s="17"/>
      <c r="H1010" s="17"/>
      <c r="I1010" s="17"/>
      <c r="J1010" s="17"/>
      <c r="K1010" s="17"/>
      <c r="L1010" s="17"/>
      <c r="M1010" s="17"/>
      <c r="N1010" s="17"/>
      <c r="O1010" s="17"/>
      <c r="P1010" s="17"/>
      <c r="Q1010" s="17"/>
      <c r="R1010" s="17"/>
      <c r="S1010" s="17"/>
      <c r="T1010" s="17"/>
      <c r="U1010" s="17"/>
      <c r="V1010" s="17"/>
      <c r="W1010" s="17"/>
      <c r="X1010" s="17"/>
      <c r="Y1010" s="17"/>
      <c r="Z1010" s="17"/>
      <c r="AA1010" s="17"/>
      <c r="AB1010" s="17"/>
      <c r="AC1010" s="17"/>
      <c r="AD1010" s="17"/>
      <c r="AE1010" s="17"/>
      <c r="AF1010" s="17"/>
      <c r="AG1010" s="17"/>
      <c r="AH1010" s="17"/>
      <c r="AI1010" s="17"/>
      <c r="AJ1010" s="17"/>
      <c r="AK1010" s="17"/>
      <c r="AL1010" s="17"/>
      <c r="AM1010" s="17"/>
      <c r="AN1010" s="17"/>
      <c r="AO1010" s="17"/>
      <c r="AP1010" s="1"/>
      <c r="AQ1010" s="1"/>
    </row>
    <row r="1011" spans="1:43" x14ac:dyDescent="0.35">
      <c r="A1011" s="6"/>
      <c r="B1011" s="13"/>
      <c r="C1011" s="81"/>
      <c r="D1011" s="4"/>
      <c r="E1011" s="8"/>
      <c r="F1011" s="17"/>
      <c r="G1011" s="17"/>
      <c r="H1011" s="17"/>
      <c r="I1011" s="17"/>
      <c r="J1011" s="17"/>
      <c r="K1011" s="17"/>
      <c r="L1011" s="17"/>
      <c r="M1011" s="17"/>
      <c r="N1011" s="17"/>
      <c r="O1011" s="17"/>
      <c r="P1011" s="17"/>
      <c r="Q1011" s="17"/>
      <c r="R1011" s="17"/>
      <c r="S1011" s="17"/>
      <c r="T1011" s="17"/>
      <c r="U1011" s="17"/>
      <c r="V1011" s="17"/>
      <c r="W1011" s="17"/>
      <c r="X1011" s="17"/>
      <c r="Y1011" s="17"/>
      <c r="Z1011" s="17"/>
      <c r="AA1011" s="17"/>
      <c r="AB1011" s="17"/>
      <c r="AC1011" s="17"/>
      <c r="AD1011" s="17"/>
      <c r="AE1011" s="17"/>
      <c r="AF1011" s="17"/>
      <c r="AG1011" s="17"/>
      <c r="AH1011" s="17"/>
      <c r="AI1011" s="17"/>
      <c r="AJ1011" s="17"/>
      <c r="AK1011" s="17"/>
      <c r="AL1011" s="17"/>
      <c r="AM1011" s="17"/>
      <c r="AN1011" s="17"/>
      <c r="AO1011" s="17"/>
      <c r="AP1011" s="1"/>
      <c r="AQ1011" s="1"/>
    </row>
    <row r="1012" spans="1:43" x14ac:dyDescent="0.35">
      <c r="A1012" s="6"/>
      <c r="B1012" s="13"/>
      <c r="C1012" s="81"/>
      <c r="D1012" s="4"/>
      <c r="E1012" s="8"/>
      <c r="F1012" s="17"/>
      <c r="G1012" s="17"/>
      <c r="H1012" s="17"/>
      <c r="I1012" s="17"/>
      <c r="J1012" s="17"/>
      <c r="K1012" s="17"/>
      <c r="L1012" s="17"/>
      <c r="M1012" s="17"/>
      <c r="N1012" s="17"/>
      <c r="O1012" s="17"/>
      <c r="P1012" s="17"/>
      <c r="Q1012" s="17"/>
      <c r="R1012" s="17"/>
      <c r="S1012" s="17"/>
      <c r="T1012" s="17"/>
      <c r="U1012" s="17"/>
      <c r="V1012" s="17"/>
      <c r="W1012" s="17"/>
      <c r="X1012" s="17"/>
      <c r="Y1012" s="17"/>
      <c r="Z1012" s="17"/>
      <c r="AA1012" s="17"/>
      <c r="AB1012" s="17"/>
      <c r="AC1012" s="17"/>
      <c r="AD1012" s="17"/>
      <c r="AE1012" s="17"/>
      <c r="AF1012" s="17"/>
      <c r="AG1012" s="17"/>
      <c r="AH1012" s="17"/>
      <c r="AI1012" s="17"/>
      <c r="AJ1012" s="17"/>
      <c r="AK1012" s="17"/>
      <c r="AL1012" s="17"/>
      <c r="AM1012" s="17"/>
      <c r="AN1012" s="17"/>
      <c r="AO1012" s="17"/>
      <c r="AP1012" s="1"/>
      <c r="AQ1012" s="1"/>
    </row>
    <row r="1013" spans="1:43" x14ac:dyDescent="0.35">
      <c r="A1013" s="6"/>
      <c r="B1013" s="13"/>
      <c r="C1013" s="81"/>
      <c r="D1013" s="4"/>
      <c r="E1013" s="8"/>
      <c r="F1013" s="17"/>
      <c r="G1013" s="17"/>
      <c r="H1013" s="17"/>
      <c r="I1013" s="17"/>
      <c r="J1013" s="17"/>
      <c r="K1013" s="17"/>
      <c r="L1013" s="17"/>
      <c r="M1013" s="17"/>
      <c r="N1013" s="17"/>
      <c r="O1013" s="17"/>
      <c r="P1013" s="17"/>
      <c r="Q1013" s="17"/>
      <c r="R1013" s="17"/>
      <c r="S1013" s="17"/>
      <c r="T1013" s="17"/>
      <c r="U1013" s="17"/>
      <c r="V1013" s="17"/>
      <c r="W1013" s="17"/>
      <c r="X1013" s="17"/>
      <c r="Y1013" s="17"/>
      <c r="Z1013" s="17"/>
      <c r="AA1013" s="17"/>
      <c r="AB1013" s="17"/>
      <c r="AC1013" s="17"/>
      <c r="AD1013" s="17"/>
      <c r="AE1013" s="17"/>
      <c r="AF1013" s="17"/>
      <c r="AG1013" s="17"/>
      <c r="AH1013" s="17"/>
      <c r="AI1013" s="17"/>
      <c r="AJ1013" s="17"/>
      <c r="AK1013" s="17"/>
      <c r="AL1013" s="17"/>
      <c r="AM1013" s="17"/>
      <c r="AN1013" s="17"/>
      <c r="AO1013" s="17"/>
      <c r="AP1013" s="1"/>
      <c r="AQ1013" s="1"/>
    </row>
    <row r="1014" spans="1:43" x14ac:dyDescent="0.35">
      <c r="A1014" s="6"/>
      <c r="B1014" s="13"/>
      <c r="C1014" s="81"/>
      <c r="D1014" s="4"/>
      <c r="E1014" s="8"/>
      <c r="F1014" s="17"/>
      <c r="G1014" s="17"/>
      <c r="H1014" s="17"/>
      <c r="I1014" s="17"/>
      <c r="J1014" s="17"/>
      <c r="K1014" s="17"/>
      <c r="L1014" s="17"/>
      <c r="M1014" s="17"/>
      <c r="N1014" s="17"/>
      <c r="O1014" s="17"/>
      <c r="P1014" s="17"/>
      <c r="Q1014" s="17"/>
      <c r="R1014" s="17"/>
      <c r="S1014" s="17"/>
      <c r="T1014" s="17"/>
      <c r="U1014" s="17"/>
      <c r="V1014" s="17"/>
      <c r="W1014" s="17"/>
      <c r="X1014" s="17"/>
      <c r="Y1014" s="17"/>
      <c r="Z1014" s="17"/>
      <c r="AA1014" s="17"/>
      <c r="AB1014" s="17"/>
      <c r="AC1014" s="17"/>
      <c r="AD1014" s="17"/>
      <c r="AE1014" s="17"/>
      <c r="AF1014" s="17"/>
      <c r="AG1014" s="17"/>
      <c r="AH1014" s="17"/>
      <c r="AI1014" s="17"/>
      <c r="AJ1014" s="17"/>
      <c r="AK1014" s="17"/>
      <c r="AL1014" s="17"/>
      <c r="AM1014" s="17"/>
      <c r="AN1014" s="17"/>
      <c r="AO1014" s="17"/>
      <c r="AP1014" s="1"/>
      <c r="AQ1014" s="1"/>
    </row>
    <row r="1015" spans="1:43" x14ac:dyDescent="0.35">
      <c r="A1015" s="6"/>
      <c r="B1015" s="13"/>
      <c r="C1015" s="81"/>
      <c r="D1015" s="4"/>
      <c r="E1015" s="8"/>
      <c r="F1015" s="17"/>
      <c r="G1015" s="17"/>
      <c r="H1015" s="17"/>
      <c r="I1015" s="17"/>
      <c r="J1015" s="17"/>
      <c r="K1015" s="17"/>
      <c r="L1015" s="17"/>
      <c r="M1015" s="17"/>
      <c r="N1015" s="17"/>
      <c r="O1015" s="17"/>
      <c r="P1015" s="17"/>
      <c r="Q1015" s="17"/>
      <c r="R1015" s="17"/>
      <c r="S1015" s="17"/>
      <c r="T1015" s="17"/>
      <c r="U1015" s="17"/>
      <c r="V1015" s="17"/>
      <c r="W1015" s="17"/>
      <c r="X1015" s="17"/>
      <c r="Y1015" s="17"/>
      <c r="Z1015" s="17"/>
      <c r="AA1015" s="17"/>
      <c r="AB1015" s="17"/>
      <c r="AC1015" s="17"/>
      <c r="AD1015" s="17"/>
      <c r="AE1015" s="17"/>
      <c r="AF1015" s="17"/>
      <c r="AG1015" s="17"/>
      <c r="AH1015" s="17"/>
      <c r="AI1015" s="17"/>
      <c r="AJ1015" s="17"/>
      <c r="AK1015" s="17"/>
      <c r="AL1015" s="17"/>
      <c r="AM1015" s="17"/>
      <c r="AN1015" s="17"/>
      <c r="AO1015" s="17"/>
      <c r="AP1015" s="1"/>
      <c r="AQ1015" s="1"/>
    </row>
    <row r="1016" spans="1:43" x14ac:dyDescent="0.35">
      <c r="A1016" s="6"/>
      <c r="B1016" s="13"/>
      <c r="C1016" s="81"/>
      <c r="D1016" s="4"/>
      <c r="E1016" s="8"/>
      <c r="F1016" s="17"/>
      <c r="G1016" s="17"/>
      <c r="H1016" s="17"/>
      <c r="I1016" s="17"/>
      <c r="J1016" s="17"/>
      <c r="K1016" s="17"/>
      <c r="L1016" s="17"/>
      <c r="M1016" s="17"/>
      <c r="N1016" s="17"/>
      <c r="O1016" s="17"/>
      <c r="P1016" s="17"/>
      <c r="Q1016" s="17"/>
      <c r="R1016" s="17"/>
      <c r="S1016" s="17"/>
      <c r="T1016" s="17"/>
      <c r="U1016" s="17"/>
      <c r="V1016" s="17"/>
      <c r="W1016" s="17"/>
      <c r="X1016" s="17"/>
      <c r="Y1016" s="17"/>
      <c r="Z1016" s="17"/>
      <c r="AA1016" s="17"/>
      <c r="AB1016" s="17"/>
      <c r="AC1016" s="17"/>
      <c r="AD1016" s="17"/>
      <c r="AE1016" s="17"/>
      <c r="AF1016" s="17"/>
      <c r="AG1016" s="17"/>
      <c r="AH1016" s="17"/>
      <c r="AI1016" s="17"/>
      <c r="AJ1016" s="17"/>
      <c r="AK1016" s="17"/>
      <c r="AL1016" s="17"/>
      <c r="AM1016" s="17"/>
      <c r="AN1016" s="17"/>
      <c r="AO1016" s="17"/>
      <c r="AP1016" s="1"/>
      <c r="AQ1016" s="1"/>
    </row>
    <row r="1017" spans="1:43" x14ac:dyDescent="0.35">
      <c r="A1017" s="6"/>
      <c r="B1017" s="13"/>
      <c r="C1017" s="81"/>
      <c r="D1017" s="4"/>
      <c r="E1017" s="8"/>
      <c r="F1017" s="17"/>
      <c r="G1017" s="17"/>
      <c r="H1017" s="17"/>
      <c r="I1017" s="17"/>
      <c r="J1017" s="17"/>
      <c r="K1017" s="17"/>
      <c r="L1017" s="17"/>
      <c r="M1017" s="17"/>
      <c r="N1017" s="17"/>
      <c r="O1017" s="17"/>
      <c r="P1017" s="17"/>
      <c r="Q1017" s="17"/>
      <c r="R1017" s="17"/>
      <c r="S1017" s="17"/>
      <c r="T1017" s="17"/>
      <c r="U1017" s="17"/>
      <c r="V1017" s="17"/>
      <c r="W1017" s="17"/>
      <c r="X1017" s="17"/>
      <c r="Y1017" s="17"/>
      <c r="Z1017" s="17"/>
      <c r="AA1017" s="17"/>
      <c r="AB1017" s="17"/>
      <c r="AC1017" s="17"/>
      <c r="AD1017" s="17"/>
      <c r="AE1017" s="17"/>
      <c r="AF1017" s="17"/>
      <c r="AG1017" s="17"/>
      <c r="AH1017" s="17"/>
      <c r="AI1017" s="17"/>
      <c r="AJ1017" s="17"/>
      <c r="AK1017" s="17"/>
      <c r="AL1017" s="17"/>
      <c r="AM1017" s="17"/>
      <c r="AN1017" s="17"/>
      <c r="AO1017" s="17"/>
      <c r="AP1017" s="1"/>
      <c r="AQ1017" s="1"/>
    </row>
    <row r="1018" spans="1:43" x14ac:dyDescent="0.35">
      <c r="A1018" s="6"/>
      <c r="B1018" s="13"/>
      <c r="C1018" s="81"/>
      <c r="D1018" s="4"/>
      <c r="E1018" s="8"/>
      <c r="F1018" s="17"/>
      <c r="G1018" s="17"/>
      <c r="H1018" s="17"/>
      <c r="I1018" s="17"/>
      <c r="J1018" s="17"/>
      <c r="K1018" s="17"/>
      <c r="L1018" s="17"/>
      <c r="M1018" s="17"/>
      <c r="N1018" s="17"/>
      <c r="O1018" s="17"/>
      <c r="P1018" s="17"/>
      <c r="Q1018" s="17"/>
      <c r="R1018" s="17"/>
      <c r="S1018" s="17"/>
      <c r="T1018" s="17"/>
      <c r="U1018" s="17"/>
      <c r="V1018" s="17"/>
      <c r="W1018" s="17"/>
      <c r="X1018" s="17"/>
      <c r="Y1018" s="17"/>
      <c r="Z1018" s="17"/>
      <c r="AA1018" s="17"/>
      <c r="AB1018" s="17"/>
      <c r="AC1018" s="17"/>
      <c r="AD1018" s="17"/>
      <c r="AE1018" s="17"/>
      <c r="AF1018" s="17"/>
      <c r="AG1018" s="17"/>
      <c r="AH1018" s="17"/>
      <c r="AI1018" s="17"/>
      <c r="AJ1018" s="17"/>
      <c r="AK1018" s="17"/>
      <c r="AL1018" s="17"/>
      <c r="AM1018" s="17"/>
      <c r="AN1018" s="17"/>
      <c r="AO1018" s="17"/>
      <c r="AP1018" s="1"/>
      <c r="AQ1018" s="1"/>
    </row>
    <row r="1019" spans="1:43" x14ac:dyDescent="0.35">
      <c r="A1019" s="6"/>
      <c r="B1019" s="13"/>
      <c r="C1019" s="81"/>
      <c r="D1019" s="4"/>
      <c r="E1019" s="8"/>
      <c r="F1019" s="17"/>
      <c r="G1019" s="17"/>
      <c r="H1019" s="17"/>
      <c r="I1019" s="17"/>
      <c r="J1019" s="17"/>
      <c r="K1019" s="17"/>
      <c r="L1019" s="17"/>
      <c r="M1019" s="17"/>
      <c r="N1019" s="17"/>
      <c r="O1019" s="17"/>
      <c r="P1019" s="17"/>
      <c r="Q1019" s="17"/>
      <c r="R1019" s="17"/>
      <c r="S1019" s="17"/>
      <c r="T1019" s="17"/>
      <c r="U1019" s="17"/>
      <c r="V1019" s="17"/>
      <c r="W1019" s="17"/>
      <c r="X1019" s="17"/>
      <c r="Y1019" s="17"/>
      <c r="Z1019" s="17"/>
      <c r="AA1019" s="17"/>
      <c r="AB1019" s="17"/>
      <c r="AC1019" s="17"/>
      <c r="AD1019" s="17"/>
      <c r="AE1019" s="17"/>
      <c r="AF1019" s="17"/>
      <c r="AG1019" s="17"/>
      <c r="AH1019" s="17"/>
      <c r="AI1019" s="17"/>
      <c r="AJ1019" s="17"/>
      <c r="AK1019" s="17"/>
      <c r="AL1019" s="17"/>
      <c r="AM1019" s="17"/>
      <c r="AN1019" s="17"/>
      <c r="AO1019" s="17"/>
      <c r="AP1019" s="1"/>
      <c r="AQ1019" s="1"/>
    </row>
    <row r="1020" spans="1:43" x14ac:dyDescent="0.35">
      <c r="A1020" s="6"/>
      <c r="B1020" s="13"/>
      <c r="C1020" s="81"/>
      <c r="D1020" s="4"/>
      <c r="E1020" s="8"/>
      <c r="F1020" s="17"/>
      <c r="G1020" s="17"/>
      <c r="H1020" s="17"/>
      <c r="I1020" s="17"/>
      <c r="J1020" s="17"/>
      <c r="K1020" s="17"/>
      <c r="L1020" s="17"/>
      <c r="M1020" s="17"/>
      <c r="N1020" s="17"/>
      <c r="O1020" s="17"/>
      <c r="P1020" s="17"/>
      <c r="Q1020" s="17"/>
      <c r="R1020" s="17"/>
      <c r="S1020" s="17"/>
      <c r="T1020" s="17"/>
      <c r="U1020" s="17"/>
      <c r="V1020" s="17"/>
      <c r="W1020" s="17"/>
      <c r="X1020" s="17"/>
      <c r="Y1020" s="17"/>
      <c r="Z1020" s="17"/>
      <c r="AA1020" s="17"/>
      <c r="AB1020" s="17"/>
      <c r="AC1020" s="17"/>
      <c r="AD1020" s="17"/>
      <c r="AE1020" s="17"/>
      <c r="AF1020" s="17"/>
      <c r="AG1020" s="17"/>
      <c r="AH1020" s="17"/>
      <c r="AI1020" s="17"/>
      <c r="AJ1020" s="17"/>
      <c r="AK1020" s="17"/>
      <c r="AL1020" s="17"/>
      <c r="AM1020" s="17"/>
      <c r="AN1020" s="17"/>
      <c r="AO1020" s="17"/>
      <c r="AP1020" s="1"/>
      <c r="AQ1020" s="1"/>
    </row>
    <row r="1021" spans="1:43" x14ac:dyDescent="0.35">
      <c r="A1021" s="6"/>
      <c r="B1021" s="13"/>
      <c r="C1021" s="81"/>
      <c r="D1021" s="4"/>
      <c r="E1021" s="8"/>
      <c r="F1021" s="17"/>
      <c r="G1021" s="17"/>
      <c r="H1021" s="17"/>
      <c r="I1021" s="17"/>
      <c r="J1021" s="17"/>
      <c r="K1021" s="17"/>
      <c r="L1021" s="17"/>
      <c r="M1021" s="17"/>
      <c r="N1021" s="17"/>
      <c r="O1021" s="17"/>
      <c r="P1021" s="17"/>
      <c r="Q1021" s="17"/>
      <c r="R1021" s="17"/>
      <c r="S1021" s="17"/>
      <c r="T1021" s="17"/>
      <c r="U1021" s="17"/>
      <c r="V1021" s="17"/>
      <c r="W1021" s="17"/>
      <c r="X1021" s="17"/>
      <c r="Y1021" s="17"/>
      <c r="Z1021" s="17"/>
      <c r="AA1021" s="17"/>
      <c r="AB1021" s="17"/>
      <c r="AC1021" s="17"/>
      <c r="AD1021" s="17"/>
      <c r="AE1021" s="17"/>
      <c r="AF1021" s="17"/>
      <c r="AG1021" s="17"/>
      <c r="AH1021" s="17"/>
      <c r="AI1021" s="17"/>
      <c r="AJ1021" s="17"/>
      <c r="AK1021" s="17"/>
      <c r="AL1021" s="17"/>
      <c r="AM1021" s="17"/>
      <c r="AN1021" s="17"/>
      <c r="AO1021" s="17"/>
      <c r="AP1021" s="1"/>
      <c r="AQ1021" s="1"/>
    </row>
    <row r="1022" spans="1:43" x14ac:dyDescent="0.35">
      <c r="A1022" s="6"/>
      <c r="B1022" s="13"/>
      <c r="C1022" s="81"/>
      <c r="D1022" s="4"/>
      <c r="E1022" s="8"/>
      <c r="F1022" s="17"/>
      <c r="G1022" s="17"/>
      <c r="H1022" s="17"/>
      <c r="I1022" s="17"/>
      <c r="J1022" s="17"/>
      <c r="K1022" s="17"/>
      <c r="L1022" s="17"/>
      <c r="M1022" s="17"/>
      <c r="N1022" s="17"/>
      <c r="O1022" s="17"/>
      <c r="P1022" s="17"/>
      <c r="Q1022" s="17"/>
      <c r="R1022" s="17"/>
      <c r="S1022" s="17"/>
      <c r="T1022" s="17"/>
      <c r="U1022" s="17"/>
      <c r="V1022" s="17"/>
      <c r="W1022" s="17"/>
      <c r="X1022" s="17"/>
      <c r="Y1022" s="17"/>
      <c r="Z1022" s="17"/>
      <c r="AA1022" s="17"/>
      <c r="AB1022" s="17"/>
      <c r="AC1022" s="17"/>
      <c r="AD1022" s="17"/>
      <c r="AE1022" s="17"/>
      <c r="AF1022" s="17"/>
      <c r="AG1022" s="17"/>
      <c r="AH1022" s="17"/>
      <c r="AI1022" s="17"/>
      <c r="AJ1022" s="17"/>
      <c r="AK1022" s="17"/>
      <c r="AL1022" s="17"/>
      <c r="AM1022" s="17"/>
      <c r="AN1022" s="17"/>
      <c r="AO1022" s="17"/>
      <c r="AP1022" s="1"/>
      <c r="AQ1022" s="1"/>
    </row>
    <row r="1023" spans="1:43" x14ac:dyDescent="0.35">
      <c r="A1023" s="6"/>
      <c r="B1023" s="13"/>
      <c r="C1023" s="81"/>
      <c r="D1023" s="4"/>
      <c r="E1023" s="8"/>
      <c r="F1023" s="17"/>
      <c r="G1023" s="17"/>
      <c r="H1023" s="17"/>
      <c r="I1023" s="17"/>
      <c r="J1023" s="17"/>
      <c r="K1023" s="17"/>
      <c r="L1023" s="17"/>
      <c r="M1023" s="17"/>
      <c r="N1023" s="17"/>
      <c r="O1023" s="17"/>
      <c r="P1023" s="17"/>
      <c r="Q1023" s="17"/>
      <c r="R1023" s="17"/>
      <c r="S1023" s="17"/>
      <c r="T1023" s="17"/>
      <c r="U1023" s="17"/>
      <c r="V1023" s="17"/>
      <c r="W1023" s="17"/>
      <c r="X1023" s="17"/>
      <c r="Y1023" s="17"/>
      <c r="Z1023" s="17"/>
      <c r="AA1023" s="17"/>
      <c r="AB1023" s="17"/>
      <c r="AC1023" s="17"/>
      <c r="AD1023" s="17"/>
      <c r="AE1023" s="17"/>
      <c r="AF1023" s="17"/>
      <c r="AG1023" s="17"/>
      <c r="AH1023" s="17"/>
      <c r="AI1023" s="17"/>
      <c r="AJ1023" s="17"/>
      <c r="AK1023" s="17"/>
      <c r="AL1023" s="17"/>
      <c r="AM1023" s="17"/>
      <c r="AN1023" s="17"/>
      <c r="AO1023" s="17"/>
      <c r="AP1023" s="1"/>
      <c r="AQ1023" s="1"/>
    </row>
    <row r="1024" spans="1:43" x14ac:dyDescent="0.35">
      <c r="A1024" s="6"/>
      <c r="B1024" s="13"/>
      <c r="C1024" s="81"/>
      <c r="D1024" s="4"/>
      <c r="E1024" s="8"/>
      <c r="F1024" s="17"/>
      <c r="G1024" s="17"/>
      <c r="H1024" s="17"/>
      <c r="I1024" s="17"/>
      <c r="J1024" s="17"/>
      <c r="K1024" s="17"/>
      <c r="L1024" s="17"/>
      <c r="M1024" s="17"/>
      <c r="N1024" s="17"/>
      <c r="O1024" s="17"/>
      <c r="P1024" s="17"/>
      <c r="Q1024" s="17"/>
      <c r="R1024" s="17"/>
      <c r="S1024" s="17"/>
      <c r="T1024" s="17"/>
      <c r="U1024" s="17"/>
      <c r="V1024" s="17"/>
      <c r="W1024" s="17"/>
      <c r="X1024" s="17"/>
      <c r="Y1024" s="17"/>
      <c r="Z1024" s="17"/>
      <c r="AA1024" s="17"/>
      <c r="AB1024" s="17"/>
      <c r="AC1024" s="17"/>
      <c r="AD1024" s="17"/>
      <c r="AE1024" s="17"/>
      <c r="AF1024" s="17"/>
      <c r="AG1024" s="17"/>
      <c r="AH1024" s="17"/>
      <c r="AI1024" s="17"/>
      <c r="AJ1024" s="17"/>
      <c r="AK1024" s="17"/>
      <c r="AL1024" s="17"/>
      <c r="AM1024" s="17"/>
      <c r="AN1024" s="17"/>
      <c r="AO1024" s="17"/>
      <c r="AP1024" s="1"/>
      <c r="AQ1024" s="1"/>
    </row>
    <row r="1025" spans="1:43" x14ac:dyDescent="0.35">
      <c r="A1025" s="6"/>
      <c r="B1025" s="13"/>
      <c r="C1025" s="81"/>
      <c r="D1025" s="4"/>
      <c r="E1025" s="8"/>
      <c r="F1025" s="17"/>
      <c r="G1025" s="17"/>
      <c r="H1025" s="17"/>
      <c r="I1025" s="17"/>
      <c r="J1025" s="17"/>
      <c r="K1025" s="17"/>
      <c r="L1025" s="17"/>
      <c r="M1025" s="17"/>
      <c r="N1025" s="17"/>
      <c r="O1025" s="17"/>
      <c r="P1025" s="17"/>
      <c r="Q1025" s="17"/>
      <c r="R1025" s="17"/>
      <c r="S1025" s="17"/>
      <c r="T1025" s="17"/>
      <c r="U1025" s="17"/>
      <c r="V1025" s="17"/>
      <c r="W1025" s="17"/>
      <c r="X1025" s="17"/>
      <c r="Y1025" s="17"/>
      <c r="Z1025" s="17"/>
      <c r="AA1025" s="17"/>
      <c r="AB1025" s="17"/>
      <c r="AC1025" s="17"/>
      <c r="AD1025" s="17"/>
      <c r="AE1025" s="17"/>
      <c r="AF1025" s="17"/>
      <c r="AG1025" s="17"/>
      <c r="AH1025" s="17"/>
      <c r="AI1025" s="17"/>
      <c r="AJ1025" s="17"/>
      <c r="AK1025" s="17"/>
      <c r="AL1025" s="17"/>
      <c r="AM1025" s="17"/>
      <c r="AN1025" s="17"/>
      <c r="AO1025" s="17"/>
      <c r="AP1025" s="1"/>
      <c r="AQ1025" s="1"/>
    </row>
    <row r="1026" spans="1:43" x14ac:dyDescent="0.35">
      <c r="A1026" s="6"/>
      <c r="B1026" s="13"/>
      <c r="C1026" s="81"/>
      <c r="D1026" s="4"/>
      <c r="E1026" s="8"/>
      <c r="F1026" s="17"/>
      <c r="G1026" s="17"/>
      <c r="H1026" s="17"/>
      <c r="I1026" s="17"/>
      <c r="J1026" s="17"/>
      <c r="K1026" s="17"/>
      <c r="L1026" s="17"/>
      <c r="M1026" s="17"/>
      <c r="N1026" s="17"/>
      <c r="O1026" s="17"/>
      <c r="P1026" s="17"/>
      <c r="Q1026" s="17"/>
      <c r="R1026" s="17"/>
      <c r="S1026" s="17"/>
      <c r="T1026" s="17"/>
      <c r="U1026" s="17"/>
      <c r="V1026" s="17"/>
      <c r="W1026" s="17"/>
      <c r="X1026" s="17"/>
      <c r="Y1026" s="17"/>
      <c r="Z1026" s="17"/>
      <c r="AA1026" s="17"/>
      <c r="AB1026" s="17"/>
      <c r="AC1026" s="17"/>
      <c r="AD1026" s="17"/>
      <c r="AE1026" s="17"/>
      <c r="AF1026" s="17"/>
      <c r="AG1026" s="17"/>
      <c r="AH1026" s="17"/>
      <c r="AI1026" s="17"/>
      <c r="AJ1026" s="17"/>
      <c r="AK1026" s="17"/>
      <c r="AL1026" s="17"/>
      <c r="AM1026" s="17"/>
      <c r="AN1026" s="17"/>
      <c r="AO1026" s="17"/>
      <c r="AP1026" s="1"/>
      <c r="AQ1026" s="1"/>
    </row>
    <row r="1027" spans="1:43" x14ac:dyDescent="0.35">
      <c r="A1027" s="6"/>
      <c r="B1027" s="13"/>
      <c r="C1027" s="81"/>
      <c r="D1027" s="4"/>
      <c r="E1027" s="8"/>
      <c r="F1027" s="17"/>
      <c r="G1027" s="17"/>
      <c r="H1027" s="17"/>
      <c r="I1027" s="17"/>
      <c r="J1027" s="17"/>
      <c r="K1027" s="17"/>
      <c r="L1027" s="17"/>
      <c r="M1027" s="17"/>
      <c r="N1027" s="17"/>
      <c r="O1027" s="17"/>
      <c r="P1027" s="17"/>
      <c r="Q1027" s="17"/>
      <c r="R1027" s="17"/>
      <c r="S1027" s="17"/>
      <c r="T1027" s="17"/>
      <c r="U1027" s="17"/>
      <c r="V1027" s="17"/>
      <c r="W1027" s="17"/>
      <c r="X1027" s="17"/>
      <c r="Y1027" s="17"/>
      <c r="Z1027" s="17"/>
      <c r="AA1027" s="17"/>
      <c r="AB1027" s="17"/>
      <c r="AC1027" s="17"/>
      <c r="AD1027" s="17"/>
      <c r="AE1027" s="17"/>
      <c r="AF1027" s="17"/>
      <c r="AG1027" s="17"/>
      <c r="AH1027" s="17"/>
      <c r="AI1027" s="17"/>
      <c r="AJ1027" s="17"/>
      <c r="AK1027" s="17"/>
      <c r="AL1027" s="17"/>
      <c r="AM1027" s="17"/>
      <c r="AN1027" s="17"/>
      <c r="AO1027" s="17"/>
      <c r="AP1027" s="1"/>
      <c r="AQ1027" s="1"/>
    </row>
    <row r="1028" spans="1:43" x14ac:dyDescent="0.35">
      <c r="A1028" s="6"/>
      <c r="B1028" s="13"/>
      <c r="C1028" s="81"/>
      <c r="D1028" s="4"/>
      <c r="E1028" s="8"/>
      <c r="F1028" s="17"/>
      <c r="G1028" s="17"/>
      <c r="H1028" s="17"/>
      <c r="I1028" s="17"/>
      <c r="J1028" s="17"/>
      <c r="K1028" s="17"/>
      <c r="L1028" s="17"/>
      <c r="M1028" s="17"/>
      <c r="N1028" s="17"/>
      <c r="O1028" s="17"/>
      <c r="P1028" s="17"/>
      <c r="Q1028" s="17"/>
      <c r="R1028" s="17"/>
      <c r="S1028" s="17"/>
      <c r="T1028" s="17"/>
      <c r="U1028" s="17"/>
      <c r="V1028" s="17"/>
      <c r="W1028" s="17"/>
      <c r="X1028" s="17"/>
      <c r="Y1028" s="17"/>
      <c r="Z1028" s="17"/>
      <c r="AA1028" s="17"/>
      <c r="AB1028" s="17"/>
      <c r="AC1028" s="17"/>
      <c r="AD1028" s="17"/>
      <c r="AE1028" s="17"/>
      <c r="AF1028" s="17"/>
      <c r="AG1028" s="17"/>
      <c r="AH1028" s="17"/>
      <c r="AI1028" s="17"/>
      <c r="AJ1028" s="17"/>
      <c r="AK1028" s="17"/>
      <c r="AL1028" s="17"/>
      <c r="AM1028" s="17"/>
      <c r="AN1028" s="17"/>
      <c r="AO1028" s="17"/>
      <c r="AP1028" s="1"/>
      <c r="AQ1028" s="1"/>
    </row>
    <row r="1029" spans="1:43" x14ac:dyDescent="0.35">
      <c r="A1029" s="6"/>
      <c r="B1029" s="13"/>
      <c r="C1029" s="81"/>
      <c r="D1029" s="4"/>
      <c r="E1029" s="8"/>
      <c r="F1029" s="17"/>
      <c r="G1029" s="17"/>
      <c r="H1029" s="17"/>
      <c r="I1029" s="17"/>
      <c r="J1029" s="17"/>
      <c r="K1029" s="17"/>
      <c r="L1029" s="17"/>
      <c r="M1029" s="17"/>
      <c r="N1029" s="17"/>
      <c r="O1029" s="17"/>
      <c r="P1029" s="17"/>
      <c r="Q1029" s="17"/>
      <c r="R1029" s="17"/>
      <c r="S1029" s="17"/>
      <c r="T1029" s="17"/>
      <c r="U1029" s="17"/>
      <c r="V1029" s="17"/>
      <c r="W1029" s="17"/>
      <c r="X1029" s="17"/>
      <c r="Y1029" s="17"/>
      <c r="Z1029" s="17"/>
      <c r="AA1029" s="17"/>
      <c r="AB1029" s="17"/>
      <c r="AC1029" s="17"/>
      <c r="AD1029" s="17"/>
      <c r="AE1029" s="17"/>
      <c r="AF1029" s="17"/>
      <c r="AG1029" s="17"/>
      <c r="AH1029" s="17"/>
      <c r="AI1029" s="17"/>
      <c r="AJ1029" s="17"/>
      <c r="AK1029" s="17"/>
      <c r="AL1029" s="17"/>
      <c r="AM1029" s="17"/>
      <c r="AN1029" s="17"/>
      <c r="AO1029" s="17"/>
      <c r="AP1029" s="1"/>
      <c r="AQ1029" s="1"/>
    </row>
    <row r="1030" spans="1:43" x14ac:dyDescent="0.35">
      <c r="A1030" s="6"/>
      <c r="B1030" s="13"/>
      <c r="C1030" s="81"/>
      <c r="D1030" s="4"/>
      <c r="E1030" s="8"/>
      <c r="F1030" s="17"/>
      <c r="G1030" s="17"/>
      <c r="H1030" s="17"/>
      <c r="I1030" s="17"/>
      <c r="J1030" s="17"/>
      <c r="K1030" s="17"/>
      <c r="L1030" s="17"/>
      <c r="M1030" s="17"/>
      <c r="N1030" s="17"/>
      <c r="O1030" s="17"/>
      <c r="P1030" s="17"/>
      <c r="Q1030" s="17"/>
      <c r="R1030" s="17"/>
      <c r="S1030" s="17"/>
      <c r="T1030" s="17"/>
      <c r="U1030" s="17"/>
      <c r="V1030" s="17"/>
      <c r="W1030" s="17"/>
      <c r="X1030" s="17"/>
      <c r="Y1030" s="17"/>
      <c r="Z1030" s="17"/>
      <c r="AA1030" s="17"/>
      <c r="AB1030" s="17"/>
      <c r="AC1030" s="17"/>
      <c r="AD1030" s="17"/>
      <c r="AE1030" s="17"/>
      <c r="AF1030" s="17"/>
      <c r="AG1030" s="17"/>
      <c r="AH1030" s="17"/>
      <c r="AI1030" s="17"/>
      <c r="AJ1030" s="17"/>
      <c r="AK1030" s="17"/>
      <c r="AL1030" s="17"/>
      <c r="AM1030" s="17"/>
      <c r="AN1030" s="17"/>
      <c r="AO1030" s="17"/>
      <c r="AP1030" s="1"/>
      <c r="AQ1030" s="1"/>
    </row>
    <row r="1031" spans="1:43" x14ac:dyDescent="0.35">
      <c r="A1031" s="6"/>
      <c r="B1031" s="13"/>
      <c r="C1031" s="81"/>
      <c r="D1031" s="4"/>
      <c r="E1031" s="8"/>
      <c r="F1031" s="17"/>
      <c r="G1031" s="17"/>
      <c r="H1031" s="17"/>
      <c r="I1031" s="17"/>
      <c r="J1031" s="17"/>
      <c r="K1031" s="17"/>
      <c r="L1031" s="17"/>
      <c r="M1031" s="17"/>
      <c r="N1031" s="17"/>
      <c r="O1031" s="17"/>
      <c r="P1031" s="17"/>
      <c r="Q1031" s="17"/>
      <c r="R1031" s="17"/>
      <c r="S1031" s="17"/>
      <c r="T1031" s="17"/>
      <c r="U1031" s="17"/>
      <c r="V1031" s="17"/>
      <c r="W1031" s="17"/>
      <c r="X1031" s="17"/>
      <c r="Y1031" s="17"/>
      <c r="Z1031" s="17"/>
      <c r="AA1031" s="17"/>
      <c r="AB1031" s="17"/>
      <c r="AC1031" s="17"/>
      <c r="AD1031" s="17"/>
      <c r="AE1031" s="17"/>
      <c r="AF1031" s="17"/>
      <c r="AG1031" s="17"/>
      <c r="AH1031" s="17"/>
      <c r="AI1031" s="17"/>
      <c r="AJ1031" s="17"/>
      <c r="AK1031" s="17"/>
      <c r="AL1031" s="17"/>
      <c r="AM1031" s="17"/>
      <c r="AN1031" s="17"/>
      <c r="AO1031" s="17"/>
      <c r="AP1031" s="1"/>
      <c r="AQ1031" s="1"/>
    </row>
    <row r="1032" spans="1:43" x14ac:dyDescent="0.35">
      <c r="A1032" s="6"/>
      <c r="B1032" s="13"/>
      <c r="C1032" s="81"/>
      <c r="D1032" s="4"/>
      <c r="E1032" s="8"/>
      <c r="F1032" s="17"/>
      <c r="G1032" s="17"/>
      <c r="H1032" s="17"/>
      <c r="I1032" s="17"/>
      <c r="J1032" s="17"/>
      <c r="K1032" s="17"/>
      <c r="L1032" s="17"/>
      <c r="M1032" s="17"/>
      <c r="N1032" s="17"/>
      <c r="O1032" s="17"/>
      <c r="P1032" s="17"/>
      <c r="Q1032" s="17"/>
      <c r="R1032" s="17"/>
      <c r="S1032" s="17"/>
      <c r="T1032" s="17"/>
      <c r="U1032" s="17"/>
      <c r="V1032" s="17"/>
      <c r="W1032" s="17"/>
      <c r="X1032" s="17"/>
      <c r="Y1032" s="17"/>
      <c r="Z1032" s="17"/>
      <c r="AA1032" s="17"/>
      <c r="AB1032" s="17"/>
      <c r="AC1032" s="17"/>
      <c r="AD1032" s="17"/>
      <c r="AE1032" s="17"/>
      <c r="AF1032" s="17"/>
      <c r="AG1032" s="17"/>
      <c r="AH1032" s="17"/>
      <c r="AI1032" s="17"/>
      <c r="AJ1032" s="17"/>
      <c r="AK1032" s="17"/>
      <c r="AL1032" s="17"/>
      <c r="AM1032" s="17"/>
      <c r="AN1032" s="17"/>
      <c r="AO1032" s="17"/>
      <c r="AP1032" s="1"/>
      <c r="AQ1032" s="1"/>
    </row>
    <row r="1033" spans="1:43" x14ac:dyDescent="0.35">
      <c r="A1033" s="6"/>
      <c r="B1033" s="13"/>
      <c r="C1033" s="81"/>
      <c r="D1033" s="4"/>
      <c r="E1033" s="8"/>
      <c r="F1033" s="17"/>
      <c r="G1033" s="17"/>
      <c r="H1033" s="17"/>
      <c r="I1033" s="17"/>
      <c r="J1033" s="17"/>
      <c r="K1033" s="17"/>
      <c r="L1033" s="17"/>
      <c r="M1033" s="17"/>
      <c r="N1033" s="17"/>
      <c r="O1033" s="17"/>
      <c r="P1033" s="17"/>
      <c r="Q1033" s="17"/>
      <c r="R1033" s="17"/>
      <c r="S1033" s="17"/>
      <c r="T1033" s="17"/>
      <c r="U1033" s="17"/>
      <c r="V1033" s="17"/>
      <c r="W1033" s="17"/>
      <c r="X1033" s="17"/>
      <c r="Y1033" s="17"/>
      <c r="Z1033" s="17"/>
      <c r="AA1033" s="17"/>
      <c r="AB1033" s="17"/>
      <c r="AC1033" s="17"/>
      <c r="AD1033" s="17"/>
      <c r="AE1033" s="17"/>
      <c r="AF1033" s="17"/>
      <c r="AG1033" s="17"/>
      <c r="AH1033" s="17"/>
      <c r="AI1033" s="17"/>
      <c r="AJ1033" s="17"/>
      <c r="AK1033" s="17"/>
      <c r="AL1033" s="17"/>
      <c r="AM1033" s="17"/>
      <c r="AN1033" s="17"/>
      <c r="AO1033" s="17"/>
      <c r="AP1033" s="1"/>
      <c r="AQ1033" s="1"/>
    </row>
    <row r="1034" spans="1:43" x14ac:dyDescent="0.35">
      <c r="A1034" s="6"/>
      <c r="B1034" s="13"/>
      <c r="C1034" s="81"/>
      <c r="D1034" s="4"/>
      <c r="E1034" s="8"/>
      <c r="F1034" s="17"/>
      <c r="G1034" s="17"/>
      <c r="H1034" s="17"/>
      <c r="I1034" s="17"/>
      <c r="J1034" s="17"/>
      <c r="K1034" s="17"/>
      <c r="L1034" s="17"/>
      <c r="M1034" s="17"/>
      <c r="N1034" s="17"/>
      <c r="O1034" s="17"/>
      <c r="P1034" s="17"/>
      <c r="Q1034" s="17"/>
      <c r="R1034" s="17"/>
      <c r="S1034" s="17"/>
      <c r="T1034" s="17"/>
      <c r="U1034" s="17"/>
      <c r="V1034" s="17"/>
      <c r="W1034" s="17"/>
      <c r="X1034" s="17"/>
      <c r="Y1034" s="17"/>
      <c r="Z1034" s="17"/>
      <c r="AA1034" s="17"/>
      <c r="AB1034" s="17"/>
      <c r="AC1034" s="17"/>
      <c r="AD1034" s="17"/>
      <c r="AE1034" s="17"/>
      <c r="AF1034" s="17"/>
      <c r="AG1034" s="17"/>
      <c r="AH1034" s="17"/>
      <c r="AI1034" s="17"/>
      <c r="AJ1034" s="17"/>
      <c r="AK1034" s="17"/>
      <c r="AL1034" s="17"/>
      <c r="AM1034" s="17"/>
      <c r="AN1034" s="17"/>
      <c r="AO1034" s="17"/>
      <c r="AP1034" s="1"/>
      <c r="AQ1034" s="1"/>
    </row>
    <row r="1035" spans="1:43" x14ac:dyDescent="0.35">
      <c r="A1035" s="6"/>
      <c r="B1035" s="13"/>
      <c r="C1035" s="81"/>
      <c r="D1035" s="4"/>
      <c r="E1035" s="8"/>
      <c r="F1035" s="17"/>
      <c r="G1035" s="17"/>
      <c r="H1035" s="17"/>
      <c r="I1035" s="17"/>
      <c r="J1035" s="17"/>
      <c r="K1035" s="17"/>
      <c r="L1035" s="17"/>
      <c r="M1035" s="17"/>
      <c r="N1035" s="17"/>
      <c r="O1035" s="17"/>
      <c r="P1035" s="17"/>
      <c r="Q1035" s="17"/>
      <c r="R1035" s="17"/>
      <c r="S1035" s="17"/>
      <c r="T1035" s="17"/>
      <c r="U1035" s="17"/>
      <c r="V1035" s="17"/>
      <c r="W1035" s="17"/>
      <c r="X1035" s="17"/>
      <c r="Y1035" s="17"/>
      <c r="Z1035" s="17"/>
      <c r="AA1035" s="17"/>
      <c r="AB1035" s="17"/>
      <c r="AC1035" s="17"/>
      <c r="AD1035" s="17"/>
      <c r="AE1035" s="17"/>
      <c r="AF1035" s="17"/>
      <c r="AG1035" s="17"/>
      <c r="AH1035" s="17"/>
      <c r="AI1035" s="17"/>
      <c r="AJ1035" s="17"/>
      <c r="AK1035" s="17"/>
      <c r="AL1035" s="17"/>
      <c r="AM1035" s="17"/>
      <c r="AN1035" s="17"/>
      <c r="AO1035" s="17"/>
      <c r="AP1035" s="1"/>
      <c r="AQ1035" s="1"/>
    </row>
    <row r="1036" spans="1:43" x14ac:dyDescent="0.35">
      <c r="A1036" s="6"/>
      <c r="B1036" s="13"/>
      <c r="C1036" s="81"/>
      <c r="D1036" s="4"/>
      <c r="E1036" s="8"/>
      <c r="F1036" s="17"/>
      <c r="G1036" s="17"/>
      <c r="H1036" s="17"/>
      <c r="I1036" s="17"/>
      <c r="J1036" s="17"/>
      <c r="K1036" s="17"/>
      <c r="L1036" s="17"/>
      <c r="M1036" s="17"/>
      <c r="N1036" s="17"/>
      <c r="O1036" s="17"/>
      <c r="P1036" s="17"/>
      <c r="Q1036" s="17"/>
      <c r="R1036" s="17"/>
      <c r="S1036" s="17"/>
      <c r="T1036" s="17"/>
      <c r="U1036" s="17"/>
      <c r="V1036" s="17"/>
      <c r="W1036" s="17"/>
      <c r="X1036" s="17"/>
      <c r="Y1036" s="17"/>
      <c r="Z1036" s="17"/>
      <c r="AA1036" s="17"/>
      <c r="AB1036" s="17"/>
      <c r="AC1036" s="17"/>
      <c r="AD1036" s="17"/>
      <c r="AE1036" s="17"/>
      <c r="AF1036" s="17"/>
      <c r="AG1036" s="17"/>
      <c r="AH1036" s="17"/>
      <c r="AI1036" s="17"/>
      <c r="AJ1036" s="17"/>
      <c r="AK1036" s="17"/>
      <c r="AL1036" s="17"/>
      <c r="AM1036" s="17"/>
      <c r="AN1036" s="17"/>
      <c r="AO1036" s="17"/>
      <c r="AP1036" s="1"/>
      <c r="AQ1036" s="1"/>
    </row>
    <row r="1037" spans="1:43" x14ac:dyDescent="0.35">
      <c r="A1037" s="6"/>
      <c r="B1037" s="13"/>
      <c r="C1037" s="81"/>
      <c r="D1037" s="4"/>
      <c r="E1037" s="8"/>
      <c r="F1037" s="17"/>
      <c r="G1037" s="17"/>
      <c r="H1037" s="17"/>
      <c r="I1037" s="17"/>
      <c r="J1037" s="17"/>
      <c r="K1037" s="17"/>
      <c r="L1037" s="17"/>
      <c r="M1037" s="17"/>
      <c r="N1037" s="17"/>
      <c r="O1037" s="17"/>
      <c r="P1037" s="17"/>
      <c r="Q1037" s="17"/>
      <c r="R1037" s="17"/>
      <c r="S1037" s="17"/>
      <c r="T1037" s="17"/>
      <c r="U1037" s="17"/>
      <c r="V1037" s="17"/>
      <c r="W1037" s="17"/>
      <c r="X1037" s="17"/>
      <c r="Y1037" s="17"/>
      <c r="Z1037" s="17"/>
      <c r="AA1037" s="17"/>
      <c r="AB1037" s="17"/>
      <c r="AC1037" s="17"/>
      <c r="AD1037" s="17"/>
      <c r="AE1037" s="17"/>
      <c r="AF1037" s="17"/>
      <c r="AG1037" s="17"/>
      <c r="AH1037" s="17"/>
      <c r="AI1037" s="17"/>
      <c r="AJ1037" s="17"/>
      <c r="AK1037" s="17"/>
      <c r="AL1037" s="17"/>
      <c r="AM1037" s="17"/>
      <c r="AN1037" s="17"/>
      <c r="AO1037" s="17"/>
      <c r="AP1037" s="1"/>
      <c r="AQ1037" s="1"/>
    </row>
    <row r="1038" spans="1:43" x14ac:dyDescent="0.35">
      <c r="A1038" s="6"/>
      <c r="B1038" s="13"/>
      <c r="C1038" s="81"/>
      <c r="D1038" s="4"/>
      <c r="E1038" s="8"/>
      <c r="F1038" s="17"/>
      <c r="G1038" s="17"/>
      <c r="H1038" s="17"/>
      <c r="I1038" s="17"/>
      <c r="J1038" s="17"/>
      <c r="K1038" s="17"/>
      <c r="L1038" s="17"/>
      <c r="M1038" s="17"/>
      <c r="N1038" s="17"/>
      <c r="O1038" s="17"/>
      <c r="P1038" s="17"/>
      <c r="Q1038" s="17"/>
      <c r="R1038" s="17"/>
      <c r="S1038" s="17"/>
      <c r="T1038" s="17"/>
      <c r="U1038" s="17"/>
      <c r="V1038" s="17"/>
      <c r="W1038" s="17"/>
      <c r="X1038" s="17"/>
      <c r="Y1038" s="17"/>
      <c r="Z1038" s="17"/>
      <c r="AA1038" s="17"/>
      <c r="AB1038" s="17"/>
      <c r="AC1038" s="17"/>
      <c r="AD1038" s="17"/>
      <c r="AE1038" s="17"/>
      <c r="AF1038" s="17"/>
      <c r="AG1038" s="17"/>
      <c r="AH1038" s="17"/>
      <c r="AI1038" s="17"/>
      <c r="AJ1038" s="17"/>
      <c r="AK1038" s="17"/>
      <c r="AL1038" s="17"/>
      <c r="AM1038" s="17"/>
      <c r="AN1038" s="17"/>
      <c r="AO1038" s="17"/>
      <c r="AP1038" s="1"/>
      <c r="AQ1038" s="1"/>
    </row>
    <row r="1039" spans="1:43" x14ac:dyDescent="0.35">
      <c r="A1039" s="6"/>
      <c r="B1039" s="13"/>
      <c r="C1039" s="81"/>
      <c r="D1039" s="4"/>
      <c r="E1039" s="8"/>
      <c r="F1039" s="17"/>
      <c r="G1039" s="17"/>
      <c r="H1039" s="17"/>
      <c r="I1039" s="17"/>
      <c r="J1039" s="17"/>
      <c r="K1039" s="17"/>
      <c r="L1039" s="17"/>
      <c r="M1039" s="17"/>
      <c r="N1039" s="17"/>
      <c r="O1039" s="17"/>
      <c r="P1039" s="17"/>
      <c r="Q1039" s="17"/>
      <c r="R1039" s="17"/>
      <c r="S1039" s="17"/>
      <c r="T1039" s="17"/>
      <c r="U1039" s="17"/>
      <c r="V1039" s="17"/>
      <c r="W1039" s="17"/>
      <c r="X1039" s="17"/>
      <c r="Y1039" s="17"/>
      <c r="Z1039" s="17"/>
      <c r="AA1039" s="17"/>
      <c r="AB1039" s="17"/>
      <c r="AC1039" s="17"/>
      <c r="AD1039" s="17"/>
      <c r="AE1039" s="17"/>
      <c r="AF1039" s="17"/>
      <c r="AG1039" s="17"/>
      <c r="AH1039" s="17"/>
      <c r="AI1039" s="17"/>
      <c r="AJ1039" s="17"/>
      <c r="AK1039" s="17"/>
      <c r="AL1039" s="17"/>
      <c r="AM1039" s="17"/>
      <c r="AN1039" s="17"/>
      <c r="AO1039" s="17"/>
      <c r="AP1039" s="1"/>
      <c r="AQ1039" s="1"/>
    </row>
    <row r="1040" spans="1:43" x14ac:dyDescent="0.35">
      <c r="A1040" s="6"/>
      <c r="B1040" s="13"/>
      <c r="C1040" s="81"/>
      <c r="D1040" s="4"/>
      <c r="E1040" s="8"/>
      <c r="F1040" s="17"/>
      <c r="G1040" s="17"/>
      <c r="H1040" s="17"/>
      <c r="I1040" s="17"/>
      <c r="J1040" s="17"/>
      <c r="K1040" s="17"/>
      <c r="L1040" s="17"/>
      <c r="M1040" s="17"/>
      <c r="N1040" s="17"/>
      <c r="O1040" s="17"/>
      <c r="P1040" s="17"/>
      <c r="Q1040" s="17"/>
      <c r="R1040" s="17"/>
      <c r="S1040" s="17"/>
      <c r="T1040" s="17"/>
      <c r="U1040" s="17"/>
      <c r="V1040" s="17"/>
      <c r="W1040" s="17"/>
      <c r="X1040" s="17"/>
      <c r="Y1040" s="17"/>
      <c r="Z1040" s="17"/>
      <c r="AA1040" s="17"/>
      <c r="AB1040" s="17"/>
      <c r="AC1040" s="17"/>
      <c r="AD1040" s="17"/>
      <c r="AE1040" s="17"/>
      <c r="AF1040" s="17"/>
      <c r="AG1040" s="17"/>
      <c r="AH1040" s="17"/>
      <c r="AI1040" s="17"/>
      <c r="AJ1040" s="17"/>
      <c r="AK1040" s="17"/>
      <c r="AL1040" s="17"/>
      <c r="AM1040" s="17"/>
      <c r="AN1040" s="17"/>
      <c r="AO1040" s="17"/>
      <c r="AP1040" s="1"/>
      <c r="AQ1040" s="1"/>
    </row>
    <row r="1041" spans="1:43" x14ac:dyDescent="0.35">
      <c r="A1041" s="6"/>
      <c r="B1041" s="13"/>
      <c r="C1041" s="81"/>
      <c r="D1041" s="4"/>
      <c r="E1041" s="8"/>
      <c r="F1041" s="17"/>
      <c r="G1041" s="17"/>
      <c r="H1041" s="17"/>
      <c r="I1041" s="17"/>
      <c r="J1041" s="17"/>
      <c r="K1041" s="17"/>
      <c r="L1041" s="17"/>
      <c r="M1041" s="17"/>
      <c r="N1041" s="17"/>
      <c r="O1041" s="17"/>
      <c r="P1041" s="17"/>
      <c r="Q1041" s="17"/>
      <c r="R1041" s="17"/>
      <c r="S1041" s="17"/>
      <c r="T1041" s="17"/>
      <c r="U1041" s="17"/>
      <c r="V1041" s="17"/>
      <c r="W1041" s="17"/>
      <c r="X1041" s="17"/>
      <c r="Y1041" s="17"/>
      <c r="Z1041" s="17"/>
      <c r="AA1041" s="17"/>
      <c r="AB1041" s="17"/>
      <c r="AC1041" s="17"/>
      <c r="AD1041" s="17"/>
      <c r="AE1041" s="17"/>
      <c r="AF1041" s="17"/>
      <c r="AG1041" s="17"/>
      <c r="AH1041" s="17"/>
      <c r="AI1041" s="17"/>
      <c r="AJ1041" s="17"/>
      <c r="AK1041" s="17"/>
      <c r="AL1041" s="17"/>
      <c r="AM1041" s="17"/>
      <c r="AN1041" s="17"/>
      <c r="AO1041" s="17"/>
      <c r="AP1041" s="1"/>
      <c r="AQ1041" s="1"/>
    </row>
    <row r="1042" spans="1:43" x14ac:dyDescent="0.35">
      <c r="A1042" s="6"/>
      <c r="B1042" s="13"/>
      <c r="C1042" s="81"/>
      <c r="D1042" s="4"/>
      <c r="E1042" s="8"/>
      <c r="F1042" s="17"/>
      <c r="G1042" s="17"/>
      <c r="H1042" s="17"/>
      <c r="I1042" s="17"/>
      <c r="J1042" s="17"/>
      <c r="K1042" s="17"/>
      <c r="L1042" s="17"/>
      <c r="M1042" s="17"/>
      <c r="N1042" s="17"/>
      <c r="O1042" s="17"/>
      <c r="P1042" s="17"/>
      <c r="Q1042" s="17"/>
      <c r="R1042" s="17"/>
      <c r="S1042" s="17"/>
      <c r="T1042" s="17"/>
      <c r="U1042" s="17"/>
      <c r="V1042" s="17"/>
      <c r="W1042" s="17"/>
      <c r="X1042" s="17"/>
      <c r="Y1042" s="17"/>
      <c r="Z1042" s="17"/>
      <c r="AA1042" s="17"/>
      <c r="AB1042" s="17"/>
      <c r="AC1042" s="17"/>
      <c r="AD1042" s="17"/>
      <c r="AE1042" s="17"/>
      <c r="AF1042" s="17"/>
      <c r="AG1042" s="17"/>
      <c r="AH1042" s="17"/>
      <c r="AI1042" s="17"/>
      <c r="AJ1042" s="17"/>
      <c r="AK1042" s="17"/>
      <c r="AL1042" s="17"/>
      <c r="AM1042" s="17"/>
      <c r="AN1042" s="17"/>
      <c r="AO1042" s="17"/>
      <c r="AP1042" s="1"/>
      <c r="AQ1042" s="1"/>
    </row>
    <row r="1043" spans="1:43" x14ac:dyDescent="0.35">
      <c r="A1043" s="6"/>
      <c r="B1043" s="13"/>
      <c r="C1043" s="81"/>
      <c r="D1043" s="4"/>
      <c r="E1043" s="8"/>
      <c r="F1043" s="17"/>
      <c r="G1043" s="17"/>
      <c r="H1043" s="17"/>
      <c r="I1043" s="17"/>
      <c r="J1043" s="17"/>
      <c r="K1043" s="17"/>
      <c r="L1043" s="17"/>
      <c r="M1043" s="17"/>
      <c r="N1043" s="17"/>
      <c r="O1043" s="17"/>
      <c r="P1043" s="17"/>
      <c r="Q1043" s="17"/>
      <c r="R1043" s="17"/>
      <c r="S1043" s="17"/>
      <c r="T1043" s="17"/>
      <c r="U1043" s="17"/>
      <c r="V1043" s="17"/>
      <c r="W1043" s="17"/>
      <c r="X1043" s="17"/>
      <c r="Y1043" s="17"/>
      <c r="Z1043" s="17"/>
      <c r="AA1043" s="17"/>
      <c r="AB1043" s="17"/>
      <c r="AC1043" s="17"/>
      <c r="AD1043" s="17"/>
      <c r="AE1043" s="17"/>
      <c r="AF1043" s="17"/>
      <c r="AG1043" s="17"/>
      <c r="AH1043" s="17"/>
      <c r="AI1043" s="17"/>
      <c r="AJ1043" s="17"/>
      <c r="AK1043" s="17"/>
      <c r="AL1043" s="17"/>
      <c r="AM1043" s="17"/>
      <c r="AN1043" s="17"/>
      <c r="AO1043" s="17"/>
      <c r="AP1043" s="1"/>
      <c r="AQ1043" s="1"/>
    </row>
    <row r="1044" spans="1:43" x14ac:dyDescent="0.35">
      <c r="A1044" s="6"/>
      <c r="B1044" s="13"/>
      <c r="C1044" s="81"/>
      <c r="D1044" s="4"/>
      <c r="E1044" s="8"/>
      <c r="F1044" s="17"/>
      <c r="G1044" s="17"/>
      <c r="H1044" s="17"/>
      <c r="I1044" s="17"/>
      <c r="J1044" s="17"/>
      <c r="K1044" s="17"/>
      <c r="L1044" s="17"/>
      <c r="M1044" s="17"/>
      <c r="N1044" s="17"/>
      <c r="O1044" s="17"/>
      <c r="P1044" s="17"/>
      <c r="Q1044" s="17"/>
      <c r="R1044" s="17"/>
      <c r="S1044" s="17"/>
      <c r="T1044" s="17"/>
      <c r="U1044" s="17"/>
      <c r="V1044" s="17"/>
      <c r="W1044" s="17"/>
      <c r="X1044" s="17"/>
      <c r="Y1044" s="17"/>
      <c r="Z1044" s="17"/>
      <c r="AA1044" s="17"/>
      <c r="AB1044" s="17"/>
      <c r="AC1044" s="17"/>
      <c r="AD1044" s="17"/>
      <c r="AE1044" s="17"/>
      <c r="AF1044" s="17"/>
      <c r="AG1044" s="17"/>
      <c r="AH1044" s="17"/>
      <c r="AI1044" s="17"/>
      <c r="AJ1044" s="17"/>
      <c r="AK1044" s="17"/>
      <c r="AL1044" s="17"/>
      <c r="AM1044" s="17"/>
      <c r="AN1044" s="17"/>
      <c r="AO1044" s="17"/>
      <c r="AP1044" s="1"/>
      <c r="AQ1044" s="1"/>
    </row>
    <row r="1045" spans="1:43" x14ac:dyDescent="0.35">
      <c r="A1045" s="6"/>
      <c r="B1045" s="13"/>
      <c r="C1045" s="81"/>
      <c r="D1045" s="4"/>
      <c r="E1045" s="8"/>
      <c r="F1045" s="17"/>
      <c r="G1045" s="17"/>
      <c r="H1045" s="17"/>
      <c r="I1045" s="17"/>
      <c r="J1045" s="17"/>
      <c r="K1045" s="17"/>
      <c r="L1045" s="17"/>
      <c r="M1045" s="17"/>
      <c r="N1045" s="17"/>
      <c r="O1045" s="17"/>
      <c r="P1045" s="17"/>
      <c r="Q1045" s="17"/>
      <c r="R1045" s="17"/>
      <c r="S1045" s="17"/>
      <c r="T1045" s="17"/>
      <c r="U1045" s="17"/>
      <c r="V1045" s="17"/>
      <c r="W1045" s="17"/>
      <c r="X1045" s="17"/>
      <c r="Y1045" s="17"/>
      <c r="Z1045" s="17"/>
      <c r="AA1045" s="17"/>
      <c r="AB1045" s="17"/>
      <c r="AC1045" s="17"/>
      <c r="AD1045" s="17"/>
      <c r="AE1045" s="17"/>
      <c r="AF1045" s="17"/>
      <c r="AG1045" s="17"/>
      <c r="AH1045" s="17"/>
      <c r="AI1045" s="17"/>
      <c r="AJ1045" s="17"/>
      <c r="AK1045" s="17"/>
      <c r="AL1045" s="17"/>
      <c r="AM1045" s="17"/>
      <c r="AN1045" s="17"/>
      <c r="AO1045" s="17"/>
      <c r="AP1045" s="1"/>
      <c r="AQ1045" s="1"/>
    </row>
    <row r="1046" spans="1:43" x14ac:dyDescent="0.35">
      <c r="A1046" s="6"/>
      <c r="B1046" s="13"/>
      <c r="C1046" s="81"/>
      <c r="D1046" s="4"/>
      <c r="E1046" s="8"/>
      <c r="F1046" s="17"/>
      <c r="G1046" s="17"/>
      <c r="H1046" s="17"/>
      <c r="I1046" s="17"/>
      <c r="J1046" s="17"/>
      <c r="K1046" s="17"/>
      <c r="L1046" s="17"/>
      <c r="M1046" s="17"/>
      <c r="N1046" s="17"/>
      <c r="O1046" s="17"/>
      <c r="P1046" s="17"/>
      <c r="Q1046" s="17"/>
      <c r="R1046" s="17"/>
      <c r="S1046" s="17"/>
      <c r="T1046" s="17"/>
      <c r="U1046" s="17"/>
      <c r="V1046" s="17"/>
      <c r="W1046" s="17"/>
      <c r="X1046" s="17"/>
      <c r="Y1046" s="17"/>
      <c r="Z1046" s="17"/>
      <c r="AA1046" s="17"/>
      <c r="AB1046" s="17"/>
      <c r="AC1046" s="17"/>
      <c r="AD1046" s="17"/>
      <c r="AE1046" s="17"/>
      <c r="AF1046" s="17"/>
      <c r="AG1046" s="17"/>
      <c r="AH1046" s="17"/>
      <c r="AI1046" s="17"/>
      <c r="AJ1046" s="17"/>
      <c r="AK1046" s="17"/>
      <c r="AL1046" s="17"/>
      <c r="AM1046" s="17"/>
      <c r="AN1046" s="17"/>
      <c r="AO1046" s="17"/>
      <c r="AP1046" s="1"/>
      <c r="AQ1046" s="1"/>
    </row>
    <row r="1047" spans="1:43" x14ac:dyDescent="0.35">
      <c r="A1047" s="6"/>
      <c r="B1047" s="13"/>
      <c r="C1047" s="81"/>
      <c r="D1047" s="4"/>
      <c r="E1047" s="8"/>
      <c r="F1047" s="17"/>
      <c r="G1047" s="17"/>
      <c r="H1047" s="17"/>
      <c r="I1047" s="17"/>
      <c r="J1047" s="17"/>
      <c r="K1047" s="17"/>
      <c r="L1047" s="17"/>
      <c r="M1047" s="17"/>
      <c r="N1047" s="17"/>
      <c r="O1047" s="17"/>
      <c r="P1047" s="17"/>
      <c r="Q1047" s="17"/>
      <c r="R1047" s="17"/>
      <c r="S1047" s="17"/>
      <c r="T1047" s="17"/>
      <c r="U1047" s="17"/>
      <c r="V1047" s="17"/>
      <c r="W1047" s="17"/>
      <c r="X1047" s="17"/>
      <c r="Y1047" s="17"/>
      <c r="Z1047" s="17"/>
      <c r="AA1047" s="17"/>
      <c r="AB1047" s="17"/>
      <c r="AC1047" s="17"/>
      <c r="AD1047" s="17"/>
      <c r="AE1047" s="17"/>
      <c r="AF1047" s="17"/>
      <c r="AG1047" s="17"/>
      <c r="AH1047" s="17"/>
      <c r="AI1047" s="17"/>
      <c r="AJ1047" s="17"/>
      <c r="AK1047" s="17"/>
      <c r="AL1047" s="17"/>
      <c r="AM1047" s="17"/>
      <c r="AN1047" s="17"/>
      <c r="AO1047" s="17"/>
      <c r="AP1047" s="1"/>
      <c r="AQ1047" s="1"/>
    </row>
    <row r="1048" spans="1:43" x14ac:dyDescent="0.35">
      <c r="A1048" s="6"/>
      <c r="B1048" s="13"/>
      <c r="C1048" s="81"/>
      <c r="D1048" s="4"/>
      <c r="E1048" s="8"/>
      <c r="F1048" s="17"/>
      <c r="G1048" s="17"/>
      <c r="H1048" s="17"/>
      <c r="I1048" s="17"/>
      <c r="J1048" s="17"/>
      <c r="K1048" s="17"/>
      <c r="L1048" s="17"/>
      <c r="M1048" s="17"/>
      <c r="N1048" s="17"/>
      <c r="O1048" s="17"/>
      <c r="P1048" s="17"/>
      <c r="Q1048" s="17"/>
      <c r="R1048" s="17"/>
      <c r="S1048" s="17"/>
      <c r="T1048" s="17"/>
      <c r="U1048" s="17"/>
      <c r="V1048" s="17"/>
      <c r="W1048" s="17"/>
      <c r="X1048" s="17"/>
      <c r="Y1048" s="17"/>
      <c r="Z1048" s="17"/>
      <c r="AA1048" s="17"/>
      <c r="AB1048" s="17"/>
      <c r="AC1048" s="17"/>
      <c r="AD1048" s="17"/>
      <c r="AE1048" s="17"/>
      <c r="AF1048" s="17"/>
      <c r="AG1048" s="17"/>
      <c r="AH1048" s="17"/>
      <c r="AI1048" s="17"/>
      <c r="AJ1048" s="17"/>
      <c r="AK1048" s="17"/>
      <c r="AL1048" s="17"/>
      <c r="AM1048" s="17"/>
      <c r="AN1048" s="17"/>
      <c r="AO1048" s="17"/>
      <c r="AP1048" s="1"/>
      <c r="AQ1048" s="1"/>
    </row>
    <row r="1049" spans="1:43" x14ac:dyDescent="0.35">
      <c r="A1049" s="6"/>
      <c r="B1049" s="13"/>
      <c r="C1049" s="81"/>
      <c r="D1049" s="4"/>
      <c r="E1049" s="8"/>
      <c r="F1049" s="17"/>
      <c r="G1049" s="17"/>
      <c r="H1049" s="17"/>
      <c r="I1049" s="17"/>
      <c r="J1049" s="17"/>
      <c r="K1049" s="17"/>
      <c r="L1049" s="17"/>
      <c r="M1049" s="17"/>
      <c r="N1049" s="17"/>
      <c r="O1049" s="17"/>
      <c r="P1049" s="17"/>
      <c r="Q1049" s="17"/>
      <c r="R1049" s="17"/>
      <c r="S1049" s="17"/>
      <c r="T1049" s="17"/>
      <c r="U1049" s="17"/>
      <c r="V1049" s="17"/>
      <c r="W1049" s="17"/>
      <c r="X1049" s="17"/>
      <c r="Y1049" s="17"/>
      <c r="Z1049" s="17"/>
      <c r="AA1049" s="17"/>
      <c r="AB1049" s="17"/>
      <c r="AC1049" s="17"/>
      <c r="AD1049" s="17"/>
      <c r="AE1049" s="17"/>
      <c r="AF1049" s="17"/>
      <c r="AG1049" s="17"/>
      <c r="AH1049" s="17"/>
      <c r="AI1049" s="17"/>
      <c r="AJ1049" s="17"/>
      <c r="AK1049" s="17"/>
      <c r="AL1049" s="17"/>
      <c r="AM1049" s="17"/>
      <c r="AN1049" s="17"/>
      <c r="AO1049" s="17"/>
      <c r="AP1049" s="1"/>
      <c r="AQ1049" s="1"/>
    </row>
    <row r="1050" spans="1:43" x14ac:dyDescent="0.35">
      <c r="A1050" s="6"/>
      <c r="B1050" s="13"/>
      <c r="C1050" s="81"/>
      <c r="D1050" s="4"/>
      <c r="E1050" s="8"/>
      <c r="F1050" s="17"/>
      <c r="G1050" s="17"/>
      <c r="H1050" s="17"/>
      <c r="I1050" s="17"/>
      <c r="J1050" s="17"/>
      <c r="K1050" s="17"/>
      <c r="L1050" s="17"/>
      <c r="M1050" s="17"/>
      <c r="N1050" s="17"/>
      <c r="O1050" s="17"/>
      <c r="P1050" s="17"/>
      <c r="Q1050" s="17"/>
      <c r="R1050" s="17"/>
      <c r="S1050" s="17"/>
      <c r="T1050" s="17"/>
      <c r="U1050" s="17"/>
      <c r="V1050" s="17"/>
      <c r="W1050" s="17"/>
      <c r="X1050" s="17"/>
      <c r="Y1050" s="17"/>
      <c r="Z1050" s="17"/>
      <c r="AA1050" s="17"/>
      <c r="AB1050" s="17"/>
      <c r="AC1050" s="17"/>
      <c r="AD1050" s="17"/>
      <c r="AE1050" s="17"/>
      <c r="AF1050" s="17"/>
      <c r="AG1050" s="17"/>
      <c r="AH1050" s="17"/>
      <c r="AI1050" s="17"/>
      <c r="AJ1050" s="17"/>
      <c r="AK1050" s="17"/>
      <c r="AL1050" s="17"/>
      <c r="AM1050" s="17"/>
      <c r="AN1050" s="17"/>
      <c r="AO1050" s="17"/>
      <c r="AP1050" s="1"/>
      <c r="AQ1050" s="1"/>
    </row>
    <row r="1051" spans="1:43" x14ac:dyDescent="0.35">
      <c r="A1051" s="6"/>
      <c r="B1051" s="13"/>
      <c r="C1051" s="81"/>
      <c r="D1051" s="4"/>
      <c r="E1051" s="8"/>
      <c r="F1051" s="17"/>
      <c r="G1051" s="17"/>
      <c r="H1051" s="17"/>
      <c r="I1051" s="17"/>
      <c r="J1051" s="17"/>
      <c r="K1051" s="17"/>
      <c r="L1051" s="17"/>
      <c r="M1051" s="17"/>
      <c r="N1051" s="17"/>
      <c r="O1051" s="17"/>
      <c r="P1051" s="17"/>
      <c r="Q1051" s="17"/>
      <c r="R1051" s="17"/>
      <c r="S1051" s="17"/>
      <c r="T1051" s="17"/>
      <c r="U1051" s="17"/>
      <c r="V1051" s="17"/>
      <c r="W1051" s="17"/>
      <c r="X1051" s="17"/>
      <c r="Y1051" s="17"/>
      <c r="Z1051" s="17"/>
      <c r="AA1051" s="17"/>
      <c r="AB1051" s="17"/>
      <c r="AC1051" s="17"/>
      <c r="AD1051" s="17"/>
      <c r="AE1051" s="17"/>
      <c r="AF1051" s="17"/>
      <c r="AG1051" s="17"/>
      <c r="AH1051" s="17"/>
      <c r="AI1051" s="17"/>
      <c r="AJ1051" s="17"/>
      <c r="AK1051" s="17"/>
      <c r="AL1051" s="17"/>
      <c r="AM1051" s="17"/>
      <c r="AN1051" s="17"/>
      <c r="AO1051" s="17"/>
      <c r="AP1051" s="1"/>
      <c r="AQ1051" s="1"/>
    </row>
    <row r="1052" spans="1:43" x14ac:dyDescent="0.35">
      <c r="A1052" s="6"/>
      <c r="B1052" s="13"/>
      <c r="C1052" s="81"/>
      <c r="D1052" s="4"/>
      <c r="E1052" s="8"/>
      <c r="F1052" s="17"/>
      <c r="G1052" s="17"/>
      <c r="H1052" s="17"/>
      <c r="I1052" s="17"/>
      <c r="J1052" s="17"/>
      <c r="K1052" s="17"/>
      <c r="L1052" s="17"/>
      <c r="M1052" s="17"/>
      <c r="N1052" s="17"/>
      <c r="O1052" s="17"/>
      <c r="P1052" s="17"/>
      <c r="Q1052" s="17"/>
      <c r="R1052" s="17"/>
      <c r="S1052" s="17"/>
      <c r="T1052" s="17"/>
      <c r="U1052" s="17"/>
      <c r="V1052" s="17"/>
      <c r="W1052" s="17"/>
      <c r="X1052" s="17"/>
      <c r="Y1052" s="17"/>
      <c r="Z1052" s="17"/>
      <c r="AA1052" s="17"/>
      <c r="AB1052" s="17"/>
      <c r="AC1052" s="17"/>
      <c r="AD1052" s="17"/>
      <c r="AE1052" s="17"/>
      <c r="AF1052" s="17"/>
      <c r="AG1052" s="17"/>
      <c r="AH1052" s="17"/>
      <c r="AI1052" s="17"/>
      <c r="AJ1052" s="17"/>
      <c r="AK1052" s="17"/>
      <c r="AL1052" s="17"/>
      <c r="AM1052" s="17"/>
      <c r="AN1052" s="17"/>
      <c r="AO1052" s="17"/>
      <c r="AP1052" s="1"/>
      <c r="AQ1052" s="1"/>
    </row>
    <row r="1053" spans="1:43" x14ac:dyDescent="0.35">
      <c r="A1053" s="6"/>
      <c r="B1053" s="13"/>
      <c r="C1053" s="81"/>
      <c r="D1053" s="4"/>
      <c r="E1053" s="8"/>
      <c r="F1053" s="17"/>
      <c r="G1053" s="17"/>
      <c r="H1053" s="17"/>
      <c r="I1053" s="17"/>
      <c r="J1053" s="17"/>
      <c r="K1053" s="17"/>
      <c r="L1053" s="17"/>
      <c r="M1053" s="17"/>
      <c r="N1053" s="17"/>
      <c r="O1053" s="17"/>
      <c r="P1053" s="17"/>
      <c r="Q1053" s="17"/>
      <c r="R1053" s="17"/>
      <c r="S1053" s="17"/>
      <c r="T1053" s="17"/>
      <c r="U1053" s="17"/>
      <c r="V1053" s="17"/>
      <c r="W1053" s="17"/>
      <c r="X1053" s="17"/>
      <c r="Y1053" s="17"/>
      <c r="Z1053" s="17"/>
      <c r="AA1053" s="17"/>
      <c r="AB1053" s="17"/>
      <c r="AC1053" s="17"/>
      <c r="AD1053" s="17"/>
      <c r="AE1053" s="17"/>
      <c r="AF1053" s="17"/>
      <c r="AG1053" s="17"/>
      <c r="AH1053" s="17"/>
      <c r="AI1053" s="17"/>
      <c r="AJ1053" s="17"/>
      <c r="AK1053" s="17"/>
      <c r="AL1053" s="17"/>
      <c r="AM1053" s="17"/>
      <c r="AN1053" s="17"/>
      <c r="AO1053" s="17"/>
      <c r="AP1053" s="1"/>
      <c r="AQ1053" s="1"/>
    </row>
    <row r="1054" spans="1:43" x14ac:dyDescent="0.35">
      <c r="A1054" s="6"/>
      <c r="B1054" s="13"/>
      <c r="C1054" s="81"/>
      <c r="D1054" s="4"/>
      <c r="E1054" s="8"/>
      <c r="F1054" s="17"/>
      <c r="G1054" s="17"/>
      <c r="H1054" s="17"/>
      <c r="I1054" s="17"/>
      <c r="J1054" s="17"/>
      <c r="K1054" s="17"/>
      <c r="L1054" s="17"/>
      <c r="M1054" s="17"/>
      <c r="N1054" s="17"/>
      <c r="O1054" s="17"/>
      <c r="P1054" s="17"/>
      <c r="Q1054" s="17"/>
      <c r="R1054" s="17"/>
      <c r="S1054" s="17"/>
      <c r="T1054" s="17"/>
      <c r="U1054" s="17"/>
      <c r="V1054" s="17"/>
      <c r="W1054" s="17"/>
      <c r="X1054" s="17"/>
      <c r="Y1054" s="17"/>
      <c r="Z1054" s="17"/>
      <c r="AA1054" s="17"/>
      <c r="AB1054" s="17"/>
      <c r="AC1054" s="17"/>
      <c r="AD1054" s="17"/>
      <c r="AE1054" s="17"/>
      <c r="AF1054" s="17"/>
      <c r="AG1054" s="17"/>
      <c r="AH1054" s="17"/>
      <c r="AI1054" s="17"/>
      <c r="AJ1054" s="17"/>
      <c r="AK1054" s="17"/>
      <c r="AL1054" s="17"/>
      <c r="AM1054" s="17"/>
      <c r="AN1054" s="17"/>
      <c r="AO1054" s="17"/>
      <c r="AP1054" s="1"/>
      <c r="AQ1054" s="1"/>
    </row>
    <row r="1055" spans="1:43" x14ac:dyDescent="0.35">
      <c r="A1055" s="6"/>
      <c r="B1055" s="13"/>
      <c r="C1055" s="81"/>
      <c r="D1055" s="4"/>
      <c r="E1055" s="8"/>
      <c r="F1055" s="17"/>
      <c r="G1055" s="17"/>
      <c r="H1055" s="17"/>
      <c r="I1055" s="17"/>
      <c r="J1055" s="17"/>
      <c r="K1055" s="17"/>
      <c r="L1055" s="17"/>
      <c r="M1055" s="17"/>
      <c r="N1055" s="17"/>
      <c r="O1055" s="17"/>
      <c r="P1055" s="17"/>
      <c r="Q1055" s="17"/>
      <c r="R1055" s="17"/>
      <c r="S1055" s="17"/>
      <c r="T1055" s="17"/>
      <c r="U1055" s="17"/>
      <c r="V1055" s="17"/>
      <c r="W1055" s="17"/>
      <c r="X1055" s="17"/>
      <c r="Y1055" s="17"/>
      <c r="Z1055" s="17"/>
      <c r="AA1055" s="17"/>
      <c r="AB1055" s="17"/>
      <c r="AC1055" s="17"/>
      <c r="AD1055" s="17"/>
      <c r="AE1055" s="17"/>
      <c r="AF1055" s="17"/>
      <c r="AG1055" s="17"/>
      <c r="AH1055" s="17"/>
      <c r="AI1055" s="17"/>
      <c r="AJ1055" s="17"/>
      <c r="AK1055" s="17"/>
      <c r="AL1055" s="17"/>
      <c r="AM1055" s="17"/>
      <c r="AN1055" s="17"/>
      <c r="AO1055" s="17"/>
      <c r="AP1055" s="1"/>
      <c r="AQ1055" s="1"/>
    </row>
    <row r="1056" spans="1:43" x14ac:dyDescent="0.35">
      <c r="A1056" s="6"/>
      <c r="B1056" s="13"/>
      <c r="C1056" s="81"/>
      <c r="D1056" s="4"/>
      <c r="E1056" s="8"/>
      <c r="F1056" s="17"/>
      <c r="G1056" s="17"/>
      <c r="H1056" s="17"/>
      <c r="I1056" s="17"/>
      <c r="J1056" s="17"/>
      <c r="K1056" s="17"/>
      <c r="L1056" s="17"/>
      <c r="M1056" s="17"/>
      <c r="N1056" s="17"/>
      <c r="O1056" s="17"/>
      <c r="P1056" s="17"/>
      <c r="Q1056" s="17"/>
      <c r="R1056" s="17"/>
      <c r="S1056" s="17"/>
      <c r="T1056" s="17"/>
      <c r="U1056" s="17"/>
      <c r="V1056" s="17"/>
      <c r="W1056" s="17"/>
      <c r="X1056" s="17"/>
      <c r="Y1056" s="17"/>
      <c r="Z1056" s="17"/>
      <c r="AA1056" s="17"/>
      <c r="AB1056" s="17"/>
      <c r="AC1056" s="17"/>
      <c r="AD1056" s="17"/>
      <c r="AE1056" s="17"/>
      <c r="AF1056" s="17"/>
      <c r="AG1056" s="17"/>
      <c r="AH1056" s="17"/>
      <c r="AI1056" s="17"/>
      <c r="AJ1056" s="17"/>
      <c r="AK1056" s="17"/>
      <c r="AL1056" s="17"/>
      <c r="AM1056" s="17"/>
      <c r="AN1056" s="17"/>
      <c r="AO1056" s="17"/>
      <c r="AP1056" s="1"/>
      <c r="AQ1056" s="1"/>
    </row>
    <row r="1057" spans="1:43" x14ac:dyDescent="0.35">
      <c r="A1057" s="6"/>
      <c r="B1057" s="13"/>
      <c r="C1057" s="81"/>
      <c r="D1057" s="4"/>
      <c r="E1057" s="8"/>
      <c r="F1057" s="17"/>
      <c r="G1057" s="17"/>
      <c r="H1057" s="17"/>
      <c r="I1057" s="17"/>
      <c r="J1057" s="17"/>
      <c r="K1057" s="17"/>
      <c r="L1057" s="17"/>
      <c r="M1057" s="17"/>
      <c r="N1057" s="17"/>
      <c r="O1057" s="17"/>
      <c r="P1057" s="17"/>
      <c r="Q1057" s="17"/>
      <c r="R1057" s="17"/>
      <c r="S1057" s="17"/>
      <c r="T1057" s="17"/>
      <c r="U1057" s="17"/>
      <c r="V1057" s="17"/>
      <c r="W1057" s="17"/>
      <c r="X1057" s="17"/>
      <c r="Y1057" s="17"/>
      <c r="Z1057" s="17"/>
      <c r="AA1057" s="17"/>
      <c r="AB1057" s="17"/>
      <c r="AC1057" s="17"/>
      <c r="AD1057" s="17"/>
      <c r="AE1057" s="17"/>
      <c r="AF1057" s="17"/>
      <c r="AG1057" s="17"/>
      <c r="AH1057" s="17"/>
      <c r="AI1057" s="17"/>
      <c r="AJ1057" s="17"/>
      <c r="AK1057" s="17"/>
      <c r="AL1057" s="17"/>
      <c r="AM1057" s="17"/>
      <c r="AN1057" s="17"/>
      <c r="AO1057" s="17"/>
      <c r="AP1057" s="1"/>
      <c r="AQ1057" s="1"/>
    </row>
    <row r="1058" spans="1:43" x14ac:dyDescent="0.35">
      <c r="A1058" s="6"/>
      <c r="B1058" s="13"/>
      <c r="C1058" s="81"/>
      <c r="D1058" s="4"/>
      <c r="E1058" s="8"/>
      <c r="F1058" s="17"/>
      <c r="G1058" s="17"/>
      <c r="H1058" s="17"/>
      <c r="I1058" s="17"/>
      <c r="J1058" s="17"/>
      <c r="K1058" s="17"/>
      <c r="L1058" s="17"/>
      <c r="M1058" s="17"/>
      <c r="N1058" s="17"/>
      <c r="O1058" s="17"/>
      <c r="P1058" s="17"/>
      <c r="Q1058" s="17"/>
      <c r="R1058" s="17"/>
      <c r="S1058" s="17"/>
      <c r="T1058" s="17"/>
      <c r="U1058" s="17"/>
      <c r="V1058" s="17"/>
      <c r="W1058" s="17"/>
      <c r="X1058" s="17"/>
      <c r="Y1058" s="17"/>
      <c r="Z1058" s="17"/>
      <c r="AA1058" s="17"/>
      <c r="AB1058" s="17"/>
      <c r="AC1058" s="17"/>
      <c r="AD1058" s="17"/>
      <c r="AE1058" s="17"/>
      <c r="AF1058" s="17"/>
      <c r="AG1058" s="17"/>
      <c r="AH1058" s="17"/>
      <c r="AI1058" s="17"/>
      <c r="AJ1058" s="17"/>
      <c r="AK1058" s="17"/>
      <c r="AL1058" s="17"/>
      <c r="AM1058" s="17"/>
      <c r="AN1058" s="17"/>
      <c r="AO1058" s="17"/>
      <c r="AP1058" s="1"/>
      <c r="AQ1058" s="1"/>
    </row>
    <row r="1059" spans="1:43" x14ac:dyDescent="0.35">
      <c r="A1059" s="6"/>
      <c r="B1059" s="13"/>
      <c r="C1059" s="81"/>
      <c r="D1059" s="4"/>
      <c r="E1059" s="8"/>
      <c r="F1059" s="17"/>
      <c r="G1059" s="17"/>
      <c r="H1059" s="17"/>
      <c r="I1059" s="17"/>
      <c r="J1059" s="17"/>
      <c r="K1059" s="17"/>
      <c r="L1059" s="17"/>
      <c r="M1059" s="17"/>
      <c r="N1059" s="17"/>
      <c r="O1059" s="17"/>
      <c r="P1059" s="17"/>
      <c r="Q1059" s="17"/>
      <c r="R1059" s="17"/>
      <c r="S1059" s="17"/>
      <c r="T1059" s="17"/>
      <c r="U1059" s="17"/>
      <c r="V1059" s="17"/>
      <c r="W1059" s="17"/>
      <c r="X1059" s="17"/>
      <c r="Y1059" s="17"/>
      <c r="Z1059" s="17"/>
      <c r="AA1059" s="17"/>
      <c r="AB1059" s="17"/>
      <c r="AC1059" s="17"/>
      <c r="AD1059" s="17"/>
      <c r="AE1059" s="17"/>
      <c r="AF1059" s="17"/>
      <c r="AG1059" s="17"/>
      <c r="AH1059" s="17"/>
      <c r="AI1059" s="17"/>
      <c r="AJ1059" s="17"/>
      <c r="AK1059" s="17"/>
      <c r="AL1059" s="17"/>
      <c r="AM1059" s="17"/>
      <c r="AN1059" s="17"/>
      <c r="AO1059" s="17"/>
      <c r="AP1059" s="1"/>
      <c r="AQ1059" s="1"/>
    </row>
    <row r="1060" spans="1:43" x14ac:dyDescent="0.35">
      <c r="A1060" s="6"/>
      <c r="B1060" s="13"/>
      <c r="C1060" s="81"/>
      <c r="D1060" s="4"/>
      <c r="E1060" s="8"/>
      <c r="F1060" s="17"/>
      <c r="G1060" s="17"/>
      <c r="H1060" s="17"/>
      <c r="I1060" s="17"/>
      <c r="J1060" s="17"/>
      <c r="K1060" s="17"/>
      <c r="L1060" s="17"/>
      <c r="M1060" s="17"/>
      <c r="N1060" s="17"/>
      <c r="O1060" s="17"/>
      <c r="P1060" s="17"/>
      <c r="Q1060" s="17"/>
      <c r="R1060" s="17"/>
      <c r="S1060" s="17"/>
      <c r="T1060" s="17"/>
      <c r="U1060" s="17"/>
      <c r="V1060" s="17"/>
      <c r="W1060" s="17"/>
      <c r="X1060" s="17"/>
      <c r="Y1060" s="17"/>
      <c r="Z1060" s="17"/>
      <c r="AA1060" s="17"/>
      <c r="AB1060" s="17"/>
      <c r="AC1060" s="17"/>
      <c r="AD1060" s="17"/>
      <c r="AE1060" s="17"/>
      <c r="AF1060" s="17"/>
      <c r="AG1060" s="17"/>
      <c r="AH1060" s="17"/>
      <c r="AI1060" s="17"/>
      <c r="AJ1060" s="17"/>
      <c r="AK1060" s="17"/>
      <c r="AL1060" s="17"/>
      <c r="AM1060" s="17"/>
      <c r="AN1060" s="17"/>
      <c r="AO1060" s="17"/>
      <c r="AP1060" s="1"/>
      <c r="AQ1060" s="1"/>
    </row>
    <row r="1061" spans="1:43" x14ac:dyDescent="0.35">
      <c r="A1061" s="6"/>
      <c r="B1061" s="13"/>
      <c r="C1061" s="81"/>
      <c r="D1061" s="4"/>
      <c r="E1061" s="8"/>
      <c r="F1061" s="17"/>
      <c r="G1061" s="17"/>
      <c r="H1061" s="17"/>
      <c r="I1061" s="17"/>
      <c r="J1061" s="17"/>
      <c r="K1061" s="17"/>
      <c r="L1061" s="17"/>
      <c r="M1061" s="17"/>
      <c r="N1061" s="17"/>
      <c r="O1061" s="17"/>
      <c r="P1061" s="17"/>
      <c r="Q1061" s="17"/>
      <c r="R1061" s="17"/>
      <c r="S1061" s="17"/>
      <c r="T1061" s="17"/>
      <c r="U1061" s="17"/>
      <c r="V1061" s="17"/>
      <c r="W1061" s="17"/>
      <c r="X1061" s="17"/>
      <c r="Y1061" s="17"/>
      <c r="Z1061" s="17"/>
      <c r="AA1061" s="17"/>
      <c r="AB1061" s="17"/>
      <c r="AC1061" s="17"/>
      <c r="AD1061" s="17"/>
      <c r="AE1061" s="17"/>
      <c r="AF1061" s="17"/>
      <c r="AG1061" s="17"/>
      <c r="AH1061" s="17"/>
      <c r="AI1061" s="17"/>
      <c r="AJ1061" s="17"/>
      <c r="AK1061" s="17"/>
      <c r="AL1061" s="17"/>
      <c r="AM1061" s="17"/>
      <c r="AN1061" s="17"/>
      <c r="AO1061" s="17"/>
      <c r="AP1061" s="1"/>
      <c r="AQ1061" s="1"/>
    </row>
    <row r="1062" spans="1:43" x14ac:dyDescent="0.35">
      <c r="A1062" s="6"/>
      <c r="B1062" s="13"/>
      <c r="C1062" s="81"/>
      <c r="D1062" s="4"/>
      <c r="E1062" s="8"/>
      <c r="F1062" s="17"/>
      <c r="G1062" s="17"/>
      <c r="H1062" s="17"/>
      <c r="I1062" s="17"/>
      <c r="J1062" s="17"/>
      <c r="K1062" s="17"/>
      <c r="L1062" s="17"/>
      <c r="M1062" s="17"/>
      <c r="N1062" s="17"/>
      <c r="O1062" s="17"/>
      <c r="P1062" s="17"/>
      <c r="Q1062" s="17"/>
      <c r="R1062" s="17"/>
      <c r="S1062" s="17"/>
      <c r="T1062" s="17"/>
      <c r="U1062" s="17"/>
      <c r="V1062" s="17"/>
      <c r="W1062" s="17"/>
      <c r="X1062" s="17"/>
      <c r="Y1062" s="17"/>
      <c r="Z1062" s="17"/>
      <c r="AA1062" s="17"/>
      <c r="AB1062" s="17"/>
      <c r="AC1062" s="17"/>
      <c r="AD1062" s="17"/>
      <c r="AE1062" s="17"/>
      <c r="AF1062" s="17"/>
      <c r="AG1062" s="17"/>
      <c r="AH1062" s="17"/>
      <c r="AI1062" s="17"/>
      <c r="AJ1062" s="17"/>
      <c r="AK1062" s="17"/>
      <c r="AL1062" s="17"/>
      <c r="AM1062" s="17"/>
      <c r="AN1062" s="17"/>
      <c r="AO1062" s="17"/>
      <c r="AP1062" s="1"/>
      <c r="AQ1062" s="1"/>
    </row>
    <row r="1063" spans="1:43" x14ac:dyDescent="0.35">
      <c r="A1063" s="6"/>
      <c r="B1063" s="13"/>
      <c r="C1063" s="81"/>
      <c r="D1063" s="4"/>
      <c r="E1063" s="8"/>
      <c r="F1063" s="17"/>
      <c r="G1063" s="17"/>
      <c r="H1063" s="17"/>
      <c r="I1063" s="17"/>
      <c r="J1063" s="17"/>
      <c r="K1063" s="17"/>
      <c r="L1063" s="17"/>
      <c r="M1063" s="17"/>
      <c r="N1063" s="17"/>
      <c r="O1063" s="17"/>
      <c r="P1063" s="17"/>
      <c r="Q1063" s="17"/>
      <c r="R1063" s="17"/>
      <c r="S1063" s="17"/>
      <c r="T1063" s="17"/>
      <c r="U1063" s="17"/>
      <c r="V1063" s="17"/>
      <c r="W1063" s="17"/>
      <c r="X1063" s="17"/>
      <c r="Y1063" s="17"/>
      <c r="Z1063" s="17"/>
      <c r="AA1063" s="17"/>
      <c r="AB1063" s="17"/>
      <c r="AC1063" s="17"/>
      <c r="AD1063" s="17"/>
      <c r="AE1063" s="17"/>
      <c r="AF1063" s="17"/>
      <c r="AG1063" s="17"/>
      <c r="AH1063" s="17"/>
      <c r="AI1063" s="17"/>
      <c r="AJ1063" s="17"/>
      <c r="AK1063" s="17"/>
      <c r="AL1063" s="17"/>
      <c r="AM1063" s="17"/>
      <c r="AN1063" s="17"/>
      <c r="AO1063" s="17"/>
      <c r="AP1063" s="1"/>
      <c r="AQ1063" s="1"/>
    </row>
    <row r="1064" spans="1:43" x14ac:dyDescent="0.35">
      <c r="A1064" s="6"/>
      <c r="B1064" s="13"/>
      <c r="C1064" s="81"/>
      <c r="D1064" s="4"/>
      <c r="E1064" s="8"/>
      <c r="F1064" s="17"/>
      <c r="G1064" s="17"/>
      <c r="H1064" s="17"/>
      <c r="I1064" s="17"/>
      <c r="J1064" s="17"/>
      <c r="K1064" s="17"/>
      <c r="L1064" s="17"/>
      <c r="M1064" s="17"/>
      <c r="N1064" s="17"/>
      <c r="O1064" s="17"/>
      <c r="P1064" s="17"/>
      <c r="Q1064" s="17"/>
      <c r="R1064" s="17"/>
      <c r="S1064" s="17"/>
      <c r="T1064" s="17"/>
      <c r="U1064" s="17"/>
      <c r="V1064" s="17"/>
      <c r="W1064" s="17"/>
      <c r="X1064" s="17"/>
      <c r="Y1064" s="17"/>
      <c r="Z1064" s="17"/>
      <c r="AA1064" s="17"/>
      <c r="AB1064" s="17"/>
      <c r="AC1064" s="17"/>
      <c r="AD1064" s="17"/>
      <c r="AE1064" s="17"/>
      <c r="AF1064" s="17"/>
      <c r="AG1064" s="17"/>
      <c r="AH1064" s="17"/>
      <c r="AI1064" s="17"/>
      <c r="AJ1064" s="17"/>
      <c r="AK1064" s="17"/>
      <c r="AL1064" s="17"/>
      <c r="AM1064" s="17"/>
      <c r="AN1064" s="17"/>
      <c r="AO1064" s="17"/>
      <c r="AP1064" s="1"/>
      <c r="AQ1064" s="1"/>
    </row>
    <row r="1065" spans="1:43" x14ac:dyDescent="0.35">
      <c r="A1065" s="6"/>
      <c r="B1065" s="13"/>
      <c r="C1065" s="81"/>
      <c r="D1065" s="4"/>
      <c r="E1065" s="8"/>
      <c r="F1065" s="17"/>
      <c r="G1065" s="17"/>
      <c r="H1065" s="17"/>
      <c r="I1065" s="17"/>
      <c r="J1065" s="17"/>
      <c r="K1065" s="17"/>
      <c r="L1065" s="17"/>
      <c r="M1065" s="17"/>
      <c r="N1065" s="17"/>
      <c r="O1065" s="17"/>
      <c r="P1065" s="17"/>
      <c r="Q1065" s="17"/>
      <c r="R1065" s="17"/>
      <c r="S1065" s="17"/>
      <c r="T1065" s="17"/>
      <c r="U1065" s="17"/>
      <c r="V1065" s="17"/>
      <c r="W1065" s="17"/>
      <c r="X1065" s="17"/>
      <c r="Y1065" s="17"/>
      <c r="Z1065" s="17"/>
      <c r="AA1065" s="17"/>
      <c r="AB1065" s="17"/>
      <c r="AC1065" s="17"/>
      <c r="AD1065" s="17"/>
      <c r="AE1065" s="17"/>
      <c r="AF1065" s="17"/>
      <c r="AG1065" s="17"/>
      <c r="AH1065" s="17"/>
      <c r="AI1065" s="17"/>
      <c r="AJ1065" s="17"/>
      <c r="AK1065" s="17"/>
      <c r="AL1065" s="17"/>
      <c r="AM1065" s="17"/>
      <c r="AN1065" s="17"/>
      <c r="AO1065" s="17"/>
      <c r="AP1065" s="1"/>
      <c r="AQ1065" s="1"/>
    </row>
    <row r="1066" spans="1:43" x14ac:dyDescent="0.35">
      <c r="A1066" s="6"/>
      <c r="B1066" s="13"/>
      <c r="C1066" s="81"/>
      <c r="D1066" s="4"/>
      <c r="E1066" s="8"/>
      <c r="F1066" s="17"/>
      <c r="G1066" s="17"/>
      <c r="H1066" s="17"/>
      <c r="I1066" s="17"/>
      <c r="J1066" s="17"/>
      <c r="K1066" s="17"/>
      <c r="L1066" s="17"/>
      <c r="M1066" s="17"/>
      <c r="N1066" s="17"/>
      <c r="O1066" s="17"/>
      <c r="P1066" s="17"/>
      <c r="Q1066" s="17"/>
      <c r="R1066" s="17"/>
      <c r="S1066" s="17"/>
      <c r="T1066" s="17"/>
      <c r="U1066" s="17"/>
      <c r="V1066" s="17"/>
      <c r="W1066" s="17"/>
      <c r="X1066" s="17"/>
      <c r="Y1066" s="17"/>
      <c r="Z1066" s="17"/>
      <c r="AA1066" s="17"/>
      <c r="AB1066" s="17"/>
      <c r="AC1066" s="17"/>
      <c r="AD1066" s="17"/>
      <c r="AE1066" s="17"/>
      <c r="AF1066" s="17"/>
      <c r="AG1066" s="17"/>
      <c r="AH1066" s="17"/>
      <c r="AI1066" s="17"/>
      <c r="AJ1066" s="17"/>
      <c r="AK1066" s="17"/>
      <c r="AL1066" s="17"/>
      <c r="AM1066" s="17"/>
      <c r="AN1066" s="17"/>
      <c r="AO1066" s="17"/>
      <c r="AP1066" s="1"/>
      <c r="AQ1066" s="1"/>
    </row>
    <row r="1067" spans="1:43" x14ac:dyDescent="0.35">
      <c r="A1067" s="6"/>
      <c r="B1067" s="13"/>
      <c r="C1067" s="81"/>
      <c r="D1067" s="4"/>
      <c r="E1067" s="8"/>
      <c r="F1067" s="17"/>
      <c r="G1067" s="17"/>
      <c r="H1067" s="17"/>
      <c r="I1067" s="17"/>
      <c r="J1067" s="17"/>
      <c r="K1067" s="17"/>
      <c r="L1067" s="17"/>
      <c r="M1067" s="17"/>
      <c r="N1067" s="17"/>
      <c r="O1067" s="17"/>
      <c r="P1067" s="17"/>
      <c r="Q1067" s="17"/>
      <c r="R1067" s="17"/>
      <c r="S1067" s="17"/>
      <c r="T1067" s="17"/>
      <c r="U1067" s="17"/>
      <c r="V1067" s="17"/>
      <c r="W1067" s="17"/>
      <c r="X1067" s="17"/>
      <c r="Y1067" s="17"/>
      <c r="Z1067" s="17"/>
      <c r="AA1067" s="17"/>
      <c r="AB1067" s="17"/>
      <c r="AC1067" s="17"/>
      <c r="AD1067" s="17"/>
      <c r="AE1067" s="17"/>
      <c r="AF1067" s="17"/>
      <c r="AG1067" s="17"/>
      <c r="AH1067" s="17"/>
      <c r="AI1067" s="17"/>
      <c r="AJ1067" s="17"/>
      <c r="AK1067" s="17"/>
      <c r="AL1067" s="17"/>
      <c r="AM1067" s="17"/>
      <c r="AN1067" s="17"/>
      <c r="AO1067" s="17"/>
      <c r="AP1067" s="1"/>
      <c r="AQ1067" s="1"/>
    </row>
    <row r="1068" spans="1:43" x14ac:dyDescent="0.35">
      <c r="A1068" s="6"/>
      <c r="B1068" s="13"/>
      <c r="C1068" s="81"/>
      <c r="D1068" s="4"/>
      <c r="E1068" s="8"/>
      <c r="F1068" s="17"/>
      <c r="G1068" s="17"/>
      <c r="H1068" s="17"/>
      <c r="I1068" s="17"/>
      <c r="J1068" s="17"/>
      <c r="K1068" s="17"/>
      <c r="L1068" s="17"/>
      <c r="M1068" s="17"/>
      <c r="N1068" s="17"/>
      <c r="O1068" s="17"/>
      <c r="P1068" s="17"/>
      <c r="Q1068" s="17"/>
      <c r="R1068" s="17"/>
      <c r="S1068" s="17"/>
      <c r="T1068" s="17"/>
      <c r="U1068" s="17"/>
      <c r="V1068" s="17"/>
      <c r="W1068" s="17"/>
      <c r="X1068" s="17"/>
      <c r="Y1068" s="17"/>
      <c r="Z1068" s="17"/>
      <c r="AA1068" s="17"/>
      <c r="AB1068" s="17"/>
      <c r="AC1068" s="17"/>
      <c r="AD1068" s="17"/>
      <c r="AE1068" s="17"/>
      <c r="AF1068" s="17"/>
      <c r="AG1068" s="17"/>
      <c r="AH1068" s="17"/>
      <c r="AI1068" s="17"/>
      <c r="AJ1068" s="17"/>
      <c r="AK1068" s="17"/>
      <c r="AL1068" s="17"/>
      <c r="AM1068" s="17"/>
      <c r="AN1068" s="17"/>
      <c r="AO1068" s="17"/>
      <c r="AP1068" s="1"/>
      <c r="AQ1068" s="1"/>
    </row>
    <row r="1069" spans="1:43" x14ac:dyDescent="0.35">
      <c r="A1069" s="6"/>
      <c r="B1069" s="13"/>
      <c r="C1069" s="81"/>
      <c r="D1069" s="4"/>
      <c r="E1069" s="8"/>
      <c r="F1069" s="17"/>
      <c r="G1069" s="17"/>
      <c r="H1069" s="17"/>
      <c r="I1069" s="17"/>
      <c r="J1069" s="17"/>
      <c r="K1069" s="17"/>
      <c r="L1069" s="17"/>
      <c r="M1069" s="17"/>
      <c r="N1069" s="17"/>
      <c r="O1069" s="17"/>
      <c r="P1069" s="17"/>
      <c r="Q1069" s="17"/>
      <c r="R1069" s="17"/>
      <c r="S1069" s="17"/>
      <c r="T1069" s="17"/>
      <c r="U1069" s="17"/>
      <c r="V1069" s="17"/>
      <c r="W1069" s="17"/>
      <c r="X1069" s="17"/>
      <c r="Y1069" s="17"/>
      <c r="Z1069" s="17"/>
      <c r="AA1069" s="17"/>
      <c r="AB1069" s="17"/>
      <c r="AC1069" s="17"/>
      <c r="AD1069" s="17"/>
      <c r="AE1069" s="17"/>
      <c r="AF1069" s="17"/>
      <c r="AG1069" s="17"/>
      <c r="AH1069" s="17"/>
      <c r="AI1069" s="17"/>
      <c r="AJ1069" s="17"/>
      <c r="AK1069" s="17"/>
      <c r="AL1069" s="17"/>
      <c r="AM1069" s="17"/>
      <c r="AN1069" s="17"/>
      <c r="AO1069" s="17"/>
      <c r="AP1069" s="1"/>
      <c r="AQ1069" s="1"/>
    </row>
    <row r="1070" spans="1:43" x14ac:dyDescent="0.35">
      <c r="A1070" s="6"/>
      <c r="B1070" s="13"/>
      <c r="C1070" s="81"/>
      <c r="D1070" s="4"/>
      <c r="E1070" s="8"/>
      <c r="F1070" s="17"/>
      <c r="G1070" s="17"/>
      <c r="H1070" s="17"/>
      <c r="I1070" s="17"/>
      <c r="J1070" s="17"/>
      <c r="K1070" s="17"/>
      <c r="L1070" s="17"/>
      <c r="M1070" s="17"/>
      <c r="N1070" s="17"/>
      <c r="O1070" s="17"/>
      <c r="P1070" s="17"/>
      <c r="Q1070" s="17"/>
      <c r="R1070" s="17"/>
      <c r="S1070" s="17"/>
      <c r="T1070" s="17"/>
      <c r="U1070" s="17"/>
      <c r="V1070" s="17"/>
      <c r="W1070" s="17"/>
      <c r="X1070" s="17"/>
      <c r="Y1070" s="17"/>
      <c r="Z1070" s="17"/>
      <c r="AA1070" s="17"/>
      <c r="AB1070" s="17"/>
      <c r="AC1070" s="17"/>
      <c r="AD1070" s="17"/>
      <c r="AE1070" s="17"/>
      <c r="AF1070" s="17"/>
      <c r="AG1070" s="17"/>
      <c r="AH1070" s="17"/>
      <c r="AI1070" s="17"/>
      <c r="AJ1070" s="17"/>
      <c r="AK1070" s="17"/>
      <c r="AL1070" s="17"/>
      <c r="AM1070" s="17"/>
      <c r="AN1070" s="17"/>
      <c r="AO1070" s="17"/>
      <c r="AP1070" s="1"/>
      <c r="AQ1070" s="1"/>
    </row>
    <row r="1071" spans="1:43" x14ac:dyDescent="0.35">
      <c r="A1071" s="6"/>
      <c r="B1071" s="13"/>
      <c r="C1071" s="81"/>
      <c r="D1071" s="4"/>
      <c r="E1071" s="8"/>
      <c r="F1071" s="17"/>
      <c r="G1071" s="17"/>
      <c r="H1071" s="17"/>
      <c r="I1071" s="17"/>
      <c r="J1071" s="17"/>
      <c r="K1071" s="17"/>
      <c r="L1071" s="17"/>
      <c r="M1071" s="17"/>
      <c r="N1071" s="17"/>
      <c r="O1071" s="17"/>
      <c r="P1071" s="17"/>
      <c r="Q1071" s="17"/>
      <c r="R1071" s="17"/>
      <c r="S1071" s="17"/>
      <c r="T1071" s="17"/>
      <c r="U1071" s="17"/>
      <c r="V1071" s="17"/>
      <c r="W1071" s="17"/>
      <c r="X1071" s="17"/>
      <c r="Y1071" s="17"/>
      <c r="Z1071" s="17"/>
      <c r="AA1071" s="17"/>
      <c r="AB1071" s="17"/>
      <c r="AC1071" s="17"/>
      <c r="AD1071" s="17"/>
      <c r="AE1071" s="17"/>
      <c r="AF1071" s="17"/>
      <c r="AG1071" s="17"/>
      <c r="AH1071" s="17"/>
      <c r="AI1071" s="17"/>
      <c r="AJ1071" s="17"/>
      <c r="AK1071" s="17"/>
      <c r="AL1071" s="17"/>
      <c r="AM1071" s="17"/>
      <c r="AN1071" s="17"/>
      <c r="AO1071" s="17"/>
      <c r="AP1071" s="1"/>
      <c r="AQ1071" s="1"/>
    </row>
    <row r="1072" spans="1:43" x14ac:dyDescent="0.35">
      <c r="A1072" s="6"/>
      <c r="B1072" s="13"/>
      <c r="C1072" s="81"/>
      <c r="D1072" s="4"/>
      <c r="E1072" s="8"/>
      <c r="F1072" s="17"/>
      <c r="G1072" s="17"/>
      <c r="H1072" s="17"/>
      <c r="I1072" s="17"/>
      <c r="J1072" s="17"/>
      <c r="K1072" s="17"/>
      <c r="L1072" s="17"/>
      <c r="M1072" s="17"/>
      <c r="N1072" s="17"/>
      <c r="O1072" s="17"/>
      <c r="P1072" s="17"/>
      <c r="Q1072" s="17"/>
      <c r="R1072" s="17"/>
      <c r="S1072" s="17"/>
      <c r="T1072" s="17"/>
      <c r="U1072" s="17"/>
      <c r="V1072" s="17"/>
      <c r="W1072" s="17"/>
      <c r="X1072" s="17"/>
      <c r="Y1072" s="17"/>
      <c r="Z1072" s="17"/>
      <c r="AA1072" s="17"/>
      <c r="AB1072" s="17"/>
      <c r="AC1072" s="17"/>
      <c r="AD1072" s="17"/>
      <c r="AE1072" s="17"/>
      <c r="AF1072" s="17"/>
      <c r="AG1072" s="17"/>
      <c r="AH1072" s="17"/>
      <c r="AI1072" s="17"/>
      <c r="AJ1072" s="17"/>
      <c r="AK1072" s="17"/>
      <c r="AL1072" s="17"/>
      <c r="AM1072" s="17"/>
      <c r="AN1072" s="17"/>
      <c r="AO1072" s="17"/>
      <c r="AP1072" s="1"/>
      <c r="AQ1072" s="1"/>
    </row>
    <row r="1073" spans="1:43" x14ac:dyDescent="0.35">
      <c r="A1073" s="6"/>
      <c r="B1073" s="13"/>
      <c r="C1073" s="81"/>
      <c r="D1073" s="4"/>
      <c r="E1073" s="8"/>
      <c r="F1073" s="17"/>
      <c r="G1073" s="17"/>
      <c r="H1073" s="17"/>
      <c r="I1073" s="17"/>
      <c r="J1073" s="17"/>
      <c r="K1073" s="17"/>
      <c r="L1073" s="17"/>
      <c r="M1073" s="17"/>
      <c r="N1073" s="17"/>
      <c r="O1073" s="17"/>
      <c r="P1073" s="17"/>
      <c r="Q1073" s="17"/>
      <c r="R1073" s="17"/>
      <c r="S1073" s="17"/>
      <c r="T1073" s="17"/>
      <c r="U1073" s="17"/>
      <c r="V1073" s="17"/>
      <c r="W1073" s="17"/>
      <c r="X1073" s="17"/>
      <c r="Y1073" s="17"/>
      <c r="Z1073" s="17"/>
      <c r="AA1073" s="17"/>
      <c r="AB1073" s="17"/>
      <c r="AC1073" s="17"/>
      <c r="AD1073" s="17"/>
      <c r="AE1073" s="17"/>
      <c r="AF1073" s="17"/>
      <c r="AG1073" s="17"/>
      <c r="AH1073" s="17"/>
      <c r="AI1073" s="17"/>
      <c r="AJ1073" s="17"/>
      <c r="AK1073" s="17"/>
      <c r="AL1073" s="17"/>
      <c r="AM1073" s="17"/>
      <c r="AN1073" s="17"/>
      <c r="AO1073" s="17"/>
      <c r="AP1073" s="1"/>
      <c r="AQ1073" s="1"/>
    </row>
    <row r="1074" spans="1:43" x14ac:dyDescent="0.35">
      <c r="A1074" s="6"/>
      <c r="B1074" s="13"/>
      <c r="C1074" s="81"/>
      <c r="D1074" s="4"/>
      <c r="E1074" s="8"/>
      <c r="F1074" s="17"/>
      <c r="G1074" s="17"/>
      <c r="H1074" s="17"/>
      <c r="I1074" s="17"/>
      <c r="J1074" s="17"/>
      <c r="K1074" s="17"/>
      <c r="L1074" s="17"/>
      <c r="M1074" s="17"/>
      <c r="N1074" s="17"/>
      <c r="O1074" s="17"/>
      <c r="P1074" s="17"/>
      <c r="Q1074" s="17"/>
      <c r="R1074" s="17"/>
      <c r="S1074" s="17"/>
      <c r="T1074" s="17"/>
      <c r="U1074" s="17"/>
      <c r="V1074" s="17"/>
      <c r="W1074" s="17"/>
      <c r="X1074" s="17"/>
      <c r="Y1074" s="17"/>
      <c r="Z1074" s="17"/>
      <c r="AA1074" s="17"/>
      <c r="AB1074" s="17"/>
      <c r="AC1074" s="17"/>
      <c r="AD1074" s="17"/>
      <c r="AE1074" s="17"/>
      <c r="AF1074" s="17"/>
      <c r="AG1074" s="17"/>
      <c r="AH1074" s="17"/>
      <c r="AI1074" s="17"/>
      <c r="AJ1074" s="17"/>
      <c r="AK1074" s="17"/>
      <c r="AL1074" s="17"/>
      <c r="AM1074" s="17"/>
      <c r="AN1074" s="17"/>
      <c r="AO1074" s="17"/>
      <c r="AP1074" s="1"/>
      <c r="AQ1074" s="1"/>
    </row>
    <row r="1075" spans="1:43" x14ac:dyDescent="0.35">
      <c r="A1075" s="6"/>
      <c r="B1075" s="13"/>
      <c r="C1075" s="81"/>
      <c r="D1075" s="4"/>
      <c r="E1075" s="8"/>
      <c r="F1075" s="17"/>
      <c r="G1075" s="17"/>
      <c r="H1075" s="17"/>
      <c r="I1075" s="17"/>
      <c r="J1075" s="17"/>
      <c r="K1075" s="17"/>
      <c r="L1075" s="17"/>
      <c r="M1075" s="17"/>
      <c r="N1075" s="17"/>
      <c r="O1075" s="17"/>
      <c r="P1075" s="17"/>
      <c r="Q1075" s="17"/>
      <c r="R1075" s="17"/>
      <c r="S1075" s="17"/>
      <c r="T1075" s="17"/>
      <c r="U1075" s="17"/>
      <c r="V1075" s="17"/>
      <c r="W1075" s="17"/>
      <c r="X1075" s="17"/>
      <c r="Y1075" s="17"/>
      <c r="Z1075" s="17"/>
      <c r="AA1075" s="17"/>
      <c r="AB1075" s="17"/>
      <c r="AC1075" s="17"/>
      <c r="AD1075" s="17"/>
      <c r="AE1075" s="17"/>
      <c r="AF1075" s="17"/>
      <c r="AG1075" s="17"/>
      <c r="AH1075" s="17"/>
      <c r="AI1075" s="17"/>
      <c r="AJ1075" s="17"/>
      <c r="AK1075" s="17"/>
      <c r="AL1075" s="17"/>
      <c r="AM1075" s="17"/>
      <c r="AN1075" s="17"/>
      <c r="AO1075" s="17"/>
      <c r="AP1075" s="1"/>
      <c r="AQ1075" s="1"/>
    </row>
    <row r="1076" spans="1:43" x14ac:dyDescent="0.35">
      <c r="A1076" s="6"/>
      <c r="B1076" s="13"/>
      <c r="C1076" s="81"/>
      <c r="D1076" s="4"/>
      <c r="E1076" s="8"/>
      <c r="F1076" s="17"/>
      <c r="G1076" s="17"/>
      <c r="H1076" s="17"/>
      <c r="I1076" s="17"/>
      <c r="J1076" s="17"/>
      <c r="K1076" s="17"/>
      <c r="L1076" s="17"/>
      <c r="M1076" s="17"/>
      <c r="N1076" s="17"/>
      <c r="O1076" s="17"/>
      <c r="P1076" s="17"/>
      <c r="Q1076" s="17"/>
      <c r="R1076" s="17"/>
      <c r="S1076" s="17"/>
      <c r="T1076" s="17"/>
      <c r="U1076" s="17"/>
      <c r="V1076" s="17"/>
      <c r="W1076" s="17"/>
      <c r="X1076" s="17"/>
      <c r="Y1076" s="17"/>
      <c r="Z1076" s="17"/>
      <c r="AA1076" s="17"/>
      <c r="AB1076" s="17"/>
      <c r="AC1076" s="17"/>
      <c r="AD1076" s="17"/>
      <c r="AE1076" s="17"/>
      <c r="AF1076" s="17"/>
      <c r="AG1076" s="17"/>
      <c r="AH1076" s="17"/>
      <c r="AI1076" s="17"/>
      <c r="AJ1076" s="17"/>
      <c r="AK1076" s="17"/>
      <c r="AL1076" s="17"/>
      <c r="AM1076" s="17"/>
      <c r="AN1076" s="17"/>
      <c r="AO1076" s="17"/>
      <c r="AP1076" s="1"/>
      <c r="AQ1076" s="1"/>
    </row>
    <row r="1077" spans="1:43" x14ac:dyDescent="0.35">
      <c r="A1077" s="6"/>
      <c r="B1077" s="13"/>
      <c r="C1077" s="81"/>
      <c r="D1077" s="4"/>
      <c r="E1077" s="8"/>
      <c r="F1077" s="17"/>
      <c r="G1077" s="17"/>
      <c r="H1077" s="17"/>
      <c r="I1077" s="17"/>
      <c r="J1077" s="17"/>
      <c r="K1077" s="17"/>
      <c r="L1077" s="17"/>
      <c r="M1077" s="17"/>
      <c r="N1077" s="17"/>
      <c r="O1077" s="17"/>
      <c r="P1077" s="17"/>
      <c r="Q1077" s="17"/>
      <c r="R1077" s="17"/>
      <c r="S1077" s="17"/>
      <c r="T1077" s="17"/>
      <c r="U1077" s="17"/>
      <c r="V1077" s="17"/>
      <c r="W1077" s="17"/>
      <c r="X1077" s="17"/>
      <c r="Y1077" s="17"/>
      <c r="Z1077" s="17"/>
      <c r="AA1077" s="17"/>
      <c r="AB1077" s="17"/>
      <c r="AC1077" s="17"/>
      <c r="AD1077" s="17"/>
      <c r="AE1077" s="17"/>
      <c r="AF1077" s="17"/>
      <c r="AG1077" s="17"/>
      <c r="AH1077" s="17"/>
      <c r="AI1077" s="17"/>
      <c r="AJ1077" s="17"/>
      <c r="AK1077" s="17"/>
      <c r="AL1077" s="17"/>
      <c r="AM1077" s="17"/>
      <c r="AN1077" s="17"/>
      <c r="AO1077" s="17"/>
      <c r="AP1077" s="1"/>
      <c r="AQ1077" s="1"/>
    </row>
    <row r="1078" spans="1:43" x14ac:dyDescent="0.35">
      <c r="A1078" s="6"/>
      <c r="B1078" s="13"/>
      <c r="C1078" s="81"/>
      <c r="D1078" s="4"/>
      <c r="E1078" s="8"/>
      <c r="F1078" s="17"/>
      <c r="G1078" s="17"/>
      <c r="H1078" s="17"/>
      <c r="I1078" s="17"/>
      <c r="J1078" s="17"/>
      <c r="K1078" s="17"/>
      <c r="L1078" s="17"/>
      <c r="M1078" s="17"/>
      <c r="N1078" s="17"/>
      <c r="O1078" s="17"/>
      <c r="P1078" s="17"/>
      <c r="Q1078" s="17"/>
      <c r="R1078" s="17"/>
      <c r="S1078" s="17"/>
      <c r="T1078" s="17"/>
      <c r="U1078" s="17"/>
      <c r="V1078" s="17"/>
      <c r="W1078" s="17"/>
      <c r="X1078" s="17"/>
      <c r="Y1078" s="17"/>
      <c r="Z1078" s="17"/>
      <c r="AA1078" s="17"/>
      <c r="AB1078" s="17"/>
      <c r="AC1078" s="17"/>
      <c r="AD1078" s="17"/>
      <c r="AE1078" s="17"/>
      <c r="AF1078" s="17"/>
      <c r="AG1078" s="17"/>
      <c r="AH1078" s="17"/>
      <c r="AI1078" s="17"/>
      <c r="AJ1078" s="17"/>
      <c r="AK1078" s="17"/>
      <c r="AL1078" s="17"/>
      <c r="AM1078" s="17"/>
      <c r="AN1078" s="17"/>
      <c r="AO1078" s="17"/>
      <c r="AP1078" s="1"/>
      <c r="AQ1078" s="1"/>
    </row>
    <row r="1079" spans="1:43" x14ac:dyDescent="0.35">
      <c r="A1079" s="6"/>
      <c r="B1079" s="13"/>
      <c r="C1079" s="81"/>
      <c r="D1079" s="4"/>
      <c r="E1079" s="8"/>
      <c r="F1079" s="17"/>
      <c r="G1079" s="17"/>
      <c r="H1079" s="17"/>
      <c r="I1079" s="17"/>
      <c r="J1079" s="17"/>
      <c r="K1079" s="17"/>
      <c r="L1079" s="17"/>
      <c r="M1079" s="17"/>
      <c r="N1079" s="17"/>
      <c r="O1079" s="17"/>
      <c r="P1079" s="17"/>
      <c r="Q1079" s="17"/>
      <c r="R1079" s="17"/>
      <c r="S1079" s="17"/>
      <c r="T1079" s="17"/>
      <c r="U1079" s="17"/>
      <c r="V1079" s="17"/>
      <c r="W1079" s="17"/>
      <c r="X1079" s="17"/>
      <c r="Y1079" s="17"/>
      <c r="Z1079" s="17"/>
      <c r="AA1079" s="17"/>
      <c r="AB1079" s="17"/>
      <c r="AC1079" s="17"/>
      <c r="AD1079" s="17"/>
      <c r="AE1079" s="17"/>
      <c r="AF1079" s="17"/>
      <c r="AG1079" s="17"/>
      <c r="AH1079" s="17"/>
      <c r="AI1079" s="17"/>
      <c r="AJ1079" s="17"/>
      <c r="AK1079" s="17"/>
      <c r="AL1079" s="17"/>
      <c r="AM1079" s="17"/>
      <c r="AN1079" s="17"/>
      <c r="AO1079" s="17"/>
      <c r="AP1079" s="1"/>
      <c r="AQ1079" s="1"/>
    </row>
    <row r="1080" spans="1:43" x14ac:dyDescent="0.35">
      <c r="A1080" s="6"/>
      <c r="B1080" s="13"/>
      <c r="C1080" s="81"/>
      <c r="D1080" s="4"/>
      <c r="E1080" s="8"/>
      <c r="F1080" s="17"/>
      <c r="G1080" s="17"/>
      <c r="H1080" s="17"/>
      <c r="I1080" s="17"/>
      <c r="J1080" s="17"/>
      <c r="K1080" s="17"/>
      <c r="L1080" s="17"/>
      <c r="M1080" s="17"/>
      <c r="N1080" s="17"/>
      <c r="O1080" s="17"/>
      <c r="P1080" s="17"/>
      <c r="Q1080" s="17"/>
      <c r="R1080" s="17"/>
      <c r="S1080" s="17"/>
      <c r="T1080" s="17"/>
      <c r="U1080" s="17"/>
      <c r="V1080" s="17"/>
      <c r="W1080" s="17"/>
      <c r="X1080" s="17"/>
      <c r="Y1080" s="17"/>
      <c r="Z1080" s="17"/>
      <c r="AA1080" s="17"/>
      <c r="AB1080" s="17"/>
      <c r="AC1080" s="17"/>
      <c r="AD1080" s="17"/>
      <c r="AE1080" s="17"/>
      <c r="AF1080" s="17"/>
      <c r="AG1080" s="17"/>
      <c r="AH1080" s="17"/>
      <c r="AI1080" s="17"/>
      <c r="AJ1080" s="17"/>
      <c r="AK1080" s="17"/>
      <c r="AL1080" s="17"/>
      <c r="AM1080" s="17"/>
      <c r="AN1080" s="17"/>
      <c r="AO1080" s="17"/>
      <c r="AP1080" s="1"/>
      <c r="AQ1080" s="1"/>
    </row>
    <row r="1081" spans="1:43" x14ac:dyDescent="0.35">
      <c r="A1081" s="6"/>
      <c r="B1081" s="13"/>
      <c r="C1081" s="81"/>
      <c r="D1081" s="4"/>
      <c r="E1081" s="8"/>
      <c r="F1081" s="17"/>
      <c r="G1081" s="17"/>
      <c r="H1081" s="17"/>
      <c r="I1081" s="17"/>
      <c r="J1081" s="17"/>
      <c r="K1081" s="17"/>
      <c r="L1081" s="17"/>
      <c r="M1081" s="17"/>
      <c r="N1081" s="17"/>
      <c r="O1081" s="17"/>
      <c r="P1081" s="17"/>
      <c r="Q1081" s="17"/>
      <c r="R1081" s="17"/>
      <c r="S1081" s="17"/>
      <c r="T1081" s="17"/>
      <c r="U1081" s="17"/>
      <c r="V1081" s="17"/>
      <c r="W1081" s="17"/>
      <c r="X1081" s="17"/>
      <c r="Y1081" s="17"/>
      <c r="Z1081" s="17"/>
      <c r="AA1081" s="17"/>
      <c r="AB1081" s="17"/>
      <c r="AC1081" s="17"/>
      <c r="AD1081" s="17"/>
      <c r="AE1081" s="17"/>
      <c r="AF1081" s="17"/>
      <c r="AG1081" s="17"/>
      <c r="AH1081" s="17"/>
      <c r="AI1081" s="17"/>
      <c r="AJ1081" s="17"/>
      <c r="AK1081" s="17"/>
      <c r="AL1081" s="17"/>
      <c r="AM1081" s="17"/>
      <c r="AN1081" s="17"/>
      <c r="AO1081" s="17"/>
      <c r="AP1081" s="1"/>
      <c r="AQ1081" s="1"/>
    </row>
    <row r="1082" spans="1:43" x14ac:dyDescent="0.35">
      <c r="A1082" s="6"/>
      <c r="B1082" s="13"/>
      <c r="C1082" s="81"/>
      <c r="D1082" s="4"/>
      <c r="E1082" s="8"/>
      <c r="F1082" s="17"/>
      <c r="G1082" s="17"/>
      <c r="H1082" s="17"/>
      <c r="I1082" s="17"/>
      <c r="J1082" s="17"/>
      <c r="K1082" s="17"/>
      <c r="L1082" s="17"/>
      <c r="M1082" s="17"/>
      <c r="N1082" s="17"/>
      <c r="O1082" s="17"/>
      <c r="P1082" s="17"/>
      <c r="Q1082" s="17"/>
      <c r="R1082" s="17"/>
      <c r="S1082" s="17"/>
      <c r="T1082" s="17"/>
      <c r="U1082" s="17"/>
      <c r="V1082" s="17"/>
      <c r="W1082" s="17"/>
      <c r="X1082" s="17"/>
      <c r="Y1082" s="17"/>
      <c r="Z1082" s="17"/>
      <c r="AA1082" s="17"/>
      <c r="AB1082" s="17"/>
      <c r="AC1082" s="17"/>
      <c r="AD1082" s="17"/>
      <c r="AE1082" s="17"/>
      <c r="AF1082" s="17"/>
      <c r="AG1082" s="17"/>
      <c r="AH1082" s="17"/>
      <c r="AI1082" s="17"/>
      <c r="AJ1082" s="17"/>
      <c r="AK1082" s="17"/>
      <c r="AL1082" s="17"/>
      <c r="AM1082" s="17"/>
      <c r="AN1082" s="17"/>
      <c r="AO1082" s="17"/>
      <c r="AP1082" s="1"/>
      <c r="AQ1082" s="1"/>
    </row>
    <row r="1083" spans="1:43" x14ac:dyDescent="0.35">
      <c r="A1083" s="6"/>
      <c r="B1083" s="13"/>
      <c r="C1083" s="81"/>
      <c r="D1083" s="4"/>
      <c r="E1083" s="8"/>
      <c r="F1083" s="17"/>
      <c r="G1083" s="17"/>
      <c r="H1083" s="17"/>
      <c r="I1083" s="17"/>
      <c r="J1083" s="17"/>
      <c r="K1083" s="17"/>
      <c r="L1083" s="17"/>
      <c r="M1083" s="17"/>
      <c r="N1083" s="17"/>
      <c r="O1083" s="17"/>
      <c r="P1083" s="17"/>
      <c r="Q1083" s="17"/>
      <c r="R1083" s="17"/>
      <c r="S1083" s="17"/>
      <c r="T1083" s="17"/>
      <c r="U1083" s="17"/>
      <c r="V1083" s="17"/>
      <c r="W1083" s="17"/>
      <c r="X1083" s="17"/>
      <c r="Y1083" s="17"/>
      <c r="Z1083" s="17"/>
      <c r="AA1083" s="17"/>
      <c r="AB1083" s="17"/>
      <c r="AC1083" s="17"/>
      <c r="AD1083" s="17"/>
      <c r="AE1083" s="17"/>
      <c r="AF1083" s="17"/>
      <c r="AG1083" s="17"/>
      <c r="AH1083" s="17"/>
      <c r="AI1083" s="17"/>
      <c r="AJ1083" s="17"/>
      <c r="AK1083" s="17"/>
      <c r="AL1083" s="17"/>
      <c r="AM1083" s="17"/>
      <c r="AN1083" s="17"/>
      <c r="AO1083" s="17"/>
      <c r="AP1083" s="1"/>
      <c r="AQ1083" s="1"/>
    </row>
    <row r="1084" spans="1:43" x14ac:dyDescent="0.35">
      <c r="A1084" s="6"/>
      <c r="B1084" s="13"/>
      <c r="C1084" s="81"/>
      <c r="D1084" s="4"/>
      <c r="E1084" s="8"/>
      <c r="F1084" s="17"/>
      <c r="G1084" s="17"/>
      <c r="H1084" s="17"/>
      <c r="I1084" s="17"/>
      <c r="J1084" s="17"/>
      <c r="K1084" s="17"/>
      <c r="L1084" s="17"/>
      <c r="M1084" s="17"/>
      <c r="N1084" s="17"/>
      <c r="O1084" s="17"/>
      <c r="P1084" s="17"/>
      <c r="Q1084" s="17"/>
      <c r="R1084" s="17"/>
      <c r="S1084" s="17"/>
      <c r="T1084" s="17"/>
      <c r="U1084" s="17"/>
      <c r="V1084" s="17"/>
      <c r="W1084" s="17"/>
      <c r="X1084" s="17"/>
      <c r="Y1084" s="17"/>
      <c r="Z1084" s="17"/>
      <c r="AA1084" s="17"/>
      <c r="AB1084" s="17"/>
      <c r="AC1084" s="17"/>
      <c r="AD1084" s="17"/>
      <c r="AE1084" s="17"/>
      <c r="AF1084" s="17"/>
      <c r="AG1084" s="17"/>
      <c r="AH1084" s="17"/>
      <c r="AI1084" s="17"/>
      <c r="AJ1084" s="17"/>
      <c r="AK1084" s="17"/>
      <c r="AL1084" s="17"/>
      <c r="AM1084" s="17"/>
      <c r="AN1084" s="17"/>
      <c r="AO1084" s="17"/>
      <c r="AP1084" s="1"/>
      <c r="AQ1084" s="1"/>
    </row>
    <row r="1085" spans="1:43" x14ac:dyDescent="0.35">
      <c r="A1085" s="6"/>
      <c r="B1085" s="13"/>
      <c r="C1085" s="81"/>
      <c r="D1085" s="4"/>
      <c r="E1085" s="8"/>
      <c r="F1085" s="17"/>
      <c r="G1085" s="17"/>
      <c r="H1085" s="17"/>
      <c r="I1085" s="17"/>
      <c r="J1085" s="17"/>
      <c r="K1085" s="17"/>
      <c r="L1085" s="17"/>
      <c r="M1085" s="17"/>
      <c r="N1085" s="17"/>
      <c r="O1085" s="17"/>
      <c r="P1085" s="17"/>
      <c r="Q1085" s="17"/>
      <c r="R1085" s="17"/>
      <c r="S1085" s="17"/>
      <c r="T1085" s="17"/>
      <c r="U1085" s="17"/>
      <c r="V1085" s="17"/>
      <c r="W1085" s="17"/>
      <c r="X1085" s="17"/>
      <c r="Y1085" s="17"/>
      <c r="Z1085" s="17"/>
      <c r="AA1085" s="17"/>
      <c r="AB1085" s="17"/>
      <c r="AC1085" s="17"/>
      <c r="AD1085" s="17"/>
      <c r="AE1085" s="17"/>
      <c r="AF1085" s="17"/>
      <c r="AG1085" s="17"/>
      <c r="AH1085" s="17"/>
      <c r="AI1085" s="17"/>
      <c r="AJ1085" s="17"/>
      <c r="AK1085" s="17"/>
      <c r="AL1085" s="17"/>
      <c r="AM1085" s="17"/>
      <c r="AN1085" s="17"/>
      <c r="AO1085" s="17"/>
      <c r="AP1085" s="1"/>
      <c r="AQ1085" s="1"/>
    </row>
    <row r="1086" spans="1:43" x14ac:dyDescent="0.35">
      <c r="A1086" s="6"/>
      <c r="B1086" s="13"/>
      <c r="C1086" s="81"/>
      <c r="D1086" s="4"/>
      <c r="E1086" s="8"/>
      <c r="F1086" s="17"/>
      <c r="G1086" s="17"/>
      <c r="H1086" s="17"/>
      <c r="I1086" s="17"/>
      <c r="J1086" s="17"/>
      <c r="K1086" s="17"/>
      <c r="L1086" s="17"/>
      <c r="M1086" s="17"/>
      <c r="N1086" s="17"/>
      <c r="O1086" s="17"/>
      <c r="P1086" s="17"/>
      <c r="Q1086" s="17"/>
      <c r="R1086" s="17"/>
      <c r="S1086" s="17"/>
      <c r="T1086" s="17"/>
      <c r="U1086" s="17"/>
      <c r="V1086" s="17"/>
      <c r="W1086" s="17"/>
      <c r="X1086" s="17"/>
      <c r="Y1086" s="17"/>
      <c r="Z1086" s="17"/>
      <c r="AA1086" s="17"/>
      <c r="AB1086" s="17"/>
      <c r="AC1086" s="17"/>
      <c r="AD1086" s="17"/>
      <c r="AE1086" s="17"/>
      <c r="AF1086" s="17"/>
      <c r="AG1086" s="17"/>
      <c r="AH1086" s="17"/>
      <c r="AI1086" s="17"/>
      <c r="AJ1086" s="17"/>
      <c r="AK1086" s="17"/>
      <c r="AL1086" s="17"/>
      <c r="AM1086" s="17"/>
      <c r="AN1086" s="17"/>
      <c r="AO1086" s="17"/>
      <c r="AP1086" s="1"/>
      <c r="AQ1086" s="1"/>
    </row>
    <row r="1087" spans="1:43" x14ac:dyDescent="0.35">
      <c r="A1087" s="6"/>
      <c r="B1087" s="13"/>
      <c r="C1087" s="81"/>
      <c r="D1087" s="4"/>
      <c r="E1087" s="8"/>
      <c r="F1087" s="17"/>
      <c r="G1087" s="17"/>
      <c r="H1087" s="17"/>
      <c r="I1087" s="17"/>
      <c r="J1087" s="17"/>
      <c r="K1087" s="17"/>
      <c r="L1087" s="17"/>
      <c r="M1087" s="17"/>
      <c r="N1087" s="17"/>
      <c r="O1087" s="17"/>
      <c r="P1087" s="17"/>
      <c r="Q1087" s="17"/>
      <c r="R1087" s="17"/>
      <c r="S1087" s="17"/>
      <c r="T1087" s="17"/>
      <c r="U1087" s="17"/>
      <c r="V1087" s="17"/>
      <c r="W1087" s="17"/>
      <c r="X1087" s="17"/>
      <c r="Y1087" s="17"/>
      <c r="Z1087" s="17"/>
      <c r="AA1087" s="17"/>
      <c r="AB1087" s="17"/>
      <c r="AC1087" s="17"/>
      <c r="AD1087" s="17"/>
      <c r="AE1087" s="17"/>
      <c r="AF1087" s="17"/>
      <c r="AG1087" s="17"/>
      <c r="AH1087" s="17"/>
      <c r="AI1087" s="17"/>
      <c r="AJ1087" s="17"/>
      <c r="AK1087" s="17"/>
      <c r="AL1087" s="17"/>
      <c r="AM1087" s="17"/>
      <c r="AN1087" s="17"/>
      <c r="AO1087" s="17"/>
      <c r="AP1087" s="1"/>
      <c r="AQ1087" s="1"/>
    </row>
    <row r="1088" spans="1:43" x14ac:dyDescent="0.35">
      <c r="A1088" s="6"/>
      <c r="B1088" s="13"/>
      <c r="C1088" s="81"/>
      <c r="D1088" s="4"/>
      <c r="E1088" s="8"/>
      <c r="F1088" s="17"/>
      <c r="G1088" s="17"/>
      <c r="H1088" s="17"/>
      <c r="I1088" s="17"/>
      <c r="J1088" s="17"/>
      <c r="K1088" s="17"/>
      <c r="L1088" s="17"/>
      <c r="M1088" s="17"/>
      <c r="N1088" s="17"/>
      <c r="O1088" s="17"/>
      <c r="P1088" s="17"/>
      <c r="Q1088" s="17"/>
      <c r="R1088" s="17"/>
      <c r="S1088" s="17"/>
      <c r="T1088" s="17"/>
      <c r="U1088" s="17"/>
      <c r="V1088" s="17"/>
      <c r="W1088" s="17"/>
      <c r="X1088" s="17"/>
      <c r="Y1088" s="17"/>
      <c r="Z1088" s="17"/>
      <c r="AA1088" s="17"/>
      <c r="AB1088" s="17"/>
      <c r="AC1088" s="17"/>
      <c r="AD1088" s="17"/>
      <c r="AE1088" s="17"/>
      <c r="AF1088" s="17"/>
      <c r="AG1088" s="17"/>
      <c r="AH1088" s="17"/>
      <c r="AI1088" s="17"/>
      <c r="AJ1088" s="17"/>
      <c r="AK1088" s="17"/>
      <c r="AL1088" s="17"/>
      <c r="AM1088" s="17"/>
      <c r="AN1088" s="17"/>
      <c r="AO1088" s="17"/>
      <c r="AP1088" s="1"/>
      <c r="AQ1088" s="1"/>
    </row>
    <row r="1089" spans="1:43" x14ac:dyDescent="0.35">
      <c r="A1089" s="6"/>
      <c r="B1089" s="13"/>
      <c r="C1089" s="81"/>
      <c r="D1089" s="4"/>
      <c r="E1089" s="8"/>
      <c r="F1089" s="17"/>
      <c r="G1089" s="17"/>
      <c r="H1089" s="17"/>
      <c r="I1089" s="17"/>
      <c r="J1089" s="17"/>
      <c r="K1089" s="17"/>
      <c r="L1089" s="17"/>
      <c r="M1089" s="17"/>
      <c r="N1089" s="17"/>
      <c r="O1089" s="17"/>
      <c r="P1089" s="17"/>
      <c r="Q1089" s="17"/>
      <c r="R1089" s="17"/>
      <c r="S1089" s="17"/>
      <c r="T1089" s="17"/>
      <c r="U1089" s="17"/>
      <c r="V1089" s="17"/>
      <c r="W1089" s="17"/>
      <c r="X1089" s="17"/>
      <c r="Y1089" s="17"/>
      <c r="Z1089" s="17"/>
      <c r="AA1089" s="17"/>
      <c r="AB1089" s="17"/>
      <c r="AC1089" s="17"/>
      <c r="AD1089" s="17"/>
      <c r="AE1089" s="17"/>
      <c r="AF1089" s="17"/>
      <c r="AG1089" s="17"/>
      <c r="AH1089" s="17"/>
      <c r="AI1089" s="17"/>
      <c r="AJ1089" s="17"/>
      <c r="AK1089" s="17"/>
      <c r="AL1089" s="17"/>
      <c r="AM1089" s="17"/>
      <c r="AN1089" s="17"/>
      <c r="AO1089" s="17"/>
      <c r="AP1089" s="1"/>
      <c r="AQ1089" s="1"/>
    </row>
    <row r="1090" spans="1:43" x14ac:dyDescent="0.35">
      <c r="A1090" s="6"/>
      <c r="B1090" s="13"/>
      <c r="C1090" s="81"/>
      <c r="D1090" s="4"/>
      <c r="E1090" s="8"/>
      <c r="F1090" s="17"/>
      <c r="G1090" s="17"/>
      <c r="H1090" s="17"/>
      <c r="I1090" s="17"/>
      <c r="J1090" s="17"/>
      <c r="K1090" s="17"/>
      <c r="L1090" s="17"/>
      <c r="M1090" s="17"/>
      <c r="N1090" s="17"/>
      <c r="O1090" s="17"/>
      <c r="P1090" s="17"/>
      <c r="Q1090" s="17"/>
      <c r="R1090" s="17"/>
      <c r="S1090" s="17"/>
      <c r="T1090" s="17"/>
      <c r="U1090" s="17"/>
      <c r="V1090" s="17"/>
      <c r="W1090" s="17"/>
      <c r="X1090" s="17"/>
      <c r="Y1090" s="17"/>
      <c r="Z1090" s="17"/>
      <c r="AA1090" s="17"/>
      <c r="AB1090" s="17"/>
      <c r="AC1090" s="17"/>
      <c r="AD1090" s="17"/>
      <c r="AE1090" s="17"/>
      <c r="AF1090" s="17"/>
      <c r="AG1090" s="17"/>
      <c r="AH1090" s="17"/>
      <c r="AI1090" s="17"/>
      <c r="AJ1090" s="17"/>
      <c r="AK1090" s="17"/>
      <c r="AL1090" s="17"/>
      <c r="AM1090" s="17"/>
      <c r="AN1090" s="17"/>
      <c r="AO1090" s="17"/>
      <c r="AP1090" s="1"/>
      <c r="AQ1090" s="1"/>
    </row>
    <row r="1091" spans="1:43" x14ac:dyDescent="0.35">
      <c r="A1091" s="6"/>
      <c r="B1091" s="13"/>
      <c r="C1091" s="81"/>
      <c r="D1091" s="4"/>
      <c r="E1091" s="8"/>
      <c r="F1091" s="17"/>
      <c r="G1091" s="17"/>
      <c r="H1091" s="17"/>
      <c r="I1091" s="17"/>
      <c r="J1091" s="17"/>
      <c r="K1091" s="17"/>
      <c r="L1091" s="17"/>
      <c r="M1091" s="17"/>
      <c r="N1091" s="17"/>
      <c r="O1091" s="17"/>
      <c r="P1091" s="17"/>
      <c r="Q1091" s="17"/>
      <c r="R1091" s="17"/>
      <c r="S1091" s="17"/>
      <c r="T1091" s="17"/>
      <c r="U1091" s="17"/>
      <c r="V1091" s="17"/>
      <c r="W1091" s="17"/>
      <c r="X1091" s="17"/>
      <c r="Y1091" s="17"/>
      <c r="Z1091" s="17"/>
      <c r="AA1091" s="17"/>
      <c r="AB1091" s="17"/>
      <c r="AC1091" s="17"/>
      <c r="AD1091" s="17"/>
      <c r="AE1091" s="17"/>
      <c r="AF1091" s="17"/>
      <c r="AG1091" s="17"/>
      <c r="AH1091" s="17"/>
      <c r="AI1091" s="17"/>
      <c r="AJ1091" s="17"/>
      <c r="AK1091" s="17"/>
      <c r="AL1091" s="17"/>
      <c r="AM1091" s="17"/>
      <c r="AN1091" s="17"/>
      <c r="AO1091" s="17"/>
      <c r="AP1091" s="1"/>
      <c r="AQ1091" s="1"/>
    </row>
    <row r="1092" spans="1:43" x14ac:dyDescent="0.35">
      <c r="A1092" s="6"/>
      <c r="B1092" s="13"/>
      <c r="C1092" s="81"/>
      <c r="D1092" s="4"/>
      <c r="E1092" s="8"/>
      <c r="F1092" s="17"/>
      <c r="G1092" s="17"/>
      <c r="H1092" s="17"/>
      <c r="I1092" s="17"/>
      <c r="J1092" s="17"/>
      <c r="K1092" s="17"/>
      <c r="L1092" s="17"/>
      <c r="M1092" s="17"/>
      <c r="N1092" s="17"/>
      <c r="O1092" s="17"/>
      <c r="P1092" s="17"/>
      <c r="Q1092" s="17"/>
      <c r="R1092" s="17"/>
      <c r="S1092" s="17"/>
      <c r="T1092" s="17"/>
      <c r="U1092" s="17"/>
      <c r="V1092" s="17"/>
      <c r="W1092" s="17"/>
      <c r="X1092" s="17"/>
      <c r="Y1092" s="17"/>
      <c r="Z1092" s="17"/>
      <c r="AA1092" s="17"/>
      <c r="AB1092" s="17"/>
      <c r="AC1092" s="17"/>
      <c r="AD1092" s="17"/>
      <c r="AE1092" s="17"/>
      <c r="AF1092" s="17"/>
      <c r="AG1092" s="17"/>
      <c r="AH1092" s="17"/>
      <c r="AI1092" s="17"/>
      <c r="AJ1092" s="17"/>
      <c r="AK1092" s="17"/>
      <c r="AL1092" s="17"/>
      <c r="AM1092" s="17"/>
      <c r="AN1092" s="17"/>
      <c r="AO1092" s="17"/>
      <c r="AP1092" s="1"/>
      <c r="AQ1092" s="1"/>
    </row>
    <row r="1093" spans="1:43" x14ac:dyDescent="0.35">
      <c r="A1093" s="6"/>
      <c r="B1093" s="13"/>
      <c r="C1093" s="81"/>
      <c r="D1093" s="4"/>
      <c r="E1093" s="8"/>
      <c r="F1093" s="17"/>
      <c r="G1093" s="17"/>
      <c r="H1093" s="17"/>
      <c r="I1093" s="17"/>
      <c r="J1093" s="17"/>
      <c r="K1093" s="17"/>
      <c r="L1093" s="17"/>
      <c r="M1093" s="17"/>
      <c r="N1093" s="17"/>
      <c r="O1093" s="17"/>
      <c r="P1093" s="17"/>
      <c r="Q1093" s="17"/>
      <c r="R1093" s="17"/>
      <c r="S1093" s="17"/>
      <c r="T1093" s="17"/>
      <c r="U1093" s="17"/>
      <c r="V1093" s="17"/>
      <c r="W1093" s="17"/>
      <c r="X1093" s="17"/>
      <c r="Y1093" s="17"/>
      <c r="Z1093" s="17"/>
      <c r="AA1093" s="17"/>
      <c r="AB1093" s="17"/>
      <c r="AC1093" s="17"/>
      <c r="AD1093" s="17"/>
      <c r="AE1093" s="17"/>
      <c r="AF1093" s="17"/>
      <c r="AG1093" s="17"/>
      <c r="AH1093" s="17"/>
      <c r="AI1093" s="17"/>
      <c r="AJ1093" s="17"/>
      <c r="AK1093" s="17"/>
      <c r="AL1093" s="17"/>
      <c r="AM1093" s="17"/>
      <c r="AN1093" s="17"/>
      <c r="AO1093" s="17"/>
      <c r="AP1093" s="1"/>
      <c r="AQ1093" s="1"/>
    </row>
    <row r="1094" spans="1:43" x14ac:dyDescent="0.35">
      <c r="A1094" s="6"/>
      <c r="B1094" s="13"/>
      <c r="C1094" s="81"/>
      <c r="D1094" s="4"/>
      <c r="E1094" s="8"/>
      <c r="F1094" s="17"/>
      <c r="G1094" s="17"/>
      <c r="H1094" s="17"/>
      <c r="I1094" s="17"/>
      <c r="J1094" s="17"/>
      <c r="K1094" s="17"/>
      <c r="L1094" s="17"/>
      <c r="M1094" s="17"/>
      <c r="N1094" s="17"/>
      <c r="O1094" s="17"/>
      <c r="P1094" s="17"/>
      <c r="Q1094" s="17"/>
      <c r="R1094" s="17"/>
      <c r="S1094" s="17"/>
      <c r="T1094" s="17"/>
      <c r="U1094" s="17"/>
      <c r="V1094" s="17"/>
      <c r="W1094" s="17"/>
      <c r="X1094" s="17"/>
      <c r="Y1094" s="17"/>
      <c r="Z1094" s="17"/>
      <c r="AA1094" s="17"/>
      <c r="AB1094" s="17"/>
      <c r="AC1094" s="17"/>
      <c r="AD1094" s="17"/>
      <c r="AE1094" s="17"/>
      <c r="AF1094" s="17"/>
      <c r="AG1094" s="17"/>
      <c r="AH1094" s="17"/>
      <c r="AI1094" s="17"/>
      <c r="AJ1094" s="17"/>
      <c r="AK1094" s="17"/>
      <c r="AL1094" s="17"/>
      <c r="AM1094" s="17"/>
      <c r="AN1094" s="17"/>
      <c r="AO1094" s="17"/>
      <c r="AP1094" s="1"/>
      <c r="AQ1094" s="1"/>
    </row>
    <row r="1095" spans="1:43" x14ac:dyDescent="0.35">
      <c r="A1095" s="6"/>
      <c r="B1095" s="13"/>
      <c r="C1095" s="81"/>
      <c r="D1095" s="4"/>
      <c r="E1095" s="8"/>
      <c r="F1095" s="17"/>
      <c r="G1095" s="17"/>
      <c r="H1095" s="17"/>
      <c r="I1095" s="17"/>
      <c r="J1095" s="17"/>
      <c r="K1095" s="17"/>
      <c r="L1095" s="17"/>
      <c r="M1095" s="17"/>
      <c r="N1095" s="17"/>
      <c r="O1095" s="17"/>
      <c r="P1095" s="17"/>
      <c r="Q1095" s="17"/>
      <c r="R1095" s="17"/>
      <c r="S1095" s="17"/>
      <c r="T1095" s="17"/>
      <c r="U1095" s="17"/>
      <c r="V1095" s="17"/>
      <c r="W1095" s="17"/>
      <c r="X1095" s="17"/>
      <c r="Y1095" s="17"/>
      <c r="Z1095" s="17"/>
      <c r="AA1095" s="17"/>
      <c r="AB1095" s="17"/>
      <c r="AC1095" s="17"/>
      <c r="AD1095" s="17"/>
      <c r="AE1095" s="17"/>
      <c r="AF1095" s="17"/>
      <c r="AG1095" s="17"/>
      <c r="AH1095" s="17"/>
      <c r="AI1095" s="17"/>
      <c r="AJ1095" s="17"/>
      <c r="AK1095" s="17"/>
      <c r="AL1095" s="17"/>
      <c r="AM1095" s="17"/>
      <c r="AN1095" s="17"/>
      <c r="AO1095" s="17"/>
      <c r="AP1095" s="1"/>
      <c r="AQ1095" s="1"/>
    </row>
    <row r="1096" spans="1:43" x14ac:dyDescent="0.35">
      <c r="A1096" s="6"/>
      <c r="B1096" s="13"/>
      <c r="C1096" s="81"/>
      <c r="D1096" s="4"/>
      <c r="E1096" s="8"/>
      <c r="F1096" s="17"/>
      <c r="G1096" s="17"/>
      <c r="H1096" s="17"/>
      <c r="I1096" s="17"/>
      <c r="J1096" s="17"/>
      <c r="K1096" s="17"/>
      <c r="L1096" s="17"/>
      <c r="M1096" s="17"/>
      <c r="N1096" s="17"/>
      <c r="O1096" s="17"/>
      <c r="P1096" s="17"/>
      <c r="Q1096" s="17"/>
      <c r="R1096" s="17"/>
      <c r="S1096" s="17"/>
      <c r="T1096" s="17"/>
      <c r="U1096" s="17"/>
      <c r="V1096" s="17"/>
      <c r="W1096" s="17"/>
      <c r="X1096" s="17"/>
      <c r="Y1096" s="17"/>
      <c r="Z1096" s="17"/>
      <c r="AA1096" s="17"/>
      <c r="AB1096" s="17"/>
      <c r="AC1096" s="17"/>
      <c r="AD1096" s="17"/>
      <c r="AE1096" s="17"/>
      <c r="AF1096" s="17"/>
      <c r="AG1096" s="17"/>
      <c r="AH1096" s="17"/>
      <c r="AI1096" s="17"/>
      <c r="AJ1096" s="17"/>
      <c r="AK1096" s="17"/>
      <c r="AL1096" s="17"/>
      <c r="AM1096" s="17"/>
      <c r="AN1096" s="17"/>
      <c r="AO1096" s="17"/>
      <c r="AP1096" s="1"/>
      <c r="AQ1096" s="1"/>
    </row>
    <row r="1097" spans="1:43" x14ac:dyDescent="0.35">
      <c r="A1097" s="6"/>
      <c r="B1097" s="13"/>
      <c r="C1097" s="81"/>
      <c r="D1097" s="4"/>
      <c r="E1097" s="8"/>
      <c r="F1097" s="17"/>
      <c r="G1097" s="17"/>
      <c r="H1097" s="17"/>
      <c r="I1097" s="17"/>
      <c r="J1097" s="17"/>
      <c r="K1097" s="17"/>
      <c r="L1097" s="17"/>
      <c r="M1097" s="17"/>
      <c r="N1097" s="17"/>
      <c r="O1097" s="17"/>
      <c r="P1097" s="17"/>
      <c r="Q1097" s="17"/>
      <c r="R1097" s="17"/>
      <c r="S1097" s="17"/>
      <c r="T1097" s="17"/>
      <c r="U1097" s="17"/>
      <c r="V1097" s="17"/>
      <c r="W1097" s="17"/>
      <c r="X1097" s="17"/>
      <c r="Y1097" s="17"/>
      <c r="Z1097" s="17"/>
      <c r="AA1097" s="17"/>
      <c r="AB1097" s="17"/>
      <c r="AC1097" s="17"/>
      <c r="AD1097" s="17"/>
      <c r="AE1097" s="17"/>
      <c r="AF1097" s="17"/>
      <c r="AG1097" s="17"/>
      <c r="AH1097" s="17"/>
      <c r="AI1097" s="17"/>
      <c r="AJ1097" s="17"/>
      <c r="AK1097" s="17"/>
      <c r="AL1097" s="17"/>
      <c r="AM1097" s="17"/>
      <c r="AN1097" s="17"/>
      <c r="AO1097" s="17"/>
      <c r="AP1097" s="1"/>
      <c r="AQ1097" s="1"/>
    </row>
    <row r="1098" spans="1:43" x14ac:dyDescent="0.35">
      <c r="A1098" s="6"/>
      <c r="B1098" s="13"/>
      <c r="C1098" s="81"/>
      <c r="D1098" s="4"/>
      <c r="E1098" s="8"/>
      <c r="F1098" s="17"/>
      <c r="G1098" s="17"/>
      <c r="H1098" s="17"/>
      <c r="I1098" s="17"/>
      <c r="J1098" s="17"/>
      <c r="K1098" s="17"/>
      <c r="L1098" s="17"/>
      <c r="M1098" s="17"/>
      <c r="N1098" s="17"/>
      <c r="O1098" s="17"/>
      <c r="P1098" s="17"/>
      <c r="Q1098" s="17"/>
      <c r="R1098" s="17"/>
      <c r="S1098" s="17"/>
      <c r="T1098" s="17"/>
      <c r="U1098" s="17"/>
      <c r="V1098" s="17"/>
      <c r="W1098" s="17"/>
      <c r="X1098" s="17"/>
      <c r="Y1098" s="17"/>
      <c r="Z1098" s="17"/>
      <c r="AA1098" s="17"/>
      <c r="AB1098" s="17"/>
      <c r="AC1098" s="17"/>
      <c r="AD1098" s="17"/>
      <c r="AE1098" s="17"/>
      <c r="AF1098" s="17"/>
      <c r="AG1098" s="17"/>
      <c r="AH1098" s="17"/>
      <c r="AI1098" s="17"/>
      <c r="AJ1098" s="17"/>
      <c r="AK1098" s="17"/>
      <c r="AL1098" s="17"/>
      <c r="AM1098" s="17"/>
      <c r="AN1098" s="17"/>
      <c r="AO1098" s="17"/>
      <c r="AP1098" s="1"/>
      <c r="AQ1098" s="1"/>
    </row>
    <row r="1099" spans="1:43" x14ac:dyDescent="0.35">
      <c r="A1099" s="6"/>
      <c r="B1099" s="13"/>
      <c r="C1099" s="81"/>
      <c r="D1099" s="4"/>
      <c r="E1099" s="8"/>
      <c r="F1099" s="17"/>
      <c r="G1099" s="17"/>
      <c r="H1099" s="17"/>
      <c r="I1099" s="17"/>
      <c r="J1099" s="17"/>
      <c r="K1099" s="17"/>
      <c r="L1099" s="17"/>
      <c r="M1099" s="17"/>
      <c r="N1099" s="17"/>
      <c r="O1099" s="17"/>
      <c r="P1099" s="17"/>
      <c r="Q1099" s="17"/>
      <c r="R1099" s="17"/>
      <c r="S1099" s="17"/>
      <c r="T1099" s="17"/>
      <c r="U1099" s="17"/>
      <c r="V1099" s="17"/>
      <c r="W1099" s="17"/>
      <c r="X1099" s="17"/>
      <c r="Y1099" s="17"/>
      <c r="Z1099" s="17"/>
      <c r="AA1099" s="17"/>
      <c r="AB1099" s="17"/>
      <c r="AC1099" s="17"/>
      <c r="AD1099" s="17"/>
      <c r="AE1099" s="17"/>
      <c r="AF1099" s="17"/>
      <c r="AG1099" s="17"/>
      <c r="AH1099" s="17"/>
      <c r="AI1099" s="17"/>
      <c r="AJ1099" s="17"/>
      <c r="AK1099" s="17"/>
      <c r="AL1099" s="17"/>
      <c r="AM1099" s="17"/>
      <c r="AN1099" s="17"/>
      <c r="AO1099" s="17"/>
      <c r="AP1099" s="1"/>
      <c r="AQ1099" s="1"/>
    </row>
    <row r="1100" spans="1:43" x14ac:dyDescent="0.35">
      <c r="A1100" s="6"/>
      <c r="B1100" s="13"/>
      <c r="C1100" s="81"/>
      <c r="D1100" s="4"/>
      <c r="E1100" s="8"/>
      <c r="F1100" s="17"/>
      <c r="G1100" s="17"/>
      <c r="H1100" s="17"/>
      <c r="I1100" s="17"/>
      <c r="J1100" s="17"/>
      <c r="K1100" s="17"/>
      <c r="L1100" s="17"/>
      <c r="M1100" s="17"/>
      <c r="N1100" s="17"/>
      <c r="O1100" s="17"/>
      <c r="P1100" s="17"/>
      <c r="Q1100" s="17"/>
      <c r="R1100" s="17"/>
      <c r="S1100" s="17"/>
      <c r="T1100" s="17"/>
      <c r="U1100" s="17"/>
      <c r="V1100" s="17"/>
      <c r="W1100" s="17"/>
      <c r="X1100" s="17"/>
      <c r="Y1100" s="17"/>
      <c r="Z1100" s="17"/>
      <c r="AA1100" s="17"/>
      <c r="AB1100" s="17"/>
      <c r="AC1100" s="17"/>
      <c r="AD1100" s="17"/>
      <c r="AE1100" s="17"/>
      <c r="AF1100" s="17"/>
      <c r="AG1100" s="17"/>
      <c r="AH1100" s="17"/>
      <c r="AI1100" s="17"/>
      <c r="AJ1100" s="17"/>
      <c r="AK1100" s="17"/>
      <c r="AL1100" s="17"/>
      <c r="AM1100" s="17"/>
      <c r="AN1100" s="17"/>
      <c r="AO1100" s="17"/>
      <c r="AP1100" s="1"/>
      <c r="AQ1100" s="1"/>
    </row>
    <row r="1101" spans="1:43" x14ac:dyDescent="0.35">
      <c r="A1101" s="6"/>
      <c r="B1101" s="13"/>
      <c r="C1101" s="81"/>
      <c r="D1101" s="4"/>
      <c r="E1101" s="8"/>
      <c r="F1101" s="17"/>
      <c r="G1101" s="17"/>
      <c r="H1101" s="17"/>
      <c r="I1101" s="17"/>
      <c r="J1101" s="17"/>
      <c r="K1101" s="17"/>
      <c r="L1101" s="17"/>
      <c r="M1101" s="17"/>
      <c r="N1101" s="17"/>
      <c r="O1101" s="17"/>
      <c r="P1101" s="17"/>
      <c r="Q1101" s="17"/>
      <c r="R1101" s="17"/>
      <c r="S1101" s="17"/>
      <c r="T1101" s="17"/>
      <c r="U1101" s="17"/>
      <c r="V1101" s="17"/>
      <c r="W1101" s="17"/>
      <c r="X1101" s="17"/>
      <c r="Y1101" s="17"/>
      <c r="Z1101" s="17"/>
      <c r="AA1101" s="17"/>
      <c r="AB1101" s="17"/>
      <c r="AC1101" s="17"/>
      <c r="AD1101" s="17"/>
      <c r="AE1101" s="17"/>
      <c r="AF1101" s="17"/>
      <c r="AG1101" s="17"/>
      <c r="AH1101" s="17"/>
      <c r="AI1101" s="17"/>
      <c r="AJ1101" s="17"/>
      <c r="AK1101" s="17"/>
      <c r="AL1101" s="17"/>
      <c r="AM1101" s="17"/>
      <c r="AN1101" s="17"/>
      <c r="AO1101" s="17"/>
      <c r="AP1101" s="1"/>
      <c r="AQ1101" s="1"/>
    </row>
    <row r="1102" spans="1:43" x14ac:dyDescent="0.35">
      <c r="A1102" s="6"/>
      <c r="B1102" s="13"/>
      <c r="C1102" s="81"/>
      <c r="D1102" s="4"/>
      <c r="E1102" s="8"/>
      <c r="F1102" s="17"/>
      <c r="G1102" s="17"/>
      <c r="H1102" s="17"/>
      <c r="I1102" s="17"/>
      <c r="J1102" s="17"/>
      <c r="K1102" s="17"/>
      <c r="L1102" s="17"/>
      <c r="M1102" s="17"/>
      <c r="N1102" s="17"/>
      <c r="O1102" s="17"/>
      <c r="P1102" s="17"/>
      <c r="Q1102" s="17"/>
      <c r="R1102" s="17"/>
      <c r="S1102" s="17"/>
      <c r="T1102" s="17"/>
      <c r="U1102" s="17"/>
      <c r="V1102" s="17"/>
      <c r="W1102" s="17"/>
      <c r="X1102" s="17"/>
      <c r="Y1102" s="17"/>
      <c r="Z1102" s="17"/>
      <c r="AA1102" s="17"/>
      <c r="AB1102" s="17"/>
      <c r="AC1102" s="17"/>
      <c r="AD1102" s="17"/>
      <c r="AE1102" s="17"/>
      <c r="AF1102" s="17"/>
      <c r="AG1102" s="17"/>
      <c r="AH1102" s="17"/>
      <c r="AI1102" s="17"/>
      <c r="AJ1102" s="17"/>
      <c r="AK1102" s="17"/>
      <c r="AL1102" s="17"/>
      <c r="AM1102" s="17"/>
      <c r="AN1102" s="17"/>
      <c r="AO1102" s="17"/>
      <c r="AP1102" s="1"/>
      <c r="AQ1102" s="1"/>
    </row>
    <row r="1103" spans="1:43" x14ac:dyDescent="0.35">
      <c r="A1103" s="6"/>
      <c r="B1103" s="13"/>
      <c r="C1103" s="81"/>
      <c r="D1103" s="4"/>
      <c r="E1103" s="8"/>
      <c r="F1103" s="17"/>
      <c r="G1103" s="17"/>
      <c r="H1103" s="17"/>
      <c r="I1103" s="17"/>
      <c r="J1103" s="17"/>
      <c r="K1103" s="17"/>
      <c r="L1103" s="17"/>
      <c r="M1103" s="17"/>
      <c r="N1103" s="17"/>
      <c r="O1103" s="17"/>
      <c r="P1103" s="17"/>
      <c r="Q1103" s="17"/>
      <c r="R1103" s="17"/>
      <c r="S1103" s="17"/>
      <c r="T1103" s="17"/>
      <c r="U1103" s="17"/>
      <c r="V1103" s="17"/>
      <c r="W1103" s="17"/>
      <c r="X1103" s="17"/>
      <c r="Y1103" s="17"/>
      <c r="Z1103" s="17"/>
      <c r="AA1103" s="17"/>
      <c r="AB1103" s="17"/>
      <c r="AC1103" s="17"/>
      <c r="AD1103" s="17"/>
      <c r="AE1103" s="17"/>
      <c r="AF1103" s="17"/>
      <c r="AG1103" s="17"/>
      <c r="AH1103" s="17"/>
      <c r="AI1103" s="17"/>
      <c r="AJ1103" s="17"/>
      <c r="AK1103" s="17"/>
      <c r="AL1103" s="17"/>
      <c r="AM1103" s="17"/>
      <c r="AN1103" s="17"/>
      <c r="AO1103" s="17"/>
      <c r="AP1103" s="1"/>
      <c r="AQ1103" s="1"/>
    </row>
    <row r="1104" spans="1:43" x14ac:dyDescent="0.35">
      <c r="A1104" s="6"/>
      <c r="B1104" s="13"/>
      <c r="C1104" s="81"/>
      <c r="D1104" s="4"/>
      <c r="E1104" s="8"/>
      <c r="F1104" s="17"/>
      <c r="G1104" s="17"/>
      <c r="H1104" s="17"/>
      <c r="I1104" s="17"/>
      <c r="J1104" s="17"/>
      <c r="K1104" s="17"/>
      <c r="L1104" s="17"/>
      <c r="M1104" s="17"/>
      <c r="N1104" s="17"/>
      <c r="O1104" s="17"/>
      <c r="P1104" s="17"/>
      <c r="Q1104" s="17"/>
      <c r="R1104" s="17"/>
      <c r="S1104" s="17"/>
      <c r="T1104" s="17"/>
      <c r="U1104" s="17"/>
      <c r="V1104" s="17"/>
      <c r="W1104" s="17"/>
      <c r="X1104" s="17"/>
      <c r="Y1104" s="17"/>
      <c r="Z1104" s="17"/>
      <c r="AA1104" s="17"/>
      <c r="AB1104" s="17"/>
      <c r="AC1104" s="17"/>
      <c r="AD1104" s="17"/>
      <c r="AE1104" s="17"/>
      <c r="AF1104" s="17"/>
      <c r="AG1104" s="17"/>
      <c r="AH1104" s="17"/>
      <c r="AI1104" s="17"/>
      <c r="AJ1104" s="17"/>
      <c r="AK1104" s="17"/>
      <c r="AL1104" s="17"/>
      <c r="AM1104" s="17"/>
      <c r="AN1104" s="17"/>
      <c r="AO1104" s="17"/>
      <c r="AP1104" s="1"/>
      <c r="AQ1104" s="1"/>
    </row>
    <row r="1105" spans="1:43" x14ac:dyDescent="0.35">
      <c r="A1105" s="6"/>
      <c r="B1105" s="13"/>
      <c r="C1105" s="81"/>
      <c r="D1105" s="4"/>
      <c r="E1105" s="8"/>
      <c r="F1105" s="17"/>
      <c r="G1105" s="17"/>
      <c r="H1105" s="17"/>
      <c r="I1105" s="17"/>
      <c r="J1105" s="17"/>
      <c r="K1105" s="17"/>
      <c r="L1105" s="17"/>
      <c r="M1105" s="17"/>
      <c r="N1105" s="17"/>
      <c r="O1105" s="17"/>
      <c r="P1105" s="17"/>
      <c r="Q1105" s="17"/>
      <c r="R1105" s="17"/>
      <c r="S1105" s="17"/>
      <c r="T1105" s="17"/>
      <c r="U1105" s="17"/>
      <c r="V1105" s="17"/>
      <c r="W1105" s="17"/>
      <c r="X1105" s="17"/>
      <c r="Y1105" s="17"/>
      <c r="Z1105" s="17"/>
      <c r="AA1105" s="17"/>
      <c r="AB1105" s="17"/>
      <c r="AC1105" s="17"/>
      <c r="AD1105" s="17"/>
      <c r="AE1105" s="17"/>
      <c r="AF1105" s="17"/>
      <c r="AG1105" s="17"/>
      <c r="AH1105" s="17"/>
      <c r="AI1105" s="17"/>
      <c r="AJ1105" s="17"/>
      <c r="AK1105" s="17"/>
      <c r="AL1105" s="17"/>
      <c r="AM1105" s="17"/>
      <c r="AN1105" s="17"/>
      <c r="AO1105" s="17"/>
      <c r="AP1105" s="1"/>
      <c r="AQ1105" s="1"/>
    </row>
    <row r="1106" spans="1:43" x14ac:dyDescent="0.35">
      <c r="A1106" s="6"/>
      <c r="B1106" s="13"/>
      <c r="C1106" s="81"/>
      <c r="D1106" s="4"/>
      <c r="E1106" s="8"/>
      <c r="F1106" s="17"/>
      <c r="G1106" s="17"/>
      <c r="H1106" s="17"/>
      <c r="I1106" s="17"/>
      <c r="J1106" s="17"/>
      <c r="K1106" s="17"/>
      <c r="L1106" s="17"/>
      <c r="M1106" s="17"/>
      <c r="N1106" s="17"/>
      <c r="O1106" s="17"/>
      <c r="P1106" s="17"/>
      <c r="Q1106" s="17"/>
      <c r="R1106" s="17"/>
      <c r="S1106" s="17"/>
      <c r="T1106" s="17"/>
      <c r="U1106" s="17"/>
      <c r="V1106" s="17"/>
      <c r="W1106" s="17"/>
      <c r="X1106" s="17"/>
      <c r="Y1106" s="17"/>
      <c r="Z1106" s="17"/>
      <c r="AA1106" s="17"/>
      <c r="AB1106" s="17"/>
      <c r="AC1106" s="17"/>
      <c r="AD1106" s="17"/>
      <c r="AE1106" s="17"/>
      <c r="AF1106" s="17"/>
      <c r="AG1106" s="17"/>
      <c r="AH1106" s="17"/>
      <c r="AI1106" s="17"/>
      <c r="AJ1106" s="17"/>
      <c r="AK1106" s="17"/>
      <c r="AL1106" s="17"/>
      <c r="AM1106" s="17"/>
      <c r="AN1106" s="17"/>
      <c r="AO1106" s="17"/>
      <c r="AP1106" s="1"/>
      <c r="AQ1106" s="1"/>
    </row>
    <row r="1107" spans="1:43" x14ac:dyDescent="0.35">
      <c r="A1107" s="6"/>
      <c r="B1107" s="13"/>
      <c r="C1107" s="81"/>
      <c r="D1107" s="4"/>
      <c r="E1107" s="8"/>
      <c r="F1107" s="17"/>
      <c r="G1107" s="17"/>
      <c r="H1107" s="17"/>
      <c r="I1107" s="17"/>
      <c r="J1107" s="17"/>
      <c r="K1107" s="17"/>
      <c r="L1107" s="17"/>
      <c r="M1107" s="17"/>
      <c r="N1107" s="17"/>
      <c r="O1107" s="17"/>
      <c r="P1107" s="17"/>
      <c r="Q1107" s="17"/>
      <c r="R1107" s="17"/>
      <c r="S1107" s="17"/>
      <c r="T1107" s="17"/>
      <c r="U1107" s="17"/>
      <c r="V1107" s="17"/>
      <c r="W1107" s="17"/>
      <c r="X1107" s="17"/>
      <c r="Y1107" s="17"/>
      <c r="Z1107" s="17"/>
      <c r="AA1107" s="17"/>
      <c r="AB1107" s="17"/>
      <c r="AC1107" s="17"/>
      <c r="AD1107" s="17"/>
      <c r="AE1107" s="17"/>
      <c r="AF1107" s="17"/>
      <c r="AG1107" s="17"/>
      <c r="AH1107" s="17"/>
      <c r="AI1107" s="17"/>
      <c r="AJ1107" s="17"/>
      <c r="AK1107" s="17"/>
      <c r="AL1107" s="17"/>
      <c r="AM1107" s="17"/>
      <c r="AN1107" s="17"/>
      <c r="AO1107" s="17"/>
      <c r="AP1107" s="1"/>
      <c r="AQ1107" s="1"/>
    </row>
    <row r="1108" spans="1:43" x14ac:dyDescent="0.35">
      <c r="A1108" s="6"/>
      <c r="B1108" s="13"/>
      <c r="C1108" s="81"/>
      <c r="D1108" s="4"/>
      <c r="E1108" s="8"/>
      <c r="F1108" s="17"/>
      <c r="G1108" s="17"/>
      <c r="H1108" s="17"/>
      <c r="I1108" s="17"/>
      <c r="J1108" s="17"/>
      <c r="K1108" s="17"/>
      <c r="L1108" s="17"/>
      <c r="M1108" s="17"/>
      <c r="N1108" s="17"/>
      <c r="O1108" s="17"/>
      <c r="P1108" s="17"/>
      <c r="Q1108" s="17"/>
      <c r="R1108" s="17"/>
      <c r="S1108" s="17"/>
      <c r="T1108" s="17"/>
      <c r="U1108" s="17"/>
      <c r="V1108" s="17"/>
      <c r="W1108" s="17"/>
      <c r="X1108" s="17"/>
      <c r="Y1108" s="17"/>
      <c r="Z1108" s="17"/>
      <c r="AA1108" s="17"/>
      <c r="AB1108" s="17"/>
      <c r="AC1108" s="17"/>
      <c r="AD1108" s="17"/>
      <c r="AE1108" s="17"/>
      <c r="AF1108" s="17"/>
      <c r="AG1108" s="17"/>
      <c r="AH1108" s="17"/>
      <c r="AI1108" s="17"/>
      <c r="AJ1108" s="17"/>
      <c r="AK1108" s="17"/>
      <c r="AL1108" s="17"/>
      <c r="AM1108" s="17"/>
      <c r="AN1108" s="17"/>
      <c r="AO1108" s="17"/>
      <c r="AP1108" s="1"/>
      <c r="AQ1108" s="1"/>
    </row>
    <row r="1109" spans="1:43" x14ac:dyDescent="0.35">
      <c r="A1109" s="6"/>
      <c r="B1109" s="13"/>
      <c r="C1109" s="81"/>
      <c r="D1109" s="4"/>
      <c r="E1109" s="8"/>
      <c r="F1109" s="17"/>
      <c r="G1109" s="17"/>
      <c r="H1109" s="17"/>
      <c r="I1109" s="17"/>
      <c r="J1109" s="17"/>
      <c r="K1109" s="17"/>
      <c r="L1109" s="17"/>
      <c r="M1109" s="17"/>
      <c r="N1109" s="17"/>
      <c r="O1109" s="17"/>
      <c r="P1109" s="17"/>
      <c r="Q1109" s="17"/>
      <c r="R1109" s="17"/>
      <c r="S1109" s="17"/>
      <c r="T1109" s="17"/>
      <c r="U1109" s="17"/>
      <c r="V1109" s="17"/>
      <c r="W1109" s="17"/>
      <c r="X1109" s="17"/>
      <c r="Y1109" s="17"/>
      <c r="Z1109" s="17"/>
      <c r="AA1109" s="17"/>
      <c r="AB1109" s="17"/>
      <c r="AC1109" s="17"/>
      <c r="AD1109" s="17"/>
      <c r="AE1109" s="17"/>
      <c r="AF1109" s="17"/>
      <c r="AG1109" s="17"/>
      <c r="AH1109" s="17"/>
      <c r="AI1109" s="17"/>
      <c r="AJ1109" s="17"/>
      <c r="AK1109" s="17"/>
      <c r="AL1109" s="17"/>
      <c r="AM1109" s="17"/>
      <c r="AN1109" s="17"/>
      <c r="AO1109" s="17"/>
      <c r="AP1109" s="1"/>
      <c r="AQ1109" s="1"/>
    </row>
    <row r="1110" spans="1:43" x14ac:dyDescent="0.35">
      <c r="A1110" s="6"/>
      <c r="B1110" s="13"/>
      <c r="C1110" s="81"/>
      <c r="D1110" s="4"/>
      <c r="E1110" s="8"/>
      <c r="F1110" s="17"/>
      <c r="G1110" s="17"/>
      <c r="H1110" s="17"/>
      <c r="I1110" s="17"/>
      <c r="J1110" s="17"/>
      <c r="K1110" s="17"/>
      <c r="L1110" s="17"/>
      <c r="M1110" s="17"/>
      <c r="N1110" s="17"/>
      <c r="O1110" s="17"/>
      <c r="P1110" s="17"/>
      <c r="Q1110" s="17"/>
      <c r="R1110" s="17"/>
      <c r="S1110" s="17"/>
      <c r="T1110" s="17"/>
      <c r="U1110" s="17"/>
      <c r="V1110" s="17"/>
      <c r="W1110" s="17"/>
      <c r="X1110" s="17"/>
      <c r="Y1110" s="17"/>
      <c r="Z1110" s="17"/>
      <c r="AA1110" s="17"/>
      <c r="AB1110" s="17"/>
      <c r="AC1110" s="17"/>
      <c r="AD1110" s="17"/>
      <c r="AE1110" s="17"/>
      <c r="AF1110" s="17"/>
      <c r="AG1110" s="17"/>
      <c r="AH1110" s="17"/>
      <c r="AI1110" s="17"/>
      <c r="AJ1110" s="17"/>
      <c r="AK1110" s="17"/>
      <c r="AL1110" s="17"/>
      <c r="AM1110" s="17"/>
      <c r="AN1110" s="17"/>
      <c r="AO1110" s="17"/>
      <c r="AP1110" s="1"/>
      <c r="AQ1110" s="1"/>
    </row>
    <row r="1111" spans="1:43" x14ac:dyDescent="0.35">
      <c r="A1111" s="6"/>
      <c r="B1111" s="13"/>
      <c r="C1111" s="81"/>
      <c r="D1111" s="4"/>
      <c r="E1111" s="8"/>
      <c r="F1111" s="17"/>
      <c r="G1111" s="17"/>
      <c r="H1111" s="17"/>
      <c r="I1111" s="17"/>
      <c r="J1111" s="17"/>
      <c r="K1111" s="17"/>
      <c r="L1111" s="17"/>
      <c r="M1111" s="17"/>
      <c r="N1111" s="17"/>
      <c r="O1111" s="17"/>
      <c r="P1111" s="17"/>
      <c r="Q1111" s="17"/>
      <c r="R1111" s="17"/>
      <c r="S1111" s="17"/>
      <c r="T1111" s="17"/>
      <c r="U1111" s="17"/>
      <c r="V1111" s="17"/>
      <c r="W1111" s="17"/>
      <c r="X1111" s="17"/>
      <c r="Y1111" s="17"/>
      <c r="Z1111" s="17"/>
      <c r="AA1111" s="17"/>
      <c r="AB1111" s="17"/>
      <c r="AC1111" s="17"/>
      <c r="AD1111" s="17"/>
      <c r="AE1111" s="17"/>
      <c r="AF1111" s="17"/>
      <c r="AG1111" s="17"/>
      <c r="AH1111" s="17"/>
      <c r="AI1111" s="17"/>
      <c r="AJ1111" s="17"/>
      <c r="AK1111" s="17"/>
      <c r="AL1111" s="17"/>
      <c r="AM1111" s="17"/>
      <c r="AN1111" s="17"/>
      <c r="AO1111" s="17"/>
      <c r="AP1111" s="1"/>
      <c r="AQ1111" s="1"/>
    </row>
    <row r="1112" spans="1:43" x14ac:dyDescent="0.35">
      <c r="A1112" s="6"/>
      <c r="B1112" s="13"/>
      <c r="C1112" s="81"/>
      <c r="D1112" s="4"/>
      <c r="E1112" s="8"/>
      <c r="F1112" s="17"/>
      <c r="G1112" s="17"/>
      <c r="H1112" s="17"/>
      <c r="I1112" s="17"/>
      <c r="J1112" s="17"/>
      <c r="K1112" s="17"/>
      <c r="L1112" s="17"/>
      <c r="M1112" s="17"/>
      <c r="N1112" s="17"/>
      <c r="O1112" s="17"/>
      <c r="P1112" s="17"/>
      <c r="Q1112" s="17"/>
      <c r="R1112" s="17"/>
      <c r="S1112" s="17"/>
      <c r="T1112" s="17"/>
      <c r="U1112" s="17"/>
      <c r="V1112" s="17"/>
      <c r="W1112" s="17"/>
      <c r="X1112" s="17"/>
      <c r="Y1112" s="17"/>
      <c r="Z1112" s="17"/>
      <c r="AA1112" s="17"/>
      <c r="AB1112" s="17"/>
      <c r="AC1112" s="17"/>
      <c r="AD1112" s="17"/>
      <c r="AE1112" s="17"/>
      <c r="AF1112" s="17"/>
      <c r="AG1112" s="17"/>
      <c r="AH1112" s="17"/>
      <c r="AI1112" s="17"/>
      <c r="AJ1112" s="17"/>
      <c r="AK1112" s="17"/>
      <c r="AL1112" s="17"/>
      <c r="AM1112" s="17"/>
      <c r="AN1112" s="17"/>
      <c r="AO1112" s="17"/>
      <c r="AP1112" s="1"/>
      <c r="AQ1112" s="1"/>
    </row>
    <row r="1113" spans="1:43" x14ac:dyDescent="0.35">
      <c r="A1113" s="6"/>
      <c r="B1113" s="13"/>
      <c r="C1113" s="81"/>
      <c r="D1113" s="4"/>
      <c r="E1113" s="8"/>
      <c r="F1113" s="17"/>
      <c r="G1113" s="17"/>
      <c r="H1113" s="17"/>
      <c r="I1113" s="17"/>
      <c r="J1113" s="17"/>
      <c r="K1113" s="17"/>
      <c r="L1113" s="17"/>
      <c r="M1113" s="17"/>
      <c r="N1113" s="17"/>
      <c r="O1113" s="17"/>
      <c r="P1113" s="17"/>
      <c r="Q1113" s="17"/>
      <c r="R1113" s="17"/>
      <c r="S1113" s="17"/>
      <c r="T1113" s="17"/>
      <c r="U1113" s="17"/>
      <c r="V1113" s="17"/>
      <c r="W1113" s="17"/>
      <c r="X1113" s="17"/>
      <c r="Y1113" s="17"/>
      <c r="Z1113" s="17"/>
      <c r="AA1113" s="17"/>
      <c r="AB1113" s="17"/>
      <c r="AC1113" s="17"/>
      <c r="AD1113" s="17"/>
      <c r="AE1113" s="17"/>
      <c r="AF1113" s="17"/>
      <c r="AG1113" s="17"/>
      <c r="AH1113" s="17"/>
      <c r="AI1113" s="17"/>
      <c r="AJ1113" s="17"/>
      <c r="AK1113" s="17"/>
      <c r="AL1113" s="17"/>
      <c r="AM1113" s="17"/>
      <c r="AN1113" s="17"/>
      <c r="AO1113" s="17"/>
      <c r="AP1113" s="1"/>
      <c r="AQ1113" s="1"/>
    </row>
    <row r="1114" spans="1:43" x14ac:dyDescent="0.35">
      <c r="A1114" s="6"/>
      <c r="B1114" s="13"/>
      <c r="C1114" s="81"/>
      <c r="D1114" s="4"/>
      <c r="E1114" s="8"/>
      <c r="F1114" s="17"/>
      <c r="G1114" s="17"/>
      <c r="H1114" s="17"/>
      <c r="I1114" s="17"/>
      <c r="J1114" s="17"/>
      <c r="K1114" s="17"/>
      <c r="L1114" s="17"/>
      <c r="M1114" s="17"/>
      <c r="N1114" s="17"/>
      <c r="O1114" s="17"/>
      <c r="P1114" s="17"/>
      <c r="Q1114" s="17"/>
      <c r="R1114" s="17"/>
      <c r="S1114" s="17"/>
      <c r="T1114" s="17"/>
      <c r="U1114" s="17"/>
      <c r="V1114" s="17"/>
      <c r="W1114" s="17"/>
      <c r="X1114" s="17"/>
      <c r="Y1114" s="17"/>
      <c r="Z1114" s="17"/>
      <c r="AA1114" s="17"/>
      <c r="AB1114" s="17"/>
      <c r="AC1114" s="17"/>
      <c r="AD1114" s="17"/>
      <c r="AE1114" s="17"/>
      <c r="AF1114" s="17"/>
      <c r="AG1114" s="17"/>
      <c r="AH1114" s="17"/>
      <c r="AI1114" s="17"/>
      <c r="AJ1114" s="17"/>
      <c r="AK1114" s="17"/>
      <c r="AL1114" s="17"/>
      <c r="AM1114" s="17"/>
      <c r="AN1114" s="17"/>
      <c r="AO1114" s="17"/>
      <c r="AP1114" s="1"/>
      <c r="AQ1114" s="1"/>
    </row>
    <row r="1115" spans="1:43" x14ac:dyDescent="0.35">
      <c r="A1115" s="6"/>
      <c r="B1115" s="13"/>
      <c r="C1115" s="81"/>
      <c r="D1115" s="4"/>
      <c r="E1115" s="8"/>
      <c r="F1115" s="17"/>
      <c r="G1115" s="17"/>
      <c r="H1115" s="17"/>
      <c r="I1115" s="17"/>
      <c r="J1115" s="17"/>
      <c r="K1115" s="17"/>
      <c r="L1115" s="17"/>
      <c r="M1115" s="17"/>
      <c r="N1115" s="17"/>
      <c r="O1115" s="17"/>
      <c r="P1115" s="17"/>
      <c r="Q1115" s="17"/>
      <c r="R1115" s="17"/>
      <c r="S1115" s="17"/>
      <c r="T1115" s="17"/>
      <c r="U1115" s="17"/>
      <c r="V1115" s="17"/>
      <c r="W1115" s="17"/>
      <c r="X1115" s="17"/>
      <c r="Y1115" s="17"/>
      <c r="Z1115" s="17"/>
      <c r="AA1115" s="17"/>
      <c r="AB1115" s="17"/>
      <c r="AC1115" s="17"/>
      <c r="AD1115" s="17"/>
      <c r="AE1115" s="17"/>
      <c r="AF1115" s="17"/>
      <c r="AG1115" s="17"/>
      <c r="AH1115" s="17"/>
      <c r="AI1115" s="17"/>
      <c r="AJ1115" s="17"/>
      <c r="AK1115" s="17"/>
      <c r="AL1115" s="17"/>
      <c r="AM1115" s="17"/>
      <c r="AN1115" s="17"/>
      <c r="AO1115" s="17"/>
      <c r="AP1115" s="1"/>
      <c r="AQ1115" s="1"/>
    </row>
    <row r="1116" spans="1:43" x14ac:dyDescent="0.35">
      <c r="A1116" s="6"/>
      <c r="B1116" s="13"/>
      <c r="C1116" s="81"/>
      <c r="D1116" s="4"/>
      <c r="E1116" s="8"/>
      <c r="F1116" s="17"/>
      <c r="G1116" s="17"/>
      <c r="H1116" s="17"/>
      <c r="I1116" s="17"/>
      <c r="J1116" s="17"/>
      <c r="K1116" s="17"/>
      <c r="L1116" s="17"/>
      <c r="M1116" s="17"/>
      <c r="N1116" s="17"/>
      <c r="O1116" s="17"/>
      <c r="P1116" s="17"/>
      <c r="Q1116" s="17"/>
      <c r="R1116" s="17"/>
      <c r="S1116" s="17"/>
      <c r="T1116" s="17"/>
      <c r="U1116" s="17"/>
      <c r="V1116" s="17"/>
      <c r="W1116" s="17"/>
      <c r="X1116" s="17"/>
      <c r="Y1116" s="17"/>
      <c r="Z1116" s="17"/>
      <c r="AA1116" s="17"/>
      <c r="AB1116" s="17"/>
      <c r="AC1116" s="17"/>
      <c r="AD1116" s="17"/>
      <c r="AE1116" s="17"/>
      <c r="AF1116" s="17"/>
      <c r="AG1116" s="17"/>
      <c r="AH1116" s="17"/>
      <c r="AI1116" s="17"/>
      <c r="AJ1116" s="17"/>
      <c r="AK1116" s="17"/>
      <c r="AL1116" s="17"/>
      <c r="AM1116" s="17"/>
      <c r="AN1116" s="17"/>
      <c r="AO1116" s="17"/>
      <c r="AP1116" s="1"/>
      <c r="AQ1116" s="1"/>
    </row>
    <row r="1117" spans="1:43" x14ac:dyDescent="0.35">
      <c r="A1117" s="6"/>
      <c r="B1117" s="13"/>
      <c r="C1117" s="81"/>
      <c r="D1117" s="4"/>
      <c r="E1117" s="8"/>
      <c r="F1117" s="17"/>
      <c r="G1117" s="17"/>
      <c r="H1117" s="17"/>
      <c r="I1117" s="17"/>
      <c r="J1117" s="17"/>
      <c r="K1117" s="17"/>
      <c r="L1117" s="17"/>
      <c r="M1117" s="17"/>
      <c r="N1117" s="17"/>
      <c r="O1117" s="17"/>
      <c r="P1117" s="17"/>
      <c r="Q1117" s="17"/>
      <c r="R1117" s="17"/>
      <c r="S1117" s="17"/>
      <c r="T1117" s="17"/>
      <c r="U1117" s="17"/>
      <c r="V1117" s="17"/>
      <c r="W1117" s="17"/>
      <c r="X1117" s="17"/>
      <c r="Y1117" s="17"/>
      <c r="Z1117" s="17"/>
      <c r="AA1117" s="17"/>
      <c r="AB1117" s="17"/>
      <c r="AC1117" s="17"/>
      <c r="AD1117" s="17"/>
      <c r="AE1117" s="17"/>
      <c r="AF1117" s="17"/>
      <c r="AG1117" s="17"/>
      <c r="AH1117" s="17"/>
      <c r="AI1117" s="17"/>
      <c r="AJ1117" s="17"/>
      <c r="AK1117" s="17"/>
      <c r="AL1117" s="17"/>
      <c r="AM1117" s="17"/>
      <c r="AN1117" s="17"/>
      <c r="AO1117" s="17"/>
      <c r="AP1117" s="1"/>
      <c r="AQ1117" s="1"/>
    </row>
    <row r="1118" spans="1:43" x14ac:dyDescent="0.35">
      <c r="A1118" s="6"/>
      <c r="B1118" s="13"/>
      <c r="C1118" s="81"/>
      <c r="D1118" s="4"/>
      <c r="E1118" s="8"/>
      <c r="F1118" s="17"/>
      <c r="G1118" s="17"/>
      <c r="H1118" s="17"/>
      <c r="I1118" s="17"/>
      <c r="J1118" s="17"/>
      <c r="K1118" s="17"/>
      <c r="L1118" s="17"/>
      <c r="M1118" s="17"/>
      <c r="N1118" s="17"/>
      <c r="O1118" s="17"/>
      <c r="P1118" s="17"/>
      <c r="Q1118" s="17"/>
      <c r="R1118" s="17"/>
      <c r="S1118" s="17"/>
      <c r="T1118" s="17"/>
      <c r="U1118" s="17"/>
      <c r="V1118" s="17"/>
      <c r="W1118" s="17"/>
      <c r="X1118" s="17"/>
      <c r="Y1118" s="17"/>
      <c r="Z1118" s="17"/>
      <c r="AA1118" s="17"/>
      <c r="AB1118" s="17"/>
      <c r="AC1118" s="17"/>
      <c r="AD1118" s="17"/>
      <c r="AE1118" s="17"/>
      <c r="AF1118" s="17"/>
      <c r="AG1118" s="17"/>
      <c r="AH1118" s="17"/>
      <c r="AI1118" s="17"/>
      <c r="AJ1118" s="17"/>
      <c r="AK1118" s="17"/>
      <c r="AL1118" s="17"/>
      <c r="AM1118" s="17"/>
      <c r="AN1118" s="17"/>
      <c r="AO1118" s="17"/>
      <c r="AP1118" s="1"/>
      <c r="AQ1118" s="1"/>
    </row>
    <row r="1119" spans="1:43" x14ac:dyDescent="0.35">
      <c r="A1119" s="6"/>
      <c r="B1119" s="13"/>
      <c r="C1119" s="81"/>
      <c r="D1119" s="4"/>
      <c r="E1119" s="8"/>
      <c r="F1119" s="17"/>
      <c r="G1119" s="17"/>
      <c r="H1119" s="17"/>
      <c r="I1119" s="17"/>
      <c r="J1119" s="17"/>
      <c r="K1119" s="17"/>
      <c r="L1119" s="17"/>
      <c r="M1119" s="17"/>
      <c r="N1119" s="17"/>
      <c r="O1119" s="17"/>
      <c r="P1119" s="17"/>
      <c r="Q1119" s="17"/>
      <c r="R1119" s="17"/>
      <c r="S1119" s="17"/>
      <c r="T1119" s="17"/>
      <c r="U1119" s="17"/>
      <c r="V1119" s="17"/>
      <c r="W1119" s="17"/>
      <c r="X1119" s="17"/>
      <c r="Y1119" s="17"/>
      <c r="Z1119" s="17"/>
      <c r="AA1119" s="17"/>
      <c r="AB1119" s="17"/>
      <c r="AC1119" s="17"/>
      <c r="AD1119" s="17"/>
      <c r="AE1119" s="17"/>
      <c r="AF1119" s="17"/>
      <c r="AG1119" s="17"/>
      <c r="AH1119" s="17"/>
      <c r="AI1119" s="17"/>
      <c r="AJ1119" s="17"/>
      <c r="AK1119" s="17"/>
      <c r="AL1119" s="17"/>
      <c r="AM1119" s="17"/>
      <c r="AN1119" s="17"/>
      <c r="AO1119" s="17"/>
      <c r="AP1119" s="1"/>
      <c r="AQ1119" s="1"/>
    </row>
    <row r="1120" spans="1:43" x14ac:dyDescent="0.35">
      <c r="A1120" s="6"/>
      <c r="B1120" s="13"/>
      <c r="C1120" s="81"/>
      <c r="D1120" s="4"/>
      <c r="E1120" s="8"/>
      <c r="F1120" s="17"/>
      <c r="G1120" s="17"/>
      <c r="H1120" s="17"/>
      <c r="I1120" s="17"/>
      <c r="J1120" s="17"/>
      <c r="K1120" s="17"/>
      <c r="L1120" s="17"/>
      <c r="M1120" s="17"/>
      <c r="N1120" s="17"/>
      <c r="O1120" s="17"/>
      <c r="P1120" s="17"/>
      <c r="Q1120" s="17"/>
      <c r="R1120" s="17"/>
      <c r="S1120" s="17"/>
      <c r="T1120" s="17"/>
      <c r="U1120" s="17"/>
      <c r="V1120" s="17"/>
      <c r="W1120" s="17"/>
      <c r="X1120" s="17"/>
      <c r="Y1120" s="17"/>
      <c r="Z1120" s="17"/>
      <c r="AA1120" s="17"/>
      <c r="AB1120" s="17"/>
      <c r="AC1120" s="17"/>
      <c r="AD1120" s="17"/>
      <c r="AE1120" s="17"/>
      <c r="AF1120" s="17"/>
      <c r="AG1120" s="17"/>
      <c r="AH1120" s="17"/>
      <c r="AI1120" s="17"/>
      <c r="AJ1120" s="17"/>
      <c r="AK1120" s="17"/>
      <c r="AL1120" s="17"/>
      <c r="AM1120" s="17"/>
      <c r="AN1120" s="17"/>
      <c r="AO1120" s="17"/>
      <c r="AP1120" s="1"/>
      <c r="AQ1120" s="1"/>
    </row>
    <row r="1121" spans="1:43" x14ac:dyDescent="0.35">
      <c r="A1121" s="6"/>
      <c r="B1121" s="13"/>
      <c r="C1121" s="81"/>
      <c r="D1121" s="4"/>
      <c r="E1121" s="8"/>
      <c r="F1121" s="17"/>
      <c r="G1121" s="17"/>
      <c r="H1121" s="17"/>
      <c r="I1121" s="17"/>
      <c r="J1121" s="17"/>
      <c r="K1121" s="17"/>
      <c r="L1121" s="17"/>
      <c r="M1121" s="17"/>
      <c r="N1121" s="17"/>
      <c r="O1121" s="17"/>
      <c r="P1121" s="17"/>
      <c r="Q1121" s="17"/>
      <c r="R1121" s="17"/>
      <c r="S1121" s="17"/>
      <c r="T1121" s="17"/>
      <c r="U1121" s="17"/>
      <c r="V1121" s="17"/>
      <c r="W1121" s="17"/>
      <c r="X1121" s="17"/>
      <c r="Y1121" s="17"/>
      <c r="Z1121" s="17"/>
      <c r="AA1121" s="17"/>
      <c r="AB1121" s="17"/>
      <c r="AC1121" s="17"/>
      <c r="AD1121" s="17"/>
      <c r="AE1121" s="17"/>
      <c r="AF1121" s="17"/>
      <c r="AG1121" s="17"/>
      <c r="AH1121" s="17"/>
      <c r="AI1121" s="17"/>
      <c r="AJ1121" s="17"/>
      <c r="AK1121" s="17"/>
      <c r="AL1121" s="17"/>
      <c r="AM1121" s="17"/>
      <c r="AN1121" s="17"/>
      <c r="AO1121" s="17"/>
      <c r="AP1121" s="1"/>
      <c r="AQ1121" s="1"/>
    </row>
    <row r="1122" spans="1:43" x14ac:dyDescent="0.35">
      <c r="A1122" s="6"/>
      <c r="B1122" s="13"/>
      <c r="C1122" s="81"/>
      <c r="D1122" s="4"/>
      <c r="E1122" s="8"/>
      <c r="F1122" s="17"/>
      <c r="G1122" s="17"/>
      <c r="H1122" s="17"/>
      <c r="I1122" s="17"/>
      <c r="J1122" s="17"/>
      <c r="K1122" s="17"/>
      <c r="L1122" s="17"/>
      <c r="M1122" s="17"/>
      <c r="N1122" s="17"/>
      <c r="O1122" s="17"/>
      <c r="P1122" s="17"/>
      <c r="Q1122" s="17"/>
      <c r="R1122" s="17"/>
      <c r="S1122" s="17"/>
      <c r="T1122" s="17"/>
      <c r="U1122" s="17"/>
      <c r="V1122" s="17"/>
      <c r="W1122" s="17"/>
      <c r="X1122" s="17"/>
      <c r="Y1122" s="17"/>
      <c r="Z1122" s="17"/>
      <c r="AA1122" s="17"/>
      <c r="AB1122" s="17"/>
      <c r="AC1122" s="17"/>
      <c r="AD1122" s="17"/>
      <c r="AE1122" s="17"/>
      <c r="AF1122" s="17"/>
      <c r="AG1122" s="17"/>
      <c r="AH1122" s="17"/>
      <c r="AI1122" s="17"/>
      <c r="AJ1122" s="17"/>
      <c r="AK1122" s="17"/>
      <c r="AL1122" s="17"/>
      <c r="AM1122" s="17"/>
      <c r="AN1122" s="17"/>
      <c r="AO1122" s="17"/>
      <c r="AP1122" s="1"/>
      <c r="AQ1122" s="1"/>
    </row>
    <row r="1123" spans="1:43" x14ac:dyDescent="0.35">
      <c r="A1123" s="6"/>
      <c r="B1123" s="13"/>
      <c r="C1123" s="81"/>
      <c r="D1123" s="4"/>
      <c r="E1123" s="8"/>
      <c r="F1123" s="17"/>
      <c r="G1123" s="17"/>
      <c r="H1123" s="17"/>
      <c r="I1123" s="17"/>
      <c r="J1123" s="17"/>
      <c r="K1123" s="17"/>
      <c r="L1123" s="17"/>
      <c r="M1123" s="17"/>
      <c r="N1123" s="17"/>
      <c r="O1123" s="17"/>
      <c r="P1123" s="17"/>
      <c r="Q1123" s="17"/>
      <c r="R1123" s="17"/>
      <c r="S1123" s="17"/>
      <c r="T1123" s="17"/>
      <c r="U1123" s="17"/>
      <c r="V1123" s="17"/>
      <c r="W1123" s="17"/>
      <c r="X1123" s="17"/>
      <c r="Y1123" s="17"/>
      <c r="Z1123" s="17"/>
      <c r="AA1123" s="17"/>
      <c r="AB1123" s="17"/>
      <c r="AC1123" s="17"/>
      <c r="AD1123" s="17"/>
      <c r="AE1123" s="17"/>
      <c r="AF1123" s="17"/>
      <c r="AG1123" s="17"/>
      <c r="AH1123" s="17"/>
      <c r="AI1123" s="17"/>
      <c r="AJ1123" s="17"/>
      <c r="AK1123" s="17"/>
      <c r="AL1123" s="17"/>
      <c r="AM1123" s="17"/>
      <c r="AN1123" s="17"/>
      <c r="AO1123" s="17"/>
      <c r="AP1123" s="1"/>
      <c r="AQ1123" s="1"/>
    </row>
    <row r="1124" spans="1:43" x14ac:dyDescent="0.35">
      <c r="A1124" s="6"/>
      <c r="B1124" s="13"/>
      <c r="C1124" s="81"/>
      <c r="D1124" s="4"/>
      <c r="E1124" s="8"/>
      <c r="F1124" s="17"/>
      <c r="G1124" s="17"/>
      <c r="H1124" s="17"/>
      <c r="I1124" s="17"/>
      <c r="J1124" s="17"/>
      <c r="K1124" s="17"/>
      <c r="L1124" s="17"/>
      <c r="M1124" s="17"/>
      <c r="N1124" s="17"/>
      <c r="O1124" s="17"/>
      <c r="P1124" s="17"/>
      <c r="Q1124" s="17"/>
      <c r="R1124" s="17"/>
      <c r="S1124" s="17"/>
      <c r="T1124" s="17"/>
      <c r="U1124" s="17"/>
      <c r="V1124" s="17"/>
      <c r="W1124" s="17"/>
      <c r="X1124" s="17"/>
      <c r="Y1124" s="17"/>
      <c r="Z1124" s="17"/>
      <c r="AA1124" s="17"/>
      <c r="AB1124" s="17"/>
      <c r="AC1124" s="17"/>
      <c r="AD1124" s="17"/>
      <c r="AE1124" s="17"/>
      <c r="AF1124" s="17"/>
      <c r="AG1124" s="17"/>
      <c r="AH1124" s="17"/>
      <c r="AI1124" s="17"/>
      <c r="AJ1124" s="17"/>
      <c r="AK1124" s="17"/>
      <c r="AL1124" s="17"/>
      <c r="AM1124" s="17"/>
      <c r="AN1124" s="17"/>
      <c r="AO1124" s="17"/>
      <c r="AP1124" s="1"/>
      <c r="AQ1124" s="1"/>
    </row>
    <row r="1125" spans="1:43" x14ac:dyDescent="0.35">
      <c r="A1125" s="6"/>
      <c r="B1125" s="13"/>
      <c r="C1125" s="81"/>
      <c r="D1125" s="4"/>
      <c r="E1125" s="8"/>
      <c r="F1125" s="17"/>
      <c r="G1125" s="17"/>
      <c r="H1125" s="17"/>
      <c r="I1125" s="17"/>
      <c r="J1125" s="17"/>
      <c r="K1125" s="17"/>
      <c r="L1125" s="17"/>
      <c r="M1125" s="17"/>
      <c r="N1125" s="17"/>
      <c r="O1125" s="17"/>
      <c r="P1125" s="17"/>
      <c r="Q1125" s="17"/>
      <c r="R1125" s="17"/>
      <c r="S1125" s="17"/>
      <c r="T1125" s="17"/>
      <c r="U1125" s="17"/>
      <c r="V1125" s="17"/>
      <c r="W1125" s="17"/>
      <c r="X1125" s="17"/>
      <c r="Y1125" s="17"/>
      <c r="Z1125" s="17"/>
      <c r="AA1125" s="17"/>
      <c r="AB1125" s="17"/>
      <c r="AC1125" s="17"/>
      <c r="AD1125" s="17"/>
      <c r="AE1125" s="17"/>
      <c r="AF1125" s="17"/>
      <c r="AG1125" s="17"/>
      <c r="AH1125" s="17"/>
      <c r="AI1125" s="17"/>
      <c r="AJ1125" s="17"/>
      <c r="AK1125" s="17"/>
      <c r="AL1125" s="17"/>
      <c r="AM1125" s="17"/>
      <c r="AN1125" s="17"/>
      <c r="AO1125" s="17"/>
      <c r="AP1125" s="1"/>
      <c r="AQ1125" s="1"/>
    </row>
    <row r="1126" spans="1:43" x14ac:dyDescent="0.35">
      <c r="A1126" s="6"/>
      <c r="B1126" s="13"/>
      <c r="C1126" s="81"/>
      <c r="D1126" s="4"/>
      <c r="E1126" s="8"/>
      <c r="F1126" s="17"/>
      <c r="G1126" s="17"/>
      <c r="H1126" s="17"/>
      <c r="I1126" s="17"/>
      <c r="J1126" s="17"/>
      <c r="K1126" s="17"/>
      <c r="L1126" s="17"/>
      <c r="M1126" s="17"/>
      <c r="N1126" s="17"/>
      <c r="O1126" s="17"/>
      <c r="P1126" s="17"/>
      <c r="Q1126" s="17"/>
      <c r="R1126" s="17"/>
      <c r="S1126" s="17"/>
      <c r="T1126" s="17"/>
      <c r="U1126" s="17"/>
      <c r="V1126" s="17"/>
      <c r="W1126" s="17"/>
      <c r="X1126" s="17"/>
      <c r="Y1126" s="17"/>
      <c r="Z1126" s="17"/>
      <c r="AA1126" s="17"/>
      <c r="AB1126" s="17"/>
      <c r="AC1126" s="17"/>
      <c r="AD1126" s="17"/>
      <c r="AE1126" s="17"/>
      <c r="AF1126" s="17"/>
      <c r="AG1126" s="17"/>
      <c r="AH1126" s="17"/>
      <c r="AI1126" s="17"/>
      <c r="AJ1126" s="17"/>
      <c r="AK1126" s="17"/>
      <c r="AL1126" s="17"/>
      <c r="AM1126" s="17"/>
      <c r="AN1126" s="17"/>
      <c r="AO1126" s="17"/>
      <c r="AP1126" s="1"/>
      <c r="AQ1126" s="1"/>
    </row>
    <row r="1127" spans="1:43" x14ac:dyDescent="0.35">
      <c r="A1127" s="6"/>
      <c r="B1127" s="13"/>
      <c r="C1127" s="81"/>
      <c r="D1127" s="4"/>
      <c r="E1127" s="8"/>
      <c r="F1127" s="17"/>
      <c r="G1127" s="17"/>
      <c r="H1127" s="17"/>
      <c r="I1127" s="17"/>
      <c r="J1127" s="17"/>
      <c r="K1127" s="17"/>
      <c r="L1127" s="17"/>
      <c r="M1127" s="17"/>
      <c r="N1127" s="17"/>
      <c r="O1127" s="17"/>
      <c r="P1127" s="17"/>
      <c r="Q1127" s="17"/>
      <c r="R1127" s="17"/>
      <c r="S1127" s="17"/>
      <c r="T1127" s="17"/>
      <c r="U1127" s="17"/>
      <c r="V1127" s="17"/>
      <c r="W1127" s="17"/>
      <c r="X1127" s="17"/>
      <c r="Y1127" s="17"/>
      <c r="Z1127" s="17"/>
      <c r="AA1127" s="17"/>
      <c r="AB1127" s="17"/>
      <c r="AC1127" s="17"/>
      <c r="AD1127" s="17"/>
      <c r="AE1127" s="17"/>
      <c r="AF1127" s="17"/>
      <c r="AG1127" s="17"/>
      <c r="AH1127" s="17"/>
      <c r="AI1127" s="17"/>
      <c r="AJ1127" s="17"/>
      <c r="AK1127" s="17"/>
      <c r="AL1127" s="17"/>
      <c r="AM1127" s="17"/>
      <c r="AN1127" s="17"/>
      <c r="AO1127" s="17"/>
      <c r="AP1127" s="1"/>
      <c r="AQ1127" s="1"/>
    </row>
    <row r="1128" spans="1:43" x14ac:dyDescent="0.35">
      <c r="A1128" s="6"/>
      <c r="B1128" s="13"/>
      <c r="C1128" s="81"/>
      <c r="D1128" s="4"/>
      <c r="E1128" s="8"/>
      <c r="F1128" s="17"/>
      <c r="G1128" s="17"/>
      <c r="H1128" s="17"/>
      <c r="I1128" s="17"/>
      <c r="J1128" s="17"/>
      <c r="K1128" s="17"/>
      <c r="L1128" s="17"/>
      <c r="M1128" s="17"/>
      <c r="N1128" s="17"/>
      <c r="O1128" s="17"/>
      <c r="P1128" s="17"/>
      <c r="Q1128" s="17"/>
      <c r="R1128" s="17"/>
      <c r="S1128" s="17"/>
      <c r="T1128" s="17"/>
      <c r="U1128" s="17"/>
      <c r="V1128" s="17"/>
      <c r="W1128" s="17"/>
      <c r="X1128" s="17"/>
      <c r="Y1128" s="17"/>
      <c r="Z1128" s="17"/>
      <c r="AA1128" s="17"/>
      <c r="AB1128" s="17"/>
      <c r="AC1128" s="17"/>
      <c r="AD1128" s="17"/>
      <c r="AE1128" s="17"/>
      <c r="AF1128" s="17"/>
      <c r="AG1128" s="17"/>
      <c r="AH1128" s="17"/>
      <c r="AI1128" s="17"/>
      <c r="AJ1128" s="17"/>
      <c r="AK1128" s="17"/>
      <c r="AL1128" s="17"/>
      <c r="AM1128" s="17"/>
      <c r="AN1128" s="17"/>
      <c r="AO1128" s="17"/>
      <c r="AP1128" s="1"/>
      <c r="AQ1128" s="1"/>
    </row>
    <row r="1129" spans="1:43" x14ac:dyDescent="0.35">
      <c r="A1129" s="6"/>
      <c r="B1129" s="13"/>
      <c r="C1129" s="81"/>
      <c r="D1129" s="4"/>
      <c r="E1129" s="8"/>
      <c r="F1129" s="17"/>
      <c r="G1129" s="17"/>
      <c r="H1129" s="17"/>
      <c r="I1129" s="17"/>
      <c r="J1129" s="17"/>
      <c r="K1129" s="17"/>
      <c r="L1129" s="17"/>
      <c r="M1129" s="17"/>
      <c r="N1129" s="17"/>
      <c r="O1129" s="17"/>
      <c r="P1129" s="17"/>
      <c r="Q1129" s="17"/>
      <c r="R1129" s="17"/>
      <c r="S1129" s="17"/>
      <c r="T1129" s="17"/>
      <c r="U1129" s="17"/>
      <c r="V1129" s="17"/>
      <c r="W1129" s="17"/>
      <c r="X1129" s="17"/>
      <c r="Y1129" s="17"/>
      <c r="Z1129" s="17"/>
      <c r="AA1129" s="17"/>
      <c r="AB1129" s="17"/>
      <c r="AC1129" s="17"/>
      <c r="AD1129" s="17"/>
      <c r="AE1129" s="17"/>
      <c r="AF1129" s="17"/>
      <c r="AG1129" s="17"/>
      <c r="AH1129" s="17"/>
      <c r="AI1129" s="17"/>
      <c r="AJ1129" s="17"/>
      <c r="AK1129" s="17"/>
      <c r="AL1129" s="17"/>
      <c r="AM1129" s="17"/>
      <c r="AN1129" s="17"/>
      <c r="AO1129" s="17"/>
      <c r="AP1129" s="1"/>
      <c r="AQ1129" s="1"/>
    </row>
    <row r="1130" spans="1:43" x14ac:dyDescent="0.35">
      <c r="A1130" s="6"/>
      <c r="B1130" s="13"/>
      <c r="C1130" s="81"/>
      <c r="D1130" s="4"/>
      <c r="E1130" s="8"/>
      <c r="F1130" s="17"/>
      <c r="G1130" s="17"/>
      <c r="H1130" s="17"/>
      <c r="I1130" s="17"/>
      <c r="J1130" s="17"/>
      <c r="K1130" s="17"/>
      <c r="L1130" s="17"/>
      <c r="M1130" s="17"/>
      <c r="N1130" s="17"/>
      <c r="O1130" s="17"/>
      <c r="P1130" s="17"/>
      <c r="Q1130" s="17"/>
      <c r="R1130" s="17"/>
      <c r="S1130" s="17"/>
      <c r="T1130" s="17"/>
      <c r="U1130" s="17"/>
      <c r="V1130" s="17"/>
      <c r="W1130" s="17"/>
      <c r="X1130" s="17"/>
      <c r="Y1130" s="17"/>
      <c r="Z1130" s="17"/>
      <c r="AA1130" s="17"/>
      <c r="AB1130" s="17"/>
      <c r="AC1130" s="17"/>
      <c r="AD1130" s="17"/>
      <c r="AE1130" s="17"/>
      <c r="AF1130" s="17"/>
      <c r="AG1130" s="17"/>
      <c r="AH1130" s="17"/>
      <c r="AI1130" s="17"/>
      <c r="AJ1130" s="17"/>
      <c r="AK1130" s="17"/>
      <c r="AL1130" s="17"/>
      <c r="AM1130" s="17"/>
      <c r="AN1130" s="17"/>
      <c r="AO1130" s="17"/>
      <c r="AP1130" s="1"/>
      <c r="AQ1130" s="1"/>
    </row>
    <row r="1131" spans="1:43" x14ac:dyDescent="0.35">
      <c r="A1131" s="6"/>
      <c r="B1131" s="13"/>
      <c r="C1131" s="81"/>
      <c r="D1131" s="4"/>
      <c r="E1131" s="8"/>
      <c r="F1131" s="17"/>
      <c r="G1131" s="17"/>
      <c r="H1131" s="17"/>
      <c r="I1131" s="17"/>
      <c r="J1131" s="17"/>
      <c r="K1131" s="17"/>
      <c r="L1131" s="17"/>
      <c r="M1131" s="17"/>
      <c r="N1131" s="17"/>
      <c r="O1131" s="17"/>
      <c r="P1131" s="17"/>
      <c r="Q1131" s="17"/>
      <c r="R1131" s="17"/>
      <c r="S1131" s="17"/>
      <c r="T1131" s="17"/>
      <c r="U1131" s="17"/>
      <c r="V1131" s="17"/>
      <c r="W1131" s="17"/>
      <c r="X1131" s="17"/>
      <c r="Y1131" s="17"/>
      <c r="Z1131" s="17"/>
      <c r="AA1131" s="17"/>
      <c r="AB1131" s="17"/>
      <c r="AC1131" s="17"/>
      <c r="AD1131" s="17"/>
      <c r="AE1131" s="17"/>
      <c r="AF1131" s="17"/>
      <c r="AG1131" s="17"/>
      <c r="AH1131" s="17"/>
      <c r="AI1131" s="17"/>
      <c r="AJ1131" s="17"/>
      <c r="AK1131" s="17"/>
      <c r="AL1131" s="17"/>
      <c r="AM1131" s="17"/>
      <c r="AN1131" s="17"/>
      <c r="AO1131" s="17"/>
      <c r="AP1131" s="1"/>
      <c r="AQ1131" s="1"/>
    </row>
    <row r="1132" spans="1:43" x14ac:dyDescent="0.35">
      <c r="A1132" s="6"/>
      <c r="B1132" s="13"/>
      <c r="C1132" s="81"/>
      <c r="D1132" s="4"/>
      <c r="E1132" s="8"/>
      <c r="F1132" s="17"/>
      <c r="G1132" s="17"/>
      <c r="H1132" s="17"/>
      <c r="I1132" s="17"/>
      <c r="J1132" s="17"/>
      <c r="K1132" s="17"/>
      <c r="L1132" s="17"/>
      <c r="M1132" s="17"/>
      <c r="N1132" s="17"/>
      <c r="O1132" s="17"/>
      <c r="P1132" s="17"/>
      <c r="Q1132" s="17"/>
      <c r="R1132" s="17"/>
      <c r="S1132" s="17"/>
      <c r="T1132" s="17"/>
      <c r="U1132" s="17"/>
      <c r="V1132" s="17"/>
      <c r="W1132" s="17"/>
      <c r="X1132" s="17"/>
      <c r="Y1132" s="17"/>
      <c r="Z1132" s="17"/>
      <c r="AA1132" s="17"/>
      <c r="AB1132" s="17"/>
      <c r="AC1132" s="17"/>
      <c r="AD1132" s="17"/>
      <c r="AE1132" s="17"/>
      <c r="AF1132" s="17"/>
      <c r="AG1132" s="17"/>
      <c r="AH1132" s="17"/>
      <c r="AI1132" s="17"/>
      <c r="AJ1132" s="17"/>
      <c r="AK1132" s="17"/>
      <c r="AL1132" s="17"/>
      <c r="AM1132" s="17"/>
      <c r="AN1132" s="17"/>
      <c r="AO1132" s="17"/>
      <c r="AP1132" s="1"/>
      <c r="AQ1132" s="1"/>
    </row>
    <row r="1133" spans="1:43" x14ac:dyDescent="0.35">
      <c r="A1133" s="6"/>
      <c r="B1133" s="13"/>
      <c r="C1133" s="81"/>
      <c r="D1133" s="4"/>
      <c r="E1133" s="8"/>
      <c r="F1133" s="17"/>
      <c r="G1133" s="17"/>
      <c r="H1133" s="17"/>
      <c r="I1133" s="17"/>
      <c r="J1133" s="17"/>
      <c r="K1133" s="17"/>
      <c r="L1133" s="17"/>
      <c r="M1133" s="17"/>
      <c r="N1133" s="17"/>
      <c r="O1133" s="17"/>
      <c r="P1133" s="17"/>
      <c r="Q1133" s="17"/>
      <c r="R1133" s="17"/>
      <c r="S1133" s="17"/>
      <c r="T1133" s="17"/>
      <c r="U1133" s="17"/>
      <c r="V1133" s="17"/>
      <c r="W1133" s="17"/>
      <c r="X1133" s="17"/>
      <c r="Y1133" s="17"/>
      <c r="Z1133" s="17"/>
      <c r="AA1133" s="17"/>
      <c r="AB1133" s="17"/>
      <c r="AC1133" s="17"/>
      <c r="AD1133" s="17"/>
      <c r="AE1133" s="17"/>
      <c r="AF1133" s="17"/>
      <c r="AG1133" s="17"/>
      <c r="AH1133" s="17"/>
      <c r="AI1133" s="17"/>
      <c r="AJ1133" s="17"/>
      <c r="AK1133" s="17"/>
      <c r="AL1133" s="17"/>
      <c r="AM1133" s="17"/>
      <c r="AN1133" s="17"/>
      <c r="AO1133" s="17"/>
      <c r="AP1133" s="1"/>
      <c r="AQ1133" s="1"/>
    </row>
    <row r="1134" spans="1:43" x14ac:dyDescent="0.35">
      <c r="A1134" s="6"/>
      <c r="B1134" s="13"/>
      <c r="C1134" s="81"/>
      <c r="D1134" s="4"/>
      <c r="E1134" s="8"/>
      <c r="F1134" s="17"/>
      <c r="G1134" s="17"/>
      <c r="H1134" s="17"/>
      <c r="I1134" s="17"/>
      <c r="J1134" s="17"/>
      <c r="K1134" s="17"/>
      <c r="L1134" s="17"/>
      <c r="M1134" s="17"/>
      <c r="N1134" s="17"/>
      <c r="O1134" s="17"/>
      <c r="P1134" s="17"/>
      <c r="Q1134" s="17"/>
      <c r="R1134" s="17"/>
      <c r="S1134" s="17"/>
      <c r="T1134" s="17"/>
      <c r="U1134" s="17"/>
      <c r="V1134" s="17"/>
      <c r="W1134" s="17"/>
      <c r="X1134" s="17"/>
      <c r="Y1134" s="17"/>
      <c r="Z1134" s="17"/>
      <c r="AA1134" s="17"/>
      <c r="AB1134" s="17"/>
      <c r="AC1134" s="17"/>
      <c r="AD1134" s="17"/>
      <c r="AE1134" s="17"/>
      <c r="AF1134" s="17"/>
      <c r="AG1134" s="17"/>
      <c r="AH1134" s="17"/>
      <c r="AI1134" s="17"/>
      <c r="AJ1134" s="17"/>
      <c r="AK1134" s="17"/>
      <c r="AL1134" s="17"/>
      <c r="AM1134" s="17"/>
      <c r="AN1134" s="17"/>
      <c r="AO1134" s="17"/>
      <c r="AP1134" s="1"/>
      <c r="AQ1134" s="1"/>
    </row>
    <row r="1135" spans="1:43" x14ac:dyDescent="0.35">
      <c r="A1135" s="6"/>
      <c r="B1135" s="13"/>
      <c r="C1135" s="81"/>
      <c r="D1135" s="4"/>
      <c r="E1135" s="8"/>
      <c r="F1135" s="17"/>
      <c r="G1135" s="17"/>
      <c r="H1135" s="17"/>
      <c r="I1135" s="17"/>
      <c r="J1135" s="17"/>
      <c r="K1135" s="17"/>
      <c r="L1135" s="17"/>
      <c r="M1135" s="17"/>
      <c r="N1135" s="17"/>
      <c r="O1135" s="17"/>
      <c r="P1135" s="17"/>
      <c r="Q1135" s="17"/>
      <c r="R1135" s="17"/>
      <c r="S1135" s="17"/>
      <c r="T1135" s="17"/>
      <c r="U1135" s="17"/>
      <c r="V1135" s="17"/>
      <c r="W1135" s="17"/>
      <c r="X1135" s="17"/>
      <c r="Y1135" s="17"/>
      <c r="Z1135" s="17"/>
      <c r="AA1135" s="17"/>
      <c r="AB1135" s="17"/>
      <c r="AC1135" s="17"/>
      <c r="AD1135" s="17"/>
      <c r="AE1135" s="17"/>
      <c r="AF1135" s="17"/>
      <c r="AG1135" s="17"/>
      <c r="AH1135" s="17"/>
      <c r="AI1135" s="17"/>
      <c r="AJ1135" s="17"/>
      <c r="AK1135" s="17"/>
      <c r="AL1135" s="17"/>
      <c r="AM1135" s="17"/>
      <c r="AN1135" s="17"/>
      <c r="AO1135" s="17"/>
      <c r="AP1135" s="1"/>
      <c r="AQ1135" s="1"/>
    </row>
    <row r="1136" spans="1:43" x14ac:dyDescent="0.35">
      <c r="A1136" s="6"/>
      <c r="B1136" s="13"/>
      <c r="C1136" s="81"/>
      <c r="D1136" s="4"/>
      <c r="E1136" s="8"/>
      <c r="F1136" s="17"/>
      <c r="G1136" s="17"/>
      <c r="H1136" s="17"/>
      <c r="I1136" s="17"/>
      <c r="J1136" s="17"/>
      <c r="K1136" s="17"/>
      <c r="L1136" s="17"/>
      <c r="M1136" s="17"/>
      <c r="N1136" s="17"/>
      <c r="O1136" s="17"/>
      <c r="P1136" s="17"/>
      <c r="Q1136" s="17"/>
      <c r="R1136" s="17"/>
      <c r="S1136" s="17"/>
      <c r="T1136" s="17"/>
      <c r="U1136" s="17"/>
      <c r="V1136" s="17"/>
      <c r="W1136" s="17"/>
      <c r="X1136" s="17"/>
      <c r="Y1136" s="17"/>
      <c r="Z1136" s="17"/>
      <c r="AA1136" s="17"/>
      <c r="AB1136" s="17"/>
      <c r="AC1136" s="17"/>
      <c r="AD1136" s="17"/>
      <c r="AE1136" s="17"/>
      <c r="AF1136" s="17"/>
      <c r="AG1136" s="17"/>
      <c r="AH1136" s="17"/>
      <c r="AI1136" s="17"/>
      <c r="AJ1136" s="17"/>
      <c r="AK1136" s="17"/>
      <c r="AL1136" s="17"/>
      <c r="AM1136" s="17"/>
      <c r="AN1136" s="17"/>
      <c r="AO1136" s="17"/>
      <c r="AP1136" s="1"/>
      <c r="AQ1136" s="1"/>
    </row>
    <row r="1137" spans="1:43" x14ac:dyDescent="0.35">
      <c r="A1137" s="6"/>
      <c r="B1137" s="13"/>
      <c r="C1137" s="81"/>
      <c r="D1137" s="4"/>
      <c r="E1137" s="8"/>
      <c r="F1137" s="17"/>
      <c r="G1137" s="17"/>
      <c r="H1137" s="17"/>
      <c r="I1137" s="17"/>
      <c r="J1137" s="17"/>
      <c r="K1137" s="17"/>
      <c r="L1137" s="17"/>
      <c r="M1137" s="17"/>
      <c r="N1137" s="17"/>
      <c r="O1137" s="17"/>
      <c r="P1137" s="17"/>
      <c r="Q1137" s="17"/>
      <c r="R1137" s="17"/>
      <c r="S1137" s="17"/>
      <c r="T1137" s="17"/>
      <c r="U1137" s="17"/>
      <c r="V1137" s="17"/>
      <c r="W1137" s="17"/>
      <c r="X1137" s="17"/>
      <c r="Y1137" s="17"/>
      <c r="Z1137" s="17"/>
      <c r="AA1137" s="17"/>
      <c r="AB1137" s="17"/>
      <c r="AC1137" s="17"/>
      <c r="AD1137" s="17"/>
      <c r="AE1137" s="17"/>
      <c r="AF1137" s="17"/>
      <c r="AG1137" s="17"/>
      <c r="AH1137" s="17"/>
      <c r="AI1137" s="17"/>
      <c r="AJ1137" s="17"/>
      <c r="AK1137" s="17"/>
      <c r="AL1137" s="17"/>
      <c r="AM1137" s="17"/>
      <c r="AN1137" s="17"/>
      <c r="AO1137" s="17"/>
      <c r="AP1137" s="1"/>
      <c r="AQ1137" s="1"/>
    </row>
    <row r="1138" spans="1:43" x14ac:dyDescent="0.35">
      <c r="A1138" s="6"/>
      <c r="B1138" s="13"/>
      <c r="C1138" s="81"/>
      <c r="D1138" s="4"/>
      <c r="E1138" s="8"/>
      <c r="F1138" s="17"/>
      <c r="G1138" s="17"/>
      <c r="H1138" s="17"/>
      <c r="I1138" s="17"/>
      <c r="J1138" s="17"/>
      <c r="K1138" s="17"/>
      <c r="L1138" s="17"/>
      <c r="M1138" s="17"/>
      <c r="N1138" s="17"/>
      <c r="O1138" s="17"/>
      <c r="P1138" s="17"/>
      <c r="Q1138" s="17"/>
      <c r="R1138" s="17"/>
      <c r="S1138" s="17"/>
      <c r="T1138" s="17"/>
      <c r="U1138" s="17"/>
      <c r="V1138" s="17"/>
      <c r="W1138" s="17"/>
      <c r="X1138" s="17"/>
      <c r="Y1138" s="17"/>
      <c r="Z1138" s="17"/>
      <c r="AA1138" s="17"/>
      <c r="AB1138" s="17"/>
      <c r="AC1138" s="17"/>
      <c r="AD1138" s="17"/>
      <c r="AE1138" s="17"/>
      <c r="AF1138" s="17"/>
      <c r="AG1138" s="17"/>
      <c r="AH1138" s="17"/>
      <c r="AI1138" s="17"/>
      <c r="AJ1138" s="17"/>
      <c r="AK1138" s="17"/>
      <c r="AL1138" s="17"/>
      <c r="AM1138" s="17"/>
      <c r="AN1138" s="17"/>
      <c r="AO1138" s="17"/>
      <c r="AP1138" s="1"/>
      <c r="AQ1138" s="1"/>
    </row>
    <row r="1139" spans="1:43" x14ac:dyDescent="0.35">
      <c r="A1139" s="6"/>
      <c r="B1139" s="13"/>
      <c r="C1139" s="81"/>
      <c r="D1139" s="4"/>
      <c r="E1139" s="8"/>
      <c r="F1139" s="17"/>
      <c r="G1139" s="17"/>
      <c r="H1139" s="17"/>
      <c r="I1139" s="17"/>
      <c r="J1139" s="17"/>
      <c r="K1139" s="17"/>
      <c r="L1139" s="17"/>
      <c r="M1139" s="17"/>
      <c r="N1139" s="17"/>
      <c r="O1139" s="17"/>
      <c r="P1139" s="17"/>
      <c r="Q1139" s="17"/>
      <c r="R1139" s="17"/>
      <c r="S1139" s="17"/>
      <c r="T1139" s="17"/>
      <c r="U1139" s="17"/>
      <c r="V1139" s="17"/>
      <c r="W1139" s="17"/>
      <c r="X1139" s="17"/>
      <c r="Y1139" s="17"/>
      <c r="Z1139" s="17"/>
      <c r="AA1139" s="17"/>
      <c r="AB1139" s="17"/>
      <c r="AC1139" s="17"/>
      <c r="AD1139" s="17"/>
      <c r="AE1139" s="17"/>
      <c r="AF1139" s="17"/>
      <c r="AG1139" s="17"/>
      <c r="AH1139" s="17"/>
      <c r="AI1139" s="17"/>
      <c r="AJ1139" s="17"/>
      <c r="AK1139" s="17"/>
      <c r="AL1139" s="17"/>
      <c r="AM1139" s="17"/>
      <c r="AN1139" s="17"/>
      <c r="AO1139" s="17"/>
      <c r="AP1139" s="1"/>
      <c r="AQ1139" s="1"/>
    </row>
    <row r="1140" spans="1:43" x14ac:dyDescent="0.35">
      <c r="A1140" s="6"/>
      <c r="B1140" s="13"/>
      <c r="C1140" s="81"/>
      <c r="D1140" s="4"/>
      <c r="E1140" s="8"/>
      <c r="F1140" s="17"/>
      <c r="G1140" s="17"/>
      <c r="H1140" s="17"/>
      <c r="I1140" s="17"/>
      <c r="J1140" s="17"/>
      <c r="K1140" s="17"/>
      <c r="L1140" s="17"/>
      <c r="M1140" s="17"/>
      <c r="N1140" s="17"/>
      <c r="O1140" s="17"/>
      <c r="P1140" s="17"/>
      <c r="Q1140" s="17"/>
      <c r="R1140" s="17"/>
      <c r="S1140" s="17"/>
      <c r="T1140" s="17"/>
      <c r="U1140" s="17"/>
      <c r="V1140" s="17"/>
      <c r="W1140" s="17"/>
      <c r="X1140" s="17"/>
      <c r="Y1140" s="17"/>
      <c r="Z1140" s="17"/>
      <c r="AA1140" s="17"/>
      <c r="AB1140" s="17"/>
      <c r="AC1140" s="17"/>
      <c r="AD1140" s="17"/>
      <c r="AE1140" s="17"/>
      <c r="AF1140" s="17"/>
      <c r="AG1140" s="17"/>
      <c r="AH1140" s="17"/>
      <c r="AI1140" s="17"/>
      <c r="AJ1140" s="17"/>
      <c r="AK1140" s="17"/>
      <c r="AL1140" s="17"/>
      <c r="AM1140" s="17"/>
      <c r="AN1140" s="17"/>
      <c r="AO1140" s="17"/>
      <c r="AP1140" s="1"/>
      <c r="AQ1140" s="1"/>
    </row>
    <row r="1141" spans="1:43" x14ac:dyDescent="0.35">
      <c r="A1141" s="6"/>
      <c r="B1141" s="13"/>
      <c r="C1141" s="81"/>
      <c r="D1141" s="4"/>
      <c r="E1141" s="8"/>
      <c r="F1141" s="17"/>
      <c r="G1141" s="17"/>
      <c r="H1141" s="17"/>
      <c r="I1141" s="17"/>
      <c r="J1141" s="17"/>
      <c r="K1141" s="17"/>
      <c r="L1141" s="17"/>
      <c r="M1141" s="17"/>
      <c r="N1141" s="17"/>
      <c r="O1141" s="17"/>
      <c r="P1141" s="17"/>
      <c r="Q1141" s="17"/>
      <c r="R1141" s="17"/>
      <c r="S1141" s="17"/>
      <c r="T1141" s="17"/>
      <c r="U1141" s="17"/>
      <c r="V1141" s="17"/>
      <c r="W1141" s="17"/>
      <c r="X1141" s="17"/>
      <c r="Y1141" s="17"/>
      <c r="Z1141" s="17"/>
      <c r="AA1141" s="17"/>
      <c r="AB1141" s="17"/>
      <c r="AC1141" s="17"/>
      <c r="AD1141" s="17"/>
      <c r="AE1141" s="17"/>
      <c r="AF1141" s="17"/>
      <c r="AG1141" s="17"/>
      <c r="AH1141" s="17"/>
      <c r="AI1141" s="17"/>
      <c r="AJ1141" s="17"/>
      <c r="AK1141" s="17"/>
      <c r="AL1141" s="17"/>
      <c r="AM1141" s="17"/>
      <c r="AN1141" s="17"/>
      <c r="AO1141" s="17"/>
      <c r="AP1141" s="1"/>
      <c r="AQ1141" s="1"/>
    </row>
    <row r="1142" spans="1:43" x14ac:dyDescent="0.35">
      <c r="A1142" s="6"/>
      <c r="B1142" s="13"/>
      <c r="C1142" s="81"/>
      <c r="D1142" s="4"/>
      <c r="E1142" s="8"/>
      <c r="F1142" s="17"/>
      <c r="G1142" s="17"/>
      <c r="H1142" s="17"/>
      <c r="I1142" s="17"/>
      <c r="J1142" s="17"/>
      <c r="K1142" s="17"/>
      <c r="L1142" s="17"/>
      <c r="M1142" s="17"/>
      <c r="N1142" s="17"/>
      <c r="O1142" s="17"/>
      <c r="P1142" s="17"/>
      <c r="Q1142" s="17"/>
      <c r="R1142" s="17"/>
      <c r="S1142" s="17"/>
      <c r="T1142" s="17"/>
      <c r="U1142" s="17"/>
      <c r="V1142" s="17"/>
      <c r="W1142" s="17"/>
      <c r="X1142" s="17"/>
      <c r="Y1142" s="17"/>
      <c r="Z1142" s="17"/>
      <c r="AA1142" s="17"/>
      <c r="AB1142" s="17"/>
      <c r="AC1142" s="17"/>
      <c r="AD1142" s="17"/>
      <c r="AE1142" s="17"/>
      <c r="AF1142" s="17"/>
      <c r="AG1142" s="17"/>
      <c r="AH1142" s="17"/>
      <c r="AI1142" s="17"/>
      <c r="AJ1142" s="17"/>
      <c r="AK1142" s="17"/>
      <c r="AL1142" s="17"/>
      <c r="AM1142" s="17"/>
      <c r="AN1142" s="17"/>
      <c r="AO1142" s="17"/>
      <c r="AP1142" s="1"/>
      <c r="AQ1142" s="1"/>
    </row>
    <row r="1143" spans="1:43" x14ac:dyDescent="0.35">
      <c r="A1143" s="6"/>
      <c r="B1143" s="13"/>
      <c r="C1143" s="81"/>
      <c r="D1143" s="4"/>
      <c r="E1143" s="8"/>
      <c r="F1143" s="17"/>
      <c r="G1143" s="17"/>
      <c r="H1143" s="17"/>
      <c r="I1143" s="17"/>
      <c r="J1143" s="17"/>
      <c r="K1143" s="17"/>
      <c r="L1143" s="17"/>
      <c r="M1143" s="17"/>
      <c r="N1143" s="17"/>
      <c r="O1143" s="17"/>
      <c r="P1143" s="17"/>
      <c r="Q1143" s="17"/>
      <c r="R1143" s="17"/>
      <c r="S1143" s="17"/>
      <c r="T1143" s="17"/>
      <c r="U1143" s="17"/>
      <c r="V1143" s="17"/>
      <c r="W1143" s="17"/>
      <c r="X1143" s="17"/>
      <c r="Y1143" s="17"/>
      <c r="Z1143" s="17"/>
      <c r="AA1143" s="17"/>
      <c r="AB1143" s="17"/>
      <c r="AC1143" s="17"/>
      <c r="AD1143" s="17"/>
      <c r="AE1143" s="17"/>
      <c r="AF1143" s="17"/>
      <c r="AG1143" s="17"/>
      <c r="AH1143" s="17"/>
      <c r="AI1143" s="17"/>
      <c r="AJ1143" s="17"/>
      <c r="AK1143" s="17"/>
      <c r="AL1143" s="17"/>
      <c r="AM1143" s="17"/>
      <c r="AN1143" s="17"/>
      <c r="AO1143" s="17"/>
      <c r="AP1143" s="1"/>
      <c r="AQ1143" s="1"/>
    </row>
    <row r="1144" spans="1:43" x14ac:dyDescent="0.35">
      <c r="A1144" s="6"/>
      <c r="B1144" s="13"/>
      <c r="C1144" s="81"/>
      <c r="D1144" s="4"/>
      <c r="E1144" s="8"/>
      <c r="F1144" s="17"/>
      <c r="G1144" s="17"/>
      <c r="H1144" s="17"/>
      <c r="I1144" s="17"/>
      <c r="J1144" s="17"/>
      <c r="K1144" s="17"/>
      <c r="L1144" s="17"/>
      <c r="M1144" s="17"/>
      <c r="N1144" s="17"/>
      <c r="O1144" s="17"/>
      <c r="P1144" s="17"/>
      <c r="Q1144" s="17"/>
      <c r="R1144" s="17"/>
      <c r="S1144" s="17"/>
      <c r="T1144" s="17"/>
      <c r="U1144" s="17"/>
      <c r="V1144" s="17"/>
      <c r="W1144" s="17"/>
      <c r="X1144" s="17"/>
      <c r="Y1144" s="17"/>
      <c r="Z1144" s="17"/>
      <c r="AA1144" s="17"/>
      <c r="AB1144" s="17"/>
      <c r="AC1144" s="17"/>
      <c r="AD1144" s="17"/>
      <c r="AE1144" s="17"/>
      <c r="AF1144" s="17"/>
      <c r="AG1144" s="17"/>
      <c r="AH1144" s="17"/>
      <c r="AI1144" s="17"/>
      <c r="AJ1144" s="17"/>
      <c r="AK1144" s="17"/>
      <c r="AL1144" s="17"/>
      <c r="AM1144" s="17"/>
      <c r="AN1144" s="17"/>
      <c r="AO1144" s="17"/>
      <c r="AP1144" s="1"/>
      <c r="AQ1144" s="1"/>
    </row>
    <row r="1145" spans="1:43" x14ac:dyDescent="0.35">
      <c r="A1145" s="6"/>
      <c r="B1145" s="13"/>
      <c r="C1145" s="81"/>
      <c r="D1145" s="4"/>
      <c r="E1145" s="8"/>
      <c r="F1145" s="17"/>
      <c r="G1145" s="17"/>
      <c r="H1145" s="17"/>
      <c r="I1145" s="17"/>
      <c r="J1145" s="17"/>
      <c r="K1145" s="17"/>
      <c r="L1145" s="17"/>
      <c r="M1145" s="17"/>
      <c r="N1145" s="17"/>
      <c r="O1145" s="17"/>
      <c r="P1145" s="17"/>
      <c r="Q1145" s="17"/>
      <c r="R1145" s="17"/>
      <c r="S1145" s="17"/>
      <c r="T1145" s="17"/>
      <c r="U1145" s="17"/>
      <c r="V1145" s="17"/>
      <c r="W1145" s="17"/>
      <c r="X1145" s="17"/>
      <c r="Y1145" s="17"/>
      <c r="Z1145" s="17"/>
      <c r="AA1145" s="17"/>
      <c r="AB1145" s="17"/>
      <c r="AC1145" s="17"/>
      <c r="AD1145" s="17"/>
      <c r="AE1145" s="17"/>
      <c r="AF1145" s="17"/>
      <c r="AG1145" s="17"/>
      <c r="AH1145" s="17"/>
      <c r="AI1145" s="17"/>
      <c r="AJ1145" s="17"/>
      <c r="AK1145" s="17"/>
      <c r="AL1145" s="17"/>
      <c r="AM1145" s="17"/>
      <c r="AN1145" s="17"/>
      <c r="AO1145" s="17"/>
      <c r="AP1145" s="1"/>
      <c r="AQ1145" s="1"/>
    </row>
    <row r="1146" spans="1:43" x14ac:dyDescent="0.35">
      <c r="A1146" s="6"/>
      <c r="B1146" s="13"/>
      <c r="C1146" s="81"/>
      <c r="D1146" s="4"/>
      <c r="E1146" s="8"/>
      <c r="F1146" s="17"/>
      <c r="G1146" s="17"/>
      <c r="H1146" s="17"/>
      <c r="I1146" s="17"/>
      <c r="J1146" s="17"/>
      <c r="K1146" s="17"/>
      <c r="L1146" s="17"/>
      <c r="M1146" s="17"/>
      <c r="N1146" s="17"/>
      <c r="O1146" s="17"/>
      <c r="P1146" s="17"/>
      <c r="Q1146" s="17"/>
      <c r="R1146" s="17"/>
      <c r="S1146" s="17"/>
      <c r="T1146" s="17"/>
      <c r="U1146" s="17"/>
      <c r="V1146" s="17"/>
      <c r="W1146" s="17"/>
      <c r="X1146" s="17"/>
      <c r="Y1146" s="17"/>
      <c r="Z1146" s="17"/>
      <c r="AA1146" s="17"/>
      <c r="AB1146" s="17"/>
      <c r="AC1146" s="17"/>
      <c r="AD1146" s="17"/>
      <c r="AE1146" s="17"/>
      <c r="AF1146" s="17"/>
      <c r="AG1146" s="17"/>
      <c r="AH1146" s="17"/>
      <c r="AI1146" s="17"/>
      <c r="AJ1146" s="17"/>
      <c r="AK1146" s="17"/>
      <c r="AL1146" s="17"/>
      <c r="AM1146" s="17"/>
      <c r="AN1146" s="17"/>
      <c r="AO1146" s="17"/>
      <c r="AP1146" s="1"/>
      <c r="AQ1146" s="1"/>
    </row>
    <row r="1147" spans="1:43" x14ac:dyDescent="0.35">
      <c r="A1147" s="6"/>
      <c r="B1147" s="13"/>
      <c r="C1147" s="81"/>
      <c r="D1147" s="4"/>
      <c r="E1147" s="8"/>
      <c r="F1147" s="17"/>
      <c r="G1147" s="17"/>
      <c r="H1147" s="17"/>
      <c r="I1147" s="17"/>
      <c r="J1147" s="17"/>
      <c r="K1147" s="17"/>
      <c r="L1147" s="17"/>
      <c r="M1147" s="17"/>
      <c r="N1147" s="17"/>
      <c r="O1147" s="17"/>
      <c r="P1147" s="17"/>
      <c r="Q1147" s="17"/>
      <c r="R1147" s="17"/>
      <c r="S1147" s="17"/>
      <c r="T1147" s="17"/>
      <c r="U1147" s="17"/>
      <c r="V1147" s="17"/>
      <c r="W1147" s="17"/>
      <c r="X1147" s="17"/>
      <c r="Y1147" s="17"/>
      <c r="Z1147" s="17"/>
      <c r="AA1147" s="17"/>
      <c r="AB1147" s="17"/>
      <c r="AC1147" s="17"/>
      <c r="AD1147" s="17"/>
      <c r="AE1147" s="17"/>
      <c r="AF1147" s="17"/>
      <c r="AG1147" s="17"/>
      <c r="AH1147" s="17"/>
      <c r="AI1147" s="17"/>
      <c r="AJ1147" s="17"/>
      <c r="AK1147" s="17"/>
      <c r="AL1147" s="17"/>
      <c r="AM1147" s="17"/>
      <c r="AN1147" s="17"/>
      <c r="AO1147" s="17"/>
      <c r="AP1147" s="1"/>
      <c r="AQ1147" s="1"/>
    </row>
    <row r="1148" spans="1:43" x14ac:dyDescent="0.35">
      <c r="A1148" s="6"/>
      <c r="B1148" s="13"/>
      <c r="C1148" s="81"/>
      <c r="D1148" s="4"/>
      <c r="E1148" s="8"/>
      <c r="F1148" s="17"/>
      <c r="G1148" s="17"/>
      <c r="H1148" s="17"/>
      <c r="I1148" s="17"/>
      <c r="J1148" s="17"/>
      <c r="K1148" s="17"/>
      <c r="L1148" s="17"/>
      <c r="M1148" s="17"/>
      <c r="N1148" s="17"/>
      <c r="O1148" s="17"/>
      <c r="P1148" s="17"/>
      <c r="Q1148" s="17"/>
      <c r="R1148" s="17"/>
      <c r="S1148" s="17"/>
      <c r="T1148" s="17"/>
      <c r="U1148" s="17"/>
      <c r="V1148" s="17"/>
      <c r="W1148" s="17"/>
      <c r="X1148" s="17"/>
      <c r="Y1148" s="17"/>
      <c r="Z1148" s="17"/>
      <c r="AA1148" s="17"/>
      <c r="AB1148" s="17"/>
      <c r="AC1148" s="17"/>
      <c r="AD1148" s="17"/>
      <c r="AE1148" s="17"/>
      <c r="AF1148" s="17"/>
      <c r="AG1148" s="17"/>
      <c r="AH1148" s="17"/>
      <c r="AI1148" s="17"/>
      <c r="AJ1148" s="17"/>
      <c r="AK1148" s="17"/>
      <c r="AL1148" s="17"/>
      <c r="AM1148" s="17"/>
      <c r="AN1148" s="17"/>
      <c r="AO1148" s="17"/>
      <c r="AP1148" s="1"/>
      <c r="AQ1148" s="1"/>
    </row>
    <row r="1149" spans="1:43" x14ac:dyDescent="0.35">
      <c r="A1149" s="6"/>
      <c r="B1149" s="13"/>
      <c r="C1149" s="81"/>
      <c r="D1149" s="4"/>
      <c r="E1149" s="8"/>
      <c r="F1149" s="17"/>
      <c r="G1149" s="17"/>
      <c r="H1149" s="17"/>
      <c r="I1149" s="17"/>
      <c r="J1149" s="17"/>
      <c r="K1149" s="17"/>
      <c r="L1149" s="17"/>
      <c r="M1149" s="17"/>
      <c r="N1149" s="17"/>
      <c r="O1149" s="17"/>
      <c r="P1149" s="17"/>
      <c r="Q1149" s="17"/>
      <c r="R1149" s="17"/>
      <c r="S1149" s="17"/>
      <c r="T1149" s="17"/>
      <c r="U1149" s="17"/>
      <c r="V1149" s="17"/>
      <c r="W1149" s="17"/>
      <c r="X1149" s="17"/>
      <c r="Y1149" s="17"/>
      <c r="Z1149" s="17"/>
      <c r="AA1149" s="17"/>
      <c r="AB1149" s="17"/>
      <c r="AC1149" s="17"/>
      <c r="AD1149" s="17"/>
      <c r="AE1149" s="17"/>
      <c r="AF1149" s="17"/>
      <c r="AG1149" s="17"/>
      <c r="AH1149" s="17"/>
      <c r="AI1149" s="17"/>
      <c r="AJ1149" s="17"/>
      <c r="AK1149" s="17"/>
      <c r="AL1149" s="17"/>
      <c r="AM1149" s="17"/>
      <c r="AN1149" s="17"/>
      <c r="AO1149" s="17"/>
      <c r="AP1149" s="1"/>
      <c r="AQ1149" s="1"/>
    </row>
    <row r="1150" spans="1:43" x14ac:dyDescent="0.35">
      <c r="A1150" s="6"/>
      <c r="B1150" s="13"/>
      <c r="C1150" s="81"/>
      <c r="D1150" s="4"/>
      <c r="E1150" s="8"/>
      <c r="F1150" s="17"/>
      <c r="G1150" s="17"/>
      <c r="H1150" s="17"/>
      <c r="I1150" s="17"/>
      <c r="J1150" s="17"/>
      <c r="K1150" s="17"/>
      <c r="L1150" s="17"/>
      <c r="M1150" s="17"/>
      <c r="N1150" s="17"/>
      <c r="O1150" s="17"/>
      <c r="P1150" s="17"/>
      <c r="Q1150" s="17"/>
      <c r="R1150" s="17"/>
      <c r="S1150" s="17"/>
      <c r="T1150" s="17"/>
      <c r="U1150" s="17"/>
      <c r="V1150" s="17"/>
      <c r="W1150" s="17"/>
      <c r="X1150" s="17"/>
      <c r="Y1150" s="17"/>
      <c r="Z1150" s="17"/>
      <c r="AA1150" s="17"/>
      <c r="AB1150" s="17"/>
      <c r="AC1150" s="17"/>
      <c r="AD1150" s="17"/>
      <c r="AE1150" s="17"/>
      <c r="AF1150" s="17"/>
      <c r="AG1150" s="17"/>
      <c r="AH1150" s="17"/>
      <c r="AI1150" s="17"/>
      <c r="AJ1150" s="17"/>
      <c r="AK1150" s="17"/>
      <c r="AL1150" s="17"/>
      <c r="AM1150" s="17"/>
      <c r="AN1150" s="17"/>
      <c r="AO1150" s="17"/>
      <c r="AP1150" s="1"/>
      <c r="AQ1150" s="1"/>
    </row>
    <row r="1151" spans="1:43" x14ac:dyDescent="0.35">
      <c r="A1151" s="6"/>
      <c r="B1151" s="13"/>
      <c r="C1151" s="81"/>
      <c r="D1151" s="4"/>
      <c r="E1151" s="8"/>
      <c r="F1151" s="17"/>
      <c r="G1151" s="17"/>
      <c r="H1151" s="17"/>
      <c r="I1151" s="17"/>
      <c r="J1151" s="17"/>
      <c r="K1151" s="17"/>
      <c r="L1151" s="17"/>
      <c r="M1151" s="17"/>
      <c r="N1151" s="17"/>
      <c r="O1151" s="17"/>
      <c r="P1151" s="17"/>
      <c r="Q1151" s="17"/>
      <c r="R1151" s="17"/>
      <c r="S1151" s="17"/>
      <c r="T1151" s="17"/>
      <c r="U1151" s="17"/>
      <c r="V1151" s="17"/>
      <c r="W1151" s="17"/>
      <c r="X1151" s="17"/>
      <c r="Y1151" s="17"/>
      <c r="Z1151" s="17"/>
      <c r="AA1151" s="17"/>
      <c r="AB1151" s="17"/>
      <c r="AC1151" s="17"/>
      <c r="AD1151" s="17"/>
      <c r="AE1151" s="17"/>
      <c r="AF1151" s="17"/>
      <c r="AG1151" s="17"/>
      <c r="AH1151" s="17"/>
      <c r="AI1151" s="17"/>
      <c r="AJ1151" s="17"/>
      <c r="AK1151" s="17"/>
      <c r="AL1151" s="17"/>
      <c r="AM1151" s="17"/>
      <c r="AN1151" s="17"/>
      <c r="AO1151" s="17"/>
      <c r="AP1151" s="1"/>
      <c r="AQ1151" s="1"/>
    </row>
    <row r="1152" spans="1:43" x14ac:dyDescent="0.35">
      <c r="A1152" s="6"/>
      <c r="B1152" s="13"/>
      <c r="C1152" s="81"/>
      <c r="D1152" s="4"/>
      <c r="E1152" s="8"/>
      <c r="F1152" s="17"/>
      <c r="G1152" s="17"/>
      <c r="H1152" s="17"/>
      <c r="I1152" s="17"/>
      <c r="J1152" s="17"/>
      <c r="K1152" s="17"/>
      <c r="L1152" s="17"/>
      <c r="M1152" s="17"/>
      <c r="N1152" s="17"/>
      <c r="O1152" s="17"/>
      <c r="P1152" s="17"/>
      <c r="Q1152" s="17"/>
      <c r="R1152" s="17"/>
      <c r="S1152" s="17"/>
      <c r="T1152" s="17"/>
      <c r="U1152" s="17"/>
      <c r="V1152" s="17"/>
      <c r="W1152" s="17"/>
      <c r="X1152" s="17"/>
      <c r="Y1152" s="17"/>
      <c r="Z1152" s="17"/>
      <c r="AA1152" s="17"/>
      <c r="AB1152" s="17"/>
      <c r="AC1152" s="17"/>
      <c r="AD1152" s="17"/>
      <c r="AE1152" s="17"/>
      <c r="AF1152" s="17"/>
      <c r="AG1152" s="17"/>
      <c r="AH1152" s="17"/>
      <c r="AI1152" s="17"/>
      <c r="AJ1152" s="17"/>
      <c r="AK1152" s="17"/>
      <c r="AL1152" s="17"/>
      <c r="AM1152" s="17"/>
      <c r="AN1152" s="17"/>
      <c r="AO1152" s="17"/>
      <c r="AP1152" s="1"/>
      <c r="AQ1152" s="1"/>
    </row>
    <row r="1153" spans="1:43" x14ac:dyDescent="0.35">
      <c r="A1153" s="6"/>
      <c r="B1153" s="13"/>
      <c r="C1153" s="81"/>
      <c r="D1153" s="4"/>
      <c r="E1153" s="8"/>
      <c r="F1153" s="17"/>
      <c r="G1153" s="17"/>
      <c r="H1153" s="17"/>
      <c r="I1153" s="17"/>
      <c r="J1153" s="17"/>
      <c r="K1153" s="17"/>
      <c r="L1153" s="17"/>
      <c r="M1153" s="17"/>
      <c r="N1153" s="17"/>
      <c r="O1153" s="17"/>
      <c r="P1153" s="17"/>
      <c r="Q1153" s="17"/>
      <c r="R1153" s="17"/>
      <c r="S1153" s="17"/>
      <c r="T1153" s="17"/>
      <c r="U1153" s="17"/>
      <c r="V1153" s="17"/>
      <c r="W1153" s="17"/>
      <c r="X1153" s="17"/>
      <c r="Y1153" s="17"/>
      <c r="Z1153" s="17"/>
      <c r="AA1153" s="17"/>
      <c r="AB1153" s="17"/>
      <c r="AC1153" s="17"/>
      <c r="AD1153" s="17"/>
      <c r="AE1153" s="17"/>
      <c r="AF1153" s="17"/>
      <c r="AG1153" s="17"/>
      <c r="AH1153" s="17"/>
      <c r="AI1153" s="17"/>
      <c r="AJ1153" s="17"/>
      <c r="AK1153" s="17"/>
      <c r="AL1153" s="17"/>
      <c r="AM1153" s="17"/>
      <c r="AN1153" s="17"/>
      <c r="AO1153" s="17"/>
      <c r="AP1153" s="1"/>
      <c r="AQ1153" s="1"/>
    </row>
    <row r="1154" spans="1:43" x14ac:dyDescent="0.35">
      <c r="A1154" s="6"/>
      <c r="B1154" s="13"/>
      <c r="C1154" s="81"/>
      <c r="D1154" s="4"/>
      <c r="E1154" s="8"/>
      <c r="F1154" s="17"/>
      <c r="G1154" s="17"/>
      <c r="H1154" s="17"/>
      <c r="I1154" s="17"/>
      <c r="J1154" s="17"/>
      <c r="K1154" s="17"/>
      <c r="L1154" s="17"/>
      <c r="M1154" s="17"/>
      <c r="N1154" s="17"/>
      <c r="O1154" s="17"/>
      <c r="P1154" s="17"/>
      <c r="Q1154" s="17"/>
      <c r="R1154" s="17"/>
      <c r="S1154" s="17"/>
      <c r="T1154" s="17"/>
      <c r="U1154" s="17"/>
      <c r="V1154" s="17"/>
      <c r="W1154" s="17"/>
      <c r="X1154" s="17"/>
      <c r="Y1154" s="17"/>
      <c r="Z1154" s="17"/>
      <c r="AA1154" s="17"/>
      <c r="AB1154" s="17"/>
      <c r="AC1154" s="17"/>
      <c r="AD1154" s="17"/>
      <c r="AE1154" s="17"/>
      <c r="AF1154" s="17"/>
      <c r="AG1154" s="17"/>
      <c r="AH1154" s="17"/>
      <c r="AI1154" s="17"/>
      <c r="AJ1154" s="17"/>
      <c r="AK1154" s="17"/>
      <c r="AL1154" s="17"/>
      <c r="AM1154" s="17"/>
      <c r="AN1154" s="17"/>
      <c r="AO1154" s="17"/>
      <c r="AP1154" s="1"/>
      <c r="AQ1154" s="1"/>
    </row>
    <row r="1155" spans="1:43" x14ac:dyDescent="0.35">
      <c r="A1155" s="6"/>
      <c r="B1155" s="13"/>
      <c r="C1155" s="81"/>
      <c r="D1155" s="4"/>
      <c r="E1155" s="8"/>
      <c r="F1155" s="17"/>
      <c r="G1155" s="17"/>
      <c r="H1155" s="17"/>
      <c r="I1155" s="17"/>
      <c r="J1155" s="17"/>
      <c r="K1155" s="17"/>
      <c r="L1155" s="17"/>
      <c r="M1155" s="17"/>
      <c r="N1155" s="17"/>
      <c r="O1155" s="17"/>
      <c r="P1155" s="17"/>
      <c r="Q1155" s="17"/>
      <c r="R1155" s="17"/>
      <c r="S1155" s="17"/>
      <c r="T1155" s="17"/>
      <c r="U1155" s="17"/>
      <c r="V1155" s="17"/>
      <c r="W1155" s="17"/>
      <c r="X1155" s="17"/>
      <c r="Y1155" s="17"/>
      <c r="Z1155" s="17"/>
      <c r="AA1155" s="17"/>
      <c r="AB1155" s="17"/>
      <c r="AC1155" s="17"/>
      <c r="AD1155" s="17"/>
      <c r="AE1155" s="17"/>
      <c r="AF1155" s="17"/>
      <c r="AG1155" s="17"/>
      <c r="AH1155" s="17"/>
      <c r="AI1155" s="17"/>
      <c r="AJ1155" s="17"/>
      <c r="AK1155" s="17"/>
      <c r="AL1155" s="17"/>
      <c r="AM1155" s="17"/>
      <c r="AN1155" s="17"/>
      <c r="AO1155" s="17"/>
      <c r="AP1155" s="1"/>
      <c r="AQ1155" s="1"/>
    </row>
    <row r="1156" spans="1:43" x14ac:dyDescent="0.35">
      <c r="A1156" s="6"/>
      <c r="B1156" s="13"/>
      <c r="C1156" s="81"/>
      <c r="D1156" s="4"/>
      <c r="E1156" s="8"/>
      <c r="F1156" s="17"/>
      <c r="G1156" s="17"/>
      <c r="H1156" s="17"/>
      <c r="I1156" s="17"/>
      <c r="J1156" s="17"/>
      <c r="K1156" s="17"/>
      <c r="L1156" s="17"/>
      <c r="M1156" s="17"/>
      <c r="N1156" s="17"/>
      <c r="O1156" s="17"/>
      <c r="P1156" s="17"/>
      <c r="Q1156" s="17"/>
      <c r="R1156" s="17"/>
      <c r="S1156" s="17"/>
      <c r="T1156" s="17"/>
      <c r="U1156" s="17"/>
      <c r="V1156" s="17"/>
      <c r="W1156" s="17"/>
      <c r="X1156" s="17"/>
      <c r="Y1156" s="17"/>
      <c r="Z1156" s="17"/>
      <c r="AA1156" s="17"/>
      <c r="AB1156" s="17"/>
      <c r="AC1156" s="17"/>
      <c r="AD1156" s="17"/>
      <c r="AE1156" s="17"/>
      <c r="AF1156" s="17"/>
      <c r="AG1156" s="17"/>
      <c r="AH1156" s="17"/>
      <c r="AI1156" s="17"/>
      <c r="AJ1156" s="17"/>
      <c r="AK1156" s="17"/>
      <c r="AL1156" s="17"/>
      <c r="AM1156" s="17"/>
      <c r="AN1156" s="17"/>
      <c r="AO1156" s="17"/>
      <c r="AP1156" s="1"/>
      <c r="AQ1156" s="1"/>
    </row>
    <row r="1157" spans="1:43" x14ac:dyDescent="0.35">
      <c r="A1157" s="6"/>
      <c r="B1157" s="13"/>
      <c r="C1157" s="81"/>
      <c r="D1157" s="4"/>
      <c r="E1157" s="8"/>
      <c r="F1157" s="17"/>
      <c r="G1157" s="17"/>
      <c r="H1157" s="17"/>
      <c r="I1157" s="17"/>
      <c r="J1157" s="17"/>
      <c r="K1157" s="17"/>
      <c r="L1157" s="17"/>
      <c r="M1157" s="17"/>
      <c r="N1157" s="17"/>
      <c r="O1157" s="17"/>
      <c r="P1157" s="17"/>
      <c r="Q1157" s="17"/>
      <c r="R1157" s="17"/>
      <c r="S1157" s="17"/>
      <c r="T1157" s="17"/>
      <c r="U1157" s="17"/>
      <c r="V1157" s="17"/>
      <c r="W1157" s="17"/>
      <c r="X1157" s="17"/>
      <c r="Y1157" s="17"/>
      <c r="Z1157" s="17"/>
      <c r="AA1157" s="17"/>
      <c r="AB1157" s="17"/>
      <c r="AC1157" s="17"/>
      <c r="AD1157" s="17"/>
      <c r="AE1157" s="17"/>
      <c r="AF1157" s="17"/>
      <c r="AG1157" s="17"/>
      <c r="AH1157" s="17"/>
      <c r="AI1157" s="17"/>
      <c r="AJ1157" s="17"/>
      <c r="AK1157" s="17"/>
      <c r="AL1157" s="17"/>
      <c r="AM1157" s="17"/>
      <c r="AN1157" s="17"/>
      <c r="AO1157" s="17"/>
      <c r="AP1157" s="1"/>
      <c r="AQ1157" s="1"/>
    </row>
    <row r="1158" spans="1:43" x14ac:dyDescent="0.35">
      <c r="A1158" s="6"/>
      <c r="B1158" s="13"/>
      <c r="C1158" s="81"/>
      <c r="D1158" s="4"/>
      <c r="E1158" s="8"/>
      <c r="F1158" s="17"/>
      <c r="G1158" s="17"/>
      <c r="H1158" s="17"/>
      <c r="I1158" s="17"/>
      <c r="J1158" s="17"/>
      <c r="K1158" s="17"/>
      <c r="L1158" s="17"/>
      <c r="M1158" s="17"/>
      <c r="N1158" s="17"/>
      <c r="O1158" s="17"/>
      <c r="P1158" s="17"/>
      <c r="Q1158" s="17"/>
      <c r="R1158" s="17"/>
      <c r="S1158" s="17"/>
      <c r="T1158" s="17"/>
      <c r="U1158" s="17"/>
      <c r="V1158" s="17"/>
      <c r="W1158" s="17"/>
      <c r="X1158" s="17"/>
      <c r="Y1158" s="17"/>
      <c r="Z1158" s="17"/>
      <c r="AA1158" s="17"/>
      <c r="AB1158" s="17"/>
      <c r="AC1158" s="17"/>
      <c r="AD1158" s="17"/>
      <c r="AE1158" s="17"/>
      <c r="AF1158" s="17"/>
      <c r="AG1158" s="17"/>
      <c r="AH1158" s="17"/>
      <c r="AI1158" s="17"/>
      <c r="AJ1158" s="17"/>
      <c r="AK1158" s="17"/>
      <c r="AL1158" s="17"/>
      <c r="AM1158" s="17"/>
      <c r="AN1158" s="17"/>
      <c r="AO1158" s="17"/>
      <c r="AP1158" s="1"/>
      <c r="AQ1158" s="1"/>
    </row>
    <row r="1159" spans="1:43" x14ac:dyDescent="0.35">
      <c r="A1159" s="6"/>
      <c r="B1159" s="13"/>
      <c r="C1159" s="81"/>
      <c r="D1159" s="4"/>
      <c r="E1159" s="8"/>
      <c r="F1159" s="17"/>
      <c r="G1159" s="17"/>
      <c r="H1159" s="17"/>
      <c r="I1159" s="17"/>
      <c r="J1159" s="17"/>
      <c r="K1159" s="17"/>
      <c r="L1159" s="17"/>
      <c r="M1159" s="17"/>
      <c r="N1159" s="17"/>
      <c r="O1159" s="17"/>
      <c r="P1159" s="17"/>
      <c r="Q1159" s="17"/>
      <c r="R1159" s="17"/>
      <c r="S1159" s="17"/>
      <c r="T1159" s="17"/>
      <c r="U1159" s="17"/>
      <c r="V1159" s="17"/>
      <c r="W1159" s="17"/>
      <c r="X1159" s="17"/>
      <c r="Y1159" s="17"/>
      <c r="Z1159" s="17"/>
      <c r="AA1159" s="17"/>
      <c r="AB1159" s="17"/>
      <c r="AC1159" s="17"/>
      <c r="AD1159" s="17"/>
      <c r="AE1159" s="17"/>
      <c r="AF1159" s="17"/>
      <c r="AG1159" s="17"/>
      <c r="AH1159" s="17"/>
      <c r="AI1159" s="17"/>
      <c r="AJ1159" s="17"/>
      <c r="AK1159" s="17"/>
      <c r="AL1159" s="17"/>
      <c r="AM1159" s="17"/>
      <c r="AN1159" s="17"/>
      <c r="AO1159" s="17"/>
      <c r="AP1159" s="1"/>
      <c r="AQ1159" s="1"/>
    </row>
    <row r="1160" spans="1:43" x14ac:dyDescent="0.35">
      <c r="A1160" s="6"/>
      <c r="B1160" s="13"/>
      <c r="C1160" s="81"/>
      <c r="D1160" s="4"/>
      <c r="E1160" s="8"/>
      <c r="F1160" s="17"/>
      <c r="G1160" s="17"/>
      <c r="H1160" s="17"/>
      <c r="I1160" s="17"/>
      <c r="J1160" s="17"/>
      <c r="K1160" s="17"/>
      <c r="L1160" s="17"/>
      <c r="M1160" s="17"/>
      <c r="N1160" s="17"/>
      <c r="O1160" s="17"/>
      <c r="P1160" s="17"/>
      <c r="Q1160" s="17"/>
      <c r="R1160" s="17"/>
      <c r="S1160" s="17"/>
      <c r="T1160" s="17"/>
      <c r="U1160" s="17"/>
      <c r="V1160" s="17"/>
      <c r="W1160" s="17"/>
      <c r="X1160" s="17"/>
      <c r="Y1160" s="17"/>
      <c r="Z1160" s="17"/>
      <c r="AA1160" s="17"/>
      <c r="AB1160" s="17"/>
      <c r="AC1160" s="17"/>
      <c r="AD1160" s="17"/>
      <c r="AE1160" s="17"/>
      <c r="AF1160" s="17"/>
      <c r="AG1160" s="17"/>
      <c r="AH1160" s="17"/>
      <c r="AI1160" s="17"/>
      <c r="AJ1160" s="17"/>
      <c r="AK1160" s="17"/>
      <c r="AL1160" s="17"/>
      <c r="AM1160" s="17"/>
      <c r="AN1160" s="17"/>
      <c r="AO1160" s="17"/>
      <c r="AP1160" s="1"/>
      <c r="AQ1160" s="1"/>
    </row>
    <row r="1161" spans="1:43" x14ac:dyDescent="0.35">
      <c r="A1161" s="6"/>
      <c r="B1161" s="13"/>
      <c r="C1161" s="81"/>
      <c r="D1161" s="4"/>
      <c r="E1161" s="8"/>
      <c r="F1161" s="17"/>
      <c r="G1161" s="17"/>
      <c r="H1161" s="17"/>
      <c r="I1161" s="17"/>
      <c r="J1161" s="17"/>
      <c r="K1161" s="17"/>
      <c r="L1161" s="17"/>
      <c r="M1161" s="17"/>
      <c r="N1161" s="17"/>
      <c r="O1161" s="17"/>
      <c r="P1161" s="17"/>
      <c r="Q1161" s="17"/>
      <c r="R1161" s="17"/>
      <c r="S1161" s="17"/>
      <c r="T1161" s="17"/>
      <c r="U1161" s="17"/>
      <c r="V1161" s="17"/>
      <c r="W1161" s="17"/>
      <c r="X1161" s="17"/>
      <c r="Y1161" s="17"/>
      <c r="Z1161" s="17"/>
      <c r="AA1161" s="17"/>
      <c r="AB1161" s="17"/>
      <c r="AC1161" s="17"/>
      <c r="AD1161" s="17"/>
      <c r="AE1161" s="17"/>
      <c r="AF1161" s="17"/>
      <c r="AG1161" s="17"/>
      <c r="AH1161" s="17"/>
      <c r="AI1161" s="17"/>
      <c r="AJ1161" s="17"/>
      <c r="AK1161" s="17"/>
      <c r="AL1161" s="17"/>
      <c r="AM1161" s="17"/>
      <c r="AN1161" s="17"/>
      <c r="AO1161" s="17"/>
      <c r="AP1161" s="1"/>
      <c r="AQ1161" s="1"/>
    </row>
    <row r="1162" spans="1:43" x14ac:dyDescent="0.35">
      <c r="A1162" s="6"/>
      <c r="B1162" s="13"/>
      <c r="C1162" s="81"/>
      <c r="D1162" s="4"/>
      <c r="E1162" s="8"/>
      <c r="F1162" s="17"/>
      <c r="G1162" s="17"/>
      <c r="H1162" s="17"/>
      <c r="I1162" s="17"/>
      <c r="J1162" s="17"/>
      <c r="K1162" s="17"/>
      <c r="L1162" s="17"/>
      <c r="M1162" s="17"/>
      <c r="N1162" s="17"/>
      <c r="O1162" s="17"/>
      <c r="P1162" s="17"/>
      <c r="Q1162" s="17"/>
      <c r="R1162" s="17"/>
      <c r="S1162" s="17"/>
      <c r="T1162" s="17"/>
      <c r="U1162" s="17"/>
      <c r="V1162" s="17"/>
      <c r="W1162" s="17"/>
      <c r="X1162" s="17"/>
      <c r="Y1162" s="17"/>
      <c r="Z1162" s="17"/>
      <c r="AA1162" s="17"/>
      <c r="AB1162" s="17"/>
      <c r="AC1162" s="17"/>
      <c r="AD1162" s="17"/>
      <c r="AE1162" s="17"/>
      <c r="AF1162" s="17"/>
      <c r="AG1162" s="17"/>
      <c r="AH1162" s="17"/>
      <c r="AI1162" s="17"/>
      <c r="AJ1162" s="17"/>
      <c r="AK1162" s="17"/>
      <c r="AL1162" s="17"/>
      <c r="AM1162" s="17"/>
      <c r="AN1162" s="17"/>
      <c r="AO1162" s="17"/>
      <c r="AP1162" s="1"/>
      <c r="AQ1162" s="1"/>
    </row>
    <row r="1163" spans="1:43" x14ac:dyDescent="0.35">
      <c r="A1163" s="6"/>
      <c r="B1163" s="13"/>
      <c r="C1163" s="81"/>
      <c r="D1163" s="4"/>
      <c r="E1163" s="8"/>
      <c r="F1163" s="17"/>
      <c r="G1163" s="17"/>
      <c r="H1163" s="17"/>
      <c r="I1163" s="17"/>
      <c r="J1163" s="17"/>
      <c r="K1163" s="17"/>
      <c r="L1163" s="17"/>
      <c r="M1163" s="17"/>
      <c r="N1163" s="17"/>
      <c r="O1163" s="17"/>
      <c r="P1163" s="17"/>
      <c r="Q1163" s="17"/>
      <c r="R1163" s="17"/>
      <c r="S1163" s="17"/>
      <c r="T1163" s="17"/>
      <c r="U1163" s="17"/>
      <c r="V1163" s="17"/>
      <c r="W1163" s="17"/>
      <c r="X1163" s="17"/>
      <c r="Y1163" s="17"/>
      <c r="Z1163" s="17"/>
      <c r="AA1163" s="17"/>
      <c r="AB1163" s="17"/>
      <c r="AC1163" s="17"/>
      <c r="AD1163" s="17"/>
      <c r="AE1163" s="17"/>
      <c r="AF1163" s="17"/>
      <c r="AG1163" s="17"/>
      <c r="AH1163" s="17"/>
      <c r="AI1163" s="17"/>
      <c r="AJ1163" s="17"/>
      <c r="AK1163" s="17"/>
      <c r="AL1163" s="17"/>
      <c r="AM1163" s="17"/>
      <c r="AN1163" s="17"/>
      <c r="AO1163" s="17"/>
      <c r="AP1163" s="1"/>
      <c r="AQ1163" s="1"/>
    </row>
    <row r="1164" spans="1:43" x14ac:dyDescent="0.35">
      <c r="A1164" s="6"/>
      <c r="B1164" s="13"/>
      <c r="C1164" s="81"/>
      <c r="D1164" s="4"/>
      <c r="E1164" s="8"/>
      <c r="F1164" s="17"/>
      <c r="G1164" s="17"/>
      <c r="H1164" s="17"/>
      <c r="I1164" s="17"/>
      <c r="J1164" s="17"/>
      <c r="K1164" s="17"/>
      <c r="L1164" s="17"/>
      <c r="M1164" s="17"/>
      <c r="N1164" s="17"/>
      <c r="O1164" s="17"/>
      <c r="P1164" s="17"/>
      <c r="Q1164" s="17"/>
      <c r="R1164" s="17"/>
      <c r="S1164" s="17"/>
      <c r="T1164" s="17"/>
      <c r="U1164" s="17"/>
      <c r="V1164" s="17"/>
      <c r="W1164" s="17"/>
      <c r="X1164" s="17"/>
      <c r="Y1164" s="17"/>
      <c r="Z1164" s="17"/>
      <c r="AA1164" s="17"/>
      <c r="AB1164" s="17"/>
      <c r="AC1164" s="17"/>
      <c r="AD1164" s="17"/>
      <c r="AE1164" s="17"/>
      <c r="AF1164" s="17"/>
      <c r="AG1164" s="17"/>
      <c r="AH1164" s="17"/>
      <c r="AI1164" s="17"/>
      <c r="AJ1164" s="17"/>
      <c r="AK1164" s="17"/>
      <c r="AL1164" s="17"/>
      <c r="AM1164" s="17"/>
      <c r="AN1164" s="17"/>
      <c r="AO1164" s="17"/>
      <c r="AP1164" s="1"/>
      <c r="AQ1164" s="1"/>
    </row>
    <row r="1165" spans="1:43" x14ac:dyDescent="0.35">
      <c r="A1165" s="6"/>
      <c r="B1165" s="13"/>
      <c r="C1165" s="81"/>
      <c r="D1165" s="4"/>
      <c r="E1165" s="8"/>
      <c r="F1165" s="17"/>
      <c r="G1165" s="17"/>
      <c r="H1165" s="17"/>
      <c r="I1165" s="17"/>
      <c r="J1165" s="17"/>
      <c r="K1165" s="17"/>
      <c r="L1165" s="17"/>
      <c r="M1165" s="17"/>
      <c r="N1165" s="17"/>
      <c r="O1165" s="17"/>
      <c r="P1165" s="17"/>
      <c r="Q1165" s="17"/>
      <c r="R1165" s="17"/>
      <c r="S1165" s="17"/>
      <c r="T1165" s="17"/>
      <c r="U1165" s="17"/>
      <c r="V1165" s="17"/>
      <c r="W1165" s="17"/>
      <c r="X1165" s="17"/>
      <c r="Y1165" s="17"/>
      <c r="Z1165" s="17"/>
      <c r="AA1165" s="17"/>
      <c r="AB1165" s="17"/>
      <c r="AC1165" s="17"/>
      <c r="AD1165" s="17"/>
      <c r="AE1165" s="17"/>
      <c r="AF1165" s="17"/>
      <c r="AG1165" s="17"/>
      <c r="AH1165" s="17"/>
      <c r="AI1165" s="17"/>
      <c r="AJ1165" s="17"/>
      <c r="AK1165" s="17"/>
      <c r="AL1165" s="17"/>
      <c r="AM1165" s="17"/>
      <c r="AN1165" s="17"/>
      <c r="AO1165" s="17"/>
      <c r="AP1165" s="1"/>
      <c r="AQ1165" s="1"/>
    </row>
    <row r="1166" spans="1:43" x14ac:dyDescent="0.35">
      <c r="A1166" s="6"/>
      <c r="B1166" s="13"/>
      <c r="C1166" s="81"/>
      <c r="D1166" s="4"/>
      <c r="E1166" s="8"/>
      <c r="F1166" s="17"/>
      <c r="G1166" s="17"/>
      <c r="H1166" s="17"/>
      <c r="I1166" s="17"/>
      <c r="J1166" s="17"/>
      <c r="K1166" s="17"/>
      <c r="L1166" s="17"/>
      <c r="M1166" s="17"/>
      <c r="N1166" s="17"/>
      <c r="O1166" s="17"/>
      <c r="P1166" s="17"/>
      <c r="Q1166" s="17"/>
      <c r="R1166" s="17"/>
      <c r="S1166" s="17"/>
      <c r="T1166" s="17"/>
      <c r="U1166" s="17"/>
      <c r="V1166" s="17"/>
      <c r="W1166" s="17"/>
      <c r="X1166" s="17"/>
      <c r="Y1166" s="17"/>
      <c r="Z1166" s="17"/>
      <c r="AA1166" s="17"/>
      <c r="AB1166" s="17"/>
      <c r="AC1166" s="17"/>
      <c r="AD1166" s="17"/>
      <c r="AE1166" s="17"/>
      <c r="AF1166" s="17"/>
      <c r="AG1166" s="17"/>
      <c r="AH1166" s="17"/>
      <c r="AI1166" s="17"/>
      <c r="AJ1166" s="17"/>
      <c r="AK1166" s="17"/>
      <c r="AL1166" s="17"/>
      <c r="AM1166" s="17"/>
      <c r="AN1166" s="17"/>
      <c r="AO1166" s="17"/>
      <c r="AP1166" s="1"/>
      <c r="AQ1166" s="1"/>
    </row>
    <row r="1167" spans="1:43" x14ac:dyDescent="0.35">
      <c r="A1167" s="6"/>
      <c r="B1167" s="13"/>
      <c r="C1167" s="81"/>
      <c r="D1167" s="4"/>
      <c r="E1167" s="8"/>
      <c r="F1167" s="17"/>
      <c r="G1167" s="17"/>
      <c r="H1167" s="17"/>
      <c r="I1167" s="17"/>
      <c r="J1167" s="17"/>
      <c r="K1167" s="17"/>
      <c r="L1167" s="17"/>
      <c r="M1167" s="17"/>
      <c r="N1167" s="17"/>
      <c r="O1167" s="17"/>
      <c r="P1167" s="17"/>
      <c r="Q1167" s="17"/>
      <c r="R1167" s="17"/>
      <c r="S1167" s="17"/>
      <c r="T1167" s="17"/>
      <c r="U1167" s="17"/>
      <c r="V1167" s="17"/>
      <c r="W1167" s="17"/>
      <c r="X1167" s="17"/>
      <c r="Y1167" s="17"/>
      <c r="Z1167" s="17"/>
      <c r="AA1167" s="17"/>
      <c r="AB1167" s="17"/>
      <c r="AC1167" s="17"/>
      <c r="AD1167" s="17"/>
      <c r="AE1167" s="17"/>
      <c r="AF1167" s="17"/>
      <c r="AG1167" s="17"/>
      <c r="AH1167" s="17"/>
      <c r="AI1167" s="17"/>
      <c r="AJ1167" s="17"/>
      <c r="AK1167" s="17"/>
      <c r="AL1167" s="17"/>
      <c r="AM1167" s="17"/>
      <c r="AN1167" s="17"/>
      <c r="AO1167" s="17"/>
      <c r="AP1167" s="1"/>
      <c r="AQ1167" s="1"/>
    </row>
    <row r="1168" spans="1:43" x14ac:dyDescent="0.35">
      <c r="A1168" s="6"/>
      <c r="B1168" s="13"/>
      <c r="C1168" s="81"/>
      <c r="D1168" s="4"/>
      <c r="E1168" s="8"/>
      <c r="F1168" s="17"/>
      <c r="G1168" s="17"/>
      <c r="H1168" s="17"/>
      <c r="I1168" s="17"/>
      <c r="J1168" s="17"/>
      <c r="K1168" s="17"/>
      <c r="L1168" s="17"/>
      <c r="M1168" s="17"/>
      <c r="N1168" s="17"/>
      <c r="O1168" s="17"/>
      <c r="P1168" s="17"/>
      <c r="Q1168" s="17"/>
      <c r="R1168" s="17"/>
      <c r="S1168" s="17"/>
      <c r="T1168" s="17"/>
      <c r="U1168" s="17"/>
      <c r="V1168" s="17"/>
      <c r="W1168" s="17"/>
      <c r="X1168" s="17"/>
      <c r="Y1168" s="17"/>
      <c r="Z1168" s="17"/>
      <c r="AA1168" s="17"/>
      <c r="AB1168" s="17"/>
      <c r="AC1168" s="17"/>
      <c r="AD1168" s="17"/>
      <c r="AE1168" s="17"/>
      <c r="AF1168" s="17"/>
      <c r="AG1168" s="17"/>
      <c r="AH1168" s="17"/>
      <c r="AI1168" s="17"/>
      <c r="AJ1168" s="17"/>
      <c r="AK1168" s="17"/>
      <c r="AL1168" s="17"/>
      <c r="AM1168" s="17"/>
      <c r="AN1168" s="17"/>
      <c r="AO1168" s="17"/>
      <c r="AP1168" s="1"/>
      <c r="AQ1168" s="1"/>
    </row>
    <row r="1169" spans="1:43" x14ac:dyDescent="0.35">
      <c r="A1169" s="6"/>
      <c r="B1169" s="13"/>
      <c r="C1169" s="81"/>
      <c r="D1169" s="4"/>
      <c r="E1169" s="8"/>
      <c r="F1169" s="17"/>
      <c r="G1169" s="17"/>
      <c r="H1169" s="17"/>
      <c r="I1169" s="17"/>
      <c r="J1169" s="17"/>
      <c r="K1169" s="17"/>
      <c r="L1169" s="17"/>
      <c r="M1169" s="17"/>
      <c r="N1169" s="17"/>
      <c r="O1169" s="17"/>
      <c r="P1169" s="17"/>
      <c r="Q1169" s="17"/>
      <c r="R1169" s="17"/>
      <c r="S1169" s="17"/>
      <c r="T1169" s="17"/>
      <c r="U1169" s="17"/>
      <c r="V1169" s="17"/>
      <c r="W1169" s="17"/>
      <c r="X1169" s="17"/>
      <c r="Y1169" s="17"/>
      <c r="Z1169" s="17"/>
      <c r="AA1169" s="17"/>
      <c r="AB1169" s="17"/>
      <c r="AC1169" s="17"/>
      <c r="AD1169" s="17"/>
      <c r="AE1169" s="17"/>
      <c r="AF1169" s="17"/>
      <c r="AG1169" s="17"/>
      <c r="AH1169" s="17"/>
      <c r="AI1169" s="17"/>
      <c r="AJ1169" s="17"/>
      <c r="AK1169" s="17"/>
      <c r="AL1169" s="17"/>
      <c r="AM1169" s="17"/>
      <c r="AN1169" s="17"/>
      <c r="AO1169" s="17"/>
      <c r="AP1169" s="1"/>
      <c r="AQ1169" s="1"/>
    </row>
    <row r="1170" spans="1:43" x14ac:dyDescent="0.35">
      <c r="A1170" s="6"/>
      <c r="B1170" s="13"/>
      <c r="C1170" s="81"/>
      <c r="D1170" s="4"/>
      <c r="E1170" s="8"/>
      <c r="F1170" s="17"/>
      <c r="G1170" s="17"/>
      <c r="H1170" s="17"/>
      <c r="I1170" s="17"/>
      <c r="J1170" s="17"/>
      <c r="K1170" s="17"/>
      <c r="L1170" s="17"/>
      <c r="M1170" s="17"/>
      <c r="N1170" s="17"/>
      <c r="O1170" s="17"/>
      <c r="P1170" s="17"/>
      <c r="Q1170" s="17"/>
      <c r="R1170" s="17"/>
      <c r="S1170" s="17"/>
      <c r="T1170" s="17"/>
      <c r="U1170" s="17"/>
      <c r="V1170" s="17"/>
      <c r="W1170" s="17"/>
      <c r="X1170" s="17"/>
      <c r="Y1170" s="17"/>
      <c r="Z1170" s="17"/>
      <c r="AA1170" s="17"/>
      <c r="AB1170" s="17"/>
      <c r="AC1170" s="17"/>
      <c r="AD1170" s="17"/>
      <c r="AE1170" s="17"/>
      <c r="AF1170" s="17"/>
      <c r="AG1170" s="17"/>
      <c r="AH1170" s="17"/>
      <c r="AI1170" s="17"/>
      <c r="AJ1170" s="17"/>
      <c r="AK1170" s="17"/>
      <c r="AL1170" s="17"/>
      <c r="AM1170" s="17"/>
      <c r="AN1170" s="17"/>
      <c r="AO1170" s="17"/>
      <c r="AP1170" s="1"/>
      <c r="AQ1170" s="1"/>
    </row>
    <row r="1171" spans="1:43" x14ac:dyDescent="0.35">
      <c r="A1171" s="6"/>
      <c r="B1171" s="13"/>
      <c r="C1171" s="81"/>
      <c r="D1171" s="4"/>
      <c r="E1171" s="8"/>
      <c r="F1171" s="17"/>
      <c r="G1171" s="17"/>
      <c r="H1171" s="17"/>
      <c r="I1171" s="17"/>
      <c r="J1171" s="17"/>
      <c r="K1171" s="17"/>
      <c r="L1171" s="17"/>
      <c r="M1171" s="17"/>
      <c r="N1171" s="17"/>
      <c r="O1171" s="17"/>
      <c r="P1171" s="17"/>
      <c r="Q1171" s="17"/>
      <c r="R1171" s="17"/>
      <c r="S1171" s="17"/>
      <c r="T1171" s="17"/>
      <c r="U1171" s="17"/>
      <c r="V1171" s="17"/>
      <c r="W1171" s="17"/>
      <c r="X1171" s="17"/>
      <c r="Y1171" s="17"/>
      <c r="Z1171" s="17"/>
      <c r="AA1171" s="17"/>
      <c r="AB1171" s="17"/>
      <c r="AC1171" s="17"/>
      <c r="AD1171" s="17"/>
      <c r="AE1171" s="17"/>
      <c r="AF1171" s="17"/>
      <c r="AG1171" s="17"/>
      <c r="AH1171" s="17"/>
      <c r="AI1171" s="17"/>
      <c r="AJ1171" s="17"/>
      <c r="AK1171" s="17"/>
      <c r="AL1171" s="17"/>
      <c r="AM1171" s="17"/>
      <c r="AN1171" s="17"/>
      <c r="AO1171" s="17"/>
      <c r="AP1171" s="1"/>
      <c r="AQ1171" s="1"/>
    </row>
    <row r="1172" spans="1:43" x14ac:dyDescent="0.35">
      <c r="A1172" s="6"/>
      <c r="B1172" s="13"/>
      <c r="C1172" s="81"/>
      <c r="D1172" s="4"/>
      <c r="E1172" s="8"/>
      <c r="F1172" s="17"/>
      <c r="G1172" s="17"/>
      <c r="H1172" s="17"/>
      <c r="I1172" s="17"/>
      <c r="J1172" s="17"/>
      <c r="K1172" s="17"/>
      <c r="L1172" s="17"/>
      <c r="M1172" s="17"/>
      <c r="N1172" s="17"/>
      <c r="O1172" s="17"/>
      <c r="P1172" s="17"/>
      <c r="Q1172" s="17"/>
      <c r="R1172" s="17"/>
      <c r="S1172" s="17"/>
      <c r="T1172" s="17"/>
      <c r="U1172" s="17"/>
      <c r="V1172" s="17"/>
      <c r="W1172" s="17"/>
      <c r="X1172" s="17"/>
      <c r="Y1172" s="17"/>
      <c r="Z1172" s="17"/>
      <c r="AA1172" s="17"/>
      <c r="AB1172" s="17"/>
      <c r="AC1172" s="17"/>
      <c r="AD1172" s="17"/>
      <c r="AE1172" s="17"/>
      <c r="AF1172" s="17"/>
      <c r="AG1172" s="17"/>
      <c r="AH1172" s="17"/>
      <c r="AI1172" s="17"/>
      <c r="AJ1172" s="17"/>
      <c r="AK1172" s="17"/>
      <c r="AL1172" s="17"/>
      <c r="AM1172" s="17"/>
      <c r="AN1172" s="17"/>
      <c r="AO1172" s="17"/>
      <c r="AP1172" s="1"/>
      <c r="AQ1172" s="1"/>
    </row>
    <row r="1173" spans="1:43" x14ac:dyDescent="0.35">
      <c r="A1173" s="6"/>
      <c r="B1173" s="13"/>
      <c r="C1173" s="81"/>
      <c r="D1173" s="4"/>
      <c r="E1173" s="8"/>
      <c r="F1173" s="17"/>
      <c r="G1173" s="17"/>
      <c r="H1173" s="17"/>
      <c r="I1173" s="17"/>
      <c r="J1173" s="17"/>
      <c r="K1173" s="17"/>
      <c r="L1173" s="17"/>
      <c r="M1173" s="17"/>
      <c r="N1173" s="17"/>
      <c r="O1173" s="17"/>
      <c r="P1173" s="17"/>
      <c r="Q1173" s="17"/>
      <c r="R1173" s="17"/>
      <c r="S1173" s="17"/>
      <c r="T1173" s="17"/>
      <c r="U1173" s="17"/>
      <c r="V1173" s="17"/>
      <c r="W1173" s="17"/>
      <c r="X1173" s="17"/>
      <c r="Y1173" s="17"/>
      <c r="Z1173" s="17"/>
      <c r="AA1173" s="17"/>
      <c r="AB1173" s="17"/>
      <c r="AC1173" s="17"/>
      <c r="AD1173" s="17"/>
      <c r="AE1173" s="17"/>
      <c r="AF1173" s="17"/>
      <c r="AG1173" s="17"/>
      <c r="AH1173" s="17"/>
      <c r="AI1173" s="17"/>
      <c r="AJ1173" s="17"/>
      <c r="AK1173" s="17"/>
      <c r="AL1173" s="17"/>
      <c r="AM1173" s="17"/>
      <c r="AN1173" s="17"/>
      <c r="AO1173" s="17"/>
      <c r="AP1173" s="1"/>
      <c r="AQ1173" s="1"/>
    </row>
    <row r="1174" spans="1:43" x14ac:dyDescent="0.35">
      <c r="A1174" s="6"/>
      <c r="B1174" s="13"/>
      <c r="C1174" s="81"/>
      <c r="D1174" s="4"/>
      <c r="E1174" s="8"/>
      <c r="F1174" s="17"/>
      <c r="G1174" s="17"/>
      <c r="H1174" s="17"/>
      <c r="I1174" s="17"/>
      <c r="J1174" s="17"/>
      <c r="K1174" s="17"/>
      <c r="L1174" s="17"/>
      <c r="M1174" s="17"/>
      <c r="N1174" s="17"/>
      <c r="O1174" s="17"/>
      <c r="P1174" s="17"/>
      <c r="Q1174" s="17"/>
      <c r="R1174" s="17"/>
      <c r="S1174" s="17"/>
      <c r="T1174" s="17"/>
      <c r="U1174" s="17"/>
      <c r="V1174" s="17"/>
      <c r="W1174" s="17"/>
      <c r="X1174" s="17"/>
      <c r="Y1174" s="17"/>
      <c r="Z1174" s="17"/>
      <c r="AA1174" s="17"/>
      <c r="AB1174" s="17"/>
      <c r="AC1174" s="17"/>
      <c r="AD1174" s="17"/>
      <c r="AE1174" s="17"/>
      <c r="AF1174" s="17"/>
      <c r="AG1174" s="17"/>
      <c r="AH1174" s="17"/>
      <c r="AI1174" s="17"/>
      <c r="AJ1174" s="17"/>
      <c r="AK1174" s="17"/>
      <c r="AL1174" s="17"/>
      <c r="AM1174" s="17"/>
      <c r="AN1174" s="17"/>
      <c r="AO1174" s="17"/>
      <c r="AP1174" s="1"/>
      <c r="AQ1174" s="1"/>
    </row>
    <row r="1175" spans="1:43" x14ac:dyDescent="0.35">
      <c r="A1175" s="6"/>
      <c r="B1175" s="13"/>
      <c r="C1175" s="81"/>
      <c r="D1175" s="4"/>
      <c r="E1175" s="8"/>
      <c r="F1175" s="17"/>
      <c r="G1175" s="17"/>
      <c r="H1175" s="17"/>
      <c r="I1175" s="17"/>
      <c r="J1175" s="17"/>
      <c r="K1175" s="17"/>
      <c r="L1175" s="17"/>
      <c r="M1175" s="17"/>
      <c r="N1175" s="17"/>
      <c r="O1175" s="17"/>
      <c r="P1175" s="17"/>
      <c r="Q1175" s="17"/>
      <c r="R1175" s="17"/>
      <c r="S1175" s="17"/>
      <c r="T1175" s="17"/>
      <c r="U1175" s="17"/>
      <c r="V1175" s="17"/>
      <c r="W1175" s="17"/>
      <c r="X1175" s="17"/>
      <c r="Y1175" s="17"/>
      <c r="Z1175" s="17"/>
      <c r="AA1175" s="17"/>
      <c r="AB1175" s="17"/>
      <c r="AC1175" s="17"/>
      <c r="AD1175" s="17"/>
      <c r="AE1175" s="17"/>
      <c r="AF1175" s="17"/>
      <c r="AG1175" s="17"/>
      <c r="AH1175" s="17"/>
      <c r="AI1175" s="17"/>
      <c r="AJ1175" s="17"/>
      <c r="AK1175" s="17"/>
      <c r="AL1175" s="17"/>
      <c r="AM1175" s="17"/>
      <c r="AN1175" s="17"/>
      <c r="AO1175" s="17"/>
      <c r="AP1175" s="1"/>
      <c r="AQ1175" s="1"/>
    </row>
    <row r="1176" spans="1:43" x14ac:dyDescent="0.35">
      <c r="A1176" s="6"/>
      <c r="B1176" s="13"/>
      <c r="C1176" s="81"/>
      <c r="D1176" s="4"/>
      <c r="E1176" s="8"/>
      <c r="F1176" s="17"/>
      <c r="G1176" s="17"/>
      <c r="H1176" s="17"/>
      <c r="I1176" s="17"/>
      <c r="J1176" s="17"/>
      <c r="K1176" s="17"/>
      <c r="L1176" s="17"/>
      <c r="M1176" s="17"/>
      <c r="N1176" s="17"/>
      <c r="O1176" s="17"/>
      <c r="P1176" s="17"/>
      <c r="Q1176" s="17"/>
      <c r="R1176" s="17"/>
      <c r="S1176" s="17"/>
      <c r="T1176" s="17"/>
      <c r="U1176" s="17"/>
      <c r="V1176" s="17"/>
      <c r="W1176" s="17"/>
      <c r="X1176" s="17"/>
      <c r="Y1176" s="17"/>
      <c r="Z1176" s="17"/>
      <c r="AA1176" s="17"/>
      <c r="AB1176" s="17"/>
      <c r="AC1176" s="17"/>
      <c r="AD1176" s="17"/>
      <c r="AE1176" s="17"/>
      <c r="AF1176" s="17"/>
      <c r="AG1176" s="17"/>
      <c r="AH1176" s="17"/>
      <c r="AI1176" s="17"/>
      <c r="AJ1176" s="17"/>
      <c r="AK1176" s="17"/>
      <c r="AL1176" s="17"/>
      <c r="AM1176" s="17"/>
      <c r="AN1176" s="17"/>
      <c r="AO1176" s="17"/>
      <c r="AP1176" s="1"/>
      <c r="AQ1176" s="1"/>
    </row>
    <row r="1177" spans="1:43" x14ac:dyDescent="0.35">
      <c r="A1177" s="6"/>
      <c r="B1177" s="13"/>
      <c r="C1177" s="81"/>
      <c r="D1177" s="4"/>
      <c r="E1177" s="8"/>
      <c r="F1177" s="17"/>
      <c r="G1177" s="17"/>
      <c r="H1177" s="17"/>
      <c r="I1177" s="17"/>
      <c r="J1177" s="17"/>
      <c r="K1177" s="17"/>
      <c r="L1177" s="17"/>
      <c r="M1177" s="17"/>
      <c r="N1177" s="17"/>
      <c r="O1177" s="17"/>
      <c r="P1177" s="17"/>
      <c r="Q1177" s="17"/>
      <c r="R1177" s="17"/>
      <c r="S1177" s="17"/>
      <c r="T1177" s="17"/>
      <c r="U1177" s="17"/>
      <c r="V1177" s="17"/>
      <c r="W1177" s="17"/>
      <c r="X1177" s="17"/>
      <c r="Y1177" s="17"/>
      <c r="Z1177" s="17"/>
      <c r="AA1177" s="17"/>
      <c r="AB1177" s="17"/>
      <c r="AC1177" s="17"/>
      <c r="AD1177" s="17"/>
      <c r="AE1177" s="17"/>
      <c r="AF1177" s="17"/>
      <c r="AG1177" s="17"/>
      <c r="AH1177" s="17"/>
      <c r="AI1177" s="17"/>
      <c r="AJ1177" s="17"/>
      <c r="AK1177" s="17"/>
      <c r="AL1177" s="17"/>
      <c r="AM1177" s="17"/>
      <c r="AN1177" s="17"/>
      <c r="AO1177" s="17"/>
      <c r="AP1177" s="1"/>
      <c r="AQ1177" s="1"/>
    </row>
    <row r="1178" spans="1:43" x14ac:dyDescent="0.35">
      <c r="A1178" s="6"/>
      <c r="B1178" s="13"/>
      <c r="C1178" s="81"/>
      <c r="D1178" s="4"/>
      <c r="E1178" s="8"/>
      <c r="F1178" s="17"/>
      <c r="G1178" s="17"/>
      <c r="H1178" s="17"/>
      <c r="I1178" s="17"/>
      <c r="J1178" s="17"/>
      <c r="K1178" s="17"/>
      <c r="L1178" s="17"/>
      <c r="M1178" s="17"/>
      <c r="N1178" s="17"/>
      <c r="O1178" s="17"/>
      <c r="P1178" s="17"/>
      <c r="Q1178" s="17"/>
      <c r="R1178" s="17"/>
      <c r="S1178" s="17"/>
      <c r="T1178" s="17"/>
      <c r="U1178" s="17"/>
      <c r="V1178" s="17"/>
      <c r="W1178" s="17"/>
      <c r="X1178" s="17"/>
      <c r="Y1178" s="17"/>
      <c r="Z1178" s="17"/>
      <c r="AA1178" s="17"/>
      <c r="AB1178" s="17"/>
      <c r="AC1178" s="17"/>
      <c r="AD1178" s="17"/>
      <c r="AE1178" s="17"/>
      <c r="AF1178" s="17"/>
      <c r="AG1178" s="17"/>
      <c r="AH1178" s="17"/>
      <c r="AI1178" s="17"/>
      <c r="AJ1178" s="17"/>
      <c r="AK1178" s="17"/>
      <c r="AL1178" s="17"/>
      <c r="AM1178" s="17"/>
      <c r="AN1178" s="17"/>
      <c r="AO1178" s="17"/>
      <c r="AP1178" s="1"/>
      <c r="AQ1178" s="1"/>
    </row>
    <row r="1179" spans="1:43" x14ac:dyDescent="0.35">
      <c r="A1179" s="6"/>
      <c r="B1179" s="13"/>
      <c r="C1179" s="81"/>
      <c r="D1179" s="4"/>
      <c r="E1179" s="8"/>
      <c r="F1179" s="17"/>
      <c r="G1179" s="17"/>
      <c r="H1179" s="17"/>
      <c r="I1179" s="17"/>
      <c r="J1179" s="17"/>
      <c r="K1179" s="17"/>
      <c r="L1179" s="17"/>
      <c r="M1179" s="17"/>
      <c r="N1179" s="17"/>
      <c r="O1179" s="17"/>
      <c r="P1179" s="17"/>
      <c r="Q1179" s="17"/>
      <c r="R1179" s="17"/>
      <c r="S1179" s="17"/>
      <c r="T1179" s="17"/>
      <c r="U1179" s="17"/>
      <c r="V1179" s="17"/>
      <c r="W1179" s="17"/>
      <c r="X1179" s="17"/>
      <c r="Y1179" s="17"/>
      <c r="Z1179" s="17"/>
      <c r="AA1179" s="17"/>
      <c r="AB1179" s="17"/>
      <c r="AC1179" s="17"/>
      <c r="AD1179" s="17"/>
      <c r="AE1179" s="17"/>
      <c r="AF1179" s="17"/>
      <c r="AG1179" s="17"/>
      <c r="AH1179" s="17"/>
      <c r="AI1179" s="17"/>
      <c r="AJ1179" s="17"/>
      <c r="AK1179" s="17"/>
      <c r="AL1179" s="17"/>
      <c r="AM1179" s="17"/>
      <c r="AN1179" s="17"/>
      <c r="AO1179" s="17"/>
      <c r="AP1179" s="1"/>
      <c r="AQ1179" s="1"/>
    </row>
    <row r="1180" spans="1:43" x14ac:dyDescent="0.35">
      <c r="A1180" s="6"/>
      <c r="B1180" s="13"/>
      <c r="C1180" s="81"/>
      <c r="D1180" s="4"/>
      <c r="E1180" s="8"/>
      <c r="F1180" s="17"/>
      <c r="G1180" s="17"/>
      <c r="H1180" s="17"/>
      <c r="I1180" s="17"/>
      <c r="J1180" s="17"/>
      <c r="K1180" s="17"/>
      <c r="L1180" s="17"/>
      <c r="M1180" s="17"/>
      <c r="N1180" s="17"/>
      <c r="O1180" s="17"/>
      <c r="P1180" s="17"/>
      <c r="Q1180" s="17"/>
      <c r="R1180" s="17"/>
      <c r="S1180" s="17"/>
      <c r="T1180" s="17"/>
      <c r="U1180" s="17"/>
      <c r="V1180" s="17"/>
      <c r="W1180" s="17"/>
      <c r="X1180" s="17"/>
      <c r="Y1180" s="17"/>
      <c r="Z1180" s="17"/>
      <c r="AA1180" s="17"/>
      <c r="AB1180" s="17"/>
      <c r="AC1180" s="17"/>
      <c r="AD1180" s="17"/>
      <c r="AE1180" s="17"/>
      <c r="AF1180" s="17"/>
      <c r="AG1180" s="17"/>
      <c r="AH1180" s="17"/>
      <c r="AI1180" s="17"/>
      <c r="AJ1180" s="17"/>
      <c r="AK1180" s="17"/>
      <c r="AL1180" s="17"/>
      <c r="AM1180" s="17"/>
      <c r="AN1180" s="17"/>
      <c r="AO1180" s="17"/>
      <c r="AP1180" s="1"/>
      <c r="AQ1180" s="1"/>
    </row>
    <row r="1181" spans="1:43" x14ac:dyDescent="0.35">
      <c r="A1181" s="6"/>
      <c r="B1181" s="13"/>
      <c r="C1181" s="81"/>
      <c r="D1181" s="4"/>
      <c r="E1181" s="8"/>
      <c r="F1181" s="17"/>
      <c r="G1181" s="17"/>
      <c r="H1181" s="17"/>
      <c r="I1181" s="17"/>
      <c r="J1181" s="17"/>
      <c r="K1181" s="17"/>
      <c r="L1181" s="17"/>
      <c r="M1181" s="17"/>
      <c r="N1181" s="17"/>
      <c r="O1181" s="17"/>
      <c r="P1181" s="17"/>
      <c r="Q1181" s="17"/>
      <c r="R1181" s="17"/>
      <c r="S1181" s="17"/>
      <c r="T1181" s="17"/>
      <c r="U1181" s="17"/>
      <c r="V1181" s="17"/>
      <c r="W1181" s="17"/>
      <c r="X1181" s="17"/>
      <c r="Y1181" s="17"/>
      <c r="Z1181" s="17"/>
      <c r="AA1181" s="17"/>
      <c r="AB1181" s="17"/>
      <c r="AC1181" s="17"/>
      <c r="AD1181" s="17"/>
      <c r="AE1181" s="17"/>
      <c r="AF1181" s="17"/>
      <c r="AG1181" s="17"/>
      <c r="AH1181" s="17"/>
      <c r="AI1181" s="17"/>
      <c r="AJ1181" s="17"/>
      <c r="AK1181" s="17"/>
      <c r="AL1181" s="17"/>
      <c r="AM1181" s="17"/>
      <c r="AN1181" s="17"/>
      <c r="AO1181" s="17"/>
      <c r="AP1181" s="1"/>
      <c r="AQ1181" s="1"/>
    </row>
    <row r="1182" spans="1:43" x14ac:dyDescent="0.35">
      <c r="A1182" s="6"/>
      <c r="B1182" s="13"/>
      <c r="C1182" s="81"/>
      <c r="D1182" s="4"/>
      <c r="E1182" s="8"/>
      <c r="F1182" s="17"/>
      <c r="G1182" s="17"/>
      <c r="H1182" s="17"/>
      <c r="I1182" s="17"/>
      <c r="J1182" s="17"/>
      <c r="K1182" s="17"/>
      <c r="L1182" s="17"/>
      <c r="M1182" s="17"/>
      <c r="N1182" s="17"/>
      <c r="O1182" s="17"/>
      <c r="P1182" s="17"/>
      <c r="Q1182" s="17"/>
      <c r="R1182" s="17"/>
      <c r="S1182" s="17"/>
      <c r="T1182" s="17"/>
      <c r="U1182" s="17"/>
      <c r="V1182" s="17"/>
      <c r="W1182" s="17"/>
      <c r="X1182" s="17"/>
      <c r="Y1182" s="17"/>
      <c r="Z1182" s="17"/>
      <c r="AA1182" s="17"/>
      <c r="AB1182" s="17"/>
      <c r="AC1182" s="17"/>
      <c r="AD1182" s="17"/>
      <c r="AE1182" s="17"/>
      <c r="AF1182" s="17"/>
      <c r="AG1182" s="17"/>
      <c r="AH1182" s="17"/>
      <c r="AI1182" s="17"/>
      <c r="AJ1182" s="17"/>
      <c r="AK1182" s="17"/>
      <c r="AL1182" s="17"/>
      <c r="AM1182" s="17"/>
      <c r="AN1182" s="17"/>
      <c r="AO1182" s="17"/>
      <c r="AP1182" s="1"/>
      <c r="AQ1182" s="1"/>
    </row>
    <row r="1183" spans="1:43" x14ac:dyDescent="0.35">
      <c r="A1183" s="6"/>
      <c r="B1183" s="13"/>
      <c r="C1183" s="81"/>
      <c r="D1183" s="4"/>
      <c r="E1183" s="8"/>
      <c r="F1183" s="17"/>
      <c r="G1183" s="17"/>
      <c r="H1183" s="17"/>
      <c r="I1183" s="17"/>
      <c r="J1183" s="17"/>
      <c r="K1183" s="17"/>
      <c r="L1183" s="17"/>
      <c r="M1183" s="17"/>
      <c r="N1183" s="17"/>
      <c r="O1183" s="17"/>
      <c r="P1183" s="17"/>
      <c r="Q1183" s="17"/>
      <c r="R1183" s="17"/>
      <c r="S1183" s="17"/>
      <c r="T1183" s="17"/>
      <c r="U1183" s="17"/>
      <c r="V1183" s="17"/>
      <c r="W1183" s="17"/>
      <c r="X1183" s="17"/>
      <c r="Y1183" s="17"/>
      <c r="Z1183" s="17"/>
      <c r="AA1183" s="17"/>
      <c r="AB1183" s="17"/>
      <c r="AC1183" s="17"/>
      <c r="AD1183" s="17"/>
      <c r="AE1183" s="17"/>
      <c r="AF1183" s="17"/>
      <c r="AG1183" s="17"/>
      <c r="AH1183" s="17"/>
      <c r="AI1183" s="17"/>
      <c r="AJ1183" s="17"/>
      <c r="AK1183" s="17"/>
      <c r="AL1183" s="17"/>
      <c r="AM1183" s="17"/>
      <c r="AN1183" s="17"/>
      <c r="AO1183" s="17"/>
      <c r="AP1183" s="1"/>
      <c r="AQ1183" s="1"/>
    </row>
    <row r="1184" spans="1:43" x14ac:dyDescent="0.35">
      <c r="A1184" s="6"/>
      <c r="B1184" s="13"/>
      <c r="C1184" s="81"/>
      <c r="D1184" s="4"/>
      <c r="E1184" s="8"/>
      <c r="F1184" s="17"/>
      <c r="G1184" s="17"/>
      <c r="H1184" s="17"/>
      <c r="I1184" s="17"/>
      <c r="J1184" s="17"/>
      <c r="K1184" s="17"/>
      <c r="L1184" s="17"/>
      <c r="M1184" s="17"/>
      <c r="N1184" s="17"/>
      <c r="O1184" s="17"/>
      <c r="P1184" s="17"/>
      <c r="Q1184" s="17"/>
      <c r="R1184" s="17"/>
      <c r="S1184" s="17"/>
      <c r="T1184" s="17"/>
      <c r="U1184" s="17"/>
      <c r="V1184" s="17"/>
      <c r="W1184" s="17"/>
      <c r="X1184" s="17"/>
      <c r="Y1184" s="17"/>
      <c r="Z1184" s="17"/>
      <c r="AA1184" s="17"/>
      <c r="AB1184" s="17"/>
      <c r="AC1184" s="17"/>
      <c r="AD1184" s="17"/>
      <c r="AE1184" s="17"/>
      <c r="AF1184" s="17"/>
      <c r="AG1184" s="17"/>
      <c r="AH1184" s="17"/>
      <c r="AI1184" s="17"/>
      <c r="AJ1184" s="17"/>
      <c r="AK1184" s="17"/>
      <c r="AL1184" s="17"/>
      <c r="AM1184" s="17"/>
      <c r="AN1184" s="17"/>
      <c r="AO1184" s="17"/>
      <c r="AP1184" s="1"/>
      <c r="AQ1184" s="1"/>
    </row>
    <row r="1185" spans="1:43" x14ac:dyDescent="0.35">
      <c r="A1185" s="6"/>
      <c r="B1185" s="13"/>
      <c r="C1185" s="81"/>
      <c r="D1185" s="4"/>
      <c r="E1185" s="8"/>
      <c r="F1185" s="17"/>
      <c r="G1185" s="17"/>
      <c r="H1185" s="17"/>
      <c r="I1185" s="17"/>
      <c r="J1185" s="17"/>
      <c r="K1185" s="17"/>
      <c r="L1185" s="17"/>
      <c r="M1185" s="17"/>
      <c r="N1185" s="17"/>
      <c r="O1185" s="17"/>
      <c r="P1185" s="17"/>
      <c r="Q1185" s="17"/>
      <c r="R1185" s="17"/>
      <c r="S1185" s="17"/>
      <c r="T1185" s="17"/>
      <c r="U1185" s="17"/>
      <c r="V1185" s="17"/>
      <c r="W1185" s="17"/>
      <c r="X1185" s="17"/>
      <c r="Y1185" s="17"/>
      <c r="Z1185" s="17"/>
      <c r="AA1185" s="17"/>
      <c r="AB1185" s="17"/>
      <c r="AC1185" s="17"/>
      <c r="AD1185" s="17"/>
      <c r="AE1185" s="17"/>
      <c r="AF1185" s="17"/>
      <c r="AG1185" s="17"/>
      <c r="AH1185" s="17"/>
      <c r="AI1185" s="17"/>
      <c r="AJ1185" s="17"/>
      <c r="AK1185" s="17"/>
      <c r="AL1185" s="17"/>
      <c r="AM1185" s="17"/>
      <c r="AN1185" s="17"/>
      <c r="AO1185" s="17"/>
      <c r="AP1185" s="1"/>
      <c r="AQ1185" s="1"/>
    </row>
    <row r="1186" spans="1:43" x14ac:dyDescent="0.35">
      <c r="A1186" s="6"/>
      <c r="B1186" s="13"/>
      <c r="C1186" s="81"/>
      <c r="D1186" s="4"/>
      <c r="E1186" s="8"/>
      <c r="F1186" s="17"/>
      <c r="G1186" s="17"/>
      <c r="H1186" s="17"/>
      <c r="I1186" s="17"/>
      <c r="J1186" s="17"/>
      <c r="K1186" s="17"/>
      <c r="L1186" s="17"/>
      <c r="M1186" s="17"/>
      <c r="N1186" s="17"/>
      <c r="O1186" s="17"/>
      <c r="P1186" s="17"/>
      <c r="Q1186" s="17"/>
      <c r="R1186" s="17"/>
      <c r="S1186" s="17"/>
      <c r="T1186" s="17"/>
      <c r="U1186" s="17"/>
      <c r="V1186" s="17"/>
      <c r="W1186" s="17"/>
      <c r="X1186" s="17"/>
      <c r="Y1186" s="17"/>
      <c r="Z1186" s="17"/>
      <c r="AA1186" s="17"/>
      <c r="AB1186" s="17"/>
      <c r="AC1186" s="17"/>
      <c r="AD1186" s="17"/>
      <c r="AE1186" s="17"/>
      <c r="AF1186" s="17"/>
      <c r="AG1186" s="17"/>
      <c r="AH1186" s="17"/>
      <c r="AI1186" s="17"/>
      <c r="AJ1186" s="17"/>
      <c r="AK1186" s="17"/>
      <c r="AL1186" s="17"/>
      <c r="AM1186" s="17"/>
      <c r="AN1186" s="17"/>
      <c r="AO1186" s="17"/>
      <c r="AP1186" s="1"/>
      <c r="AQ1186" s="1"/>
    </row>
    <row r="1187" spans="1:43" x14ac:dyDescent="0.35">
      <c r="A1187" s="6"/>
      <c r="B1187" s="13"/>
      <c r="C1187" s="81"/>
      <c r="D1187" s="4"/>
      <c r="E1187" s="8"/>
      <c r="F1187" s="17"/>
      <c r="G1187" s="17"/>
      <c r="H1187" s="17"/>
      <c r="I1187" s="17"/>
      <c r="J1187" s="17"/>
      <c r="K1187" s="17"/>
      <c r="L1187" s="17"/>
      <c r="M1187" s="17"/>
      <c r="N1187" s="17"/>
      <c r="O1187" s="17"/>
      <c r="P1187" s="17"/>
      <c r="Q1187" s="17"/>
      <c r="R1187" s="17"/>
      <c r="S1187" s="17"/>
      <c r="T1187" s="17"/>
      <c r="U1187" s="17"/>
      <c r="V1187" s="17"/>
      <c r="W1187" s="17"/>
      <c r="X1187" s="17"/>
      <c r="Y1187" s="17"/>
      <c r="Z1187" s="17"/>
      <c r="AA1187" s="17"/>
      <c r="AB1187" s="17"/>
      <c r="AC1187" s="17"/>
      <c r="AD1187" s="17"/>
      <c r="AE1187" s="17"/>
      <c r="AF1187" s="17"/>
      <c r="AG1187" s="17"/>
      <c r="AH1187" s="17"/>
      <c r="AI1187" s="17"/>
      <c r="AJ1187" s="17"/>
      <c r="AK1187" s="17"/>
      <c r="AL1187" s="17"/>
      <c r="AM1187" s="17"/>
      <c r="AN1187" s="17"/>
      <c r="AO1187" s="17"/>
      <c r="AP1187" s="1"/>
      <c r="AQ1187" s="1"/>
    </row>
    <row r="1188" spans="1:43" x14ac:dyDescent="0.35">
      <c r="A1188" s="6"/>
      <c r="B1188" s="13"/>
      <c r="C1188" s="81"/>
      <c r="D1188" s="4"/>
      <c r="E1188" s="8"/>
      <c r="F1188" s="17"/>
      <c r="G1188" s="17"/>
      <c r="H1188" s="17"/>
      <c r="I1188" s="17"/>
      <c r="J1188" s="17"/>
      <c r="K1188" s="17"/>
      <c r="L1188" s="17"/>
      <c r="M1188" s="17"/>
      <c r="N1188" s="17"/>
      <c r="O1188" s="17"/>
      <c r="P1188" s="17"/>
      <c r="Q1188" s="17"/>
      <c r="R1188" s="17"/>
      <c r="S1188" s="17"/>
      <c r="T1188" s="17"/>
      <c r="U1188" s="17"/>
      <c r="V1188" s="17"/>
      <c r="W1188" s="17"/>
      <c r="X1188" s="17"/>
      <c r="Y1188" s="17"/>
      <c r="Z1188" s="17"/>
      <c r="AA1188" s="17"/>
      <c r="AB1188" s="17"/>
      <c r="AC1188" s="17"/>
      <c r="AD1188" s="17"/>
      <c r="AE1188" s="17"/>
      <c r="AF1188" s="17"/>
      <c r="AG1188" s="17"/>
      <c r="AH1188" s="17"/>
      <c r="AI1188" s="17"/>
      <c r="AJ1188" s="17"/>
      <c r="AK1188" s="17"/>
      <c r="AL1188" s="17"/>
      <c r="AM1188" s="17"/>
      <c r="AN1188" s="17"/>
      <c r="AO1188" s="17"/>
      <c r="AP1188" s="1"/>
      <c r="AQ1188" s="1"/>
    </row>
    <row r="1189" spans="1:43" x14ac:dyDescent="0.35">
      <c r="A1189" s="6"/>
      <c r="B1189" s="13"/>
      <c r="C1189" s="81"/>
      <c r="D1189" s="4"/>
      <c r="E1189" s="8"/>
      <c r="F1189" s="17"/>
      <c r="G1189" s="17"/>
      <c r="H1189" s="17"/>
      <c r="I1189" s="17"/>
      <c r="J1189" s="17"/>
      <c r="K1189" s="17"/>
      <c r="L1189" s="17"/>
      <c r="M1189" s="17"/>
      <c r="N1189" s="17"/>
      <c r="O1189" s="17"/>
      <c r="P1189" s="17"/>
      <c r="Q1189" s="17"/>
      <c r="R1189" s="17"/>
      <c r="S1189" s="17"/>
      <c r="T1189" s="17"/>
      <c r="U1189" s="17"/>
      <c r="V1189" s="17"/>
      <c r="W1189" s="17"/>
      <c r="X1189" s="17"/>
      <c r="Y1189" s="17"/>
      <c r="Z1189" s="17"/>
      <c r="AA1189" s="17"/>
      <c r="AB1189" s="17"/>
      <c r="AC1189" s="17"/>
      <c r="AD1189" s="17"/>
      <c r="AE1189" s="17"/>
      <c r="AF1189" s="17"/>
      <c r="AG1189" s="17"/>
      <c r="AH1189" s="17"/>
      <c r="AI1189" s="17"/>
      <c r="AJ1189" s="17"/>
      <c r="AK1189" s="17"/>
      <c r="AL1189" s="17"/>
      <c r="AM1189" s="17"/>
      <c r="AN1189" s="17"/>
      <c r="AO1189" s="17"/>
      <c r="AP1189" s="1"/>
      <c r="AQ1189" s="1"/>
    </row>
    <row r="1190" spans="1:43" x14ac:dyDescent="0.35">
      <c r="A1190" s="6"/>
      <c r="B1190" s="13"/>
      <c r="C1190" s="81"/>
      <c r="D1190" s="4"/>
      <c r="E1190" s="8"/>
      <c r="F1190" s="17"/>
      <c r="G1190" s="17"/>
      <c r="H1190" s="17"/>
      <c r="I1190" s="17"/>
      <c r="J1190" s="17"/>
      <c r="K1190" s="17"/>
      <c r="L1190" s="17"/>
      <c r="M1190" s="17"/>
      <c r="N1190" s="17"/>
      <c r="O1190" s="17"/>
      <c r="P1190" s="17"/>
      <c r="Q1190" s="17"/>
      <c r="R1190" s="17"/>
      <c r="S1190" s="17"/>
      <c r="T1190" s="17"/>
      <c r="U1190" s="17"/>
      <c r="V1190" s="17"/>
      <c r="W1190" s="17"/>
      <c r="X1190" s="17"/>
      <c r="Y1190" s="17"/>
      <c r="Z1190" s="17"/>
      <c r="AA1190" s="17"/>
      <c r="AB1190" s="17"/>
      <c r="AC1190" s="17"/>
      <c r="AD1190" s="17"/>
      <c r="AE1190" s="17"/>
      <c r="AF1190" s="17"/>
      <c r="AG1190" s="17"/>
      <c r="AH1190" s="17"/>
      <c r="AI1190" s="17"/>
      <c r="AJ1190" s="17"/>
      <c r="AK1190" s="17"/>
      <c r="AL1190" s="17"/>
      <c r="AM1190" s="17"/>
      <c r="AN1190" s="17"/>
      <c r="AO1190" s="17"/>
      <c r="AP1190" s="1"/>
      <c r="AQ1190" s="1"/>
    </row>
    <row r="1191" spans="1:43" x14ac:dyDescent="0.35">
      <c r="A1191" s="6"/>
      <c r="B1191" s="13"/>
      <c r="C1191" s="81"/>
      <c r="D1191" s="4"/>
      <c r="E1191" s="8"/>
      <c r="F1191" s="17"/>
      <c r="G1191" s="17"/>
      <c r="H1191" s="17"/>
      <c r="I1191" s="17"/>
      <c r="J1191" s="17"/>
      <c r="K1191" s="17"/>
      <c r="L1191" s="17"/>
      <c r="M1191" s="17"/>
      <c r="N1191" s="17"/>
      <c r="O1191" s="17"/>
      <c r="P1191" s="17"/>
      <c r="Q1191" s="17"/>
      <c r="R1191" s="17"/>
      <c r="S1191" s="17"/>
      <c r="T1191" s="17"/>
      <c r="U1191" s="17"/>
      <c r="V1191" s="17"/>
      <c r="W1191" s="17"/>
      <c r="X1191" s="17"/>
      <c r="Y1191" s="17"/>
      <c r="Z1191" s="17"/>
      <c r="AA1191" s="17"/>
      <c r="AB1191" s="17"/>
      <c r="AC1191" s="17"/>
      <c r="AD1191" s="17"/>
      <c r="AE1191" s="17"/>
      <c r="AF1191" s="17"/>
      <c r="AG1191" s="17"/>
      <c r="AH1191" s="17"/>
      <c r="AI1191" s="17"/>
      <c r="AJ1191" s="17"/>
      <c r="AK1191" s="17"/>
      <c r="AL1191" s="17"/>
      <c r="AM1191" s="17"/>
      <c r="AN1191" s="17"/>
      <c r="AO1191" s="17"/>
      <c r="AP1191" s="1"/>
      <c r="AQ1191" s="1"/>
    </row>
    <row r="1192" spans="1:43" x14ac:dyDescent="0.35">
      <c r="A1192" s="6"/>
      <c r="B1192" s="13"/>
      <c r="C1192" s="81"/>
      <c r="D1192" s="4"/>
      <c r="E1192" s="8"/>
      <c r="F1192" s="17"/>
      <c r="G1192" s="17"/>
      <c r="H1192" s="17"/>
      <c r="I1192" s="17"/>
      <c r="J1192" s="17"/>
      <c r="K1192" s="17"/>
      <c r="L1192" s="17"/>
      <c r="M1192" s="17"/>
      <c r="N1192" s="17"/>
      <c r="O1192" s="17"/>
      <c r="P1192" s="17"/>
      <c r="Q1192" s="17"/>
      <c r="R1192" s="17"/>
      <c r="S1192" s="17"/>
      <c r="T1192" s="17"/>
      <c r="U1192" s="17"/>
      <c r="V1192" s="17"/>
      <c r="W1192" s="17"/>
      <c r="X1192" s="17"/>
      <c r="Y1192" s="17"/>
      <c r="Z1192" s="17"/>
      <c r="AA1192" s="17"/>
      <c r="AB1192" s="17"/>
      <c r="AC1192" s="17"/>
      <c r="AD1192" s="17"/>
      <c r="AE1192" s="17"/>
      <c r="AF1192" s="17"/>
      <c r="AG1192" s="17"/>
      <c r="AH1192" s="17"/>
      <c r="AI1192" s="17"/>
      <c r="AJ1192" s="17"/>
      <c r="AK1192" s="17"/>
      <c r="AL1192" s="17"/>
      <c r="AM1192" s="17"/>
      <c r="AN1192" s="17"/>
      <c r="AO1192" s="17"/>
      <c r="AP1192" s="1"/>
      <c r="AQ1192" s="1"/>
    </row>
    <row r="1193" spans="1:43" x14ac:dyDescent="0.35">
      <c r="A1193" s="6"/>
      <c r="B1193" s="13"/>
      <c r="C1193" s="81"/>
      <c r="D1193" s="4"/>
      <c r="E1193" s="8"/>
      <c r="F1193" s="17"/>
      <c r="G1193" s="17"/>
      <c r="H1193" s="17"/>
      <c r="I1193" s="17"/>
      <c r="J1193" s="17"/>
      <c r="K1193" s="17"/>
      <c r="L1193" s="17"/>
      <c r="M1193" s="17"/>
      <c r="N1193" s="17"/>
      <c r="O1193" s="17"/>
      <c r="P1193" s="17"/>
      <c r="Q1193" s="17"/>
      <c r="R1193" s="17"/>
      <c r="S1193" s="17"/>
      <c r="T1193" s="17"/>
      <c r="U1193" s="17"/>
      <c r="V1193" s="17"/>
      <c r="W1193" s="17"/>
      <c r="X1193" s="17"/>
      <c r="Y1193" s="17"/>
      <c r="Z1193" s="17"/>
      <c r="AA1193" s="17"/>
      <c r="AB1193" s="17"/>
      <c r="AC1193" s="17"/>
      <c r="AD1193" s="17"/>
      <c r="AE1193" s="17"/>
      <c r="AF1193" s="17"/>
      <c r="AG1193" s="17"/>
      <c r="AH1193" s="17"/>
      <c r="AI1193" s="17"/>
      <c r="AJ1193" s="17"/>
      <c r="AK1193" s="17"/>
      <c r="AL1193" s="17"/>
      <c r="AM1193" s="17"/>
      <c r="AN1193" s="17"/>
      <c r="AO1193" s="17"/>
      <c r="AP1193" s="1"/>
      <c r="AQ1193" s="1"/>
    </row>
    <row r="1194" spans="1:43" x14ac:dyDescent="0.35">
      <c r="A1194" s="6"/>
      <c r="B1194" s="13"/>
      <c r="C1194" s="81"/>
      <c r="D1194" s="4"/>
      <c r="E1194" s="8"/>
      <c r="F1194" s="17"/>
      <c r="G1194" s="17"/>
      <c r="H1194" s="17"/>
      <c r="I1194" s="17"/>
      <c r="J1194" s="17"/>
      <c r="K1194" s="17"/>
      <c r="L1194" s="17"/>
      <c r="M1194" s="17"/>
      <c r="N1194" s="17"/>
      <c r="O1194" s="17"/>
      <c r="P1194" s="17"/>
      <c r="Q1194" s="17"/>
      <c r="R1194" s="17"/>
      <c r="S1194" s="17"/>
      <c r="T1194" s="17"/>
      <c r="U1194" s="17"/>
      <c r="V1194" s="17"/>
      <c r="W1194" s="17"/>
      <c r="X1194" s="17"/>
      <c r="Y1194" s="17"/>
      <c r="Z1194" s="17"/>
      <c r="AA1194" s="17"/>
      <c r="AB1194" s="17"/>
      <c r="AC1194" s="17"/>
      <c r="AD1194" s="17"/>
      <c r="AE1194" s="17"/>
      <c r="AF1194" s="17"/>
      <c r="AG1194" s="17"/>
      <c r="AH1194" s="17"/>
      <c r="AI1194" s="17"/>
      <c r="AJ1194" s="17"/>
      <c r="AK1194" s="17"/>
      <c r="AL1194" s="17"/>
      <c r="AM1194" s="17"/>
      <c r="AN1194" s="17"/>
      <c r="AO1194" s="17"/>
      <c r="AP1194" s="1"/>
      <c r="AQ1194" s="1"/>
    </row>
    <row r="1195" spans="1:43" x14ac:dyDescent="0.35">
      <c r="A1195" s="6"/>
      <c r="B1195" s="13"/>
      <c r="C1195" s="81"/>
      <c r="D1195" s="4"/>
      <c r="E1195" s="8"/>
      <c r="F1195" s="17"/>
      <c r="G1195" s="17"/>
      <c r="H1195" s="17"/>
      <c r="I1195" s="17"/>
      <c r="J1195" s="17"/>
      <c r="K1195" s="17"/>
      <c r="L1195" s="17"/>
      <c r="M1195" s="17"/>
      <c r="N1195" s="17"/>
      <c r="O1195" s="17"/>
      <c r="P1195" s="17"/>
      <c r="Q1195" s="17"/>
      <c r="R1195" s="17"/>
      <c r="S1195" s="17"/>
      <c r="T1195" s="17"/>
      <c r="U1195" s="17"/>
      <c r="V1195" s="17"/>
      <c r="W1195" s="17"/>
      <c r="X1195" s="17"/>
      <c r="Y1195" s="17"/>
      <c r="Z1195" s="17"/>
      <c r="AA1195" s="17"/>
      <c r="AB1195" s="17"/>
      <c r="AC1195" s="17"/>
      <c r="AD1195" s="17"/>
      <c r="AE1195" s="17"/>
      <c r="AF1195" s="17"/>
      <c r="AG1195" s="17"/>
      <c r="AH1195" s="17"/>
      <c r="AI1195" s="17"/>
      <c r="AJ1195" s="17"/>
      <c r="AK1195" s="17"/>
      <c r="AL1195" s="17"/>
      <c r="AM1195" s="17"/>
      <c r="AN1195" s="17"/>
      <c r="AO1195" s="17"/>
      <c r="AP1195" s="1"/>
      <c r="AQ1195" s="1"/>
    </row>
    <row r="1196" spans="1:43" x14ac:dyDescent="0.35">
      <c r="A1196" s="6"/>
      <c r="B1196" s="13"/>
      <c r="C1196" s="81"/>
      <c r="D1196" s="4"/>
      <c r="E1196" s="8"/>
      <c r="F1196" s="17"/>
      <c r="G1196" s="17"/>
      <c r="H1196" s="17"/>
      <c r="I1196" s="17"/>
      <c r="J1196" s="17"/>
      <c r="K1196" s="17"/>
      <c r="L1196" s="17"/>
      <c r="M1196" s="17"/>
      <c r="N1196" s="17"/>
      <c r="O1196" s="17"/>
      <c r="P1196" s="17"/>
      <c r="Q1196" s="17"/>
      <c r="R1196" s="17"/>
      <c r="S1196" s="17"/>
      <c r="T1196" s="17"/>
      <c r="U1196" s="17"/>
      <c r="V1196" s="17"/>
      <c r="W1196" s="17"/>
      <c r="X1196" s="17"/>
      <c r="Y1196" s="17"/>
      <c r="Z1196" s="17"/>
      <c r="AA1196" s="17"/>
      <c r="AB1196" s="17"/>
      <c r="AC1196" s="17"/>
      <c r="AD1196" s="17"/>
      <c r="AE1196" s="17"/>
      <c r="AF1196" s="17"/>
      <c r="AG1196" s="17"/>
      <c r="AH1196" s="17"/>
      <c r="AI1196" s="17"/>
      <c r="AJ1196" s="17"/>
      <c r="AK1196" s="17"/>
      <c r="AL1196" s="17"/>
      <c r="AM1196" s="17"/>
      <c r="AN1196" s="17"/>
      <c r="AO1196" s="17"/>
      <c r="AP1196" s="1"/>
      <c r="AQ1196" s="1"/>
    </row>
    <row r="1197" spans="1:43" x14ac:dyDescent="0.35">
      <c r="A1197" s="6"/>
      <c r="B1197" s="13"/>
      <c r="C1197" s="81"/>
      <c r="D1197" s="4"/>
      <c r="E1197" s="8"/>
      <c r="F1197" s="17"/>
      <c r="G1197" s="17"/>
      <c r="H1197" s="17"/>
      <c r="I1197" s="17"/>
      <c r="J1197" s="17"/>
      <c r="K1197" s="17"/>
      <c r="L1197" s="17"/>
      <c r="M1197" s="17"/>
      <c r="N1197" s="17"/>
      <c r="O1197" s="17"/>
      <c r="P1197" s="17"/>
      <c r="Q1197" s="17"/>
      <c r="R1197" s="17"/>
      <c r="S1197" s="17"/>
      <c r="T1197" s="17"/>
      <c r="U1197" s="17"/>
      <c r="V1197" s="17"/>
      <c r="W1197" s="17"/>
      <c r="X1197" s="17"/>
      <c r="Y1197" s="17"/>
      <c r="Z1197" s="17"/>
      <c r="AA1197" s="17"/>
      <c r="AB1197" s="17"/>
      <c r="AC1197" s="17"/>
      <c r="AD1197" s="17"/>
      <c r="AE1197" s="17"/>
      <c r="AF1197" s="17"/>
      <c r="AG1197" s="17"/>
      <c r="AH1197" s="17"/>
      <c r="AI1197" s="17"/>
      <c r="AJ1197" s="17"/>
      <c r="AK1197" s="17"/>
      <c r="AL1197" s="17"/>
      <c r="AM1197" s="17"/>
      <c r="AN1197" s="17"/>
      <c r="AO1197" s="17"/>
      <c r="AP1197" s="1"/>
      <c r="AQ1197" s="1"/>
    </row>
    <row r="1198" spans="1:43" x14ac:dyDescent="0.35">
      <c r="A1198" s="6"/>
      <c r="B1198" s="13"/>
      <c r="C1198" s="81"/>
      <c r="D1198" s="4"/>
      <c r="E1198" s="8"/>
      <c r="F1198" s="17"/>
      <c r="G1198" s="17"/>
      <c r="H1198" s="17"/>
      <c r="I1198" s="17"/>
      <c r="J1198" s="17"/>
      <c r="K1198" s="17"/>
      <c r="L1198" s="17"/>
      <c r="M1198" s="17"/>
      <c r="N1198" s="17"/>
      <c r="O1198" s="17"/>
      <c r="P1198" s="17"/>
      <c r="Q1198" s="17"/>
      <c r="R1198" s="17"/>
      <c r="S1198" s="17"/>
      <c r="T1198" s="17"/>
      <c r="U1198" s="17"/>
      <c r="V1198" s="17"/>
      <c r="W1198" s="17"/>
      <c r="X1198" s="17"/>
      <c r="Y1198" s="17"/>
      <c r="Z1198" s="17"/>
      <c r="AA1198" s="17"/>
      <c r="AB1198" s="17"/>
      <c r="AC1198" s="17"/>
      <c r="AD1198" s="17"/>
      <c r="AE1198" s="17"/>
      <c r="AF1198" s="17"/>
      <c r="AG1198" s="17"/>
      <c r="AH1198" s="17"/>
      <c r="AI1198" s="17"/>
      <c r="AJ1198" s="17"/>
      <c r="AK1198" s="17"/>
      <c r="AL1198" s="17"/>
      <c r="AM1198" s="17"/>
      <c r="AN1198" s="17"/>
      <c r="AO1198" s="17"/>
      <c r="AP1198" s="1"/>
      <c r="AQ1198" s="1"/>
    </row>
    <row r="1199" spans="1:43" x14ac:dyDescent="0.35">
      <c r="A1199" s="6"/>
      <c r="B1199" s="13"/>
      <c r="C1199" s="81"/>
      <c r="D1199" s="4"/>
      <c r="E1199" s="8"/>
      <c r="F1199" s="17"/>
      <c r="G1199" s="17"/>
      <c r="H1199" s="17"/>
      <c r="I1199" s="17"/>
      <c r="J1199" s="17"/>
      <c r="K1199" s="17"/>
      <c r="L1199" s="17"/>
      <c r="M1199" s="17"/>
      <c r="N1199" s="17"/>
      <c r="O1199" s="17"/>
      <c r="P1199" s="17"/>
      <c r="Q1199" s="17"/>
      <c r="R1199" s="17"/>
      <c r="S1199" s="17"/>
      <c r="T1199" s="17"/>
      <c r="U1199" s="17"/>
      <c r="V1199" s="17"/>
      <c r="W1199" s="17"/>
      <c r="X1199" s="17"/>
      <c r="Y1199" s="17"/>
      <c r="Z1199" s="17"/>
      <c r="AA1199" s="17"/>
      <c r="AB1199" s="17"/>
      <c r="AC1199" s="17"/>
      <c r="AD1199" s="17"/>
      <c r="AE1199" s="17"/>
      <c r="AF1199" s="17"/>
      <c r="AG1199" s="17"/>
      <c r="AH1199" s="17"/>
      <c r="AI1199" s="17"/>
      <c r="AJ1199" s="17"/>
      <c r="AK1199" s="17"/>
      <c r="AL1199" s="17"/>
      <c r="AM1199" s="17"/>
      <c r="AN1199" s="17"/>
      <c r="AO1199" s="17"/>
      <c r="AP1199" s="1"/>
      <c r="AQ1199" s="1"/>
    </row>
    <row r="1200" spans="1:43" x14ac:dyDescent="0.35">
      <c r="A1200" s="6"/>
      <c r="B1200" s="13"/>
      <c r="C1200" s="81"/>
      <c r="D1200" s="4"/>
      <c r="E1200" s="8"/>
      <c r="F1200" s="17"/>
      <c r="G1200" s="17"/>
      <c r="H1200" s="17"/>
      <c r="I1200" s="17"/>
      <c r="J1200" s="17"/>
      <c r="K1200" s="17"/>
      <c r="L1200" s="17"/>
      <c r="M1200" s="17"/>
      <c r="N1200" s="17"/>
      <c r="O1200" s="17"/>
      <c r="P1200" s="17"/>
      <c r="Q1200" s="17"/>
      <c r="R1200" s="17"/>
      <c r="S1200" s="17"/>
      <c r="T1200" s="17"/>
      <c r="U1200" s="17"/>
      <c r="V1200" s="17"/>
      <c r="W1200" s="17"/>
      <c r="X1200" s="17"/>
      <c r="Y1200" s="17"/>
      <c r="Z1200" s="17"/>
      <c r="AA1200" s="17"/>
      <c r="AB1200" s="17"/>
      <c r="AC1200" s="17"/>
      <c r="AD1200" s="17"/>
      <c r="AE1200" s="17"/>
      <c r="AF1200" s="17"/>
      <c r="AG1200" s="17"/>
      <c r="AH1200" s="17"/>
      <c r="AI1200" s="17"/>
      <c r="AJ1200" s="17"/>
      <c r="AK1200" s="17"/>
      <c r="AL1200" s="17"/>
      <c r="AM1200" s="17"/>
      <c r="AN1200" s="17"/>
      <c r="AO1200" s="17"/>
      <c r="AP1200" s="1"/>
      <c r="AQ1200" s="1"/>
    </row>
    <row r="1201" spans="1:43" x14ac:dyDescent="0.35">
      <c r="A1201" s="6"/>
      <c r="B1201" s="13"/>
      <c r="C1201" s="81"/>
      <c r="D1201" s="4"/>
      <c r="E1201" s="8"/>
      <c r="F1201" s="17"/>
      <c r="G1201" s="17"/>
      <c r="H1201" s="17"/>
      <c r="I1201" s="17"/>
      <c r="J1201" s="17"/>
      <c r="K1201" s="17"/>
      <c r="L1201" s="17"/>
      <c r="M1201" s="17"/>
      <c r="N1201" s="17"/>
      <c r="O1201" s="17"/>
      <c r="P1201" s="17"/>
      <c r="Q1201" s="17"/>
      <c r="R1201" s="17"/>
      <c r="S1201" s="17"/>
      <c r="T1201" s="17"/>
      <c r="U1201" s="17"/>
      <c r="V1201" s="17"/>
      <c r="W1201" s="17"/>
      <c r="X1201" s="17"/>
      <c r="Y1201" s="17"/>
      <c r="Z1201" s="17"/>
      <c r="AA1201" s="17"/>
      <c r="AB1201" s="17"/>
      <c r="AC1201" s="17"/>
      <c r="AD1201" s="17"/>
      <c r="AE1201" s="17"/>
      <c r="AF1201" s="17"/>
      <c r="AG1201" s="17"/>
      <c r="AH1201" s="17"/>
      <c r="AI1201" s="17"/>
      <c r="AJ1201" s="17"/>
      <c r="AK1201" s="17"/>
      <c r="AL1201" s="17"/>
      <c r="AM1201" s="17"/>
      <c r="AN1201" s="17"/>
      <c r="AO1201" s="17"/>
      <c r="AP1201" s="1"/>
      <c r="AQ1201" s="1"/>
    </row>
  </sheetData>
  <mergeCells count="184">
    <mergeCell ref="AP2:AQ2"/>
    <mergeCell ref="AR267:AR277"/>
    <mergeCell ref="AS267:AS277"/>
    <mergeCell ref="AR278:AR288"/>
    <mergeCell ref="AS278:AS288"/>
    <mergeCell ref="AR212:AR222"/>
    <mergeCell ref="AS212:AS222"/>
    <mergeCell ref="AR223:AR233"/>
    <mergeCell ref="AS223:AS233"/>
    <mergeCell ref="AR234:AR244"/>
    <mergeCell ref="AS234:AS244"/>
    <mergeCell ref="AR245:AR255"/>
    <mergeCell ref="AS245:AS255"/>
    <mergeCell ref="AR256:AR266"/>
    <mergeCell ref="AS256:AS266"/>
    <mergeCell ref="AR157:AR167"/>
    <mergeCell ref="AS157:AS167"/>
    <mergeCell ref="AR168:AR178"/>
    <mergeCell ref="AS168:AS178"/>
    <mergeCell ref="AR179:AR189"/>
    <mergeCell ref="AS179:AS189"/>
    <mergeCell ref="AR190:AR200"/>
    <mergeCell ref="AS190:AS200"/>
    <mergeCell ref="AR201:AR211"/>
    <mergeCell ref="C190:C200"/>
    <mergeCell ref="AS201:AS211"/>
    <mergeCell ref="AR102:AR112"/>
    <mergeCell ref="AS102:AS112"/>
    <mergeCell ref="AR113:AR123"/>
    <mergeCell ref="AS113:AS123"/>
    <mergeCell ref="AR124:AR134"/>
    <mergeCell ref="AS124:AS134"/>
    <mergeCell ref="AR135:AR145"/>
    <mergeCell ref="AS135:AS145"/>
    <mergeCell ref="AR146:AR156"/>
    <mergeCell ref="AS146:AS156"/>
    <mergeCell ref="C3:C13"/>
    <mergeCell ref="C14:C24"/>
    <mergeCell ref="C25:C35"/>
    <mergeCell ref="C36:C46"/>
    <mergeCell ref="C47:C57"/>
    <mergeCell ref="C58:C68"/>
    <mergeCell ref="C69:C79"/>
    <mergeCell ref="C80:C90"/>
    <mergeCell ref="C91:C101"/>
    <mergeCell ref="A267:A277"/>
    <mergeCell ref="B267:B277"/>
    <mergeCell ref="D267:D277"/>
    <mergeCell ref="A278:A304"/>
    <mergeCell ref="D14:D24"/>
    <mergeCell ref="D25:D35"/>
    <mergeCell ref="D36:D46"/>
    <mergeCell ref="D47:D57"/>
    <mergeCell ref="D58:D68"/>
    <mergeCell ref="D69:D79"/>
    <mergeCell ref="D80:D90"/>
    <mergeCell ref="D91:D101"/>
    <mergeCell ref="A113:A123"/>
    <mergeCell ref="B113:B123"/>
    <mergeCell ref="A124:A134"/>
    <mergeCell ref="B124:B134"/>
    <mergeCell ref="A135:A145"/>
    <mergeCell ref="B135:B145"/>
    <mergeCell ref="A146:A156"/>
    <mergeCell ref="B146:B156"/>
    <mergeCell ref="A157:A167"/>
    <mergeCell ref="B157:B167"/>
    <mergeCell ref="A168:A178"/>
    <mergeCell ref="C212:C222"/>
    <mergeCell ref="B3:B13"/>
    <mergeCell ref="A3:A13"/>
    <mergeCell ref="A14:A24"/>
    <mergeCell ref="A25:A35"/>
    <mergeCell ref="A47:A57"/>
    <mergeCell ref="B47:B57"/>
    <mergeCell ref="D278:D304"/>
    <mergeCell ref="A36:A46"/>
    <mergeCell ref="B36:B46"/>
    <mergeCell ref="B278:B304"/>
    <mergeCell ref="D102:D112"/>
    <mergeCell ref="D113:D123"/>
    <mergeCell ref="D124:D134"/>
    <mergeCell ref="D135:D145"/>
    <mergeCell ref="D146:D156"/>
    <mergeCell ref="D157:D167"/>
    <mergeCell ref="D168:D178"/>
    <mergeCell ref="D179:D189"/>
    <mergeCell ref="D190:D200"/>
    <mergeCell ref="D223:D233"/>
    <mergeCell ref="D234:D244"/>
    <mergeCell ref="D245:D255"/>
    <mergeCell ref="D256:D266"/>
    <mergeCell ref="B102:B112"/>
    <mergeCell ref="E8:AO8"/>
    <mergeCell ref="E19:AO19"/>
    <mergeCell ref="E30:AO30"/>
    <mergeCell ref="E41:AO41"/>
    <mergeCell ref="E52:AO52"/>
    <mergeCell ref="E63:AO63"/>
    <mergeCell ref="E74:AO74"/>
    <mergeCell ref="E85:AO85"/>
    <mergeCell ref="E96:AO96"/>
    <mergeCell ref="A1:AP1"/>
    <mergeCell ref="B14:B24"/>
    <mergeCell ref="D3:D13"/>
    <mergeCell ref="A256:A266"/>
    <mergeCell ref="B256:B266"/>
    <mergeCell ref="E140:AO140"/>
    <mergeCell ref="E151:AO151"/>
    <mergeCell ref="E162:AO162"/>
    <mergeCell ref="E173:AO173"/>
    <mergeCell ref="E184:AO184"/>
    <mergeCell ref="E195:AO195"/>
    <mergeCell ref="E206:AO206"/>
    <mergeCell ref="E217:AO217"/>
    <mergeCell ref="E228:AO228"/>
    <mergeCell ref="B69:B79"/>
    <mergeCell ref="A80:A90"/>
    <mergeCell ref="B80:B90"/>
    <mergeCell ref="B25:B35"/>
    <mergeCell ref="A58:A68"/>
    <mergeCell ref="B58:B68"/>
    <mergeCell ref="A69:A79"/>
    <mergeCell ref="A91:A101"/>
    <mergeCell ref="B91:B101"/>
    <mergeCell ref="A102:A112"/>
    <mergeCell ref="A245:A255"/>
    <mergeCell ref="B245:B255"/>
    <mergeCell ref="A223:A233"/>
    <mergeCell ref="B223:B233"/>
    <mergeCell ref="A234:A244"/>
    <mergeCell ref="B234:B244"/>
    <mergeCell ref="E239:AO239"/>
    <mergeCell ref="E250:AO250"/>
    <mergeCell ref="B168:B178"/>
    <mergeCell ref="A179:A189"/>
    <mergeCell ref="B179:B189"/>
    <mergeCell ref="A190:A200"/>
    <mergeCell ref="B190:B200"/>
    <mergeCell ref="A201:A211"/>
    <mergeCell ref="B201:B211"/>
    <mergeCell ref="D201:D211"/>
    <mergeCell ref="A212:A222"/>
    <mergeCell ref="B212:B222"/>
    <mergeCell ref="D212:D222"/>
    <mergeCell ref="C201:C211"/>
    <mergeCell ref="C223:C233"/>
    <mergeCell ref="C234:C244"/>
    <mergeCell ref="C245:C255"/>
    <mergeCell ref="C168:C178"/>
    <mergeCell ref="AR3:AR13"/>
    <mergeCell ref="AS3:AS13"/>
    <mergeCell ref="AR14:AR24"/>
    <mergeCell ref="AS14:AS24"/>
    <mergeCell ref="AR25:AR35"/>
    <mergeCell ref="AS25:AS35"/>
    <mergeCell ref="AR36:AR46"/>
    <mergeCell ref="AS36:AS46"/>
    <mergeCell ref="AR47:AR57"/>
    <mergeCell ref="AS47:AS57"/>
    <mergeCell ref="C278:C304"/>
    <mergeCell ref="AR58:AR68"/>
    <mergeCell ref="AS58:AS68"/>
    <mergeCell ref="AR69:AR79"/>
    <mergeCell ref="AS69:AS79"/>
    <mergeCell ref="AR80:AR90"/>
    <mergeCell ref="AS80:AS90"/>
    <mergeCell ref="AR91:AR101"/>
    <mergeCell ref="AS91:AS101"/>
    <mergeCell ref="E261:AO261"/>
    <mergeCell ref="E272:AO272"/>
    <mergeCell ref="E283:AO283"/>
    <mergeCell ref="E107:AO107"/>
    <mergeCell ref="E118:AO118"/>
    <mergeCell ref="E129:AO129"/>
    <mergeCell ref="C256:C266"/>
    <mergeCell ref="C267:C277"/>
    <mergeCell ref="C102:C112"/>
    <mergeCell ref="C113:C123"/>
    <mergeCell ref="C124:C134"/>
    <mergeCell ref="C135:C145"/>
    <mergeCell ref="C146:C156"/>
    <mergeCell ref="C157:C167"/>
    <mergeCell ref="C179:C189"/>
  </mergeCell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5" tint="0.39997558519241921"/>
  </sheetPr>
  <dimension ref="A1:X52"/>
  <sheetViews>
    <sheetView zoomScaleNormal="100" workbookViewId="0">
      <pane xSplit="6" ySplit="2" topLeftCell="G3" activePane="bottomRight" state="frozen"/>
      <selection pane="topRight" activeCell="G1" sqref="G1"/>
      <selection pane="bottomLeft" activeCell="A3" sqref="A3"/>
      <selection pane="bottomRight" activeCell="T14" sqref="T14"/>
    </sheetView>
  </sheetViews>
  <sheetFormatPr defaultColWidth="9.1796875" defaultRowHeight="12" x14ac:dyDescent="0.3"/>
  <cols>
    <col min="1" max="1" width="3.453125" style="54" customWidth="1"/>
    <col min="2" max="2" width="9.1796875" style="54"/>
    <col min="3" max="3" width="28.1796875" style="54" customWidth="1"/>
    <col min="4" max="4" width="31" style="54" customWidth="1"/>
    <col min="5" max="5" width="8.1796875" style="54" hidden="1" customWidth="1"/>
    <col min="6" max="6" width="10.26953125" style="54" customWidth="1"/>
    <col min="7" max="7" width="9.1796875" style="54"/>
    <col min="8" max="8" width="9.26953125" style="54" customWidth="1"/>
    <col min="9" max="9" width="12" style="54" customWidth="1"/>
    <col min="10" max="10" width="9.7265625" style="54" customWidth="1"/>
    <col min="11" max="11" width="12" style="54" customWidth="1"/>
    <col min="12" max="12" width="9" style="54" customWidth="1"/>
    <col min="13" max="13" width="12" style="54" customWidth="1"/>
    <col min="14" max="14" width="9.453125" style="54" customWidth="1"/>
    <col min="15" max="15" width="12" style="54" customWidth="1"/>
    <col min="16" max="16" width="10.26953125" style="54" customWidth="1"/>
    <col min="17" max="17" width="12" style="54" customWidth="1"/>
    <col min="18" max="18" width="9.453125" style="54" customWidth="1"/>
    <col min="19" max="19" width="12" style="54" customWidth="1"/>
    <col min="20" max="20" width="13" style="54" customWidth="1"/>
    <col min="21" max="21" width="22.1796875" style="54" customWidth="1"/>
    <col min="22" max="22" width="17.7265625" style="54" customWidth="1"/>
    <col min="23" max="23" width="17.7265625" style="176" customWidth="1"/>
    <col min="24" max="24" width="17.7265625" style="54" customWidth="1"/>
    <col min="25" max="16384" width="9.1796875" style="54"/>
  </cols>
  <sheetData>
    <row r="1" spans="1:24" ht="21.5" thickBot="1" x14ac:dyDescent="0.55000000000000004">
      <c r="B1" s="1247" t="s">
        <v>200</v>
      </c>
      <c r="C1" s="1247"/>
      <c r="D1" s="1247"/>
      <c r="E1" s="1247"/>
      <c r="F1" s="1247"/>
      <c r="G1" s="1247"/>
      <c r="H1" s="1247"/>
      <c r="I1" s="1247"/>
      <c r="J1" s="1247"/>
      <c r="K1" s="1247"/>
      <c r="L1" s="1247"/>
      <c r="M1" s="1247"/>
      <c r="N1" s="1247"/>
      <c r="O1" s="1247"/>
      <c r="P1" s="1247"/>
      <c r="Q1" s="1247"/>
      <c r="R1" s="1247"/>
      <c r="S1" s="1247"/>
      <c r="T1" s="1247"/>
      <c r="U1" s="1247"/>
      <c r="V1" s="1247"/>
      <c r="W1" s="1247"/>
      <c r="X1" s="1247"/>
    </row>
    <row r="2" spans="1:24" ht="42" customHeight="1" thickBot="1" x14ac:dyDescent="0.35">
      <c r="A2" s="288" t="s">
        <v>166</v>
      </c>
      <c r="B2" s="288" t="s">
        <v>201</v>
      </c>
      <c r="C2" s="289" t="s">
        <v>202</v>
      </c>
      <c r="D2" s="289" t="s">
        <v>203</v>
      </c>
      <c r="E2" s="289" t="s">
        <v>204</v>
      </c>
      <c r="F2" s="289" t="s">
        <v>205</v>
      </c>
      <c r="G2" s="290"/>
      <c r="H2" s="291" t="s">
        <v>206</v>
      </c>
      <c r="I2" s="290" t="s">
        <v>207</v>
      </c>
      <c r="J2" s="291" t="s">
        <v>206</v>
      </c>
      <c r="K2" s="289" t="s">
        <v>208</v>
      </c>
      <c r="L2" s="291" t="s">
        <v>206</v>
      </c>
      <c r="M2" s="289" t="s">
        <v>209</v>
      </c>
      <c r="N2" s="291" t="s">
        <v>206</v>
      </c>
      <c r="O2" s="289" t="s">
        <v>210</v>
      </c>
      <c r="P2" s="291" t="s">
        <v>206</v>
      </c>
      <c r="Q2" s="289" t="s">
        <v>211</v>
      </c>
      <c r="R2" s="291" t="s">
        <v>206</v>
      </c>
      <c r="S2" s="289" t="s">
        <v>212</v>
      </c>
      <c r="T2" s="289" t="s">
        <v>213</v>
      </c>
      <c r="U2" s="292" t="s">
        <v>214</v>
      </c>
      <c r="V2" s="292" t="s">
        <v>215</v>
      </c>
      <c r="W2" s="292" t="s">
        <v>216</v>
      </c>
      <c r="X2" s="293" t="s">
        <v>217</v>
      </c>
    </row>
    <row r="3" spans="1:24" ht="12" customHeight="1" x14ac:dyDescent="0.3">
      <c r="A3" s="1213">
        <v>1</v>
      </c>
      <c r="B3" s="1215" t="str">
        <f>_xlfn.IFNA(VLOOKUP(F:F,'indicator lists'!L:R,7,FALSE),"")</f>
        <v/>
      </c>
      <c r="C3" s="1252" t="str">
        <f>_xlfn.IFNA(IF(VLOOKUP(E:E,Logframe!$B:$E,4,FALSE)=0,"",VLOOKUP(E:E,Logframe!$B:$E,4,FALSE)),"")</f>
        <v/>
      </c>
      <c r="D3" s="1252" t="str">
        <f>_xlfn.IFNA(IF(VLOOKUP(A:A,'Pivot Table'!P:Y,10,FALSE)=0,"",VLOOKUP(A:A,'Pivot Table'!P:Y,10,FALSE)),"")</f>
        <v/>
      </c>
      <c r="E3" s="1252" t="str">
        <f>_xlfn.IFNA(IF(VLOOKUP(F:F,Logframe!A:B,2,FALSE)=0,"",VLOOKUP(F:F,Logframe!A:B,2,FALSE)),"")</f>
        <v/>
      </c>
      <c r="F3" s="1253" t="str">
        <f>IF('Pivot Table'!$AF$5=0,"",'Pivot Table'!$AF$5)</f>
        <v/>
      </c>
      <c r="G3" s="301" t="s">
        <v>218</v>
      </c>
      <c r="H3" s="302"/>
      <c r="I3" s="303" t="str">
        <f>_xlfn.IFNA(IF(VLOOKUP(F:F,Logframe!F:J,3,FALSE)="","",VLOOKUP(F:F,Logframe!F:J,3,FALSE)),"")</f>
        <v/>
      </c>
      <c r="J3" s="303"/>
      <c r="K3" s="304"/>
      <c r="L3" s="304"/>
      <c r="M3" s="304"/>
      <c r="N3" s="304"/>
      <c r="O3" s="304"/>
      <c r="P3" s="304"/>
      <c r="Q3" s="304"/>
      <c r="R3" s="304"/>
      <c r="S3" s="304"/>
      <c r="T3" s="305" t="str">
        <f>_xlfn.IFNA(IF(VLOOKUP(F:F,Logframe!F:J,4,FALSE)=0,"",VLOOKUP(F:F,Logframe!F:J,4,FALSE)),"")</f>
        <v/>
      </c>
      <c r="U3" s="1254"/>
      <c r="V3" s="1255"/>
      <c r="W3" s="1229" t="str">
        <f>_xlfn.IFNA(IF(VLOOKUP(F:F,Logframe!F:J,5,FALSE)=0,"",VLOOKUP(F:F,Logframe!F:J,5,FALSE)),"")</f>
        <v/>
      </c>
      <c r="X3" s="1248"/>
    </row>
    <row r="4" spans="1:24" x14ac:dyDescent="0.3">
      <c r="A4" s="1213"/>
      <c r="B4" s="1215"/>
      <c r="C4" s="1217"/>
      <c r="D4" s="1217"/>
      <c r="E4" s="1217"/>
      <c r="F4" s="1225"/>
      <c r="G4" s="306" t="s">
        <v>219</v>
      </c>
      <c r="H4" s="57"/>
      <c r="I4" s="58"/>
      <c r="J4" s="58"/>
      <c r="K4" s="58"/>
      <c r="L4" s="58"/>
      <c r="M4" s="58"/>
      <c r="N4" s="58"/>
      <c r="O4" s="58"/>
      <c r="P4" s="58"/>
      <c r="Q4" s="58"/>
      <c r="R4" s="58"/>
      <c r="S4" s="58"/>
      <c r="T4" s="307"/>
      <c r="U4" s="1236"/>
      <c r="V4" s="1256"/>
      <c r="W4" s="1215"/>
      <c r="X4" s="1246"/>
    </row>
    <row r="5" spans="1:24" ht="12" customHeight="1" x14ac:dyDescent="0.3">
      <c r="A5" s="1213">
        <v>2</v>
      </c>
      <c r="B5" s="1215" t="str">
        <f>_xlfn.IFNA(VLOOKUP(F:F,'indicator lists'!L:R,7,FALSE),"")</f>
        <v/>
      </c>
      <c r="C5" s="1217" t="str">
        <f>_xlfn.IFNA(IF(VLOOKUP(E:E,Logframe!$B:$E,4,FALSE)=0,"",VLOOKUP(E:E,Logframe!$B:$E,4,FALSE)),"")</f>
        <v/>
      </c>
      <c r="D5" s="1217" t="str">
        <f>_xlfn.IFNA(IF(VLOOKUP(A:A,'Pivot Table'!P:Y,10,FALSE)=0,"",VLOOKUP(A:A,'Pivot Table'!P:Y,10,FALSE)),"")</f>
        <v/>
      </c>
      <c r="E5" s="1217" t="str">
        <f>_xlfn.IFNA(IF(VLOOKUP(F:F,Logframe!A:B,2,FALSE)=0,"",VLOOKUP(F:F,Logframe!A:B,2,FALSE)),"")</f>
        <v/>
      </c>
      <c r="F5" s="1234" t="str">
        <f>IF('Pivot Table'!$AF$6=0,"",'Pivot Table'!$AF$6)</f>
        <v/>
      </c>
      <c r="G5" s="308" t="s">
        <v>218</v>
      </c>
      <c r="H5" s="55"/>
      <c r="I5" s="160" t="str">
        <f>_xlfn.IFNA(IF(VLOOKUP(F:F,Logframe!F:J,3,FALSE)="","",VLOOKUP(F:F,Logframe!F:J,3,FALSE)),"")</f>
        <v/>
      </c>
      <c r="J5" s="160"/>
      <c r="K5" s="56"/>
      <c r="L5" s="56"/>
      <c r="M5" s="56"/>
      <c r="N5" s="56"/>
      <c r="O5" s="56"/>
      <c r="P5" s="56"/>
      <c r="Q5" s="56"/>
      <c r="R5" s="56"/>
      <c r="S5" s="56"/>
      <c r="T5" s="309" t="str">
        <f>_xlfn.IFNA(IF(VLOOKUP(F:F,Logframe!F:J,4,FALSE)=0,"",VLOOKUP(F:F,Logframe!F:J,4,FALSE)),"")</f>
        <v/>
      </c>
      <c r="U5" s="1249"/>
      <c r="V5" s="1243"/>
      <c r="W5" s="1215" t="str">
        <f>_xlfn.IFNA(IF(VLOOKUP(F:F,Logframe!F:J,5,FALSE)=0,"",VLOOKUP(F:F,Logframe!F:J,5,FALSE)),"")</f>
        <v/>
      </c>
      <c r="X5" s="1245"/>
    </row>
    <row r="6" spans="1:24" ht="12" customHeight="1" x14ac:dyDescent="0.3">
      <c r="A6" s="1213"/>
      <c r="B6" s="1215"/>
      <c r="C6" s="1217"/>
      <c r="D6" s="1217"/>
      <c r="E6" s="1217"/>
      <c r="F6" s="1225"/>
      <c r="G6" s="306" t="s">
        <v>219</v>
      </c>
      <c r="H6" s="57"/>
      <c r="I6" s="58"/>
      <c r="J6" s="58"/>
      <c r="K6" s="58"/>
      <c r="L6" s="58"/>
      <c r="M6" s="58"/>
      <c r="N6" s="58"/>
      <c r="O6" s="58"/>
      <c r="P6" s="58"/>
      <c r="Q6" s="58"/>
      <c r="R6" s="58"/>
      <c r="S6" s="58"/>
      <c r="T6" s="307"/>
      <c r="U6" s="1250"/>
      <c r="V6" s="1251"/>
      <c r="W6" s="1215"/>
      <c r="X6" s="1246"/>
    </row>
    <row r="7" spans="1:24" ht="12" customHeight="1" x14ac:dyDescent="0.3">
      <c r="A7" s="1213">
        <v>3</v>
      </c>
      <c r="B7" s="1215" t="str">
        <f>_xlfn.IFNA(VLOOKUP(F:F,'indicator lists'!L:R,7,FALSE),"")</f>
        <v/>
      </c>
      <c r="C7" s="1217" t="str">
        <f>_xlfn.IFNA(IF(VLOOKUP(E:E,Logframe!$B:$E,4,FALSE)=0,"",VLOOKUP(E:E,Logframe!$B:$E,4,FALSE)),"")</f>
        <v/>
      </c>
      <c r="D7" s="1217" t="str">
        <f>_xlfn.IFNA(IF(VLOOKUP(A:A,'Pivot Table'!P:Y,10,FALSE)=0,"",VLOOKUP(A:A,'Pivot Table'!P:Y,10,FALSE)),"")</f>
        <v/>
      </c>
      <c r="E7" s="1217" t="str">
        <f>_xlfn.IFNA(IF(VLOOKUP(F:F,Logframe!A:B,2,FALSE)=0,"",VLOOKUP(F:F,Logframe!A:B,2,FALSE)),"")</f>
        <v/>
      </c>
      <c r="F7" s="1219" t="str">
        <f>IF('Pivot Table'!$AF$7=0,"",'Pivot Table'!$AF$7)</f>
        <v/>
      </c>
      <c r="G7" s="310" t="s">
        <v>218</v>
      </c>
      <c r="H7" s="161"/>
      <c r="I7" s="160" t="str">
        <f>_xlfn.IFNA(IF(VLOOKUP(F:F,Logframe!F:J,3,FALSE)="","",VLOOKUP(F:F,Logframe!F:J,3,FALSE)),"")</f>
        <v/>
      </c>
      <c r="J7" s="160"/>
      <c r="K7" s="165"/>
      <c r="L7" s="165"/>
      <c r="M7" s="165"/>
      <c r="N7" s="165"/>
      <c r="O7" s="165"/>
      <c r="P7" s="165"/>
      <c r="Q7" s="165"/>
      <c r="R7" s="165"/>
      <c r="S7" s="165"/>
      <c r="T7" s="309" t="str">
        <f>_xlfn.IFNA(IF(VLOOKUP(F:F,Logframe!F:J,4,FALSE)=0,"",VLOOKUP(F:F,Logframe!F:J,4,FALSE)),"")</f>
        <v/>
      </c>
      <c r="U7" s="1235"/>
      <c r="V7" s="1237"/>
      <c r="W7" s="1215" t="str">
        <f>_xlfn.IFNA(IF(VLOOKUP(F:F,Logframe!F:J,5,FALSE)=0,"",VLOOKUP(F:F,Logframe!F:J,5,FALSE)),"")</f>
        <v/>
      </c>
      <c r="X7" s="1239"/>
    </row>
    <row r="8" spans="1:24" ht="12" customHeight="1" x14ac:dyDescent="0.3">
      <c r="A8" s="1213"/>
      <c r="B8" s="1215"/>
      <c r="C8" s="1217"/>
      <c r="D8" s="1217"/>
      <c r="E8" s="1217"/>
      <c r="F8" s="1225"/>
      <c r="G8" s="311" t="s">
        <v>219</v>
      </c>
      <c r="H8" s="163"/>
      <c r="I8" s="164"/>
      <c r="J8" s="164"/>
      <c r="K8" s="164"/>
      <c r="L8" s="164"/>
      <c r="M8" s="164"/>
      <c r="N8" s="164"/>
      <c r="O8" s="164"/>
      <c r="P8" s="164"/>
      <c r="Q8" s="164"/>
      <c r="R8" s="164"/>
      <c r="S8" s="164"/>
      <c r="T8" s="312"/>
      <c r="U8" s="1236"/>
      <c r="V8" s="1238"/>
      <c r="W8" s="1215"/>
      <c r="X8" s="1240"/>
    </row>
    <row r="9" spans="1:24" ht="12" customHeight="1" x14ac:dyDescent="0.3">
      <c r="A9" s="1213">
        <v>4</v>
      </c>
      <c r="B9" s="1215" t="str">
        <f>_xlfn.IFNA(VLOOKUP(F:F,'indicator lists'!L:R,7,FALSE),"")</f>
        <v/>
      </c>
      <c r="C9" s="1217" t="str">
        <f>_xlfn.IFNA(IF(VLOOKUP(E:E,Logframe!$B:$E,4,FALSE)=0,"",VLOOKUP(E:E,Logframe!$B:$E,4,FALSE)),"")</f>
        <v/>
      </c>
      <c r="D9" s="1217" t="str">
        <f>_xlfn.IFNA(IF(VLOOKUP(A:A,'Pivot Table'!P:Y,10,FALSE)=0,"",VLOOKUP(A:A,'Pivot Table'!P:Y,10,FALSE)),"")</f>
        <v/>
      </c>
      <c r="E9" s="1217" t="str">
        <f>_xlfn.IFNA(IF(VLOOKUP(F:F,Logframe!A:B,2,FALSE)=0,"",VLOOKUP(F:F,Logframe!A:B,2,FALSE)),"")</f>
        <v/>
      </c>
      <c r="F9" s="1219" t="str">
        <f>IF('Pivot Table'!$AF$8=0,"",'Pivot Table'!$AF$8)</f>
        <v/>
      </c>
      <c r="G9" s="308" t="s">
        <v>218</v>
      </c>
      <c r="H9" s="55"/>
      <c r="I9" s="160" t="str">
        <f>_xlfn.IFNA(IF(VLOOKUP(F:F,Logframe!F:J,3,FALSE)="","",VLOOKUP(F:F,Logframe!F:J,3,FALSE)),"")</f>
        <v/>
      </c>
      <c r="J9" s="160"/>
      <c r="K9" s="56"/>
      <c r="L9" s="56"/>
      <c r="M9" s="56"/>
      <c r="N9" s="56"/>
      <c r="O9" s="56"/>
      <c r="P9" s="56"/>
      <c r="Q9" s="56"/>
      <c r="R9" s="56"/>
      <c r="S9" s="56"/>
      <c r="T9" s="309" t="str">
        <f>_xlfn.IFNA(IF(VLOOKUP(F:F,Logframe!F:J,4,FALSE)=0,"",VLOOKUP(F:F,Logframe!F:J,4,FALSE)),"")</f>
        <v/>
      </c>
      <c r="U9" s="1241"/>
      <c r="V9" s="1243"/>
      <c r="W9" s="1215" t="str">
        <f>_xlfn.IFNA(IF(VLOOKUP(F:F,Logframe!F:J,5,FALSE)=0,"",VLOOKUP(F:F,Logframe!F:J,5,FALSE)),"")</f>
        <v/>
      </c>
      <c r="X9" s="1245"/>
    </row>
    <row r="10" spans="1:24" ht="12" customHeight="1" x14ac:dyDescent="0.3">
      <c r="A10" s="1213"/>
      <c r="B10" s="1215"/>
      <c r="C10" s="1217"/>
      <c r="D10" s="1217"/>
      <c r="E10" s="1217"/>
      <c r="F10" s="1225"/>
      <c r="G10" s="306" t="s">
        <v>219</v>
      </c>
      <c r="H10" s="57"/>
      <c r="I10" s="58"/>
      <c r="J10" s="58"/>
      <c r="K10" s="58"/>
      <c r="L10" s="58"/>
      <c r="M10" s="58"/>
      <c r="N10" s="58"/>
      <c r="O10" s="58"/>
      <c r="P10" s="58"/>
      <c r="Q10" s="58"/>
      <c r="R10" s="58"/>
      <c r="S10" s="58"/>
      <c r="T10" s="307"/>
      <c r="U10" s="1242"/>
      <c r="V10" s="1244"/>
      <c r="W10" s="1215"/>
      <c r="X10" s="1246"/>
    </row>
    <row r="11" spans="1:24" ht="12" customHeight="1" x14ac:dyDescent="0.3">
      <c r="A11" s="1213">
        <v>5</v>
      </c>
      <c r="B11" s="1215" t="str">
        <f>_xlfn.IFNA(VLOOKUP(F:F,'indicator lists'!L:R,7,FALSE),"")</f>
        <v/>
      </c>
      <c r="C11" s="1217" t="str">
        <f>_xlfn.IFNA(IF(VLOOKUP(E:E,Logframe!$B:$E,4,FALSE)=0,"",VLOOKUP(E:E,Logframe!$B:$E,4,FALSE)),"")</f>
        <v/>
      </c>
      <c r="D11" s="1217" t="str">
        <f>_xlfn.IFNA(IF(VLOOKUP(A:A,'Pivot Table'!P:Y,10,FALSE)=0,"",VLOOKUP(A:A,'Pivot Table'!P:Y,10,FALSE)),"")</f>
        <v/>
      </c>
      <c r="E11" s="1217" t="str">
        <f>_xlfn.IFNA(IF(VLOOKUP(F:F,Logframe!A:B,2,FALSE)=0,"",VLOOKUP(F:F,Logframe!A:B,2,FALSE)),"")</f>
        <v/>
      </c>
      <c r="F11" s="1234" t="str">
        <f>IF('Pivot Table'!$AF$9=0,"",'Pivot Table'!$AF$9)</f>
        <v/>
      </c>
      <c r="G11" s="308" t="s">
        <v>218</v>
      </c>
      <c r="H11" s="55"/>
      <c r="I11" s="160" t="str">
        <f>_xlfn.IFNA(IF(VLOOKUP(F:F,Logframe!F:J,3,FALSE)="","",VLOOKUP(F:F,Logframe!F:J,3,FALSE)),"")</f>
        <v/>
      </c>
      <c r="J11" s="160"/>
      <c r="K11" s="56"/>
      <c r="L11" s="56"/>
      <c r="M11" s="56"/>
      <c r="N11" s="56"/>
      <c r="O11" s="56"/>
      <c r="P11" s="56"/>
      <c r="Q11" s="56"/>
      <c r="R11" s="56"/>
      <c r="S11" s="56"/>
      <c r="T11" s="309" t="str">
        <f>_xlfn.IFNA(IF(VLOOKUP(F:F,Logframe!F:J,4,FALSE)=0,"",VLOOKUP(F:F,Logframe!F:J,4,FALSE)),"")</f>
        <v/>
      </c>
      <c r="U11" s="1232"/>
      <c r="V11" s="1233"/>
      <c r="W11" s="1215" t="str">
        <f>_xlfn.IFNA(IF(VLOOKUP(F:F,Logframe!F:J,5,FALSE)=0,"",VLOOKUP(F:F,Logframe!F:J,5,FALSE)),"")</f>
        <v/>
      </c>
      <c r="X11" s="1231"/>
    </row>
    <row r="12" spans="1:24" ht="12" customHeight="1" x14ac:dyDescent="0.3">
      <c r="A12" s="1213"/>
      <c r="B12" s="1215"/>
      <c r="C12" s="1217"/>
      <c r="D12" s="1217"/>
      <c r="E12" s="1217"/>
      <c r="F12" s="1225"/>
      <c r="G12" s="306" t="s">
        <v>219</v>
      </c>
      <c r="H12" s="57"/>
      <c r="I12" s="58"/>
      <c r="J12" s="58"/>
      <c r="K12" s="58"/>
      <c r="L12" s="58"/>
      <c r="M12" s="58"/>
      <c r="N12" s="58"/>
      <c r="O12" s="58"/>
      <c r="P12" s="58"/>
      <c r="Q12" s="58"/>
      <c r="R12" s="58"/>
      <c r="S12" s="58"/>
      <c r="T12" s="307"/>
      <c r="U12" s="1227"/>
      <c r="V12" s="1228"/>
      <c r="W12" s="1215"/>
      <c r="X12" s="1230"/>
    </row>
    <row r="13" spans="1:24" ht="12" customHeight="1" x14ac:dyDescent="0.3">
      <c r="A13" s="1213">
        <v>6</v>
      </c>
      <c r="B13" s="1215" t="str">
        <f>_xlfn.IFNA(VLOOKUP(F:F,'indicator lists'!L:R,7,FALSE),"")</f>
        <v/>
      </c>
      <c r="C13" s="1217" t="str">
        <f>_xlfn.IFNA(IF(VLOOKUP(E:E,Logframe!$B:$E,4,FALSE)=0,"",VLOOKUP(E:E,Logframe!$B:$E,4,FALSE)),"")</f>
        <v/>
      </c>
      <c r="D13" s="1217" t="str">
        <f>_xlfn.IFNA(IF(VLOOKUP(A:A,'Pivot Table'!P:Y,10,FALSE)=0,"",VLOOKUP(A:A,'Pivot Table'!P:Y,10,FALSE)),"")</f>
        <v/>
      </c>
      <c r="E13" s="1217" t="str">
        <f>_xlfn.IFNA(IF(VLOOKUP(F:F,Logframe!A:B,2,FALSE)=0,"",VLOOKUP(F:F,Logframe!A:B,2,FALSE)),"")</f>
        <v/>
      </c>
      <c r="F13" s="1219" t="str">
        <f>IF('Pivot Table'!$AF$10=0,"",'Pivot Table'!$AF$10)</f>
        <v/>
      </c>
      <c r="G13" s="308" t="s">
        <v>218</v>
      </c>
      <c r="H13" s="55"/>
      <c r="I13" s="160" t="str">
        <f>_xlfn.IFNA(IF(VLOOKUP(F:F,Logframe!F:J,3,FALSE)="","",VLOOKUP(F:F,Logframe!F:J,3,FALSE)),"")</f>
        <v/>
      </c>
      <c r="J13" s="160"/>
      <c r="K13" s="56"/>
      <c r="L13" s="56"/>
      <c r="M13" s="56"/>
      <c r="N13" s="56"/>
      <c r="O13" s="56"/>
      <c r="P13" s="56"/>
      <c r="Q13" s="56"/>
      <c r="R13" s="56"/>
      <c r="S13" s="56"/>
      <c r="T13" s="309" t="str">
        <f>_xlfn.IFNA(IF(VLOOKUP(F:F,Logframe!F:J,4,FALSE)=0,"",VLOOKUP(F:F,Logframe!F:J,4,FALSE)),"")</f>
        <v/>
      </c>
      <c r="U13" s="1232"/>
      <c r="V13" s="1233"/>
      <c r="W13" s="1215" t="str">
        <f>_xlfn.IFNA(IF(VLOOKUP(F:F,Logframe!F:J,5,FALSE)=0,"",VLOOKUP(F:F,Logframe!F:J,5,FALSE)),"")</f>
        <v/>
      </c>
      <c r="X13" s="1231"/>
    </row>
    <row r="14" spans="1:24" ht="12" customHeight="1" x14ac:dyDescent="0.3">
      <c r="A14" s="1213"/>
      <c r="B14" s="1215"/>
      <c r="C14" s="1217"/>
      <c r="D14" s="1217"/>
      <c r="E14" s="1217"/>
      <c r="F14" s="1225"/>
      <c r="G14" s="306" t="s">
        <v>219</v>
      </c>
      <c r="H14" s="57"/>
      <c r="I14" s="58"/>
      <c r="J14" s="58"/>
      <c r="K14" s="58"/>
      <c r="L14" s="58"/>
      <c r="M14" s="58"/>
      <c r="N14" s="58"/>
      <c r="O14" s="58"/>
      <c r="P14" s="58"/>
      <c r="Q14" s="58"/>
      <c r="R14" s="58"/>
      <c r="S14" s="58"/>
      <c r="T14" s="307"/>
      <c r="U14" s="1227"/>
      <c r="V14" s="1228"/>
      <c r="W14" s="1215"/>
      <c r="X14" s="1230"/>
    </row>
    <row r="15" spans="1:24" ht="12" customHeight="1" x14ac:dyDescent="0.3">
      <c r="A15" s="1213">
        <v>7</v>
      </c>
      <c r="B15" s="1215" t="str">
        <f>_xlfn.IFNA(VLOOKUP(F:F,'indicator lists'!L:R,7,FALSE),"")</f>
        <v/>
      </c>
      <c r="C15" s="1217" t="str">
        <f>_xlfn.IFNA(IF(VLOOKUP(E:E,Logframe!$B:$E,4,FALSE)=0,"",VLOOKUP(E:E,Logframe!$B:$E,4,FALSE)),"")</f>
        <v/>
      </c>
      <c r="D15" s="1217" t="str">
        <f>_xlfn.IFNA(IF(VLOOKUP(A:A,'Pivot Table'!P:Y,10,FALSE)=0,"",VLOOKUP(A:A,'Pivot Table'!P:Y,10,FALSE)),"")</f>
        <v/>
      </c>
      <c r="E15" s="1217" t="str">
        <f>_xlfn.IFNA(IF(VLOOKUP(F:F,Logframe!A:B,2,FALSE)=0,"",VLOOKUP(F:F,Logframe!A:B,2,FALSE)),"")</f>
        <v/>
      </c>
      <c r="F15" s="1219" t="str">
        <f>IF('Pivot Table'!$AF$11=0,"",'Pivot Table'!$AF$11)</f>
        <v/>
      </c>
      <c r="G15" s="308" t="s">
        <v>218</v>
      </c>
      <c r="H15" s="55"/>
      <c r="I15" s="160" t="str">
        <f>_xlfn.IFNA(IF(VLOOKUP(F:F,Logframe!F:J,3,FALSE)="","",VLOOKUP(F:F,Logframe!F:J,3,FALSE)),"")</f>
        <v/>
      </c>
      <c r="J15" s="160"/>
      <c r="K15" s="56"/>
      <c r="L15" s="56"/>
      <c r="M15" s="56"/>
      <c r="N15" s="56"/>
      <c r="O15" s="56"/>
      <c r="P15" s="56"/>
      <c r="Q15" s="56"/>
      <c r="R15" s="56"/>
      <c r="S15" s="56"/>
      <c r="T15" s="309" t="str">
        <f>_xlfn.IFNA(IF(VLOOKUP(F:F,Logframe!F:J,4,FALSE)=0,"",VLOOKUP(F:F,Logframe!F:J,4,FALSE)),"")</f>
        <v/>
      </c>
      <c r="U15" s="1232"/>
      <c r="V15" s="1233"/>
      <c r="W15" s="1215" t="str">
        <f>_xlfn.IFNA(IF(VLOOKUP(F:F,Logframe!F:J,5,FALSE)=0,"",VLOOKUP(F:F,Logframe!F:J,5,FALSE)),"")</f>
        <v/>
      </c>
      <c r="X15" s="1231"/>
    </row>
    <row r="16" spans="1:24" ht="12" customHeight="1" x14ac:dyDescent="0.3">
      <c r="A16" s="1213"/>
      <c r="B16" s="1215"/>
      <c r="C16" s="1217"/>
      <c r="D16" s="1217"/>
      <c r="E16" s="1217"/>
      <c r="F16" s="1225"/>
      <c r="G16" s="306" t="s">
        <v>219</v>
      </c>
      <c r="H16" s="57"/>
      <c r="I16" s="58"/>
      <c r="J16" s="58"/>
      <c r="K16" s="58"/>
      <c r="L16" s="58"/>
      <c r="M16" s="58"/>
      <c r="N16" s="58"/>
      <c r="O16" s="58"/>
      <c r="P16" s="58"/>
      <c r="Q16" s="58"/>
      <c r="R16" s="58"/>
      <c r="S16" s="58"/>
      <c r="T16" s="307"/>
      <c r="U16" s="1227"/>
      <c r="V16" s="1228"/>
      <c r="W16" s="1215"/>
      <c r="X16" s="1230"/>
    </row>
    <row r="17" spans="1:24" ht="12" customHeight="1" x14ac:dyDescent="0.3">
      <c r="A17" s="1213">
        <v>8</v>
      </c>
      <c r="B17" s="1215" t="str">
        <f>_xlfn.IFNA(VLOOKUP(F:F,'indicator lists'!L:R,7,FALSE),"")</f>
        <v/>
      </c>
      <c r="C17" s="1217" t="str">
        <f>_xlfn.IFNA(IF(VLOOKUP(E:E,Logframe!$B:$E,4,FALSE)=0,"",VLOOKUP(E:E,Logframe!$B:$E,4,FALSE)),"")</f>
        <v/>
      </c>
      <c r="D17" s="1217" t="str">
        <f>_xlfn.IFNA(IF(VLOOKUP(A:A,'Pivot Table'!P:Y,10,FALSE)=0,"",VLOOKUP(A:A,'Pivot Table'!P:Y,10,FALSE)),"")</f>
        <v/>
      </c>
      <c r="E17" s="1217" t="str">
        <f>_xlfn.IFNA(IF(VLOOKUP(F:F,Logframe!A:B,2,FALSE)=0,"",VLOOKUP(F:F,Logframe!A:B,2,FALSE)),"")</f>
        <v/>
      </c>
      <c r="F17" s="1234" t="str">
        <f>IF('Pivot Table'!$AF$12=0,"",'Pivot Table'!$AF$12)</f>
        <v/>
      </c>
      <c r="G17" s="308" t="s">
        <v>218</v>
      </c>
      <c r="H17" s="55"/>
      <c r="I17" s="160" t="str">
        <f>_xlfn.IFNA(IF(VLOOKUP(F:F,Logframe!F:J,3,FALSE)="","",VLOOKUP(F:F,Logframe!F:J,3,FALSE)),"")</f>
        <v/>
      </c>
      <c r="J17" s="160"/>
      <c r="K17" s="56"/>
      <c r="L17" s="56"/>
      <c r="M17" s="56"/>
      <c r="N17" s="56"/>
      <c r="O17" s="56"/>
      <c r="P17" s="56"/>
      <c r="Q17" s="56"/>
      <c r="R17" s="56"/>
      <c r="S17" s="56"/>
      <c r="T17" s="309" t="str">
        <f>_xlfn.IFNA(IF(VLOOKUP(F:F,Logframe!F:J,4,FALSE)=0,"",VLOOKUP(F:F,Logframe!F:J,4,FALSE)),"")</f>
        <v/>
      </c>
      <c r="U17" s="1232"/>
      <c r="V17" s="1233"/>
      <c r="W17" s="1215" t="str">
        <f>_xlfn.IFNA(IF(VLOOKUP(F:F,Logframe!F:J,5,FALSE)=0,"",VLOOKUP(F:F,Logframe!F:J,5,FALSE)),"")</f>
        <v/>
      </c>
      <c r="X17" s="1231"/>
    </row>
    <row r="18" spans="1:24" ht="12" customHeight="1" x14ac:dyDescent="0.3">
      <c r="A18" s="1213"/>
      <c r="B18" s="1215"/>
      <c r="C18" s="1217"/>
      <c r="D18" s="1217"/>
      <c r="E18" s="1217"/>
      <c r="F18" s="1225"/>
      <c r="G18" s="306" t="s">
        <v>219</v>
      </c>
      <c r="H18" s="57"/>
      <c r="I18" s="58"/>
      <c r="J18" s="58"/>
      <c r="K18" s="58"/>
      <c r="L18" s="58"/>
      <c r="M18" s="58"/>
      <c r="N18" s="58"/>
      <c r="O18" s="58"/>
      <c r="P18" s="58"/>
      <c r="Q18" s="58"/>
      <c r="R18" s="58"/>
      <c r="S18" s="58"/>
      <c r="T18" s="307"/>
      <c r="U18" s="1227"/>
      <c r="V18" s="1228"/>
      <c r="W18" s="1215"/>
      <c r="X18" s="1230"/>
    </row>
    <row r="19" spans="1:24" ht="12" customHeight="1" x14ac:dyDescent="0.3">
      <c r="A19" s="1213">
        <v>9</v>
      </c>
      <c r="B19" s="1215" t="str">
        <f>_xlfn.IFNA(VLOOKUP(F:F,'indicator lists'!L:R,7,FALSE),"")</f>
        <v/>
      </c>
      <c r="C19" s="1217" t="str">
        <f>_xlfn.IFNA(IF(VLOOKUP(E:E,Logframe!$B:$E,4,FALSE)=0,"",VLOOKUP(E:E,Logframe!$B:$E,4,FALSE)),"")</f>
        <v/>
      </c>
      <c r="D19" s="1217" t="str">
        <f>_xlfn.IFNA(IF(VLOOKUP(A:A,'Pivot Table'!P:Y,10,FALSE)=0,"",VLOOKUP(A:A,'Pivot Table'!P:Y,10,FALSE)),"")</f>
        <v/>
      </c>
      <c r="E19" s="1217" t="str">
        <f>_xlfn.IFNA(IF(VLOOKUP(F:F,Logframe!A:B,2,FALSE)=0,"",VLOOKUP(F:F,Logframe!A:B,2,FALSE)),"")</f>
        <v/>
      </c>
      <c r="F19" s="1219" t="str">
        <f>IF('Pivot Table'!$AF$13=0,"",'Pivot Table'!$AF$13)</f>
        <v/>
      </c>
      <c r="G19" s="308" t="s">
        <v>218</v>
      </c>
      <c r="H19" s="55"/>
      <c r="I19" s="160" t="str">
        <f>_xlfn.IFNA(IF(VLOOKUP(F:F,Logframe!F:J,3,FALSE)="","",VLOOKUP(F:F,Logframe!F:J,3,FALSE)),"")</f>
        <v/>
      </c>
      <c r="J19" s="160"/>
      <c r="K19" s="56"/>
      <c r="L19" s="56"/>
      <c r="M19" s="56"/>
      <c r="N19" s="56"/>
      <c r="O19" s="56"/>
      <c r="P19" s="56"/>
      <c r="Q19" s="56"/>
      <c r="R19" s="56"/>
      <c r="S19" s="56"/>
      <c r="T19" s="309" t="str">
        <f>_xlfn.IFNA(IF(VLOOKUP(F:F,Logframe!F:J,4,FALSE)=0,"",VLOOKUP(F:F,Logframe!F:J,4,FALSE)),"")</f>
        <v/>
      </c>
      <c r="U19" s="1232"/>
      <c r="V19" s="1233"/>
      <c r="W19" s="1215" t="str">
        <f>_xlfn.IFNA(IF(VLOOKUP(F:F,Logframe!F:J,5,FALSE)=0,"",VLOOKUP(F:F,Logframe!F:J,5,FALSE)),"")</f>
        <v/>
      </c>
      <c r="X19" s="1231"/>
    </row>
    <row r="20" spans="1:24" ht="12" customHeight="1" x14ac:dyDescent="0.3">
      <c r="A20" s="1213"/>
      <c r="B20" s="1215"/>
      <c r="C20" s="1217"/>
      <c r="D20" s="1217"/>
      <c r="E20" s="1217"/>
      <c r="F20" s="1225"/>
      <c r="G20" s="306" t="s">
        <v>219</v>
      </c>
      <c r="H20" s="57"/>
      <c r="I20" s="58"/>
      <c r="J20" s="58"/>
      <c r="K20" s="58"/>
      <c r="L20" s="58"/>
      <c r="M20" s="58"/>
      <c r="N20" s="58"/>
      <c r="O20" s="58"/>
      <c r="P20" s="58"/>
      <c r="Q20" s="58"/>
      <c r="R20" s="58"/>
      <c r="S20" s="58"/>
      <c r="T20" s="307"/>
      <c r="U20" s="1227"/>
      <c r="V20" s="1228"/>
      <c r="W20" s="1215"/>
      <c r="X20" s="1230"/>
    </row>
    <row r="21" spans="1:24" ht="12" customHeight="1" x14ac:dyDescent="0.3">
      <c r="A21" s="1213">
        <v>10</v>
      </c>
      <c r="B21" s="1215" t="str">
        <f>_xlfn.IFNA(VLOOKUP(F:F,'indicator lists'!L:R,7,FALSE),"")</f>
        <v/>
      </c>
      <c r="C21" s="1217" t="str">
        <f>_xlfn.IFNA(IF(VLOOKUP(E:E,Logframe!$B:$E,4,FALSE)=0,"",VLOOKUP(E:E,Logframe!$B:$E,4,FALSE)),"")</f>
        <v/>
      </c>
      <c r="D21" s="1217" t="str">
        <f>_xlfn.IFNA(IF(VLOOKUP(A:A,'Pivot Table'!P:Y,10,FALSE)=0,"",VLOOKUP(A:A,'Pivot Table'!P:Y,10,FALSE)),"")</f>
        <v/>
      </c>
      <c r="E21" s="1217" t="str">
        <f>_xlfn.IFNA(IF(VLOOKUP(F:F,Logframe!A:B,2,FALSE)=0,"",VLOOKUP(F:F,Logframe!A:B,2,FALSE)),"")</f>
        <v/>
      </c>
      <c r="F21" s="1219" t="str">
        <f>IF('Pivot Table'!$AF$14=0,"",'Pivot Table'!$AF$14)</f>
        <v/>
      </c>
      <c r="G21" s="308" t="s">
        <v>218</v>
      </c>
      <c r="H21" s="55"/>
      <c r="I21" s="160" t="str">
        <f>_xlfn.IFNA(IF(VLOOKUP(F:F,Logframe!F:J,3,FALSE)="","",VLOOKUP(F:F,Logframe!F:J,3,FALSE)),"")</f>
        <v/>
      </c>
      <c r="J21" s="160"/>
      <c r="K21" s="56"/>
      <c r="L21" s="56"/>
      <c r="M21" s="56"/>
      <c r="N21" s="56"/>
      <c r="O21" s="56"/>
      <c r="P21" s="56"/>
      <c r="Q21" s="56"/>
      <c r="R21" s="56"/>
      <c r="S21" s="56"/>
      <c r="T21" s="309" t="str">
        <f>_xlfn.IFNA(IF(VLOOKUP(F:F,Logframe!F:J,4,FALSE)=0,"",VLOOKUP(F:F,Logframe!F:J,4,FALSE)),"")</f>
        <v/>
      </c>
      <c r="U21" s="1232"/>
      <c r="V21" s="1233"/>
      <c r="W21" s="1215" t="str">
        <f>_xlfn.IFNA(IF(VLOOKUP(F:F,Logframe!F:J,5,FALSE)=0,"",VLOOKUP(F:F,Logframe!F:J,5,FALSE)),"")</f>
        <v/>
      </c>
      <c r="X21" s="1231"/>
    </row>
    <row r="22" spans="1:24" ht="12" customHeight="1" x14ac:dyDescent="0.3">
      <c r="A22" s="1213"/>
      <c r="B22" s="1215"/>
      <c r="C22" s="1217"/>
      <c r="D22" s="1217"/>
      <c r="E22" s="1217"/>
      <c r="F22" s="1225"/>
      <c r="G22" s="306" t="s">
        <v>219</v>
      </c>
      <c r="H22" s="57"/>
      <c r="I22" s="58"/>
      <c r="J22" s="58"/>
      <c r="K22" s="58"/>
      <c r="L22" s="58"/>
      <c r="M22" s="58"/>
      <c r="N22" s="58"/>
      <c r="O22" s="58"/>
      <c r="P22" s="58"/>
      <c r="Q22" s="58"/>
      <c r="R22" s="58"/>
      <c r="S22" s="58"/>
      <c r="T22" s="307"/>
      <c r="U22" s="1227"/>
      <c r="V22" s="1228"/>
      <c r="W22" s="1215"/>
      <c r="X22" s="1230"/>
    </row>
    <row r="23" spans="1:24" ht="12" customHeight="1" x14ac:dyDescent="0.3">
      <c r="A23" s="1213">
        <v>11</v>
      </c>
      <c r="B23" s="1215" t="str">
        <f>_xlfn.IFNA(VLOOKUP(F:F,'indicator lists'!L:R,7,FALSE),"")</f>
        <v/>
      </c>
      <c r="C23" s="1217" t="str">
        <f>_xlfn.IFNA(IF(VLOOKUP(E:E,Logframe!$B:$E,4,FALSE)=0,"",VLOOKUP(E:E,Logframe!$B:$E,4,FALSE)),"")</f>
        <v/>
      </c>
      <c r="D23" s="1217" t="str">
        <f>_xlfn.IFNA(IF(VLOOKUP(A:A,'Pivot Table'!P:Y,10,FALSE)=0,"",VLOOKUP(A:A,'Pivot Table'!P:Y,10,FALSE)),"")</f>
        <v/>
      </c>
      <c r="E23" s="1217" t="str">
        <f>_xlfn.IFNA(IF(VLOOKUP(F:F,Logframe!A:B,2,FALSE)=0,"",VLOOKUP(F:F,Logframe!A:B,2,FALSE)),"")</f>
        <v/>
      </c>
      <c r="F23" s="1234" t="str">
        <f>IF('Pivot Table'!$AF$15=0,"",'Pivot Table'!$AF$15)</f>
        <v/>
      </c>
      <c r="G23" s="308" t="s">
        <v>218</v>
      </c>
      <c r="H23" s="55"/>
      <c r="I23" s="160" t="str">
        <f>_xlfn.IFNA(IF(VLOOKUP(F:F,Logframe!F:J,3,FALSE)="","",VLOOKUP(F:F,Logframe!F:J,3,FALSE)),"")</f>
        <v/>
      </c>
      <c r="J23" s="160"/>
      <c r="K23" s="56"/>
      <c r="L23" s="56"/>
      <c r="M23" s="56"/>
      <c r="N23" s="56"/>
      <c r="O23" s="56"/>
      <c r="P23" s="56"/>
      <c r="Q23" s="56"/>
      <c r="R23" s="56"/>
      <c r="S23" s="56"/>
      <c r="T23" s="309" t="str">
        <f>_xlfn.IFNA(IF(VLOOKUP(F:F,Logframe!F:J,4,FALSE)=0,"",VLOOKUP(F:F,Logframe!F:J,4,FALSE)),"")</f>
        <v/>
      </c>
      <c r="U23" s="1232"/>
      <c r="V23" s="1233"/>
      <c r="W23" s="1215" t="str">
        <f>_xlfn.IFNA(IF(VLOOKUP(F:F,Logframe!F:J,5,FALSE)=0,"",VLOOKUP(F:F,Logframe!F:J,5,FALSE)),"")</f>
        <v/>
      </c>
      <c r="X23" s="1231"/>
    </row>
    <row r="24" spans="1:24" ht="12" customHeight="1" x14ac:dyDescent="0.3">
      <c r="A24" s="1213"/>
      <c r="B24" s="1215"/>
      <c r="C24" s="1217"/>
      <c r="D24" s="1217"/>
      <c r="E24" s="1217"/>
      <c r="F24" s="1225"/>
      <c r="G24" s="306" t="s">
        <v>219</v>
      </c>
      <c r="H24" s="57"/>
      <c r="I24" s="58"/>
      <c r="J24" s="58"/>
      <c r="K24" s="58"/>
      <c r="L24" s="58"/>
      <c r="M24" s="58"/>
      <c r="N24" s="58"/>
      <c r="O24" s="58"/>
      <c r="P24" s="58"/>
      <c r="Q24" s="58"/>
      <c r="R24" s="58"/>
      <c r="S24" s="58"/>
      <c r="T24" s="307"/>
      <c r="U24" s="1227"/>
      <c r="V24" s="1228"/>
      <c r="W24" s="1215"/>
      <c r="X24" s="1230"/>
    </row>
    <row r="25" spans="1:24" ht="12" customHeight="1" x14ac:dyDescent="0.3">
      <c r="A25" s="1213">
        <v>12</v>
      </c>
      <c r="B25" s="1215" t="str">
        <f>_xlfn.IFNA(VLOOKUP(F:F,'indicator lists'!L:R,7,FALSE),"")</f>
        <v/>
      </c>
      <c r="C25" s="1217" t="str">
        <f>_xlfn.IFNA(IF(VLOOKUP(E:E,Logframe!$B:$E,4,FALSE)=0,"",VLOOKUP(E:E,Logframe!$B:$E,4,FALSE)),"")</f>
        <v/>
      </c>
      <c r="D25" s="1217" t="str">
        <f>_xlfn.IFNA(IF(VLOOKUP(A:A,'Pivot Table'!P:Y,10,FALSE)=0,"",VLOOKUP(A:A,'Pivot Table'!P:Y,10,FALSE)),"")</f>
        <v/>
      </c>
      <c r="E25" s="1217" t="str">
        <f>_xlfn.IFNA(IF(VLOOKUP(F:F,Logframe!A:B,2,FALSE)=0,"",VLOOKUP(F:F,Logframe!A:B,2,FALSE)),"")</f>
        <v/>
      </c>
      <c r="F25" s="1219" t="str">
        <f>IF('Pivot Table'!$AF$16=0,"",'Pivot Table'!$AF$16)</f>
        <v/>
      </c>
      <c r="G25" s="308" t="s">
        <v>218</v>
      </c>
      <c r="H25" s="55"/>
      <c r="I25" s="160" t="str">
        <f>_xlfn.IFNA(IF(VLOOKUP(F:F,Logframe!F:J,3,FALSE)="","",VLOOKUP(F:F,Logframe!F:J,3,FALSE)),"")</f>
        <v/>
      </c>
      <c r="J25" s="160"/>
      <c r="K25" s="56"/>
      <c r="L25" s="56"/>
      <c r="M25" s="56"/>
      <c r="N25" s="56"/>
      <c r="O25" s="56"/>
      <c r="P25" s="56"/>
      <c r="Q25" s="56"/>
      <c r="R25" s="56"/>
      <c r="S25" s="56"/>
      <c r="T25" s="309" t="str">
        <f>_xlfn.IFNA(IF(VLOOKUP(F:F,Logframe!F:J,4,FALSE)=0,"",VLOOKUP(F:F,Logframe!F:J,4,FALSE)),"")</f>
        <v/>
      </c>
      <c r="U25" s="1232"/>
      <c r="V25" s="1233"/>
      <c r="W25" s="1215" t="str">
        <f>_xlfn.IFNA(IF(VLOOKUP(F:F,Logframe!F:J,5,FALSE)=0,"",VLOOKUP(F:F,Logframe!F:J,5,FALSE)),"")</f>
        <v/>
      </c>
      <c r="X25" s="1231"/>
    </row>
    <row r="26" spans="1:24" ht="12" customHeight="1" x14ac:dyDescent="0.3">
      <c r="A26" s="1213"/>
      <c r="B26" s="1215"/>
      <c r="C26" s="1217"/>
      <c r="D26" s="1217"/>
      <c r="E26" s="1217"/>
      <c r="F26" s="1225"/>
      <c r="G26" s="306" t="s">
        <v>219</v>
      </c>
      <c r="H26" s="57"/>
      <c r="I26" s="58"/>
      <c r="J26" s="58"/>
      <c r="K26" s="58"/>
      <c r="L26" s="58"/>
      <c r="M26" s="58"/>
      <c r="N26" s="58"/>
      <c r="O26" s="58"/>
      <c r="P26" s="58"/>
      <c r="Q26" s="58"/>
      <c r="R26" s="58"/>
      <c r="S26" s="58"/>
      <c r="T26" s="307"/>
      <c r="U26" s="1227"/>
      <c r="V26" s="1228"/>
      <c r="W26" s="1215"/>
      <c r="X26" s="1230"/>
    </row>
    <row r="27" spans="1:24" ht="12" customHeight="1" x14ac:dyDescent="0.3">
      <c r="A27" s="1213">
        <v>13</v>
      </c>
      <c r="B27" s="1215" t="str">
        <f>_xlfn.IFNA(VLOOKUP(F:F,'indicator lists'!L:R,7,FALSE),"")</f>
        <v/>
      </c>
      <c r="C27" s="1217" t="str">
        <f>_xlfn.IFNA(IF(VLOOKUP(E:E,Logframe!$B:$E,4,FALSE)=0,"",VLOOKUP(E:E,Logframe!$B:$E,4,FALSE)),"")</f>
        <v/>
      </c>
      <c r="D27" s="1217" t="str">
        <f>_xlfn.IFNA(IF(VLOOKUP(A:A,'Pivot Table'!P:Y,10,FALSE)=0,"",VLOOKUP(A:A,'Pivot Table'!P:Y,10,FALSE)),"")</f>
        <v/>
      </c>
      <c r="E27" s="1217" t="str">
        <f>_xlfn.IFNA(IF(VLOOKUP(F:F,Logframe!A:B,2,FALSE)=0,"",VLOOKUP(F:F,Logframe!A:B,2,FALSE)),"")</f>
        <v/>
      </c>
      <c r="F27" s="1219" t="str">
        <f>IF('Pivot Table'!$AF$17=0,"",'Pivot Table'!$AF$17)</f>
        <v/>
      </c>
      <c r="G27" s="308" t="s">
        <v>218</v>
      </c>
      <c r="H27" s="55"/>
      <c r="I27" s="160" t="str">
        <f>_xlfn.IFNA(IF(VLOOKUP(F:F,Logframe!F:J,3,FALSE)="","",VLOOKUP(F:F,Logframe!F:J,3,FALSE)),"")</f>
        <v/>
      </c>
      <c r="J27" s="160"/>
      <c r="K27" s="56"/>
      <c r="L27" s="56"/>
      <c r="M27" s="56"/>
      <c r="N27" s="56"/>
      <c r="O27" s="56"/>
      <c r="P27" s="56"/>
      <c r="Q27" s="56"/>
      <c r="R27" s="56"/>
      <c r="S27" s="56"/>
      <c r="T27" s="309" t="str">
        <f>_xlfn.IFNA(IF(VLOOKUP(F:F,Logframe!F:J,4,FALSE)=0,"",VLOOKUP(F:F,Logframe!F:J,4,FALSE)),"")</f>
        <v/>
      </c>
      <c r="U27" s="1232"/>
      <c r="V27" s="1233"/>
      <c r="W27" s="1215" t="str">
        <f>_xlfn.IFNA(IF(VLOOKUP(F:F,Logframe!F:J,5,FALSE)=0,"",VLOOKUP(F:F,Logframe!F:J,5,FALSE)),"")</f>
        <v/>
      </c>
      <c r="X27" s="1231"/>
    </row>
    <row r="28" spans="1:24" ht="12" customHeight="1" x14ac:dyDescent="0.3">
      <c r="A28" s="1213"/>
      <c r="B28" s="1215"/>
      <c r="C28" s="1217"/>
      <c r="D28" s="1217"/>
      <c r="E28" s="1217"/>
      <c r="F28" s="1225"/>
      <c r="G28" s="306" t="s">
        <v>219</v>
      </c>
      <c r="H28" s="57"/>
      <c r="I28" s="58"/>
      <c r="J28" s="58"/>
      <c r="K28" s="58"/>
      <c r="L28" s="58"/>
      <c r="M28" s="58"/>
      <c r="N28" s="58"/>
      <c r="O28" s="58"/>
      <c r="P28" s="58"/>
      <c r="Q28" s="58"/>
      <c r="R28" s="58"/>
      <c r="S28" s="58"/>
      <c r="T28" s="307"/>
      <c r="U28" s="1227"/>
      <c r="V28" s="1228"/>
      <c r="W28" s="1215"/>
      <c r="X28" s="1230"/>
    </row>
    <row r="29" spans="1:24" ht="12" customHeight="1" x14ac:dyDescent="0.3">
      <c r="A29" s="1213">
        <v>14</v>
      </c>
      <c r="B29" s="1215" t="str">
        <f>_xlfn.IFNA(VLOOKUP(F:F,'indicator lists'!L:R,7,FALSE),"")</f>
        <v/>
      </c>
      <c r="C29" s="1217" t="str">
        <f>_xlfn.IFNA(IF(VLOOKUP(E:E,Logframe!$B:$E,4,FALSE)=0,"",VLOOKUP(E:E,Logframe!$B:$E,4,FALSE)),"")</f>
        <v/>
      </c>
      <c r="D29" s="1217" t="str">
        <f>_xlfn.IFNA(IF(VLOOKUP(A:A,'Pivot Table'!P:Y,10,FALSE)=0,"",VLOOKUP(A:A,'Pivot Table'!P:Y,10,FALSE)),"")</f>
        <v/>
      </c>
      <c r="E29" s="1217" t="str">
        <f>_xlfn.IFNA(IF(VLOOKUP(F:F,Logframe!A:B,2,FALSE)=0,"",VLOOKUP(F:F,Logframe!A:B,2,FALSE)),"")</f>
        <v/>
      </c>
      <c r="F29" s="1219" t="str">
        <f>IF('Pivot Table'!AF18=0,"",'Pivot Table'!AF18)</f>
        <v/>
      </c>
      <c r="G29" s="308" t="s">
        <v>218</v>
      </c>
      <c r="H29" s="55"/>
      <c r="I29" s="160" t="str">
        <f>_xlfn.IFNA(IF(VLOOKUP(F:F,Logframe!F:J,3,FALSE)="","",VLOOKUP(F:F,Logframe!F:J,3,FALSE)),"")</f>
        <v/>
      </c>
      <c r="J29" s="160"/>
      <c r="K29" s="56"/>
      <c r="L29" s="56"/>
      <c r="M29" s="56"/>
      <c r="N29" s="56"/>
      <c r="O29" s="56"/>
      <c r="P29" s="56"/>
      <c r="Q29" s="56"/>
      <c r="R29" s="56"/>
      <c r="S29" s="56"/>
      <c r="T29" s="309" t="str">
        <f>_xlfn.IFNA(IF(VLOOKUP(F:F,Logframe!F:J,4,FALSE)=0,"",VLOOKUP(F:F,Logframe!F:J,4,FALSE)),"")</f>
        <v/>
      </c>
      <c r="U29" s="1232"/>
      <c r="V29" s="1233"/>
      <c r="W29" s="1215" t="str">
        <f>_xlfn.IFNA(IF(VLOOKUP(F:F,Logframe!F:J,5,FALSE)=0,"",VLOOKUP(F:F,Logframe!F:J,5,FALSE)),"")</f>
        <v/>
      </c>
      <c r="X29" s="1231"/>
    </row>
    <row r="30" spans="1:24" ht="12.75" customHeight="1" x14ac:dyDescent="0.3">
      <c r="A30" s="1213"/>
      <c r="B30" s="1215"/>
      <c r="C30" s="1217"/>
      <c r="D30" s="1217"/>
      <c r="E30" s="1217"/>
      <c r="F30" s="1225"/>
      <c r="G30" s="306" t="s">
        <v>219</v>
      </c>
      <c r="H30" s="57"/>
      <c r="I30" s="58"/>
      <c r="J30" s="58"/>
      <c r="K30" s="58"/>
      <c r="L30" s="58"/>
      <c r="M30" s="58"/>
      <c r="N30" s="58"/>
      <c r="O30" s="58"/>
      <c r="P30" s="58"/>
      <c r="Q30" s="58"/>
      <c r="R30" s="58"/>
      <c r="S30" s="58"/>
      <c r="T30" s="307"/>
      <c r="U30" s="1227"/>
      <c r="V30" s="1228"/>
      <c r="W30" s="1215"/>
      <c r="X30" s="1230"/>
    </row>
    <row r="31" spans="1:24" ht="12" customHeight="1" x14ac:dyDescent="0.3">
      <c r="A31" s="1213">
        <v>15</v>
      </c>
      <c r="B31" s="1215" t="str">
        <f>_xlfn.IFNA(VLOOKUP(F:F,'indicator lists'!L:R,7,FALSE),"")</f>
        <v/>
      </c>
      <c r="C31" s="1217" t="str">
        <f>_xlfn.IFNA(IF(VLOOKUP(E:E,Logframe!$B:$E,4,FALSE)=0,"",VLOOKUP(E:E,Logframe!$B:$E,4,FALSE)),"")</f>
        <v/>
      </c>
      <c r="D31" s="1217" t="str">
        <f>_xlfn.IFNA(IF(VLOOKUP(A:A,'Pivot Table'!P:Y,10,FALSE)=0,"",VLOOKUP(A:A,'Pivot Table'!P:Y,10,FALSE)),"")</f>
        <v/>
      </c>
      <c r="E31" s="1226" t="str">
        <f>_xlfn.IFNA(IF(VLOOKUP(F:F,Logframe!A:B,2,FALSE)=0,"",VLOOKUP(F:F,Logframe!A:B,2,FALSE)),"")</f>
        <v/>
      </c>
      <c r="F31" s="1219" t="str">
        <f>IF('Pivot Table'!AF19=0,"",'Pivot Table'!AF19)</f>
        <v/>
      </c>
      <c r="G31" s="326" t="s">
        <v>218</v>
      </c>
      <c r="H31" s="326"/>
      <c r="I31" s="327" t="str">
        <f>_xlfn.IFNA(IF(VLOOKUP(F:F,Logframe!F:J,3,FALSE)="","",VLOOKUP(F:F,Logframe!F:J,3,FALSE)),"")</f>
        <v/>
      </c>
      <c r="J31" s="327"/>
      <c r="K31" s="328"/>
      <c r="L31" s="328"/>
      <c r="M31" s="328"/>
      <c r="N31" s="328"/>
      <c r="O31" s="328"/>
      <c r="P31" s="328"/>
      <c r="Q31" s="328"/>
      <c r="R31" s="328"/>
      <c r="S31" s="328"/>
      <c r="T31" s="309" t="str">
        <f>_xlfn.IFNA(IF(VLOOKUP(F:F,Logframe!F:J,4,FALSE)=0,"",VLOOKUP(F:F,Logframe!F:J,4,FALSE)),"")</f>
        <v/>
      </c>
      <c r="U31" s="1227"/>
      <c r="V31" s="1228"/>
      <c r="W31" s="1229" t="str">
        <f>_xlfn.IFNA(IF(VLOOKUP(F:F,Logframe!F:J,5,FALSE)=0,"",VLOOKUP(F:F,Logframe!F:J,5,FALSE)),"")</f>
        <v/>
      </c>
      <c r="X31" s="1230"/>
    </row>
    <row r="32" spans="1:24" ht="12.75" customHeight="1" x14ac:dyDescent="0.3">
      <c r="A32" s="1213"/>
      <c r="B32" s="1215"/>
      <c r="C32" s="1217"/>
      <c r="D32" s="1217"/>
      <c r="E32" s="1217"/>
      <c r="F32" s="1225"/>
      <c r="G32" s="57" t="s">
        <v>219</v>
      </c>
      <c r="H32" s="57"/>
      <c r="I32" s="58"/>
      <c r="J32" s="58"/>
      <c r="K32" s="58"/>
      <c r="L32" s="58"/>
      <c r="M32" s="58"/>
      <c r="N32" s="58"/>
      <c r="O32" s="58"/>
      <c r="P32" s="58"/>
      <c r="Q32" s="58"/>
      <c r="R32" s="58"/>
      <c r="S32" s="58"/>
      <c r="T32" s="307"/>
      <c r="U32" s="1221"/>
      <c r="V32" s="1223"/>
      <c r="W32" s="1215"/>
      <c r="X32" s="1211"/>
    </row>
    <row r="33" spans="1:24" ht="12" customHeight="1" x14ac:dyDescent="0.3">
      <c r="A33" s="1213">
        <v>16</v>
      </c>
      <c r="B33" s="1215" t="str">
        <f>_xlfn.IFNA(VLOOKUP(F:F,'indicator lists'!L:R,7,FALSE),"")</f>
        <v/>
      </c>
      <c r="C33" s="1217" t="str">
        <f>_xlfn.IFNA(IF(VLOOKUP(E:E,Logframe!$B:$E,4,FALSE)=0,"",VLOOKUP(E:E,Logframe!$B:$E,4,FALSE)),"")</f>
        <v/>
      </c>
      <c r="D33" s="1217" t="str">
        <f>_xlfn.IFNA(IF(VLOOKUP(A:A,'Pivot Table'!P:Y,10,FALSE)=0,"",VLOOKUP(A:A,'Pivot Table'!P:Y,10,FALSE)),"")</f>
        <v/>
      </c>
      <c r="E33" s="1217" t="str">
        <f>_xlfn.IFNA(IF(VLOOKUP(F:F,Logframe!A:B,2,FALSE)=0,"",VLOOKUP(F:F,Logframe!A:B,2,FALSE)),"")</f>
        <v/>
      </c>
      <c r="F33" s="1219" t="str">
        <f>IF('Pivot Table'!AF20=0,"",'Pivot Table'!AF20)</f>
        <v/>
      </c>
      <c r="G33" s="55" t="s">
        <v>218</v>
      </c>
      <c r="H33" s="55"/>
      <c r="I33" s="160" t="str">
        <f>_xlfn.IFNA(IF(VLOOKUP(F:F,Logframe!F:J,3,FALSE)="","",VLOOKUP(F:F,Logframe!F:J,3,FALSE)),"")</f>
        <v/>
      </c>
      <c r="J33" s="160"/>
      <c r="K33" s="56"/>
      <c r="L33" s="56"/>
      <c r="M33" s="56"/>
      <c r="N33" s="56"/>
      <c r="O33" s="56"/>
      <c r="P33" s="56"/>
      <c r="Q33" s="56"/>
      <c r="R33" s="56"/>
      <c r="S33" s="56"/>
      <c r="T33" s="309" t="str">
        <f>_xlfn.IFNA(IF(VLOOKUP(F:F,Logframe!F:J,4,FALSE)=0,"",VLOOKUP(F:F,Logframe!F:J,4,FALSE)),"")</f>
        <v/>
      </c>
      <c r="U33" s="1221"/>
      <c r="V33" s="1223"/>
      <c r="W33" s="1215" t="str">
        <f>_xlfn.IFNA(IF(VLOOKUP(F:F,Logframe!F:J,5,FALSE)=0,"",VLOOKUP(F:F,Logframe!F:J,5,FALSE)),"")</f>
        <v/>
      </c>
      <c r="X33" s="1211"/>
    </row>
    <row r="34" spans="1:24" ht="12.75" customHeight="1" x14ac:dyDescent="0.3">
      <c r="A34" s="1213"/>
      <c r="B34" s="1215"/>
      <c r="C34" s="1217"/>
      <c r="D34" s="1217"/>
      <c r="E34" s="1217"/>
      <c r="F34" s="1225"/>
      <c r="G34" s="57" t="s">
        <v>219</v>
      </c>
      <c r="H34" s="57"/>
      <c r="I34" s="58"/>
      <c r="J34" s="58"/>
      <c r="K34" s="58"/>
      <c r="L34" s="58"/>
      <c r="M34" s="58"/>
      <c r="N34" s="58"/>
      <c r="O34" s="58"/>
      <c r="P34" s="58"/>
      <c r="Q34" s="58"/>
      <c r="R34" s="58"/>
      <c r="S34" s="58"/>
      <c r="T34" s="307"/>
      <c r="U34" s="1221"/>
      <c r="V34" s="1223"/>
      <c r="W34" s="1215"/>
      <c r="X34" s="1211"/>
    </row>
    <row r="35" spans="1:24" ht="12" customHeight="1" x14ac:dyDescent="0.3">
      <c r="A35" s="1213">
        <v>17</v>
      </c>
      <c r="B35" s="1215" t="str">
        <f>_xlfn.IFNA(VLOOKUP(F:F,'indicator lists'!L:R,7,FALSE),"")</f>
        <v/>
      </c>
      <c r="C35" s="1217" t="str">
        <f>_xlfn.IFNA(IF(VLOOKUP(E:E,Logframe!$B:$E,4,FALSE)=0,"",VLOOKUP(E:E,Logframe!$B:$E,4,FALSE)),"")</f>
        <v/>
      </c>
      <c r="D35" s="1217" t="str">
        <f>_xlfn.IFNA(IF(VLOOKUP(A:A,'Pivot Table'!P:Y,10,FALSE)=0,"",VLOOKUP(A:A,'Pivot Table'!P:Y,10,FALSE)),"")</f>
        <v/>
      </c>
      <c r="E35" s="1217" t="str">
        <f>_xlfn.IFNA(IF(VLOOKUP(F:F,Logframe!A:B,2,FALSE)=0,"",VLOOKUP(F:F,Logframe!A:B,2,FALSE)),"")</f>
        <v/>
      </c>
      <c r="F35" s="1219" t="str">
        <f>IF('Pivot Table'!AF21=0,"",'Pivot Table'!AF21)</f>
        <v/>
      </c>
      <c r="G35" s="55" t="s">
        <v>218</v>
      </c>
      <c r="H35" s="55"/>
      <c r="I35" s="160" t="str">
        <f>_xlfn.IFNA(IF(VLOOKUP(F:F,Logframe!F:J,3,FALSE)="","",VLOOKUP(F:F,Logframe!F:J,3,FALSE)),"")</f>
        <v/>
      </c>
      <c r="J35" s="160"/>
      <c r="K35" s="56"/>
      <c r="L35" s="56"/>
      <c r="M35" s="56"/>
      <c r="N35" s="56"/>
      <c r="O35" s="56"/>
      <c r="P35" s="56"/>
      <c r="Q35" s="56"/>
      <c r="R35" s="56"/>
      <c r="S35" s="56"/>
      <c r="T35" s="309" t="str">
        <f>_xlfn.IFNA(IF(VLOOKUP(F:F,Logframe!F:J,4,FALSE)=0,"",VLOOKUP(F:F,Logframe!F:J,4,FALSE)),"")</f>
        <v/>
      </c>
      <c r="U35" s="1221"/>
      <c r="V35" s="1223"/>
      <c r="W35" s="1215" t="str">
        <f>_xlfn.IFNA(IF(VLOOKUP(F:F,Logframe!F:J,5,FALSE)=0,"",VLOOKUP(F:F,Logframe!F:J,5,FALSE)),"")</f>
        <v/>
      </c>
      <c r="X35" s="1211"/>
    </row>
    <row r="36" spans="1:24" ht="12.75" customHeight="1" x14ac:dyDescent="0.3">
      <c r="A36" s="1213"/>
      <c r="B36" s="1215"/>
      <c r="C36" s="1217"/>
      <c r="D36" s="1217"/>
      <c r="E36" s="1217"/>
      <c r="F36" s="1225"/>
      <c r="G36" s="57" t="s">
        <v>219</v>
      </c>
      <c r="H36" s="57"/>
      <c r="I36" s="58"/>
      <c r="J36" s="58"/>
      <c r="K36" s="58"/>
      <c r="L36" s="58"/>
      <c r="M36" s="58"/>
      <c r="N36" s="58"/>
      <c r="O36" s="58"/>
      <c r="P36" s="58"/>
      <c r="Q36" s="58"/>
      <c r="R36" s="58"/>
      <c r="S36" s="58"/>
      <c r="T36" s="307"/>
      <c r="U36" s="1221"/>
      <c r="V36" s="1223"/>
      <c r="W36" s="1215"/>
      <c r="X36" s="1211"/>
    </row>
    <row r="37" spans="1:24" ht="12" customHeight="1" x14ac:dyDescent="0.3">
      <c r="A37" s="1213">
        <v>18</v>
      </c>
      <c r="B37" s="1215" t="str">
        <f>_xlfn.IFNA(VLOOKUP(F:F,'indicator lists'!L:R,7,FALSE),"")</f>
        <v/>
      </c>
      <c r="C37" s="1217" t="str">
        <f>_xlfn.IFNA(IF(VLOOKUP(E:E,Logframe!$B:$E,4,FALSE)=0,"",VLOOKUP(E:E,Logframe!$B:$E,4,FALSE)),"")</f>
        <v/>
      </c>
      <c r="D37" s="1217" t="str">
        <f>_xlfn.IFNA(IF(VLOOKUP(A:A,'Pivot Table'!P:Y,10,FALSE)=0,"",VLOOKUP(A:A,'Pivot Table'!P:Y,10,FALSE)),"")</f>
        <v/>
      </c>
      <c r="E37" s="1217" t="str">
        <f>_xlfn.IFNA(IF(VLOOKUP(F:F,Logframe!A:B,2,FALSE)=0,"",VLOOKUP(F:F,Logframe!A:B,2,FALSE)),"")</f>
        <v/>
      </c>
      <c r="F37" s="1219" t="str">
        <f>IF('Pivot Table'!AF22=0,"",'Pivot Table'!AF22)</f>
        <v/>
      </c>
      <c r="G37" s="55" t="s">
        <v>218</v>
      </c>
      <c r="H37" s="55"/>
      <c r="I37" s="160" t="str">
        <f>_xlfn.IFNA(IF(VLOOKUP(F:F,Logframe!F:J,3,FALSE)="","",VLOOKUP(F:F,Logframe!F:J,3,FALSE)),"")</f>
        <v/>
      </c>
      <c r="J37" s="160"/>
      <c r="K37" s="56"/>
      <c r="L37" s="56"/>
      <c r="M37" s="56"/>
      <c r="N37" s="56"/>
      <c r="O37" s="56"/>
      <c r="P37" s="56"/>
      <c r="Q37" s="56"/>
      <c r="R37" s="56"/>
      <c r="S37" s="56"/>
      <c r="T37" s="309" t="str">
        <f>_xlfn.IFNA(IF(VLOOKUP(F:F,Logframe!F:J,4,FALSE)=0,"",VLOOKUP(F:F,Logframe!F:J,4,FALSE)),"")</f>
        <v/>
      </c>
      <c r="U37" s="1221"/>
      <c r="V37" s="1223"/>
      <c r="W37" s="1215" t="str">
        <f>_xlfn.IFNA(IF(VLOOKUP(F:F,Logframe!F:J,5,FALSE)=0,"",VLOOKUP(F:F,Logframe!F:J,5,FALSE)),"")</f>
        <v/>
      </c>
      <c r="X37" s="1211"/>
    </row>
    <row r="38" spans="1:24" ht="12.75" customHeight="1" x14ac:dyDescent="0.3">
      <c r="A38" s="1213"/>
      <c r="B38" s="1215"/>
      <c r="C38" s="1217"/>
      <c r="D38" s="1217"/>
      <c r="E38" s="1217"/>
      <c r="F38" s="1225"/>
      <c r="G38" s="57" t="s">
        <v>219</v>
      </c>
      <c r="H38" s="57"/>
      <c r="I38" s="58"/>
      <c r="J38" s="58"/>
      <c r="K38" s="58"/>
      <c r="L38" s="58"/>
      <c r="M38" s="58"/>
      <c r="N38" s="58"/>
      <c r="O38" s="58"/>
      <c r="P38" s="58"/>
      <c r="Q38" s="58"/>
      <c r="R38" s="58"/>
      <c r="S38" s="58"/>
      <c r="T38" s="307"/>
      <c r="U38" s="1221"/>
      <c r="V38" s="1223"/>
      <c r="W38" s="1215"/>
      <c r="X38" s="1211"/>
    </row>
    <row r="39" spans="1:24" ht="12" customHeight="1" x14ac:dyDescent="0.3">
      <c r="A39" s="1213">
        <v>19</v>
      </c>
      <c r="B39" s="1215" t="str">
        <f>_xlfn.IFNA(VLOOKUP(F:F,'indicator lists'!L:R,7,FALSE),"")</f>
        <v/>
      </c>
      <c r="C39" s="1217" t="str">
        <f>_xlfn.IFNA(IF(VLOOKUP(E:E,Logframe!$B:$E,4,FALSE)=0,"",VLOOKUP(E:E,Logframe!$B:$E,4,FALSE)),"")</f>
        <v/>
      </c>
      <c r="D39" s="1217" t="str">
        <f>_xlfn.IFNA(IF(VLOOKUP(A:A,'Pivot Table'!P:Y,10,FALSE)=0,"",VLOOKUP(A:A,'Pivot Table'!P:Y,10,FALSE)),"")</f>
        <v/>
      </c>
      <c r="E39" s="1217" t="str">
        <f>_xlfn.IFNA(IF(VLOOKUP(F:F,Logframe!A:B,2,FALSE)=0,"",VLOOKUP(F:F,Logframe!A:B,2,FALSE)),"")</f>
        <v/>
      </c>
      <c r="F39" s="1219" t="str">
        <f>IF('Pivot Table'!AF23=0,"",'Pivot Table'!AF23)</f>
        <v/>
      </c>
      <c r="G39" s="55" t="s">
        <v>218</v>
      </c>
      <c r="H39" s="55"/>
      <c r="I39" s="160" t="str">
        <f>_xlfn.IFNA(IF(VLOOKUP(F:F,Logframe!F:J,3,FALSE)="","",VLOOKUP(F:F,Logframe!F:J,3,FALSE)),"")</f>
        <v/>
      </c>
      <c r="J39" s="160"/>
      <c r="K39" s="56"/>
      <c r="L39" s="56"/>
      <c r="M39" s="56"/>
      <c r="N39" s="56"/>
      <c r="O39" s="56"/>
      <c r="P39" s="56"/>
      <c r="Q39" s="56"/>
      <c r="R39" s="56"/>
      <c r="S39" s="56"/>
      <c r="T39" s="309" t="str">
        <f>_xlfn.IFNA(IF(VLOOKUP(F:F,Logframe!F:J,4,FALSE)=0,"",VLOOKUP(F:F,Logframe!F:J,4,FALSE)),"")</f>
        <v/>
      </c>
      <c r="U39" s="1221"/>
      <c r="V39" s="1223"/>
      <c r="W39" s="1215" t="str">
        <f>_xlfn.IFNA(IF(VLOOKUP(F:F,Logframe!F:J,5,FALSE)=0,"",VLOOKUP(F:F,Logframe!F:J,5,FALSE)),"")</f>
        <v/>
      </c>
      <c r="X39" s="1211"/>
    </row>
    <row r="40" spans="1:24" ht="12.75" customHeight="1" x14ac:dyDescent="0.3">
      <c r="A40" s="1213"/>
      <c r="B40" s="1215"/>
      <c r="C40" s="1217"/>
      <c r="D40" s="1217"/>
      <c r="E40" s="1217"/>
      <c r="F40" s="1225"/>
      <c r="G40" s="57" t="s">
        <v>219</v>
      </c>
      <c r="H40" s="57"/>
      <c r="I40" s="58"/>
      <c r="J40" s="58"/>
      <c r="K40" s="58"/>
      <c r="L40" s="58"/>
      <c r="M40" s="58"/>
      <c r="N40" s="58"/>
      <c r="O40" s="58"/>
      <c r="P40" s="58"/>
      <c r="Q40" s="58"/>
      <c r="R40" s="58"/>
      <c r="S40" s="58"/>
      <c r="T40" s="307"/>
      <c r="U40" s="1221"/>
      <c r="V40" s="1223"/>
      <c r="W40" s="1215"/>
      <c r="X40" s="1211"/>
    </row>
    <row r="41" spans="1:24" ht="12" customHeight="1" x14ac:dyDescent="0.3">
      <c r="A41" s="1213">
        <v>20</v>
      </c>
      <c r="B41" s="1215" t="str">
        <f>_xlfn.IFNA(VLOOKUP(F:F,'indicator lists'!L:R,7,FALSE),"")</f>
        <v/>
      </c>
      <c r="C41" s="1217" t="str">
        <f>_xlfn.IFNA(IF(VLOOKUP(E:E,Logframe!$B:$E,4,FALSE)=0,"",VLOOKUP(E:E,Logframe!$B:$E,4,FALSE)),"")</f>
        <v/>
      </c>
      <c r="D41" s="1217" t="str">
        <f>_xlfn.IFNA(IF(VLOOKUP(A:A,'Pivot Table'!P:Y,10,FALSE)=0,"",VLOOKUP(A:A,'Pivot Table'!P:Y,10,FALSE)),"")</f>
        <v/>
      </c>
      <c r="E41" s="1217" t="str">
        <f>_xlfn.IFNA(IF(VLOOKUP(F:F,Logframe!A:B,2,FALSE)=0,"",VLOOKUP(F:F,Logframe!A:B,2,FALSE)),"")</f>
        <v/>
      </c>
      <c r="F41" s="1219" t="str">
        <f>IF('Pivot Table'!AF24=0,"",'Pivot Table'!AF24)</f>
        <v/>
      </c>
      <c r="G41" s="55" t="s">
        <v>218</v>
      </c>
      <c r="H41" s="55"/>
      <c r="I41" s="160" t="str">
        <f>_xlfn.IFNA(IF(VLOOKUP(F:F,Logframe!F:J,3,FALSE)="","",VLOOKUP(F:F,Logframe!F:J,3,FALSE)),"")</f>
        <v/>
      </c>
      <c r="J41" s="160"/>
      <c r="K41" s="56"/>
      <c r="L41" s="56"/>
      <c r="M41" s="56"/>
      <c r="N41" s="56"/>
      <c r="O41" s="56"/>
      <c r="P41" s="56"/>
      <c r="Q41" s="56"/>
      <c r="R41" s="56"/>
      <c r="S41" s="56"/>
      <c r="T41" s="309" t="str">
        <f>_xlfn.IFNA(IF(VLOOKUP(F:F,Logframe!F:J,4,FALSE)=0,"",VLOOKUP(F:F,Logframe!F:J,4,FALSE)),"")</f>
        <v/>
      </c>
      <c r="U41" s="1221"/>
      <c r="V41" s="1223"/>
      <c r="W41" s="1215" t="str">
        <f>_xlfn.IFNA(IF(VLOOKUP(F:F,Logframe!F:J,5,FALSE)=0,"",VLOOKUP(F:F,Logframe!F:J,5,FALSE)),"")</f>
        <v/>
      </c>
      <c r="X41" s="1211"/>
    </row>
    <row r="42" spans="1:24" ht="12.75" customHeight="1" x14ac:dyDescent="0.3">
      <c r="A42" s="1213"/>
      <c r="B42" s="1215"/>
      <c r="C42" s="1217"/>
      <c r="D42" s="1217"/>
      <c r="E42" s="1217"/>
      <c r="F42" s="1225"/>
      <c r="G42" s="57" t="s">
        <v>219</v>
      </c>
      <c r="H42" s="57"/>
      <c r="I42" s="58"/>
      <c r="J42" s="58"/>
      <c r="K42" s="58"/>
      <c r="L42" s="58"/>
      <c r="M42" s="58"/>
      <c r="N42" s="58"/>
      <c r="O42" s="58"/>
      <c r="P42" s="58"/>
      <c r="Q42" s="58"/>
      <c r="R42" s="58"/>
      <c r="S42" s="58"/>
      <c r="T42" s="307"/>
      <c r="U42" s="1221"/>
      <c r="V42" s="1223"/>
      <c r="W42" s="1215"/>
      <c r="X42" s="1211"/>
    </row>
    <row r="43" spans="1:24" ht="12" customHeight="1" x14ac:dyDescent="0.3">
      <c r="A43" s="1213">
        <v>21</v>
      </c>
      <c r="B43" s="1215" t="str">
        <f>_xlfn.IFNA(VLOOKUP(F:F,'indicator lists'!L:R,7,FALSE),"")</f>
        <v/>
      </c>
      <c r="C43" s="1217" t="str">
        <f>_xlfn.IFNA(IF(VLOOKUP(E:E,Logframe!$B:$E,4,FALSE)=0,"",VLOOKUP(E:E,Logframe!$B:$E,4,FALSE)),"")</f>
        <v/>
      </c>
      <c r="D43" s="1217" t="str">
        <f>_xlfn.IFNA(IF(VLOOKUP(A:A,'Pivot Table'!P:Y,10,FALSE)=0,"",VLOOKUP(A:A,'Pivot Table'!P:Y,10,FALSE)),"")</f>
        <v/>
      </c>
      <c r="E43" s="1217" t="str">
        <f>_xlfn.IFNA(IF(VLOOKUP(F:F,Logframe!A:B,2,FALSE)=0,"",VLOOKUP(F:F,Logframe!A:B,2,FALSE)),"")</f>
        <v/>
      </c>
      <c r="F43" s="1219" t="str">
        <f>IF('Pivot Table'!AF25=0,"",'Pivot Table'!AF25)</f>
        <v/>
      </c>
      <c r="G43" s="55" t="s">
        <v>218</v>
      </c>
      <c r="H43" s="55"/>
      <c r="I43" s="160" t="str">
        <f>_xlfn.IFNA(IF(VLOOKUP(F:F,Logframe!F:J,3,FALSE)="","",VLOOKUP(F:F,Logframe!F:J,3,FALSE)),"")</f>
        <v/>
      </c>
      <c r="J43" s="160"/>
      <c r="K43" s="56"/>
      <c r="L43" s="56"/>
      <c r="M43" s="56"/>
      <c r="N43" s="56"/>
      <c r="O43" s="56"/>
      <c r="P43" s="56"/>
      <c r="Q43" s="56"/>
      <c r="R43" s="56"/>
      <c r="S43" s="56"/>
      <c r="T43" s="309" t="str">
        <f>_xlfn.IFNA(IF(VLOOKUP(F:F,Logframe!F:J,4,FALSE)=0,"",VLOOKUP(F:F,Logframe!F:J,4,FALSE)),"")</f>
        <v/>
      </c>
      <c r="U43" s="1221"/>
      <c r="V43" s="1223"/>
      <c r="W43" s="1215" t="str">
        <f>_xlfn.IFNA(IF(VLOOKUP(F:F,Logframe!F:J,5,FALSE)=0,"",VLOOKUP(F:F,Logframe!F:J,5,FALSE)),"")</f>
        <v/>
      </c>
      <c r="X43" s="1211"/>
    </row>
    <row r="44" spans="1:24" ht="12.75" customHeight="1" x14ac:dyDescent="0.3">
      <c r="A44" s="1213"/>
      <c r="B44" s="1215"/>
      <c r="C44" s="1217"/>
      <c r="D44" s="1217"/>
      <c r="E44" s="1217"/>
      <c r="F44" s="1225"/>
      <c r="G44" s="57" t="s">
        <v>219</v>
      </c>
      <c r="H44" s="57"/>
      <c r="I44" s="58"/>
      <c r="J44" s="58"/>
      <c r="K44" s="58"/>
      <c r="L44" s="58"/>
      <c r="M44" s="58"/>
      <c r="N44" s="58"/>
      <c r="O44" s="58"/>
      <c r="P44" s="58"/>
      <c r="Q44" s="58"/>
      <c r="R44" s="58"/>
      <c r="S44" s="58"/>
      <c r="T44" s="307"/>
      <c r="U44" s="1221"/>
      <c r="V44" s="1223"/>
      <c r="W44" s="1215"/>
      <c r="X44" s="1211"/>
    </row>
    <row r="45" spans="1:24" ht="12" customHeight="1" x14ac:dyDescent="0.3">
      <c r="A45" s="1213">
        <v>22</v>
      </c>
      <c r="B45" s="1215" t="str">
        <f>_xlfn.IFNA(VLOOKUP(F:F,'indicator lists'!L:R,7,FALSE),"")</f>
        <v/>
      </c>
      <c r="C45" s="1217" t="str">
        <f>_xlfn.IFNA(IF(VLOOKUP(E:E,Logframe!$B:$E,4,FALSE)=0,"",VLOOKUP(E:E,Logframe!$B:$E,4,FALSE)),"")</f>
        <v/>
      </c>
      <c r="D45" s="1217" t="str">
        <f>_xlfn.IFNA(IF(VLOOKUP(A:A,'Pivot Table'!P:Y,10,FALSE)=0,"",VLOOKUP(A:A,'Pivot Table'!P:Y,10,FALSE)),"")</f>
        <v/>
      </c>
      <c r="E45" s="1217" t="str">
        <f>_xlfn.IFNA(IF(VLOOKUP(F:F,Logframe!A:B,2,FALSE)=0,"",VLOOKUP(F:F,Logframe!A:B,2,FALSE)),"")</f>
        <v/>
      </c>
      <c r="F45" s="1219" t="str">
        <f>IF('Pivot Table'!AF26=0,"",'Pivot Table'!AF26)</f>
        <v/>
      </c>
      <c r="G45" s="55" t="s">
        <v>218</v>
      </c>
      <c r="H45" s="55"/>
      <c r="I45" s="160" t="str">
        <f>_xlfn.IFNA(IF(VLOOKUP(F:F,Logframe!F:J,3,FALSE)="","",VLOOKUP(F:F,Logframe!F:J,3,FALSE)),"")</f>
        <v/>
      </c>
      <c r="J45" s="160"/>
      <c r="K45" s="56"/>
      <c r="L45" s="56"/>
      <c r="M45" s="56"/>
      <c r="N45" s="56"/>
      <c r="O45" s="56"/>
      <c r="P45" s="56"/>
      <c r="Q45" s="56"/>
      <c r="R45" s="56"/>
      <c r="S45" s="56"/>
      <c r="T45" s="309" t="str">
        <f>_xlfn.IFNA(IF(VLOOKUP(F:F,Logframe!F:J,4,FALSE)=0,"",VLOOKUP(F:F,Logframe!F:J,4,FALSE)),"")</f>
        <v/>
      </c>
      <c r="U45" s="1221"/>
      <c r="V45" s="1223"/>
      <c r="W45" s="1215" t="str">
        <f>_xlfn.IFNA(IF(VLOOKUP(F:F,Logframe!F:J,5,FALSE)=0,"",VLOOKUP(F:F,Logframe!F:J,5,FALSE)),"")</f>
        <v/>
      </c>
      <c r="X45" s="1211"/>
    </row>
    <row r="46" spans="1:24" ht="12.75" customHeight="1" x14ac:dyDescent="0.3">
      <c r="A46" s="1213"/>
      <c r="B46" s="1215"/>
      <c r="C46" s="1217"/>
      <c r="D46" s="1217"/>
      <c r="E46" s="1217"/>
      <c r="F46" s="1225"/>
      <c r="G46" s="57" t="s">
        <v>219</v>
      </c>
      <c r="H46" s="57"/>
      <c r="I46" s="58"/>
      <c r="J46" s="58"/>
      <c r="K46" s="58"/>
      <c r="L46" s="58"/>
      <c r="M46" s="58"/>
      <c r="N46" s="58"/>
      <c r="O46" s="58"/>
      <c r="P46" s="58"/>
      <c r="Q46" s="58"/>
      <c r="R46" s="58"/>
      <c r="S46" s="58"/>
      <c r="T46" s="307"/>
      <c r="U46" s="1221"/>
      <c r="V46" s="1223"/>
      <c r="W46" s="1215"/>
      <c r="X46" s="1211"/>
    </row>
    <row r="47" spans="1:24" ht="12" customHeight="1" x14ac:dyDescent="0.3">
      <c r="A47" s="1213">
        <v>23</v>
      </c>
      <c r="B47" s="1215" t="str">
        <f>_xlfn.IFNA(VLOOKUP(F:F,'indicator lists'!L:R,7,FALSE),"")</f>
        <v/>
      </c>
      <c r="C47" s="1217" t="str">
        <f>_xlfn.IFNA(IF(VLOOKUP(E:E,Logframe!$B:$E,4,FALSE)=0,"",VLOOKUP(E:E,Logframe!$B:$E,4,FALSE)),"")</f>
        <v/>
      </c>
      <c r="D47" s="1217" t="str">
        <f>_xlfn.IFNA(IF(VLOOKUP(A:A,'Pivot Table'!P:Y,10,FALSE)=0,"",VLOOKUP(A:A,'Pivot Table'!P:Y,10,FALSE)),"")</f>
        <v/>
      </c>
      <c r="E47" s="1217" t="str">
        <f>_xlfn.IFNA(IF(VLOOKUP(F:F,Logframe!A:B,2,FALSE)=0,"",VLOOKUP(F:F,Logframe!A:B,2,FALSE)),"")</f>
        <v/>
      </c>
      <c r="F47" s="1219" t="str">
        <f>IF('Pivot Table'!AF27=0,"",'Pivot Table'!AF27)</f>
        <v/>
      </c>
      <c r="G47" s="55" t="s">
        <v>218</v>
      </c>
      <c r="H47" s="55"/>
      <c r="I47" s="160" t="str">
        <f>_xlfn.IFNA(IF(VLOOKUP(F:F,Logframe!F:J,3,FALSE)="","",VLOOKUP(F:F,Logframe!F:J,3,FALSE)),"")</f>
        <v/>
      </c>
      <c r="J47" s="160"/>
      <c r="K47" s="56"/>
      <c r="L47" s="56"/>
      <c r="M47" s="56"/>
      <c r="N47" s="56"/>
      <c r="O47" s="56"/>
      <c r="P47" s="56"/>
      <c r="Q47" s="56"/>
      <c r="R47" s="56"/>
      <c r="S47" s="56"/>
      <c r="T47" s="309" t="str">
        <f>_xlfn.IFNA(IF(VLOOKUP(F:F,Logframe!F:J,4,FALSE)=0,"",VLOOKUP(F:F,Logframe!F:J,4,FALSE)),"")</f>
        <v/>
      </c>
      <c r="U47" s="1221"/>
      <c r="V47" s="1223"/>
      <c r="W47" s="1215" t="str">
        <f>_xlfn.IFNA(IF(VLOOKUP(F:F,Logframe!F:J,5,FALSE)=0,"",VLOOKUP(F:F,Logframe!F:J,5,FALSE)),"")</f>
        <v/>
      </c>
      <c r="X47" s="1211"/>
    </row>
    <row r="48" spans="1:24" ht="12.75" customHeight="1" x14ac:dyDescent="0.3">
      <c r="A48" s="1213"/>
      <c r="B48" s="1215"/>
      <c r="C48" s="1217"/>
      <c r="D48" s="1217"/>
      <c r="E48" s="1217"/>
      <c r="F48" s="1225"/>
      <c r="G48" s="57" t="s">
        <v>219</v>
      </c>
      <c r="H48" s="57"/>
      <c r="I48" s="58"/>
      <c r="J48" s="58"/>
      <c r="K48" s="58"/>
      <c r="L48" s="58"/>
      <c r="M48" s="58"/>
      <c r="N48" s="58"/>
      <c r="O48" s="58"/>
      <c r="P48" s="58"/>
      <c r="Q48" s="58"/>
      <c r="R48" s="58"/>
      <c r="S48" s="58"/>
      <c r="T48" s="307"/>
      <c r="U48" s="1221"/>
      <c r="V48" s="1223"/>
      <c r="W48" s="1215"/>
      <c r="X48" s="1211"/>
    </row>
    <row r="49" spans="1:24" ht="12" customHeight="1" x14ac:dyDescent="0.3">
      <c r="A49" s="1213">
        <v>24</v>
      </c>
      <c r="B49" s="1215" t="str">
        <f>_xlfn.IFNA(VLOOKUP(F:F,'indicator lists'!L:R,7,FALSE),"")</f>
        <v/>
      </c>
      <c r="C49" s="1217" t="str">
        <f>_xlfn.IFNA(IF(VLOOKUP(E:E,Logframe!$B:$E,4,FALSE)=0,"",VLOOKUP(E:E,Logframe!$B:$E,4,FALSE)),"")</f>
        <v/>
      </c>
      <c r="D49" s="1217" t="str">
        <f>_xlfn.IFNA(IF(VLOOKUP(A:A,'Pivot Table'!P:Y,10,FALSE)=0,"",VLOOKUP(A:A,'Pivot Table'!P:Y,10,FALSE)),"")</f>
        <v/>
      </c>
      <c r="E49" s="1217" t="str">
        <f>_xlfn.IFNA(IF(VLOOKUP(F:F,Logframe!A:B,2,FALSE)=0,"",VLOOKUP(F:F,Logframe!A:B,2,FALSE)),"")</f>
        <v/>
      </c>
      <c r="F49" s="1219" t="str">
        <f>IF('Pivot Table'!AF28=0,"",'Pivot Table'!AF28)</f>
        <v/>
      </c>
      <c r="G49" s="55" t="s">
        <v>218</v>
      </c>
      <c r="H49" s="55"/>
      <c r="I49" s="160" t="str">
        <f>_xlfn.IFNA(IF(VLOOKUP(F:F,Logframe!F:J,3,FALSE)="","",VLOOKUP(F:F,Logframe!F:J,3,FALSE)),"")</f>
        <v/>
      </c>
      <c r="J49" s="160"/>
      <c r="K49" s="56"/>
      <c r="L49" s="56"/>
      <c r="M49" s="56"/>
      <c r="N49" s="56"/>
      <c r="O49" s="56"/>
      <c r="P49" s="56"/>
      <c r="Q49" s="56"/>
      <c r="R49" s="56"/>
      <c r="S49" s="56"/>
      <c r="T49" s="309" t="str">
        <f>_xlfn.IFNA(IF(VLOOKUP(F:F,Logframe!F:J,4,FALSE)=0,"",VLOOKUP(F:F,Logframe!F:J,4,FALSE)),"")</f>
        <v/>
      </c>
      <c r="U49" s="1221"/>
      <c r="V49" s="1223"/>
      <c r="W49" s="1215" t="str">
        <f>_xlfn.IFNA(IF(VLOOKUP(F:F,Logframe!F:J,5,FALSE)=0,"",VLOOKUP(F:F,Logframe!F:J,5,FALSE)),"")</f>
        <v/>
      </c>
      <c r="X49" s="1211"/>
    </row>
    <row r="50" spans="1:24" ht="12.75" customHeight="1" x14ac:dyDescent="0.3">
      <c r="A50" s="1213"/>
      <c r="B50" s="1215"/>
      <c r="C50" s="1217"/>
      <c r="D50" s="1217"/>
      <c r="E50" s="1217"/>
      <c r="F50" s="1225"/>
      <c r="G50" s="57" t="s">
        <v>219</v>
      </c>
      <c r="H50" s="57"/>
      <c r="I50" s="58"/>
      <c r="J50" s="58"/>
      <c r="K50" s="58"/>
      <c r="L50" s="58"/>
      <c r="M50" s="58"/>
      <c r="N50" s="58"/>
      <c r="O50" s="58"/>
      <c r="P50" s="58"/>
      <c r="Q50" s="58"/>
      <c r="R50" s="58"/>
      <c r="S50" s="58"/>
      <c r="T50" s="307"/>
      <c r="U50" s="1221"/>
      <c r="V50" s="1223"/>
      <c r="W50" s="1215"/>
      <c r="X50" s="1211"/>
    </row>
    <row r="51" spans="1:24" ht="12" customHeight="1" x14ac:dyDescent="0.3">
      <c r="A51" s="1213">
        <v>25</v>
      </c>
      <c r="B51" s="1215" t="str">
        <f>_xlfn.IFNA(VLOOKUP(F:F,'indicator lists'!L:R,7,FALSE),"")</f>
        <v/>
      </c>
      <c r="C51" s="1217" t="str">
        <f>_xlfn.IFNA(IF(VLOOKUP(E:E,Logframe!$B:$E,4,FALSE)=0,"",VLOOKUP(E:E,Logframe!$B:$E,4,FALSE)),"")</f>
        <v/>
      </c>
      <c r="D51" s="1217" t="str">
        <f>_xlfn.IFNA(IF(VLOOKUP(A:A,'Pivot Table'!P:Y,10,FALSE)=0,"",VLOOKUP(A:A,'Pivot Table'!P:Y,10,FALSE)),"")</f>
        <v/>
      </c>
      <c r="E51" s="1217" t="str">
        <f>_xlfn.IFNA(IF(VLOOKUP(F:F,Logframe!A:B,2,FALSE)=0,"",VLOOKUP(F:F,Logframe!A:B,2,FALSE)),"")</f>
        <v/>
      </c>
      <c r="F51" s="1219" t="str">
        <f>IF('Pivot Table'!AF29=0,"",'Pivot Table'!AF29)</f>
        <v/>
      </c>
      <c r="G51" s="55" t="s">
        <v>218</v>
      </c>
      <c r="H51" s="55"/>
      <c r="I51" s="160" t="str">
        <f>_xlfn.IFNA(IF(VLOOKUP(F:F,Logframe!F:J,3,FALSE)="","",VLOOKUP(F:F,Logframe!F:J,3,FALSE)),"")</f>
        <v/>
      </c>
      <c r="J51" s="160"/>
      <c r="K51" s="56"/>
      <c r="L51" s="56"/>
      <c r="M51" s="56"/>
      <c r="N51" s="56"/>
      <c r="O51" s="56"/>
      <c r="P51" s="56"/>
      <c r="Q51" s="56"/>
      <c r="R51" s="56"/>
      <c r="S51" s="56"/>
      <c r="T51" s="309" t="str">
        <f>_xlfn.IFNA(IF(VLOOKUP(F:F,Logframe!F:J,4,FALSE)=0,"",VLOOKUP(F:F,Logframe!F:J,4,FALSE)),"")</f>
        <v/>
      </c>
      <c r="U51" s="1221"/>
      <c r="V51" s="1223"/>
      <c r="W51" s="1215" t="str">
        <f>_xlfn.IFNA(IF(VLOOKUP(F:F,Logframe!F:J,5,FALSE)=0,"",VLOOKUP(F:F,Logframe!F:J,5,FALSE)),"")</f>
        <v/>
      </c>
      <c r="X51" s="1211"/>
    </row>
    <row r="52" spans="1:24" ht="12.75" customHeight="1" thickBot="1" x14ac:dyDescent="0.35">
      <c r="A52" s="1214"/>
      <c r="B52" s="1216"/>
      <c r="C52" s="1218"/>
      <c r="D52" s="1218"/>
      <c r="E52" s="1218"/>
      <c r="F52" s="1220"/>
      <c r="G52" s="166" t="s">
        <v>219</v>
      </c>
      <c r="H52" s="166"/>
      <c r="I52" s="167"/>
      <c r="J52" s="167"/>
      <c r="K52" s="167"/>
      <c r="L52" s="167"/>
      <c r="M52" s="167"/>
      <c r="N52" s="167"/>
      <c r="O52" s="167"/>
      <c r="P52" s="167"/>
      <c r="Q52" s="167"/>
      <c r="R52" s="167"/>
      <c r="S52" s="167"/>
      <c r="T52" s="313"/>
      <c r="U52" s="1222"/>
      <c r="V52" s="1224"/>
      <c r="W52" s="1216"/>
      <c r="X52" s="1212"/>
    </row>
  </sheetData>
  <mergeCells count="251">
    <mergeCell ref="V27:V28"/>
    <mergeCell ref="W27:W28"/>
    <mergeCell ref="X27:X28"/>
    <mergeCell ref="U29:U30"/>
    <mergeCell ref="V29:V30"/>
    <mergeCell ref="W29:W30"/>
    <mergeCell ref="X29:X30"/>
    <mergeCell ref="B27:B28"/>
    <mergeCell ref="C27:C28"/>
    <mergeCell ref="D27:D28"/>
    <mergeCell ref="F27:F28"/>
    <mergeCell ref="B29:B30"/>
    <mergeCell ref="C29:C30"/>
    <mergeCell ref="D29:D30"/>
    <mergeCell ref="F29:F30"/>
    <mergeCell ref="U27:U28"/>
    <mergeCell ref="E27:E28"/>
    <mergeCell ref="E29:E30"/>
    <mergeCell ref="B1:X1"/>
    <mergeCell ref="W3:W4"/>
    <mergeCell ref="X3:X4"/>
    <mergeCell ref="B5:B6"/>
    <mergeCell ref="C5:C6"/>
    <mergeCell ref="D5:D6"/>
    <mergeCell ref="F5:F6"/>
    <mergeCell ref="U5:U6"/>
    <mergeCell ref="V5:V6"/>
    <mergeCell ref="W5:W6"/>
    <mergeCell ref="X5:X6"/>
    <mergeCell ref="B3:B4"/>
    <mergeCell ref="C3:C4"/>
    <mergeCell ref="D3:D4"/>
    <mergeCell ref="F3:F4"/>
    <mergeCell ref="U3:U4"/>
    <mergeCell ref="V3:V4"/>
    <mergeCell ref="E3:E4"/>
    <mergeCell ref="E5:E6"/>
    <mergeCell ref="W7:W8"/>
    <mergeCell ref="B7:B8"/>
    <mergeCell ref="C7:C8"/>
    <mergeCell ref="D7:D8"/>
    <mergeCell ref="F7:F8"/>
    <mergeCell ref="U7:U8"/>
    <mergeCell ref="V7:V8"/>
    <mergeCell ref="X7:X8"/>
    <mergeCell ref="W9:W10"/>
    <mergeCell ref="B9:B10"/>
    <mergeCell ref="C9:C10"/>
    <mergeCell ref="D9:D10"/>
    <mergeCell ref="F9:F10"/>
    <mergeCell ref="U9:U10"/>
    <mergeCell ref="V9:V10"/>
    <mergeCell ref="X9:X10"/>
    <mergeCell ref="E7:E8"/>
    <mergeCell ref="E9:E10"/>
    <mergeCell ref="W11:W12"/>
    <mergeCell ref="X11:X12"/>
    <mergeCell ref="B13:B14"/>
    <mergeCell ref="C13:C14"/>
    <mergeCell ref="D13:D14"/>
    <mergeCell ref="F13:F14"/>
    <mergeCell ref="U13:U14"/>
    <mergeCell ref="V13:V14"/>
    <mergeCell ref="W13:W14"/>
    <mergeCell ref="X13:X14"/>
    <mergeCell ref="B11:B12"/>
    <mergeCell ref="C11:C12"/>
    <mergeCell ref="D11:D12"/>
    <mergeCell ref="F11:F12"/>
    <mergeCell ref="U11:U12"/>
    <mergeCell ref="V11:V12"/>
    <mergeCell ref="E11:E12"/>
    <mergeCell ref="E13:E14"/>
    <mergeCell ref="W15:W16"/>
    <mergeCell ref="X15:X16"/>
    <mergeCell ref="B17:B18"/>
    <mergeCell ref="C17:C18"/>
    <mergeCell ref="D17:D18"/>
    <mergeCell ref="F17:F18"/>
    <mergeCell ref="U17:U18"/>
    <mergeCell ref="V17:V18"/>
    <mergeCell ref="W17:W18"/>
    <mergeCell ref="X17:X18"/>
    <mergeCell ref="B15:B16"/>
    <mergeCell ref="C15:C16"/>
    <mergeCell ref="D15:D16"/>
    <mergeCell ref="F15:F16"/>
    <mergeCell ref="U15:U16"/>
    <mergeCell ref="V15:V16"/>
    <mergeCell ref="E15:E16"/>
    <mergeCell ref="E17:E18"/>
    <mergeCell ref="W19:W20"/>
    <mergeCell ref="X19:X20"/>
    <mergeCell ref="B21:B22"/>
    <mergeCell ref="C21:C22"/>
    <mergeCell ref="D21:D22"/>
    <mergeCell ref="F21:F22"/>
    <mergeCell ref="U21:U22"/>
    <mergeCell ref="V21:V22"/>
    <mergeCell ref="W21:W22"/>
    <mergeCell ref="X21:X22"/>
    <mergeCell ref="B19:B20"/>
    <mergeCell ref="C19:C20"/>
    <mergeCell ref="D19:D20"/>
    <mergeCell ref="F19:F20"/>
    <mergeCell ref="U19:U20"/>
    <mergeCell ref="V19:V20"/>
    <mergeCell ref="E19:E20"/>
    <mergeCell ref="E21:E22"/>
    <mergeCell ref="W23:W24"/>
    <mergeCell ref="X23:X24"/>
    <mergeCell ref="B25:B26"/>
    <mergeCell ref="C25:C26"/>
    <mergeCell ref="D25:D26"/>
    <mergeCell ref="F25:F26"/>
    <mergeCell ref="U25:U26"/>
    <mergeCell ref="V25:V26"/>
    <mergeCell ref="W25:W26"/>
    <mergeCell ref="X25:X26"/>
    <mergeCell ref="B23:B24"/>
    <mergeCell ref="C23:C24"/>
    <mergeCell ref="D23:D24"/>
    <mergeCell ref="F23:F24"/>
    <mergeCell ref="U23:U24"/>
    <mergeCell ref="V23:V24"/>
    <mergeCell ref="E23:E24"/>
    <mergeCell ref="E25:E26"/>
    <mergeCell ref="A3:A4"/>
    <mergeCell ref="A5:A6"/>
    <mergeCell ref="A7:A8"/>
    <mergeCell ref="A9:A10"/>
    <mergeCell ref="A11:A12"/>
    <mergeCell ref="A13:A14"/>
    <mergeCell ref="A15:A16"/>
    <mergeCell ref="A17:A18"/>
    <mergeCell ref="A19:A20"/>
    <mergeCell ref="A21:A22"/>
    <mergeCell ref="A23:A24"/>
    <mergeCell ref="A25:A26"/>
    <mergeCell ref="A27:A28"/>
    <mergeCell ref="A29:A30"/>
    <mergeCell ref="A31:A32"/>
    <mergeCell ref="B31:B32"/>
    <mergeCell ref="C31:C32"/>
    <mergeCell ref="D31:D32"/>
    <mergeCell ref="E31:E32"/>
    <mergeCell ref="F31:F32"/>
    <mergeCell ref="U31:U32"/>
    <mergeCell ref="V31:V32"/>
    <mergeCell ref="W31:W32"/>
    <mergeCell ref="X31:X32"/>
    <mergeCell ref="A33:A34"/>
    <mergeCell ref="B33:B34"/>
    <mergeCell ref="C33:C34"/>
    <mergeCell ref="D33:D34"/>
    <mergeCell ref="E33:E34"/>
    <mergeCell ref="F33:F34"/>
    <mergeCell ref="U33:U34"/>
    <mergeCell ref="V33:V34"/>
    <mergeCell ref="W33:W34"/>
    <mergeCell ref="X33:X34"/>
    <mergeCell ref="X35:X36"/>
    <mergeCell ref="A37:A38"/>
    <mergeCell ref="B37:B38"/>
    <mergeCell ref="C37:C38"/>
    <mergeCell ref="D37:D38"/>
    <mergeCell ref="E37:E38"/>
    <mergeCell ref="F37:F38"/>
    <mergeCell ref="U37:U38"/>
    <mergeCell ref="V37:V38"/>
    <mergeCell ref="W37:W38"/>
    <mergeCell ref="X37:X38"/>
    <mergeCell ref="A35:A36"/>
    <mergeCell ref="B35:B36"/>
    <mergeCell ref="C35:C36"/>
    <mergeCell ref="D35:D36"/>
    <mergeCell ref="E35:E36"/>
    <mergeCell ref="F35:F36"/>
    <mergeCell ref="U35:U36"/>
    <mergeCell ref="V35:V36"/>
    <mergeCell ref="W35:W36"/>
    <mergeCell ref="X39:X40"/>
    <mergeCell ref="A41:A42"/>
    <mergeCell ref="B41:B42"/>
    <mergeCell ref="C41:C42"/>
    <mergeCell ref="D41:D42"/>
    <mergeCell ref="E41:E42"/>
    <mergeCell ref="F41:F42"/>
    <mergeCell ref="U41:U42"/>
    <mergeCell ref="V41:V42"/>
    <mergeCell ref="W41:W42"/>
    <mergeCell ref="X41:X42"/>
    <mergeCell ref="A39:A40"/>
    <mergeCell ref="B39:B40"/>
    <mergeCell ref="C39:C40"/>
    <mergeCell ref="D39:D40"/>
    <mergeCell ref="E39:E40"/>
    <mergeCell ref="F39:F40"/>
    <mergeCell ref="U39:U40"/>
    <mergeCell ref="V39:V40"/>
    <mergeCell ref="W39:W40"/>
    <mergeCell ref="X43:X44"/>
    <mergeCell ref="A45:A46"/>
    <mergeCell ref="B45:B46"/>
    <mergeCell ref="C45:C46"/>
    <mergeCell ref="D45:D46"/>
    <mergeCell ref="E45:E46"/>
    <mergeCell ref="F45:F46"/>
    <mergeCell ref="U45:U46"/>
    <mergeCell ref="V45:V46"/>
    <mergeCell ref="W45:W46"/>
    <mergeCell ref="X45:X46"/>
    <mergeCell ref="A43:A44"/>
    <mergeCell ref="B43:B44"/>
    <mergeCell ref="C43:C44"/>
    <mergeCell ref="D43:D44"/>
    <mergeCell ref="E43:E44"/>
    <mergeCell ref="F43:F44"/>
    <mergeCell ref="U43:U44"/>
    <mergeCell ref="V43:V44"/>
    <mergeCell ref="W43:W44"/>
    <mergeCell ref="X47:X48"/>
    <mergeCell ref="A49:A50"/>
    <mergeCell ref="B49:B50"/>
    <mergeCell ref="C49:C50"/>
    <mergeCell ref="D49:D50"/>
    <mergeCell ref="E49:E50"/>
    <mergeCell ref="F49:F50"/>
    <mergeCell ref="U49:U50"/>
    <mergeCell ref="V49:V50"/>
    <mergeCell ref="W49:W50"/>
    <mergeCell ref="X49:X50"/>
    <mergeCell ref="A47:A48"/>
    <mergeCell ref="B47:B48"/>
    <mergeCell ref="C47:C48"/>
    <mergeCell ref="D47:D48"/>
    <mergeCell ref="E47:E48"/>
    <mergeCell ref="F47:F48"/>
    <mergeCell ref="U47:U48"/>
    <mergeCell ref="V47:V48"/>
    <mergeCell ref="W47:W48"/>
    <mergeCell ref="X51:X52"/>
    <mergeCell ref="A51:A52"/>
    <mergeCell ref="B51:B52"/>
    <mergeCell ref="C51:C52"/>
    <mergeCell ref="D51:D52"/>
    <mergeCell ref="E51:E52"/>
    <mergeCell ref="F51:F52"/>
    <mergeCell ref="U51:U52"/>
    <mergeCell ref="V51:V52"/>
    <mergeCell ref="W51:W52"/>
  </mergeCells>
  <conditionalFormatting sqref="C3:C52">
    <cfRule type="containsText" dxfId="124" priority="74" operator="containsText" text="Impact">
      <formula>NOT(ISERROR(SEARCH("Impact",C3)))</formula>
    </cfRule>
  </conditionalFormatting>
  <conditionalFormatting sqref="B3:B52">
    <cfRule type="containsText" dxfId="123" priority="1" operator="containsText" text="Impact">
      <formula>NOT(ISERROR(SEARCH("Impact",B3)))</formula>
    </cfRule>
    <cfRule type="containsText" dxfId="122" priority="2" operator="containsText" text="STO">
      <formula>NOT(ISERROR(SEARCH("STO",B3)))</formula>
    </cfRule>
    <cfRule type="cellIs" dxfId="121" priority="3" operator="equal">
      <formula>"MTO"</formula>
    </cfRule>
    <cfRule type="containsText" dxfId="120" priority="4" operator="containsText" text="Choose Outcome">
      <formula>NOT(ISERROR(SEARCH("Choose Outcome",B3)))</formula>
    </cfRule>
  </conditionalFormatting>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249977111117893"/>
  </sheetPr>
  <dimension ref="A1:N175"/>
  <sheetViews>
    <sheetView zoomScale="130" zoomScaleNormal="130" workbookViewId="0">
      <pane ySplit="1" topLeftCell="A2" activePane="bottomLeft" state="frozen"/>
      <selection activeCell="A17" sqref="A17"/>
      <selection pane="bottomLeft" activeCell="E19" sqref="E19:E20"/>
    </sheetView>
  </sheetViews>
  <sheetFormatPr defaultColWidth="9.1796875" defaultRowHeight="14.5" x14ac:dyDescent="0.35"/>
  <cols>
    <col min="1" max="1" width="11" style="67" hidden="1" customWidth="1"/>
    <col min="2" max="2" width="35.81640625" style="67" hidden="1" customWidth="1"/>
    <col min="3" max="3" width="8.7265625" style="201" customWidth="1"/>
    <col min="4" max="4" width="11.7265625" style="226" bestFit="1" customWidth="1"/>
    <col min="5" max="5" width="64.81640625" style="67" bestFit="1" customWidth="1"/>
    <col min="6" max="6" width="12" style="67" bestFit="1" customWidth="1"/>
    <col min="7" max="7" width="70.1796875" style="67" customWidth="1"/>
    <col min="8" max="8" width="17.7265625" style="67" bestFit="1" customWidth="1"/>
    <col min="9" max="9" width="10.26953125" style="67" bestFit="1" customWidth="1"/>
    <col min="10" max="10" width="20.1796875" style="67" bestFit="1" customWidth="1"/>
    <col min="11" max="11" width="90.81640625" style="67" customWidth="1"/>
    <col min="12" max="12" width="12.1796875" style="67" bestFit="1" customWidth="1"/>
    <col min="13" max="13" width="9.1796875" style="67"/>
    <col min="14" max="14" width="60.26953125" style="67" bestFit="1" customWidth="1"/>
    <col min="15" max="16384" width="9.1796875" style="67"/>
  </cols>
  <sheetData>
    <row r="1" spans="1:14" ht="37.5" thickBot="1" x14ac:dyDescent="0.4">
      <c r="A1" s="180"/>
      <c r="B1" s="181"/>
      <c r="C1" s="197"/>
      <c r="D1" s="221"/>
      <c r="E1" s="218" t="s">
        <v>116</v>
      </c>
      <c r="F1" s="219" t="s">
        <v>117</v>
      </c>
      <c r="G1" s="219" t="s">
        <v>118</v>
      </c>
      <c r="H1" s="219" t="s">
        <v>119</v>
      </c>
      <c r="I1" s="219" t="s">
        <v>120</v>
      </c>
      <c r="J1" s="219" t="s">
        <v>121</v>
      </c>
      <c r="K1" s="220" t="s">
        <v>122</v>
      </c>
    </row>
    <row r="2" spans="1:14" ht="18.5" x14ac:dyDescent="0.35">
      <c r="A2" s="182"/>
      <c r="B2" s="78"/>
      <c r="C2" s="1146" t="s">
        <v>123</v>
      </c>
      <c r="D2" s="1147"/>
      <c r="E2" s="1147"/>
      <c r="F2" s="1147"/>
      <c r="G2" s="1147"/>
      <c r="H2" s="1147"/>
      <c r="I2" s="1147"/>
      <c r="J2" s="1147"/>
      <c r="K2" s="1148"/>
    </row>
    <row r="3" spans="1:14" s="78" customFormat="1" ht="15" thickBot="1" x14ac:dyDescent="0.4">
      <c r="A3" s="182"/>
      <c r="C3" s="1270"/>
      <c r="D3" s="1271"/>
      <c r="E3" s="1261" t="s">
        <v>272</v>
      </c>
      <c r="F3" s="1262"/>
      <c r="G3" s="1262"/>
      <c r="H3" s="1262"/>
      <c r="I3" s="1262"/>
      <c r="J3" s="1262"/>
      <c r="K3" s="1263"/>
    </row>
    <row r="4" spans="1:14" s="186" customFormat="1" ht="19" thickBot="1" x14ac:dyDescent="0.4">
      <c r="A4" s="186" t="s">
        <v>117</v>
      </c>
      <c r="B4" s="186" t="s">
        <v>125</v>
      </c>
      <c r="C4" s="1157" t="s">
        <v>124</v>
      </c>
      <c r="D4" s="1158"/>
      <c r="E4" s="1158"/>
      <c r="F4" s="1158"/>
      <c r="G4" s="1158"/>
      <c r="H4" s="1158"/>
      <c r="I4" s="1158"/>
      <c r="J4" s="1158"/>
      <c r="K4" s="1159"/>
    </row>
    <row r="5" spans="1:14" s="186" customFormat="1" ht="18.5" hidden="1" x14ac:dyDescent="0.35">
      <c r="A5" s="186">
        <f>F5</f>
        <v>0</v>
      </c>
      <c r="B5" s="186" t="str">
        <f>CONCATENATE(A5,C5)</f>
        <v>0</v>
      </c>
      <c r="C5" s="318"/>
      <c r="D5" s="319"/>
      <c r="E5" s="319"/>
      <c r="F5" s="319"/>
      <c r="G5" s="319"/>
      <c r="H5" s="319"/>
      <c r="I5" s="319"/>
      <c r="J5" s="319"/>
      <c r="K5" s="320"/>
    </row>
    <row r="6" spans="1:14" ht="29" x14ac:dyDescent="0.35">
      <c r="A6" s="182" t="str">
        <f>F6</f>
        <v>AL04</v>
      </c>
      <c r="B6" s="78" t="str">
        <f t="shared" ref="B6" si="0">CONCATENATE(A6,C6)</f>
        <v>AL041</v>
      </c>
      <c r="C6" s="866">
        <v>1</v>
      </c>
      <c r="D6" s="223" t="s">
        <v>2</v>
      </c>
      <c r="E6" s="248" t="s">
        <v>273</v>
      </c>
      <c r="F6" s="248" t="s">
        <v>274</v>
      </c>
      <c r="G6" s="69" t="str">
        <f>_xlfn.IFNA(VLOOKUP(F:F,'indicator lists'!L:M,2,FALSE),"")</f>
        <v>% of participants reaching target income from agricultural activities/production</v>
      </c>
      <c r="H6" s="249" t="s">
        <v>275</v>
      </c>
      <c r="I6" s="249" t="s">
        <v>275</v>
      </c>
      <c r="J6" s="249" t="s">
        <v>276</v>
      </c>
      <c r="K6" s="250" t="s">
        <v>277</v>
      </c>
      <c r="L6" s="149"/>
    </row>
    <row r="7" spans="1:14" ht="29" x14ac:dyDescent="0.35">
      <c r="A7" s="182" t="str">
        <f t="shared" ref="A7:A26" si="1">F7</f>
        <v>AL11</v>
      </c>
      <c r="B7" s="78" t="str">
        <f t="shared" ref="B7:B70" si="2">CONCATENATE(A7,C7)</f>
        <v>AL111.1</v>
      </c>
      <c r="C7" s="184">
        <v>1.1000000000000001</v>
      </c>
      <c r="D7" s="222" t="s">
        <v>4</v>
      </c>
      <c r="E7" s="69" t="s">
        <v>278</v>
      </c>
      <c r="F7" s="68" t="s">
        <v>279</v>
      </c>
      <c r="G7" s="69" t="str">
        <f>_xlfn.IFNA(VLOOKUP(F:F,'indicator lists'!L:M,2,FALSE),"")</f>
        <v xml:space="preserve">% of households with intensive vegetable crops production   </v>
      </c>
      <c r="H7" s="70" t="s">
        <v>6</v>
      </c>
      <c r="I7" s="150">
        <v>1</v>
      </c>
      <c r="J7" s="70" t="s">
        <v>280</v>
      </c>
      <c r="K7" s="868" t="s">
        <v>281</v>
      </c>
    </row>
    <row r="8" spans="1:14" x14ac:dyDescent="0.35">
      <c r="A8" s="182" t="str">
        <f t="shared" si="1"/>
        <v>P010101</v>
      </c>
      <c r="B8" s="78" t="str">
        <f t="shared" si="2"/>
        <v>P0101011.1.1</v>
      </c>
      <c r="C8" s="184" t="s">
        <v>128</v>
      </c>
      <c r="D8" s="222" t="s">
        <v>129</v>
      </c>
      <c r="E8" s="69" t="s">
        <v>282</v>
      </c>
      <c r="F8" s="68" t="s">
        <v>283</v>
      </c>
      <c r="G8" s="69" t="str">
        <f>_xlfn.IFNA(VLOOKUP(F:F,'indicator lists'!L:M,2,FALSE),"")</f>
        <v># of people trained on agronomic practices</v>
      </c>
      <c r="H8" s="145"/>
      <c r="I8" s="145"/>
      <c r="J8" s="145"/>
      <c r="K8" s="1264" t="s">
        <v>284</v>
      </c>
      <c r="N8" s="210"/>
    </row>
    <row r="9" spans="1:14" x14ac:dyDescent="0.35">
      <c r="A9" s="182" t="str">
        <f t="shared" si="1"/>
        <v>P010107</v>
      </c>
      <c r="B9" s="78" t="str">
        <f t="shared" si="2"/>
        <v>P0101071.1.2</v>
      </c>
      <c r="C9" s="184" t="s">
        <v>285</v>
      </c>
      <c r="D9" s="222" t="s">
        <v>129</v>
      </c>
      <c r="E9" s="69" t="s">
        <v>286</v>
      </c>
      <c r="F9" s="68" t="s">
        <v>287</v>
      </c>
      <c r="G9" s="69" t="str">
        <f>_xlfn.IFNA(VLOOKUP(F:F,'indicator lists'!L:M,2,FALSE),"")</f>
        <v># of people trained on food hygiene and security</v>
      </c>
      <c r="H9" s="145"/>
      <c r="I9" s="145"/>
      <c r="J9" s="145"/>
      <c r="K9" s="1264"/>
    </row>
    <row r="10" spans="1:14" x14ac:dyDescent="0.35">
      <c r="A10" s="182" t="str">
        <f t="shared" si="1"/>
        <v>P020107</v>
      </c>
      <c r="B10" s="78" t="str">
        <f t="shared" si="2"/>
        <v>P0201071.1.3</v>
      </c>
      <c r="C10" s="184" t="s">
        <v>288</v>
      </c>
      <c r="D10" s="222" t="s">
        <v>129</v>
      </c>
      <c r="E10" s="69" t="s">
        <v>289</v>
      </c>
      <c r="F10" s="68" t="s">
        <v>290</v>
      </c>
      <c r="G10" s="69" t="str">
        <f>_xlfn.IFNA(VLOOKUP(F:F,'indicator lists'!L:M,2,FALSE),"")</f>
        <v># of people trained in other (specify) livelihood trainings</v>
      </c>
      <c r="H10" s="145"/>
      <c r="I10" s="145"/>
      <c r="J10" s="145"/>
      <c r="K10" s="1264"/>
    </row>
    <row r="11" spans="1:14" x14ac:dyDescent="0.35">
      <c r="A11" s="182" t="str">
        <f t="shared" si="1"/>
        <v>B020201</v>
      </c>
      <c r="B11" s="78" t="str">
        <f t="shared" si="2"/>
        <v>B0202011.1.4</v>
      </c>
      <c r="C11" s="1272" t="s">
        <v>291</v>
      </c>
      <c r="D11" s="222" t="s">
        <v>129</v>
      </c>
      <c r="E11" s="1267" t="s">
        <v>292</v>
      </c>
      <c r="F11" s="68" t="s">
        <v>293</v>
      </c>
      <c r="G11" s="69" t="str">
        <f>_xlfn.IFNA(VLOOKUP(F:F,'indicator lists'!L:M,2,FALSE),"")</f>
        <v># of tools distributed</v>
      </c>
      <c r="H11" s="145"/>
      <c r="I11" s="145"/>
      <c r="J11" s="145"/>
      <c r="K11" s="1265" t="s">
        <v>294</v>
      </c>
    </row>
    <row r="12" spans="1:14" x14ac:dyDescent="0.35">
      <c r="A12" s="182" t="str">
        <f>F12</f>
        <v>P020301</v>
      </c>
      <c r="B12" s="78" t="str">
        <f>CONCATENATE(A12,C12)</f>
        <v>P020301</v>
      </c>
      <c r="C12" s="1273"/>
      <c r="D12" s="222" t="s">
        <v>129</v>
      </c>
      <c r="E12" s="1268"/>
      <c r="F12" s="68" t="s">
        <v>295</v>
      </c>
      <c r="G12" s="69" t="str">
        <f>_xlfn.IFNA(VLOOKUP(F:F,'indicator lists'!L:M,2,FALSE),"")</f>
        <v xml:space="preserve"># of people provided with tools </v>
      </c>
      <c r="H12" s="145"/>
      <c r="I12" s="145"/>
      <c r="J12" s="145"/>
      <c r="K12" s="1265"/>
    </row>
    <row r="13" spans="1:14" x14ac:dyDescent="0.35">
      <c r="A13" s="182" t="str">
        <f t="shared" si="1"/>
        <v>B020204</v>
      </c>
      <c r="B13" s="78" t="str">
        <f t="shared" si="2"/>
        <v>B0202041.1.5</v>
      </c>
      <c r="C13" s="1272" t="s">
        <v>296</v>
      </c>
      <c r="D13" s="222" t="s">
        <v>129</v>
      </c>
      <c r="E13" s="1268"/>
      <c r="F13" s="68" t="s">
        <v>297</v>
      </c>
      <c r="G13" s="69" t="str">
        <f>_xlfn.IFNA(VLOOKUP(F:F,'indicator lists'!L:M,2,FALSE),"")</f>
        <v># of improved "seed packages" distributed</v>
      </c>
      <c r="H13" s="145"/>
      <c r="I13" s="145"/>
      <c r="J13" s="145"/>
      <c r="K13" s="1265"/>
    </row>
    <row r="14" spans="1:14" x14ac:dyDescent="0.35">
      <c r="A14" s="182" t="str">
        <f>F14</f>
        <v>P020304</v>
      </c>
      <c r="B14" s="78" t="str">
        <f>CONCATENATE(A14,C14)</f>
        <v>P020304</v>
      </c>
      <c r="C14" s="1273"/>
      <c r="D14" s="222" t="s">
        <v>129</v>
      </c>
      <c r="E14" s="1268"/>
      <c r="F14" s="68" t="s">
        <v>298</v>
      </c>
      <c r="G14" s="69" t="str">
        <f>_xlfn.IFNA(VLOOKUP(F:F,'indicator lists'!L:M,2,FALSE),"")</f>
        <v xml:space="preserve"># of people provided with improved "seed packages" </v>
      </c>
      <c r="H14" s="145"/>
      <c r="I14" s="145"/>
      <c r="J14" s="145"/>
      <c r="K14" s="1265"/>
    </row>
    <row r="15" spans="1:14" x14ac:dyDescent="0.35">
      <c r="A15" s="182" t="str">
        <f t="shared" ref="A15" si="3">F15</f>
        <v>B020203</v>
      </c>
      <c r="B15" s="78" t="str">
        <f t="shared" ref="B15" si="4">CONCATENATE(A15,C15)</f>
        <v>B0202031.1.6</v>
      </c>
      <c r="C15" s="1272" t="s">
        <v>299</v>
      </c>
      <c r="D15" s="222" t="s">
        <v>129</v>
      </c>
      <c r="E15" s="1268"/>
      <c r="F15" s="68" t="s">
        <v>300</v>
      </c>
      <c r="G15" s="69" t="str">
        <f>_xlfn.IFNA(VLOOKUP(F:F,'indicator lists'!L:M,2,FALSE),"")</f>
        <v># of trees/saplings/seedlings distributed</v>
      </c>
      <c r="H15" s="145"/>
      <c r="I15" s="145"/>
      <c r="J15" s="145"/>
      <c r="K15" s="1265"/>
    </row>
    <row r="16" spans="1:14" x14ac:dyDescent="0.35">
      <c r="A16" s="182" t="str">
        <f t="shared" si="1"/>
        <v>P020303</v>
      </c>
      <c r="B16" s="78" t="str">
        <f t="shared" si="2"/>
        <v>P020303</v>
      </c>
      <c r="C16" s="1273"/>
      <c r="D16" s="222" t="s">
        <v>129</v>
      </c>
      <c r="E16" s="1269"/>
      <c r="F16" s="68" t="s">
        <v>301</v>
      </c>
      <c r="G16" s="69" t="str">
        <f>_xlfn.IFNA(VLOOKUP(F:F,'indicator lists'!L:M,2,FALSE),"")</f>
        <v xml:space="preserve"># of people provided with trees/saplings/seedlings </v>
      </c>
      <c r="H16" s="145"/>
      <c r="I16" s="145"/>
      <c r="J16" s="145"/>
      <c r="K16" s="1265"/>
    </row>
    <row r="17" spans="1:11" x14ac:dyDescent="0.35">
      <c r="A17" s="182" t="str">
        <f t="shared" si="1"/>
        <v>B010004</v>
      </c>
      <c r="B17" s="78" t="str">
        <f t="shared" si="2"/>
        <v>B0100041.1.7</v>
      </c>
      <c r="C17" s="184" t="s">
        <v>302</v>
      </c>
      <c r="D17" s="222" t="s">
        <v>129</v>
      </c>
      <c r="E17" s="69" t="s">
        <v>303</v>
      </c>
      <c r="F17" s="68" t="s">
        <v>304</v>
      </c>
      <c r="G17" s="69" t="str">
        <f>_xlfn.IFNA(VLOOKUP(F:F,'indicator lists'!L:M,2,FALSE),"")</f>
        <v># of kitchen gardens established</v>
      </c>
      <c r="H17" s="145"/>
      <c r="I17" s="145"/>
      <c r="J17" s="145"/>
      <c r="K17" s="868" t="s">
        <v>284</v>
      </c>
    </row>
    <row r="18" spans="1:11" ht="29" x14ac:dyDescent="0.35">
      <c r="A18" s="182" t="str">
        <f t="shared" si="1"/>
        <v>N/A1</v>
      </c>
      <c r="B18" s="78" t="str">
        <f t="shared" si="2"/>
        <v>N/A11.2</v>
      </c>
      <c r="C18" s="184">
        <v>1.2</v>
      </c>
      <c r="D18" s="222" t="s">
        <v>4</v>
      </c>
      <c r="E18" s="114" t="s">
        <v>278</v>
      </c>
      <c r="F18" s="68" t="s">
        <v>305</v>
      </c>
      <c r="G18" s="172" t="s">
        <v>306</v>
      </c>
      <c r="H18" s="70" t="s">
        <v>6</v>
      </c>
      <c r="I18" s="150">
        <v>1</v>
      </c>
      <c r="J18" s="70" t="s">
        <v>307</v>
      </c>
      <c r="K18" s="868" t="s">
        <v>308</v>
      </c>
    </row>
    <row r="19" spans="1:11" ht="29" x14ac:dyDescent="0.35">
      <c r="A19" s="182" t="str">
        <f t="shared" si="1"/>
        <v>B010307</v>
      </c>
      <c r="B19" s="78" t="str">
        <f t="shared" si="2"/>
        <v>B0103071.2.1</v>
      </c>
      <c r="C19" s="1272" t="s">
        <v>309</v>
      </c>
      <c r="D19" s="222" t="s">
        <v>129</v>
      </c>
      <c r="E19" s="1267" t="s">
        <v>310</v>
      </c>
      <c r="F19" s="68" t="s">
        <v>311</v>
      </c>
      <c r="G19" s="69" t="str">
        <f>_xlfn.IFNA(VLOOKUP(F:F,'indicator lists'!L:M,2,FALSE),"")</f>
        <v/>
      </c>
      <c r="H19" s="145"/>
      <c r="I19" s="145"/>
      <c r="J19" s="145"/>
      <c r="K19" s="203" t="s">
        <v>312</v>
      </c>
    </row>
    <row r="20" spans="1:11" x14ac:dyDescent="0.35">
      <c r="A20" s="182" t="str">
        <f>F20</f>
        <v>P010407</v>
      </c>
      <c r="B20" s="78" t="str">
        <f>CONCATENATE(A20,C20)</f>
        <v>P010407</v>
      </c>
      <c r="C20" s="1273"/>
      <c r="D20" s="222" t="s">
        <v>129</v>
      </c>
      <c r="E20" s="1269"/>
      <c r="F20" s="68" t="s">
        <v>313</v>
      </c>
      <c r="G20" s="69" t="str">
        <f>_xlfn.IFNA(VLOOKUP(F:F,'indicator lists'!L:M,2,FALSE),"")</f>
        <v/>
      </c>
      <c r="H20" s="145"/>
      <c r="I20" s="145"/>
      <c r="J20" s="145"/>
      <c r="K20" s="203"/>
    </row>
    <row r="21" spans="1:11" ht="29" x14ac:dyDescent="0.35">
      <c r="A21" s="182" t="str">
        <f t="shared" si="1"/>
        <v>B020201</v>
      </c>
      <c r="B21" s="78" t="str">
        <f t="shared" si="2"/>
        <v>B0202011.2.2</v>
      </c>
      <c r="C21" s="1272" t="s">
        <v>314</v>
      </c>
      <c r="D21" s="222" t="s">
        <v>129</v>
      </c>
      <c r="E21" s="1267" t="s">
        <v>315</v>
      </c>
      <c r="F21" s="68" t="s">
        <v>293</v>
      </c>
      <c r="G21" s="69" t="str">
        <f>_xlfn.IFNA(VLOOKUP(F:F,'indicator lists'!L:M,2,FALSE),"")</f>
        <v># of tools distributed</v>
      </c>
      <c r="H21" s="145"/>
      <c r="I21" s="145"/>
      <c r="J21" s="145"/>
      <c r="K21" s="152" t="s">
        <v>316</v>
      </c>
    </row>
    <row r="22" spans="1:11" x14ac:dyDescent="0.35">
      <c r="A22" s="182" t="str">
        <f>F22</f>
        <v>P020301</v>
      </c>
      <c r="B22" s="78" t="str">
        <f>CONCATENATE(A22,C22)</f>
        <v>P020301</v>
      </c>
      <c r="C22" s="1273"/>
      <c r="D22" s="222" t="s">
        <v>129</v>
      </c>
      <c r="E22" s="1269"/>
      <c r="F22" s="68" t="s">
        <v>295</v>
      </c>
      <c r="G22" s="69" t="str">
        <f>_xlfn.IFNA(VLOOKUP(F:F,'indicator lists'!L:M,2,FALSE),"")</f>
        <v xml:space="preserve"># of people provided with tools </v>
      </c>
      <c r="H22" s="145"/>
      <c r="I22" s="145"/>
      <c r="J22" s="145"/>
      <c r="K22" s="152"/>
    </row>
    <row r="23" spans="1:11" x14ac:dyDescent="0.35">
      <c r="A23" s="182" t="str">
        <f t="shared" si="1"/>
        <v>P010108</v>
      </c>
      <c r="B23" s="78" t="str">
        <f t="shared" si="2"/>
        <v>P0101081.2.3</v>
      </c>
      <c r="C23" s="184" t="s">
        <v>317</v>
      </c>
      <c r="D23" s="222" t="s">
        <v>129</v>
      </c>
      <c r="E23" s="69" t="s">
        <v>318</v>
      </c>
      <c r="F23" s="68" t="s">
        <v>319</v>
      </c>
      <c r="G23" s="69" t="str">
        <f>_xlfn.IFNA(VLOOKUP(F:F,'indicator lists'!L:M,2,FALSE),"")</f>
        <v># of people trained on productive livestock rearing</v>
      </c>
      <c r="H23" s="145"/>
      <c r="I23" s="145"/>
      <c r="J23" s="145"/>
      <c r="K23" s="1266" t="s">
        <v>320</v>
      </c>
    </row>
    <row r="24" spans="1:11" x14ac:dyDescent="0.35">
      <c r="A24" s="182" t="str">
        <f>F24</f>
        <v>B019991</v>
      </c>
      <c r="B24" s="78" t="str">
        <f t="shared" si="2"/>
        <v>B0199911.2.4</v>
      </c>
      <c r="C24" s="1272" t="s">
        <v>321</v>
      </c>
      <c r="D24" s="222" t="s">
        <v>129</v>
      </c>
      <c r="E24" s="1267" t="s">
        <v>322</v>
      </c>
      <c r="F24" s="877" t="s">
        <v>323</v>
      </c>
      <c r="G24" s="172" t="s">
        <v>324</v>
      </c>
      <c r="H24" s="145"/>
      <c r="I24" s="145"/>
      <c r="J24" s="145"/>
      <c r="K24" s="1266"/>
    </row>
    <row r="25" spans="1:11" x14ac:dyDescent="0.35">
      <c r="A25" s="182" t="str">
        <f t="shared" si="1"/>
        <v>P019992</v>
      </c>
      <c r="B25" s="78" t="str">
        <f t="shared" si="2"/>
        <v>P019992</v>
      </c>
      <c r="C25" s="1273"/>
      <c r="D25" s="222" t="s">
        <v>129</v>
      </c>
      <c r="E25" s="1269"/>
      <c r="F25" s="877" t="s">
        <v>325</v>
      </c>
      <c r="G25" s="172" t="s">
        <v>326</v>
      </c>
      <c r="H25" s="145"/>
      <c r="I25" s="145"/>
      <c r="J25" s="145"/>
      <c r="K25" s="1266"/>
    </row>
    <row r="26" spans="1:11" hidden="1" x14ac:dyDescent="0.35">
      <c r="A26" s="182">
        <f t="shared" si="1"/>
        <v>0</v>
      </c>
      <c r="B26" s="78" t="str">
        <f t="shared" si="2"/>
        <v>0</v>
      </c>
      <c r="C26" s="866"/>
      <c r="D26" s="223"/>
      <c r="E26" s="212"/>
      <c r="F26" s="913"/>
      <c r="G26" s="213"/>
      <c r="H26" s="207"/>
      <c r="I26" s="207"/>
      <c r="J26" s="207"/>
      <c r="K26" s="214"/>
    </row>
    <row r="27" spans="1:11" hidden="1" x14ac:dyDescent="0.35">
      <c r="A27" s="182">
        <f t="shared" ref="A27:A92" si="5">F27</f>
        <v>0</v>
      </c>
      <c r="B27" s="78" t="str">
        <f t="shared" si="2"/>
        <v>0</v>
      </c>
      <c r="C27" s="184"/>
      <c r="D27" s="222"/>
      <c r="E27" s="215"/>
      <c r="F27" s="877"/>
      <c r="G27" s="172"/>
      <c r="H27" s="145"/>
      <c r="I27" s="145"/>
      <c r="J27" s="145"/>
      <c r="K27" s="869"/>
    </row>
    <row r="28" spans="1:11" hidden="1" x14ac:dyDescent="0.35">
      <c r="A28" s="182">
        <f t="shared" si="5"/>
        <v>0</v>
      </c>
      <c r="B28" s="78" t="str">
        <f t="shared" si="2"/>
        <v>0</v>
      </c>
      <c r="C28" s="184"/>
      <c r="D28" s="222"/>
      <c r="E28" s="215"/>
      <c r="F28" s="877"/>
      <c r="G28" s="172"/>
      <c r="H28" s="145"/>
      <c r="I28" s="145"/>
      <c r="J28" s="145"/>
      <c r="K28" s="869"/>
    </row>
    <row r="29" spans="1:11" hidden="1" x14ac:dyDescent="0.35">
      <c r="A29" s="182">
        <f t="shared" si="5"/>
        <v>0</v>
      </c>
      <c r="B29" s="78" t="str">
        <f t="shared" si="2"/>
        <v>0</v>
      </c>
      <c r="C29" s="184"/>
      <c r="D29" s="222"/>
      <c r="E29" s="215"/>
      <c r="F29" s="877"/>
      <c r="G29" s="172"/>
      <c r="H29" s="145"/>
      <c r="I29" s="145"/>
      <c r="J29" s="145"/>
      <c r="K29" s="869"/>
    </row>
    <row r="30" spans="1:11" hidden="1" x14ac:dyDescent="0.35">
      <c r="A30" s="182">
        <f t="shared" si="5"/>
        <v>0</v>
      </c>
      <c r="B30" s="78" t="str">
        <f t="shared" si="2"/>
        <v>0</v>
      </c>
      <c r="C30" s="184"/>
      <c r="D30" s="222"/>
      <c r="E30" s="215"/>
      <c r="F30" s="877"/>
      <c r="G30" s="172"/>
      <c r="H30" s="145"/>
      <c r="I30" s="145"/>
      <c r="J30" s="145"/>
      <c r="K30" s="869"/>
    </row>
    <row r="31" spans="1:11" ht="15" hidden="1" thickBot="1" x14ac:dyDescent="0.4">
      <c r="A31" s="182">
        <f t="shared" si="5"/>
        <v>0</v>
      </c>
      <c r="B31" s="78" t="str">
        <f t="shared" si="2"/>
        <v>0</v>
      </c>
      <c r="C31" s="185"/>
      <c r="D31" s="224"/>
      <c r="E31" s="196"/>
      <c r="F31" s="895"/>
      <c r="G31" s="204"/>
      <c r="H31" s="146"/>
      <c r="I31" s="146"/>
      <c r="J31" s="146"/>
      <c r="K31" s="211"/>
    </row>
    <row r="32" spans="1:11" s="78" customFormat="1" ht="19" thickBot="1" x14ac:dyDescent="0.4">
      <c r="A32" s="182">
        <f t="shared" si="5"/>
        <v>0</v>
      </c>
      <c r="B32" s="78" t="str">
        <f t="shared" si="2"/>
        <v>0Global Indicators</v>
      </c>
      <c r="C32" s="1257" t="s">
        <v>34</v>
      </c>
      <c r="D32" s="1258"/>
      <c r="E32" s="1259"/>
      <c r="F32" s="1259"/>
      <c r="G32" s="1259"/>
      <c r="H32" s="1259"/>
      <c r="I32" s="1259"/>
      <c r="J32" s="1259"/>
      <c r="K32" s="1260"/>
    </row>
    <row r="33" spans="1:11" ht="29.5" thickBot="1" x14ac:dyDescent="0.4">
      <c r="A33" s="182" t="str">
        <f t="shared" si="5"/>
        <v>P010100</v>
      </c>
      <c r="B33" s="78" t="str">
        <f t="shared" si="2"/>
        <v>P010100</v>
      </c>
      <c r="C33" s="421"/>
      <c r="D33" s="422" t="s">
        <v>132</v>
      </c>
      <c r="E33" s="423" t="s">
        <v>282</v>
      </c>
      <c r="F33" s="423" t="s">
        <v>327</v>
      </c>
      <c r="G33" s="424" t="str">
        <f>_xlfn.IFNA(VLOOKUP(F:F,'indicator lists'!C:G,2,FALSE),"")</f>
        <v>P010100</v>
      </c>
      <c r="H33" s="418"/>
      <c r="I33" s="207"/>
      <c r="J33" s="207"/>
      <c r="K33" s="208"/>
    </row>
    <row r="34" spans="1:11" ht="29" x14ac:dyDescent="0.35">
      <c r="A34" s="182" t="str">
        <f t="shared" ref="A34" si="6">F34</f>
        <v>P020100</v>
      </c>
      <c r="B34" s="78" t="str">
        <f t="shared" si="2"/>
        <v>P020100</v>
      </c>
      <c r="C34" s="425"/>
      <c r="D34" s="222" t="s">
        <v>132</v>
      </c>
      <c r="E34" s="317" t="s">
        <v>282</v>
      </c>
      <c r="F34" s="317" t="s">
        <v>328</v>
      </c>
      <c r="G34" s="431" t="str">
        <f>_xlfn.IFNA(VLOOKUP(F:F,'indicator lists'!C:G,2,FALSE),"")</f>
        <v>P020100</v>
      </c>
      <c r="H34" s="418"/>
      <c r="I34" s="207"/>
      <c r="J34" s="207"/>
      <c r="K34" s="208"/>
    </row>
    <row r="35" spans="1:11" ht="29" x14ac:dyDescent="0.35">
      <c r="A35" s="182" t="str">
        <f>F35</f>
        <v>B020200</v>
      </c>
      <c r="B35" s="78" t="str">
        <f t="shared" si="2"/>
        <v>B020200</v>
      </c>
      <c r="C35" s="425"/>
      <c r="D35" s="222" t="s">
        <v>132</v>
      </c>
      <c r="E35" s="1274" t="s">
        <v>329</v>
      </c>
      <c r="F35" s="317" t="s">
        <v>330</v>
      </c>
      <c r="G35" s="431" t="str">
        <f>_xlfn.IFNA(VLOOKUP(F:F,'indicator lists'!C:G,2,FALSE),"")</f>
        <v>B020200</v>
      </c>
      <c r="H35" s="207"/>
      <c r="I35" s="207"/>
      <c r="J35" s="420"/>
      <c r="K35" s="179"/>
    </row>
    <row r="36" spans="1:11" ht="29" x14ac:dyDescent="0.35">
      <c r="A36" s="182" t="str">
        <f>F36</f>
        <v>P020300</v>
      </c>
      <c r="B36" s="78" t="str">
        <f t="shared" si="2"/>
        <v>P020300</v>
      </c>
      <c r="C36" s="425"/>
      <c r="D36" s="222" t="s">
        <v>132</v>
      </c>
      <c r="E36" s="1275"/>
      <c r="F36" s="317" t="s">
        <v>331</v>
      </c>
      <c r="G36" s="431" t="str">
        <f>_xlfn.IFNA(VLOOKUP(F:F,'indicator lists'!C:G,2,FALSE),"")</f>
        <v>P020300</v>
      </c>
      <c r="H36" s="207"/>
      <c r="I36" s="207"/>
      <c r="J36" s="420"/>
      <c r="K36" s="179"/>
    </row>
    <row r="37" spans="1:11" ht="29" x14ac:dyDescent="0.35">
      <c r="A37" s="182" t="str">
        <f t="shared" si="5"/>
        <v>B010300</v>
      </c>
      <c r="B37" s="78" t="str">
        <f t="shared" si="2"/>
        <v>B010300</v>
      </c>
      <c r="C37" s="414"/>
      <c r="D37" s="222" t="s">
        <v>132</v>
      </c>
      <c r="E37" s="1275"/>
      <c r="F37" s="317" t="s">
        <v>332</v>
      </c>
      <c r="G37" s="416" t="str">
        <f>_xlfn.IFNA(VLOOKUP(F:F,'indicator lists'!C:G,2,FALSE),"")</f>
        <v>B010300</v>
      </c>
      <c r="H37" s="145"/>
      <c r="I37" s="145"/>
      <c r="J37" s="151"/>
      <c r="K37" s="179"/>
    </row>
    <row r="38" spans="1:11" ht="29.5" thickBot="1" x14ac:dyDescent="0.4">
      <c r="A38" s="182" t="str">
        <f t="shared" si="5"/>
        <v>P010400</v>
      </c>
      <c r="B38" s="78" t="str">
        <f t="shared" si="2"/>
        <v>P010400</v>
      </c>
      <c r="C38" s="415"/>
      <c r="D38" s="224" t="s">
        <v>132</v>
      </c>
      <c r="E38" s="1276"/>
      <c r="F38" s="389" t="s">
        <v>333</v>
      </c>
      <c r="G38" s="417" t="str">
        <f>_xlfn.IFNA(VLOOKUP(F:F,'indicator lists'!C:G,2,FALSE),"")</f>
        <v>P010400</v>
      </c>
      <c r="H38" s="146"/>
      <c r="I38" s="146"/>
      <c r="J38" s="146"/>
      <c r="K38" s="202"/>
    </row>
    <row r="39" spans="1:11" ht="19" thickBot="1" x14ac:dyDescent="0.4">
      <c r="A39" s="182">
        <f t="shared" si="5"/>
        <v>0</v>
      </c>
      <c r="B39" s="78" t="str">
        <f t="shared" si="2"/>
        <v>0MTO, STO, Activities</v>
      </c>
      <c r="C39" s="1277" t="s">
        <v>124</v>
      </c>
      <c r="D39" s="1278"/>
      <c r="E39" s="1279"/>
      <c r="F39" s="1279"/>
      <c r="G39" s="1279"/>
      <c r="H39" s="1279"/>
      <c r="I39" s="1279"/>
      <c r="J39" s="1279"/>
      <c r="K39" s="1280"/>
    </row>
    <row r="40" spans="1:11" ht="29" x14ac:dyDescent="0.35">
      <c r="A40" s="182" t="str">
        <f t="shared" si="5"/>
        <v>FA05</v>
      </c>
      <c r="B40" s="78" t="str">
        <f t="shared" si="2"/>
        <v>FA052</v>
      </c>
      <c r="C40" s="184">
        <v>2</v>
      </c>
      <c r="D40" s="223" t="s">
        <v>2</v>
      </c>
      <c r="E40" s="68" t="s">
        <v>334</v>
      </c>
      <c r="F40" s="68" t="s">
        <v>335</v>
      </c>
      <c r="G40" s="69" t="str">
        <f>_xlfn.IFNA(VLOOKUP(F:F,'indicator lists'!L:M,2,FALSE),"")</f>
        <v>Average Household Dietary Diversity Score</v>
      </c>
      <c r="H40" s="70" t="s">
        <v>275</v>
      </c>
      <c r="I40" s="70" t="s">
        <v>275</v>
      </c>
      <c r="J40" s="70" t="s">
        <v>336</v>
      </c>
      <c r="K40" s="868" t="s">
        <v>281</v>
      </c>
    </row>
    <row r="41" spans="1:11" ht="29" x14ac:dyDescent="0.35">
      <c r="A41" s="182" t="str">
        <f t="shared" si="5"/>
        <v>N/A2</v>
      </c>
      <c r="B41" s="78" t="str">
        <f t="shared" si="2"/>
        <v>N/A22.1</v>
      </c>
      <c r="C41" s="184">
        <v>2.1</v>
      </c>
      <c r="D41" s="222" t="s">
        <v>4</v>
      </c>
      <c r="E41" s="68" t="s">
        <v>337</v>
      </c>
      <c r="F41" s="68" t="s">
        <v>338</v>
      </c>
      <c r="G41" s="172" t="s">
        <v>339</v>
      </c>
      <c r="H41" s="70" t="s">
        <v>275</v>
      </c>
      <c r="I41" s="70" t="s">
        <v>275</v>
      </c>
      <c r="J41" s="70" t="s">
        <v>336</v>
      </c>
      <c r="K41" s="152" t="s">
        <v>340</v>
      </c>
    </row>
    <row r="42" spans="1:11" x14ac:dyDescent="0.35">
      <c r="A42" s="182" t="str">
        <f t="shared" si="5"/>
        <v>P040204</v>
      </c>
      <c r="B42" s="78" t="str">
        <f t="shared" si="2"/>
        <v>P0402042.1.1</v>
      </c>
      <c r="C42" s="184" t="s">
        <v>131</v>
      </c>
      <c r="D42" s="222" t="s">
        <v>129</v>
      </c>
      <c r="E42" s="68" t="s">
        <v>341</v>
      </c>
      <c r="F42" s="68" t="s">
        <v>342</v>
      </c>
      <c r="G42" s="69" t="str">
        <f>_xlfn.IFNA(VLOOKUP(F:F,'indicator lists'!L:M,2,FALSE),"")</f>
        <v># of people trained on home gardening and/or dietary diversity</v>
      </c>
      <c r="H42" s="145"/>
      <c r="I42" s="145"/>
      <c r="J42" s="145"/>
      <c r="K42" s="868" t="s">
        <v>343</v>
      </c>
    </row>
    <row r="43" spans="1:11" ht="29" x14ac:dyDescent="0.35">
      <c r="A43" s="182" t="str">
        <f t="shared" si="5"/>
        <v>B040001</v>
      </c>
      <c r="B43" s="78" t="str">
        <f t="shared" si="2"/>
        <v>B0400012.1.2</v>
      </c>
      <c r="C43" s="184" t="s">
        <v>344</v>
      </c>
      <c r="D43" s="222" t="s">
        <v>129</v>
      </c>
      <c r="E43" s="68" t="s">
        <v>345</v>
      </c>
      <c r="F43" s="68" t="s">
        <v>346</v>
      </c>
      <c r="G43" s="69" t="str">
        <f>_xlfn.IFNA(VLOOKUP(F:F,'indicator lists'!L:M,2,FALSE),"")</f>
        <v># of cooking demonstrations conducted</v>
      </c>
      <c r="H43" s="145"/>
      <c r="I43" s="145"/>
      <c r="J43" s="145"/>
      <c r="K43" s="868" t="s">
        <v>347</v>
      </c>
    </row>
    <row r="44" spans="1:11" x14ac:dyDescent="0.35">
      <c r="A44" s="182">
        <f t="shared" si="5"/>
        <v>0</v>
      </c>
      <c r="B44" s="78" t="str">
        <f t="shared" si="2"/>
        <v>0</v>
      </c>
      <c r="C44" s="184"/>
      <c r="D44" s="222"/>
      <c r="E44" s="68"/>
      <c r="F44" s="68"/>
      <c r="G44" s="69" t="str">
        <f>_xlfn.IFNA(VLOOKUP(F:F,'indicator lists'!L:M,2,FALSE),"")</f>
        <v/>
      </c>
      <c r="H44" s="145"/>
      <c r="I44" s="145"/>
      <c r="J44" s="145"/>
      <c r="K44" s="868"/>
    </row>
    <row r="45" spans="1:11" hidden="1" x14ac:dyDescent="0.35">
      <c r="A45" s="182">
        <f t="shared" si="5"/>
        <v>0</v>
      </c>
      <c r="B45" s="78" t="str">
        <f t="shared" si="2"/>
        <v>0</v>
      </c>
      <c r="C45" s="198"/>
      <c r="D45" s="225"/>
      <c r="E45" s="68"/>
      <c r="F45" s="68"/>
      <c r="G45" s="69" t="str">
        <f>_xlfn.IFNA(VLOOKUP(F:F,'indicator lists'!L:M,2,FALSE),"")</f>
        <v/>
      </c>
      <c r="H45" s="145"/>
      <c r="I45" s="145"/>
      <c r="J45" s="145"/>
      <c r="K45" s="868"/>
    </row>
    <row r="46" spans="1:11" hidden="1" x14ac:dyDescent="0.35">
      <c r="A46" s="182">
        <f t="shared" si="5"/>
        <v>0</v>
      </c>
      <c r="B46" s="78" t="str">
        <f t="shared" si="2"/>
        <v>0</v>
      </c>
      <c r="C46" s="198"/>
      <c r="D46" s="225"/>
      <c r="E46" s="68"/>
      <c r="F46" s="68"/>
      <c r="G46" s="69" t="str">
        <f>_xlfn.IFNA(VLOOKUP(F:F,'indicator lists'!L:M,2,FALSE),"")</f>
        <v/>
      </c>
      <c r="H46" s="145"/>
      <c r="I46" s="145"/>
      <c r="J46" s="145"/>
      <c r="K46" s="868"/>
    </row>
    <row r="47" spans="1:11" hidden="1" x14ac:dyDescent="0.35">
      <c r="A47" s="182">
        <f t="shared" si="5"/>
        <v>0</v>
      </c>
      <c r="B47" s="78" t="str">
        <f t="shared" si="2"/>
        <v>0</v>
      </c>
      <c r="C47" s="198"/>
      <c r="D47" s="225"/>
      <c r="E47" s="68"/>
      <c r="F47" s="68"/>
      <c r="G47" s="69" t="str">
        <f>_xlfn.IFNA(VLOOKUP(F:F,'indicator lists'!L:M,2,FALSE),"")</f>
        <v/>
      </c>
      <c r="H47" s="145"/>
      <c r="I47" s="145"/>
      <c r="J47" s="145"/>
      <c r="K47" s="868"/>
    </row>
    <row r="48" spans="1:11" hidden="1" x14ac:dyDescent="0.35">
      <c r="A48" s="182">
        <f t="shared" si="5"/>
        <v>0</v>
      </c>
      <c r="B48" s="78" t="str">
        <f t="shared" si="2"/>
        <v>0</v>
      </c>
      <c r="C48" s="198"/>
      <c r="D48" s="225"/>
      <c r="E48" s="68"/>
      <c r="F48" s="68"/>
      <c r="G48" s="69" t="str">
        <f>_xlfn.IFNA(VLOOKUP(F:F,'indicator lists'!L:M,2,FALSE),"")</f>
        <v/>
      </c>
      <c r="H48" s="145"/>
      <c r="I48" s="145"/>
      <c r="J48" s="145"/>
      <c r="K48" s="868"/>
    </row>
    <row r="49" spans="1:11" hidden="1" x14ac:dyDescent="0.35">
      <c r="A49" s="182">
        <f t="shared" si="5"/>
        <v>0</v>
      </c>
      <c r="B49" s="78" t="str">
        <f t="shared" si="2"/>
        <v>0</v>
      </c>
      <c r="C49" s="198"/>
      <c r="D49" s="225"/>
      <c r="E49" s="68"/>
      <c r="F49" s="68"/>
      <c r="G49" s="69" t="str">
        <f>_xlfn.IFNA(VLOOKUP(F:F,'indicator lists'!L:M,2,FALSE),"")</f>
        <v/>
      </c>
      <c r="H49" s="145"/>
      <c r="I49" s="145"/>
      <c r="J49" s="145"/>
      <c r="K49" s="868"/>
    </row>
    <row r="50" spans="1:11" hidden="1" x14ac:dyDescent="0.35">
      <c r="A50" s="182">
        <f t="shared" si="5"/>
        <v>0</v>
      </c>
      <c r="B50" s="78" t="str">
        <f t="shared" si="2"/>
        <v>0</v>
      </c>
      <c r="C50" s="198"/>
      <c r="D50" s="225"/>
      <c r="E50" s="68"/>
      <c r="F50" s="68"/>
      <c r="G50" s="69" t="str">
        <f>_xlfn.IFNA(VLOOKUP(F:F,'indicator lists'!L:M,2,FALSE),"")</f>
        <v/>
      </c>
      <c r="H50" s="145"/>
      <c r="I50" s="145"/>
      <c r="J50" s="145"/>
      <c r="K50" s="868"/>
    </row>
    <row r="51" spans="1:11" hidden="1" x14ac:dyDescent="0.35">
      <c r="A51" s="182">
        <f t="shared" si="5"/>
        <v>0</v>
      </c>
      <c r="B51" s="78" t="str">
        <f t="shared" si="2"/>
        <v>0</v>
      </c>
      <c r="C51" s="198"/>
      <c r="D51" s="225"/>
      <c r="E51" s="68"/>
      <c r="F51" s="68"/>
      <c r="G51" s="69" t="str">
        <f>_xlfn.IFNA(VLOOKUP(F:F,'indicator lists'!L:M,2,FALSE),"")</f>
        <v/>
      </c>
      <c r="H51" s="145"/>
      <c r="I51" s="145"/>
      <c r="J51" s="145"/>
      <c r="K51" s="868"/>
    </row>
    <row r="52" spans="1:11" hidden="1" x14ac:dyDescent="0.35">
      <c r="A52" s="182">
        <f t="shared" si="5"/>
        <v>0</v>
      </c>
      <c r="B52" s="78" t="str">
        <f t="shared" si="2"/>
        <v>0</v>
      </c>
      <c r="C52" s="198"/>
      <c r="D52" s="225"/>
      <c r="E52" s="68"/>
      <c r="F52" s="68"/>
      <c r="G52" s="69" t="str">
        <f>_xlfn.IFNA(VLOOKUP(F:F,'indicator lists'!L:M,2,FALSE),"")</f>
        <v/>
      </c>
      <c r="H52" s="145"/>
      <c r="I52" s="145"/>
      <c r="J52" s="145"/>
      <c r="K52" s="868"/>
    </row>
    <row r="53" spans="1:11" hidden="1" x14ac:dyDescent="0.35">
      <c r="A53" s="182">
        <f t="shared" si="5"/>
        <v>0</v>
      </c>
      <c r="B53" s="78" t="str">
        <f t="shared" si="2"/>
        <v>0</v>
      </c>
      <c r="C53" s="198"/>
      <c r="D53" s="225"/>
      <c r="E53" s="68"/>
      <c r="F53" s="68"/>
      <c r="G53" s="69" t="str">
        <f>_xlfn.IFNA(VLOOKUP(F:F,'indicator lists'!L:M,2,FALSE),"")</f>
        <v/>
      </c>
      <c r="H53" s="145"/>
      <c r="I53" s="145"/>
      <c r="J53" s="145"/>
      <c r="K53" s="868"/>
    </row>
    <row r="54" spans="1:11" hidden="1" x14ac:dyDescent="0.35">
      <c r="A54" s="182">
        <f t="shared" si="5"/>
        <v>0</v>
      </c>
      <c r="B54" s="78" t="str">
        <f t="shared" si="2"/>
        <v>0</v>
      </c>
      <c r="C54" s="198"/>
      <c r="D54" s="225"/>
      <c r="E54" s="68"/>
      <c r="F54" s="68"/>
      <c r="G54" s="69" t="str">
        <f>_xlfn.IFNA(VLOOKUP(F:F,'indicator lists'!L:M,2,FALSE),"")</f>
        <v/>
      </c>
      <c r="H54" s="145"/>
      <c r="I54" s="145"/>
      <c r="J54" s="145"/>
      <c r="K54" s="868"/>
    </row>
    <row r="55" spans="1:11" hidden="1" x14ac:dyDescent="0.35">
      <c r="A55" s="182">
        <f t="shared" si="5"/>
        <v>0</v>
      </c>
      <c r="B55" s="78" t="str">
        <f t="shared" si="2"/>
        <v>0</v>
      </c>
      <c r="C55" s="198"/>
      <c r="D55" s="225"/>
      <c r="E55" s="68"/>
      <c r="F55" s="68"/>
      <c r="G55" s="69" t="str">
        <f>_xlfn.IFNA(VLOOKUP(F:F,'indicator lists'!L:M,2,FALSE),"")</f>
        <v/>
      </c>
      <c r="H55" s="145"/>
      <c r="I55" s="145"/>
      <c r="J55" s="145"/>
      <c r="K55" s="868"/>
    </row>
    <row r="56" spans="1:11" hidden="1" x14ac:dyDescent="0.35">
      <c r="A56" s="182">
        <f t="shared" si="5"/>
        <v>0</v>
      </c>
      <c r="B56" s="78" t="str">
        <f t="shared" si="2"/>
        <v>0</v>
      </c>
      <c r="C56" s="198"/>
      <c r="D56" s="251"/>
      <c r="E56" s="147"/>
      <c r="F56" s="147"/>
      <c r="G56" s="867"/>
      <c r="H56" s="183"/>
      <c r="I56" s="183"/>
      <c r="J56" s="183"/>
      <c r="K56" s="252"/>
    </row>
    <row r="57" spans="1:11" ht="18.5" x14ac:dyDescent="0.35">
      <c r="A57" s="182">
        <f t="shared" si="5"/>
        <v>0</v>
      </c>
      <c r="B57" s="78" t="str">
        <f t="shared" si="2"/>
        <v>0Global Indicators</v>
      </c>
      <c r="C57" s="1281" t="s">
        <v>34</v>
      </c>
      <c r="D57" s="1282"/>
      <c r="E57" s="1283"/>
      <c r="F57" s="1283"/>
      <c r="G57" s="1283"/>
      <c r="H57" s="1283"/>
      <c r="I57" s="1283"/>
      <c r="J57" s="1283"/>
      <c r="K57" s="1284"/>
    </row>
    <row r="58" spans="1:11" ht="29" x14ac:dyDescent="0.35">
      <c r="A58" s="182" t="str">
        <f t="shared" si="5"/>
        <v>P040200</v>
      </c>
      <c r="B58" s="78" t="str">
        <f t="shared" si="2"/>
        <v>P040200</v>
      </c>
      <c r="D58" s="223" t="s">
        <v>132</v>
      </c>
      <c r="E58" s="317" t="s">
        <v>341</v>
      </c>
      <c r="F58" s="317" t="s">
        <v>348</v>
      </c>
      <c r="G58" s="69" t="str">
        <f>_xlfn.IFNA(VLOOKUP(F:F,'indicator lists'!L:M,2,FALSE),"")</f>
        <v># of people trained on nutritional practices</v>
      </c>
      <c r="H58" s="145"/>
      <c r="I58" s="145"/>
      <c r="J58" s="145"/>
      <c r="K58" s="148"/>
    </row>
    <row r="59" spans="1:11" x14ac:dyDescent="0.35">
      <c r="A59" s="182">
        <f t="shared" si="5"/>
        <v>0</v>
      </c>
      <c r="B59" s="78" t="str">
        <f t="shared" si="2"/>
        <v>0</v>
      </c>
      <c r="C59" s="200"/>
      <c r="D59" s="222"/>
      <c r="E59" s="147"/>
      <c r="F59" s="147"/>
      <c r="G59" s="69" t="str">
        <f>_xlfn.IFNA(VLOOKUP(F:F,'indicator lists'!L:M,2,FALSE),"")</f>
        <v/>
      </c>
      <c r="H59" s="183"/>
      <c r="I59" s="183"/>
      <c r="J59" s="183"/>
      <c r="K59" s="253"/>
    </row>
    <row r="60" spans="1:11" x14ac:dyDescent="0.35">
      <c r="A60" s="182">
        <f t="shared" si="5"/>
        <v>0</v>
      </c>
      <c r="B60" s="78" t="str">
        <f t="shared" si="2"/>
        <v>0</v>
      </c>
      <c r="C60" s="200"/>
      <c r="D60" s="222"/>
      <c r="E60" s="147"/>
      <c r="F60" s="147"/>
      <c r="G60" s="69" t="str">
        <f>_xlfn.IFNA(VLOOKUP(F:F,'indicator lists'!L:M,2,FALSE),"")</f>
        <v/>
      </c>
      <c r="H60" s="183"/>
      <c r="I60" s="183"/>
      <c r="J60" s="183"/>
      <c r="K60" s="253"/>
    </row>
    <row r="61" spans="1:11" x14ac:dyDescent="0.35">
      <c r="A61" s="182">
        <f t="shared" si="5"/>
        <v>0</v>
      </c>
      <c r="B61" s="78" t="str">
        <f t="shared" si="2"/>
        <v>0</v>
      </c>
      <c r="C61" s="200"/>
      <c r="D61" s="222"/>
      <c r="E61" s="147"/>
      <c r="F61" s="147"/>
      <c r="G61" s="69" t="str">
        <f>_xlfn.IFNA(VLOOKUP(F:F,'indicator lists'!L:M,2,FALSE),"")</f>
        <v/>
      </c>
      <c r="H61" s="183"/>
      <c r="I61" s="183"/>
      <c r="J61" s="183"/>
      <c r="K61" s="253"/>
    </row>
    <row r="62" spans="1:11" x14ac:dyDescent="0.35">
      <c r="A62" s="182">
        <f t="shared" si="5"/>
        <v>0</v>
      </c>
      <c r="B62" s="78" t="str">
        <f t="shared" si="2"/>
        <v>0</v>
      </c>
      <c r="C62" s="200"/>
      <c r="D62" s="222"/>
      <c r="E62" s="147"/>
      <c r="F62" s="147"/>
      <c r="G62" s="69" t="str">
        <f>_xlfn.IFNA(VLOOKUP(F:F,'indicator lists'!L:M,2,FALSE),"")</f>
        <v/>
      </c>
      <c r="H62" s="183"/>
      <c r="I62" s="183"/>
      <c r="J62" s="183"/>
      <c r="K62" s="253"/>
    </row>
    <row r="63" spans="1:11" ht="15" thickBot="1" x14ac:dyDescent="0.4">
      <c r="A63" s="182">
        <f t="shared" si="5"/>
        <v>0</v>
      </c>
      <c r="B63" s="78" t="str">
        <f t="shared" si="2"/>
        <v>0</v>
      </c>
      <c r="C63" s="199"/>
      <c r="D63" s="224"/>
      <c r="E63" s="71"/>
      <c r="F63" s="71"/>
      <c r="G63" s="72" t="str">
        <f>_xlfn.IFNA(VLOOKUP(F:F,'indicator lists'!L:M,2,FALSE),"")</f>
        <v/>
      </c>
      <c r="H63" s="146"/>
      <c r="I63" s="146"/>
      <c r="J63" s="146"/>
      <c r="K63" s="202"/>
    </row>
    <row r="64" spans="1:11" ht="15" thickBot="1" x14ac:dyDescent="0.4">
      <c r="A64" s="182">
        <f t="shared" si="5"/>
        <v>0</v>
      </c>
      <c r="B64" s="78" t="str">
        <f t="shared" si="2"/>
        <v>0</v>
      </c>
    </row>
    <row r="65" spans="1:11" ht="19" thickBot="1" x14ac:dyDescent="0.4">
      <c r="A65" s="182">
        <f t="shared" si="5"/>
        <v>0</v>
      </c>
      <c r="B65" s="78" t="str">
        <f t="shared" si="2"/>
        <v>0MTO, STO, Activities</v>
      </c>
      <c r="C65" s="1277" t="s">
        <v>124</v>
      </c>
      <c r="D65" s="1278"/>
      <c r="E65" s="1279"/>
      <c r="F65" s="1279"/>
      <c r="G65" s="1279"/>
      <c r="H65" s="1279"/>
      <c r="I65" s="1279"/>
      <c r="J65" s="1279"/>
      <c r="K65" s="1280"/>
    </row>
    <row r="66" spans="1:11" x14ac:dyDescent="0.35">
      <c r="A66" s="227">
        <f t="shared" si="5"/>
        <v>0</v>
      </c>
      <c r="B66" s="78" t="str">
        <f t="shared" si="2"/>
        <v>0</v>
      </c>
      <c r="C66" s="184"/>
      <c r="D66" s="222"/>
      <c r="E66" s="68"/>
      <c r="F66" s="68"/>
      <c r="G66" s="69" t="str">
        <f>_xlfn.IFNA(VLOOKUP(F:F,'indicator lists'!L:M,2,FALSE),"")</f>
        <v/>
      </c>
      <c r="H66" s="145"/>
      <c r="I66" s="145"/>
      <c r="J66" s="145"/>
      <c r="K66" s="868"/>
    </row>
    <row r="67" spans="1:11" x14ac:dyDescent="0.35">
      <c r="A67" s="227">
        <f t="shared" si="5"/>
        <v>0</v>
      </c>
      <c r="B67" s="78" t="str">
        <f t="shared" si="2"/>
        <v>0</v>
      </c>
      <c r="C67" s="184"/>
      <c r="D67" s="222"/>
      <c r="E67" s="68"/>
      <c r="F67" s="68"/>
      <c r="G67" s="69" t="str">
        <f>_xlfn.IFNA(VLOOKUP(F:F,'indicator lists'!L:M,2,FALSE),"")</f>
        <v/>
      </c>
      <c r="H67" s="145"/>
      <c r="I67" s="145"/>
      <c r="J67" s="145"/>
      <c r="K67" s="152"/>
    </row>
    <row r="68" spans="1:11" x14ac:dyDescent="0.35">
      <c r="A68" s="227">
        <f t="shared" si="5"/>
        <v>0</v>
      </c>
      <c r="B68" s="78" t="str">
        <f t="shared" si="2"/>
        <v>0</v>
      </c>
      <c r="C68" s="184"/>
      <c r="D68" s="222"/>
      <c r="E68" s="68"/>
      <c r="F68" s="68"/>
      <c r="G68" s="69" t="str">
        <f>_xlfn.IFNA(VLOOKUP(F:F,'indicator lists'!L:M,2,FALSE),"")</f>
        <v/>
      </c>
      <c r="H68" s="145"/>
      <c r="I68" s="145"/>
      <c r="J68" s="145"/>
      <c r="K68" s="868"/>
    </row>
    <row r="69" spans="1:11" x14ac:dyDescent="0.35">
      <c r="A69" s="227">
        <f t="shared" si="5"/>
        <v>0</v>
      </c>
      <c r="B69" s="78" t="str">
        <f t="shared" si="2"/>
        <v>0</v>
      </c>
      <c r="C69" s="184"/>
      <c r="D69" s="223"/>
      <c r="E69" s="68"/>
      <c r="F69" s="68"/>
      <c r="G69" s="69" t="str">
        <f>_xlfn.IFNA(VLOOKUP(F:F,'indicator lists'!L:M,2,FALSE),"")</f>
        <v/>
      </c>
      <c r="H69" s="145"/>
      <c r="I69" s="145"/>
      <c r="J69" s="145"/>
      <c r="K69" s="868"/>
    </row>
    <row r="70" spans="1:11" hidden="1" x14ac:dyDescent="0.35">
      <c r="A70" s="182">
        <f t="shared" si="5"/>
        <v>0</v>
      </c>
      <c r="B70" s="78" t="str">
        <f t="shared" si="2"/>
        <v>0</v>
      </c>
      <c r="C70" s="198"/>
      <c r="D70" s="223"/>
      <c r="E70" s="68"/>
      <c r="F70" s="68"/>
      <c r="G70" s="69" t="str">
        <f>_xlfn.IFNA(VLOOKUP(F:F,'indicator lists'!L:M,2,FALSE),"")</f>
        <v/>
      </c>
      <c r="H70" s="145"/>
      <c r="I70" s="145"/>
      <c r="J70" s="145"/>
      <c r="K70" s="868"/>
    </row>
    <row r="71" spans="1:11" hidden="1" x14ac:dyDescent="0.35">
      <c r="A71" s="182">
        <f t="shared" si="5"/>
        <v>0</v>
      </c>
      <c r="B71" s="78" t="str">
        <f t="shared" ref="B71:B134" si="7">CONCATENATE(A71,C71)</f>
        <v>0</v>
      </c>
      <c r="C71" s="198"/>
      <c r="D71" s="223"/>
      <c r="E71" s="68"/>
      <c r="F71" s="68"/>
      <c r="G71" s="69" t="str">
        <f>_xlfn.IFNA(VLOOKUP(F:F,'indicator lists'!L:M,2,FALSE),"")</f>
        <v/>
      </c>
      <c r="H71" s="145"/>
      <c r="I71" s="145"/>
      <c r="J71" s="145"/>
      <c r="K71" s="868"/>
    </row>
    <row r="72" spans="1:11" hidden="1" x14ac:dyDescent="0.35">
      <c r="A72" s="182">
        <f t="shared" si="5"/>
        <v>0</v>
      </c>
      <c r="B72" s="78" t="str">
        <f t="shared" si="7"/>
        <v>0</v>
      </c>
      <c r="C72" s="198"/>
      <c r="D72" s="223"/>
      <c r="E72" s="68"/>
      <c r="F72" s="68"/>
      <c r="G72" s="69" t="str">
        <f>_xlfn.IFNA(VLOOKUP(F:F,'indicator lists'!L:M,2,FALSE),"")</f>
        <v/>
      </c>
      <c r="H72" s="145"/>
      <c r="I72" s="145"/>
      <c r="J72" s="145"/>
      <c r="K72" s="868"/>
    </row>
    <row r="73" spans="1:11" hidden="1" x14ac:dyDescent="0.35">
      <c r="A73" s="182">
        <f t="shared" si="5"/>
        <v>0</v>
      </c>
      <c r="B73" s="78" t="str">
        <f t="shared" si="7"/>
        <v>0</v>
      </c>
      <c r="C73" s="198"/>
      <c r="D73" s="223"/>
      <c r="E73" s="68"/>
      <c r="F73" s="68"/>
      <c r="G73" s="69" t="str">
        <f>_xlfn.IFNA(VLOOKUP(F:F,'indicator lists'!L:M,2,FALSE),"")</f>
        <v/>
      </c>
      <c r="H73" s="145"/>
      <c r="I73" s="145"/>
      <c r="J73" s="145"/>
      <c r="K73" s="868"/>
    </row>
    <row r="74" spans="1:11" hidden="1" x14ac:dyDescent="0.35">
      <c r="A74" s="182">
        <f t="shared" si="5"/>
        <v>0</v>
      </c>
      <c r="B74" s="78" t="str">
        <f t="shared" si="7"/>
        <v>0</v>
      </c>
      <c r="C74" s="198"/>
      <c r="D74" s="223"/>
      <c r="E74" s="68"/>
      <c r="F74" s="68"/>
      <c r="G74" s="69" t="str">
        <f>_xlfn.IFNA(VLOOKUP(F:F,'indicator lists'!L:M,2,FALSE),"")</f>
        <v/>
      </c>
      <c r="H74" s="145"/>
      <c r="I74" s="145"/>
      <c r="J74" s="145"/>
      <c r="K74" s="868"/>
    </row>
    <row r="75" spans="1:11" hidden="1" x14ac:dyDescent="0.35">
      <c r="A75" s="182">
        <f t="shared" si="5"/>
        <v>0</v>
      </c>
      <c r="B75" s="78" t="str">
        <f t="shared" si="7"/>
        <v>0</v>
      </c>
      <c r="C75" s="198"/>
      <c r="D75" s="223"/>
      <c r="E75" s="68"/>
      <c r="F75" s="68"/>
      <c r="G75" s="69" t="str">
        <f>_xlfn.IFNA(VLOOKUP(F:F,'indicator lists'!L:M,2,FALSE),"")</f>
        <v/>
      </c>
      <c r="H75" s="145"/>
      <c r="I75" s="145"/>
      <c r="J75" s="145"/>
      <c r="K75" s="868"/>
    </row>
    <row r="76" spans="1:11" hidden="1" x14ac:dyDescent="0.35">
      <c r="A76" s="182">
        <f t="shared" si="5"/>
        <v>0</v>
      </c>
      <c r="B76" s="78" t="str">
        <f t="shared" si="7"/>
        <v>0</v>
      </c>
      <c r="C76" s="198"/>
      <c r="D76" s="223"/>
      <c r="E76" s="68"/>
      <c r="F76" s="68"/>
      <c r="G76" s="69" t="str">
        <f>_xlfn.IFNA(VLOOKUP(F:F,'indicator lists'!L:M,2,FALSE),"")</f>
        <v/>
      </c>
      <c r="H76" s="145"/>
      <c r="I76" s="145"/>
      <c r="J76" s="145"/>
      <c r="K76" s="868"/>
    </row>
    <row r="77" spans="1:11" hidden="1" x14ac:dyDescent="0.35">
      <c r="A77" s="182">
        <f t="shared" si="5"/>
        <v>0</v>
      </c>
      <c r="B77" s="78" t="str">
        <f t="shared" si="7"/>
        <v>0</v>
      </c>
      <c r="C77" s="198"/>
      <c r="D77" s="223"/>
      <c r="E77" s="68"/>
      <c r="F77" s="68"/>
      <c r="G77" s="69" t="str">
        <f>_xlfn.IFNA(VLOOKUP(F:F,'indicator lists'!L:M,2,FALSE),"")</f>
        <v/>
      </c>
      <c r="H77" s="145"/>
      <c r="I77" s="145"/>
      <c r="J77" s="145"/>
      <c r="K77" s="868"/>
    </row>
    <row r="78" spans="1:11" hidden="1" x14ac:dyDescent="0.35">
      <c r="A78" s="182">
        <f t="shared" si="5"/>
        <v>0</v>
      </c>
      <c r="B78" s="78" t="str">
        <f t="shared" si="7"/>
        <v>0</v>
      </c>
      <c r="C78" s="198"/>
      <c r="D78" s="223"/>
      <c r="E78" s="68"/>
      <c r="F78" s="68"/>
      <c r="G78" s="69" t="str">
        <f>_xlfn.IFNA(VLOOKUP(F:F,'indicator lists'!L:M,2,FALSE),"")</f>
        <v/>
      </c>
      <c r="H78" s="145"/>
      <c r="I78" s="145"/>
      <c r="J78" s="145"/>
      <c r="K78" s="868"/>
    </row>
    <row r="79" spans="1:11" hidden="1" x14ac:dyDescent="0.35">
      <c r="A79" s="182">
        <f t="shared" si="5"/>
        <v>0</v>
      </c>
      <c r="B79" s="78" t="str">
        <f t="shared" si="7"/>
        <v>0</v>
      </c>
      <c r="C79" s="198"/>
      <c r="D79" s="223"/>
      <c r="E79" s="68"/>
      <c r="F79" s="68"/>
      <c r="G79" s="69" t="str">
        <f>_xlfn.IFNA(VLOOKUP(F:F,'indicator lists'!L:M,2,FALSE),"")</f>
        <v/>
      </c>
      <c r="H79" s="145"/>
      <c r="I79" s="145"/>
      <c r="J79" s="145"/>
      <c r="K79" s="868"/>
    </row>
    <row r="80" spans="1:11" hidden="1" x14ac:dyDescent="0.35">
      <c r="A80" s="182">
        <f t="shared" si="5"/>
        <v>0</v>
      </c>
      <c r="B80" s="78" t="str">
        <f t="shared" si="7"/>
        <v>0</v>
      </c>
      <c r="C80" s="198"/>
      <c r="D80" s="223"/>
      <c r="E80" s="68"/>
      <c r="F80" s="68"/>
      <c r="G80" s="69" t="str">
        <f>_xlfn.IFNA(VLOOKUP(F:F,'indicator lists'!L:M,2,FALSE),"")</f>
        <v/>
      </c>
      <c r="H80" s="145"/>
      <c r="I80" s="145"/>
      <c r="J80" s="145"/>
      <c r="K80" s="868"/>
    </row>
    <row r="81" spans="1:11" hidden="1" x14ac:dyDescent="0.35">
      <c r="A81" s="182">
        <f t="shared" si="5"/>
        <v>0</v>
      </c>
      <c r="B81" s="78" t="str">
        <f t="shared" si="7"/>
        <v>0</v>
      </c>
      <c r="C81" s="198"/>
      <c r="D81" s="223"/>
      <c r="E81" s="68"/>
      <c r="F81" s="68"/>
      <c r="G81" s="69" t="str">
        <f>_xlfn.IFNA(VLOOKUP(F:F,'indicator lists'!L:M,2,FALSE),"")</f>
        <v/>
      </c>
      <c r="H81" s="145"/>
      <c r="I81" s="145"/>
      <c r="J81" s="145"/>
      <c r="K81" s="868"/>
    </row>
    <row r="82" spans="1:11" ht="15" thickBot="1" x14ac:dyDescent="0.4">
      <c r="A82" s="182">
        <f t="shared" si="5"/>
        <v>0</v>
      </c>
      <c r="B82" s="78" t="str">
        <f t="shared" si="7"/>
        <v>0</v>
      </c>
      <c r="C82" s="200"/>
      <c r="D82" s="223"/>
      <c r="E82" s="147"/>
      <c r="F82" s="147"/>
      <c r="G82" s="69" t="str">
        <f>_xlfn.IFNA(VLOOKUP(F:F,'indicator lists'!L:M,2,FALSE),"")</f>
        <v/>
      </c>
      <c r="H82" s="183"/>
      <c r="I82" s="183"/>
      <c r="J82" s="183"/>
      <c r="K82" s="252"/>
    </row>
    <row r="83" spans="1:11" ht="19" thickBot="1" x14ac:dyDescent="0.4">
      <c r="A83" s="182">
        <f t="shared" si="5"/>
        <v>0</v>
      </c>
      <c r="B83" s="78" t="str">
        <f t="shared" si="7"/>
        <v>0Global Indicators</v>
      </c>
      <c r="C83" s="1277" t="s">
        <v>34</v>
      </c>
      <c r="D83" s="1278"/>
      <c r="E83" s="1279"/>
      <c r="F83" s="1279"/>
      <c r="G83" s="1279"/>
      <c r="H83" s="1279"/>
      <c r="I83" s="1279"/>
      <c r="J83" s="1279"/>
      <c r="K83" s="1280"/>
    </row>
    <row r="84" spans="1:11" x14ac:dyDescent="0.35">
      <c r="A84" s="182">
        <f t="shared" si="5"/>
        <v>0</v>
      </c>
      <c r="B84" s="78" t="str">
        <f t="shared" si="7"/>
        <v>0</v>
      </c>
      <c r="C84" s="206"/>
      <c r="D84" s="388"/>
      <c r="E84" s="316"/>
      <c r="F84" s="316"/>
      <c r="G84" s="69" t="str">
        <f>_xlfn.IFNA(VLOOKUP(F:F,'indicator lists'!L:M,2,FALSE),"")</f>
        <v/>
      </c>
      <c r="H84" s="207"/>
      <c r="I84" s="207"/>
      <c r="J84" s="207"/>
      <c r="K84" s="208"/>
    </row>
    <row r="85" spans="1:11" x14ac:dyDescent="0.35">
      <c r="A85" s="182">
        <f t="shared" si="5"/>
        <v>0</v>
      </c>
      <c r="B85" s="78" t="str">
        <f t="shared" si="7"/>
        <v>0</v>
      </c>
      <c r="C85" s="198"/>
      <c r="D85" s="222"/>
      <c r="E85" s="68"/>
      <c r="F85" s="68"/>
      <c r="G85" s="69" t="str">
        <f>_xlfn.IFNA(VLOOKUP(F:F,'indicator lists'!L:M,2,FALSE),"")</f>
        <v/>
      </c>
      <c r="H85" s="145"/>
      <c r="I85" s="145"/>
      <c r="J85" s="145"/>
      <c r="K85" s="148"/>
    </row>
    <row r="86" spans="1:11" x14ac:dyDescent="0.35">
      <c r="A86" s="182">
        <f t="shared" si="5"/>
        <v>0</v>
      </c>
      <c r="B86" s="78" t="str">
        <f t="shared" si="7"/>
        <v>0</v>
      </c>
      <c r="C86" s="198"/>
      <c r="D86" s="222"/>
      <c r="E86" s="68"/>
      <c r="F86" s="68"/>
      <c r="G86" s="69" t="str">
        <f>_xlfn.IFNA(VLOOKUP(F:F,'indicator lists'!L:M,2,FALSE),"")</f>
        <v/>
      </c>
      <c r="H86" s="145"/>
      <c r="I86" s="145"/>
      <c r="J86" s="145"/>
      <c r="K86" s="148"/>
    </row>
    <row r="87" spans="1:11" x14ac:dyDescent="0.35">
      <c r="A87" s="182">
        <f t="shared" si="5"/>
        <v>0</v>
      </c>
      <c r="B87" s="78" t="str">
        <f t="shared" si="7"/>
        <v>0</v>
      </c>
      <c r="C87" s="198"/>
      <c r="D87" s="222"/>
      <c r="E87" s="68"/>
      <c r="F87" s="68"/>
      <c r="G87" s="69" t="str">
        <f>_xlfn.IFNA(VLOOKUP(F:F,'indicator lists'!L:M,2,FALSE),"")</f>
        <v/>
      </c>
      <c r="H87" s="145"/>
      <c r="I87" s="145"/>
      <c r="J87" s="145"/>
      <c r="K87" s="148"/>
    </row>
    <row r="88" spans="1:11" x14ac:dyDescent="0.35">
      <c r="A88" s="182">
        <f t="shared" si="5"/>
        <v>0</v>
      </c>
      <c r="B88" s="78" t="str">
        <f t="shared" si="7"/>
        <v>0</v>
      </c>
      <c r="C88" s="198"/>
      <c r="D88" s="222"/>
      <c r="E88" s="68"/>
      <c r="F88" s="68"/>
      <c r="G88" s="69" t="str">
        <f>_xlfn.IFNA(VLOOKUP(F:F,'indicator lists'!L:M,2,FALSE),"")</f>
        <v/>
      </c>
      <c r="H88" s="145"/>
      <c r="I88" s="145"/>
      <c r="J88" s="145"/>
      <c r="K88" s="148"/>
    </row>
    <row r="89" spans="1:11" ht="15" thickBot="1" x14ac:dyDescent="0.4">
      <c r="A89" s="182">
        <f t="shared" si="5"/>
        <v>0</v>
      </c>
      <c r="B89" s="78" t="str">
        <f t="shared" si="7"/>
        <v>0</v>
      </c>
      <c r="C89" s="199"/>
      <c r="D89" s="224"/>
      <c r="E89" s="71"/>
      <c r="F89" s="71"/>
      <c r="G89" s="72" t="str">
        <f>_xlfn.IFNA(VLOOKUP(F:F,'indicator lists'!L:M,2,FALSE),"")</f>
        <v/>
      </c>
      <c r="H89" s="146"/>
      <c r="I89" s="146"/>
      <c r="J89" s="146"/>
      <c r="K89" s="202"/>
    </row>
    <row r="90" spans="1:11" x14ac:dyDescent="0.35">
      <c r="A90" s="182">
        <f t="shared" si="5"/>
        <v>0</v>
      </c>
      <c r="B90" s="78" t="str">
        <f t="shared" si="7"/>
        <v>0</v>
      </c>
    </row>
    <row r="91" spans="1:11" x14ac:dyDescent="0.35">
      <c r="A91" s="182">
        <f t="shared" si="5"/>
        <v>0</v>
      </c>
      <c r="B91" s="78" t="str">
        <f t="shared" si="7"/>
        <v>0</v>
      </c>
    </row>
    <row r="92" spans="1:11" x14ac:dyDescent="0.35">
      <c r="A92" s="182">
        <f t="shared" si="5"/>
        <v>0</v>
      </c>
      <c r="B92" s="78" t="str">
        <f t="shared" si="7"/>
        <v>0</v>
      </c>
    </row>
    <row r="93" spans="1:11" x14ac:dyDescent="0.35">
      <c r="A93" s="182">
        <f t="shared" ref="A93:A156" si="8">F93</f>
        <v>0</v>
      </c>
      <c r="B93" s="78" t="str">
        <f t="shared" si="7"/>
        <v>0</v>
      </c>
    </row>
    <row r="94" spans="1:11" x14ac:dyDescent="0.35">
      <c r="A94" s="182">
        <f t="shared" si="8"/>
        <v>0</v>
      </c>
      <c r="B94" s="78" t="str">
        <f t="shared" si="7"/>
        <v>0</v>
      </c>
    </row>
    <row r="95" spans="1:11" x14ac:dyDescent="0.35">
      <c r="A95" s="182">
        <f t="shared" si="8"/>
        <v>0</v>
      </c>
      <c r="B95" s="78" t="str">
        <f t="shared" si="7"/>
        <v>0</v>
      </c>
    </row>
    <row r="96" spans="1:11" x14ac:dyDescent="0.35">
      <c r="A96" s="182">
        <f t="shared" si="8"/>
        <v>0</v>
      </c>
      <c r="B96" s="78" t="str">
        <f t="shared" si="7"/>
        <v>0</v>
      </c>
    </row>
    <row r="97" spans="1:2" x14ac:dyDescent="0.35">
      <c r="A97" s="182">
        <f t="shared" si="8"/>
        <v>0</v>
      </c>
      <c r="B97" s="78" t="str">
        <f t="shared" si="7"/>
        <v>0</v>
      </c>
    </row>
    <row r="98" spans="1:2" x14ac:dyDescent="0.35">
      <c r="A98" s="182">
        <f t="shared" si="8"/>
        <v>0</v>
      </c>
      <c r="B98" s="78" t="str">
        <f t="shared" si="7"/>
        <v>0</v>
      </c>
    </row>
    <row r="99" spans="1:2" x14ac:dyDescent="0.35">
      <c r="A99" s="182">
        <f t="shared" si="8"/>
        <v>0</v>
      </c>
      <c r="B99" s="78" t="str">
        <f t="shared" si="7"/>
        <v>0</v>
      </c>
    </row>
    <row r="100" spans="1:2" x14ac:dyDescent="0.35">
      <c r="A100" s="182">
        <f t="shared" si="8"/>
        <v>0</v>
      </c>
      <c r="B100" s="78" t="str">
        <f t="shared" si="7"/>
        <v>0</v>
      </c>
    </row>
    <row r="101" spans="1:2" x14ac:dyDescent="0.35">
      <c r="A101" s="182">
        <f t="shared" si="8"/>
        <v>0</v>
      </c>
      <c r="B101" s="78" t="str">
        <f t="shared" si="7"/>
        <v>0</v>
      </c>
    </row>
    <row r="102" spans="1:2" x14ac:dyDescent="0.35">
      <c r="A102" s="182">
        <f t="shared" si="8"/>
        <v>0</v>
      </c>
      <c r="B102" s="78" t="str">
        <f t="shared" si="7"/>
        <v>0</v>
      </c>
    </row>
    <row r="103" spans="1:2" x14ac:dyDescent="0.35">
      <c r="A103" s="182">
        <f t="shared" si="8"/>
        <v>0</v>
      </c>
      <c r="B103" s="78" t="str">
        <f t="shared" si="7"/>
        <v>0</v>
      </c>
    </row>
    <row r="104" spans="1:2" x14ac:dyDescent="0.35">
      <c r="A104" s="182">
        <f t="shared" si="8"/>
        <v>0</v>
      </c>
      <c r="B104" s="78" t="str">
        <f t="shared" si="7"/>
        <v>0</v>
      </c>
    </row>
    <row r="105" spans="1:2" x14ac:dyDescent="0.35">
      <c r="A105" s="182">
        <f t="shared" si="8"/>
        <v>0</v>
      </c>
      <c r="B105" s="78" t="str">
        <f t="shared" si="7"/>
        <v>0</v>
      </c>
    </row>
    <row r="106" spans="1:2" x14ac:dyDescent="0.35">
      <c r="A106" s="182">
        <f t="shared" si="8"/>
        <v>0</v>
      </c>
      <c r="B106" s="78" t="str">
        <f t="shared" si="7"/>
        <v>0</v>
      </c>
    </row>
    <row r="107" spans="1:2" x14ac:dyDescent="0.35">
      <c r="A107" s="182">
        <f t="shared" si="8"/>
        <v>0</v>
      </c>
      <c r="B107" s="78" t="str">
        <f t="shared" si="7"/>
        <v>0</v>
      </c>
    </row>
    <row r="108" spans="1:2" x14ac:dyDescent="0.35">
      <c r="A108" s="182">
        <f t="shared" si="8"/>
        <v>0</v>
      </c>
      <c r="B108" s="78" t="str">
        <f t="shared" si="7"/>
        <v>0</v>
      </c>
    </row>
    <row r="109" spans="1:2" x14ac:dyDescent="0.35">
      <c r="A109" s="182">
        <f t="shared" si="8"/>
        <v>0</v>
      </c>
      <c r="B109" s="78" t="str">
        <f t="shared" si="7"/>
        <v>0</v>
      </c>
    </row>
    <row r="110" spans="1:2" x14ac:dyDescent="0.35">
      <c r="A110" s="182">
        <f t="shared" si="8"/>
        <v>0</v>
      </c>
      <c r="B110" s="78" t="str">
        <f t="shared" si="7"/>
        <v>0</v>
      </c>
    </row>
    <row r="111" spans="1:2" x14ac:dyDescent="0.35">
      <c r="A111" s="182">
        <f t="shared" si="8"/>
        <v>0</v>
      </c>
      <c r="B111" s="78" t="str">
        <f t="shared" si="7"/>
        <v>0</v>
      </c>
    </row>
    <row r="112" spans="1:2" x14ac:dyDescent="0.35">
      <c r="A112" s="182">
        <f t="shared" si="8"/>
        <v>0</v>
      </c>
      <c r="B112" s="78" t="str">
        <f t="shared" si="7"/>
        <v>0</v>
      </c>
    </row>
    <row r="113" spans="1:2" x14ac:dyDescent="0.35">
      <c r="A113" s="182">
        <f t="shared" si="8"/>
        <v>0</v>
      </c>
      <c r="B113" s="78" t="str">
        <f t="shared" si="7"/>
        <v>0</v>
      </c>
    </row>
    <row r="114" spans="1:2" x14ac:dyDescent="0.35">
      <c r="A114" s="182">
        <f t="shared" si="8"/>
        <v>0</v>
      </c>
      <c r="B114" s="78" t="str">
        <f t="shared" si="7"/>
        <v>0</v>
      </c>
    </row>
    <row r="115" spans="1:2" x14ac:dyDescent="0.35">
      <c r="A115" s="182">
        <f t="shared" si="8"/>
        <v>0</v>
      </c>
      <c r="B115" s="78" t="str">
        <f t="shared" si="7"/>
        <v>0</v>
      </c>
    </row>
    <row r="116" spans="1:2" x14ac:dyDescent="0.35">
      <c r="A116" s="182">
        <f t="shared" si="8"/>
        <v>0</v>
      </c>
      <c r="B116" s="78" t="str">
        <f t="shared" si="7"/>
        <v>0</v>
      </c>
    </row>
    <row r="117" spans="1:2" x14ac:dyDescent="0.35">
      <c r="A117" s="182">
        <f t="shared" si="8"/>
        <v>0</v>
      </c>
      <c r="B117" s="78" t="str">
        <f t="shared" si="7"/>
        <v>0</v>
      </c>
    </row>
    <row r="118" spans="1:2" x14ac:dyDescent="0.35">
      <c r="A118" s="182">
        <f t="shared" si="8"/>
        <v>0</v>
      </c>
      <c r="B118" s="78" t="str">
        <f t="shared" si="7"/>
        <v>0</v>
      </c>
    </row>
    <row r="119" spans="1:2" x14ac:dyDescent="0.35">
      <c r="A119" s="182">
        <f t="shared" si="8"/>
        <v>0</v>
      </c>
      <c r="B119" s="78" t="str">
        <f t="shared" si="7"/>
        <v>0</v>
      </c>
    </row>
    <row r="120" spans="1:2" x14ac:dyDescent="0.35">
      <c r="A120" s="182">
        <f t="shared" si="8"/>
        <v>0</v>
      </c>
      <c r="B120" s="78" t="str">
        <f t="shared" si="7"/>
        <v>0</v>
      </c>
    </row>
    <row r="121" spans="1:2" x14ac:dyDescent="0.35">
      <c r="A121" s="182">
        <f t="shared" si="8"/>
        <v>0</v>
      </c>
      <c r="B121" s="78" t="str">
        <f t="shared" si="7"/>
        <v>0</v>
      </c>
    </row>
    <row r="122" spans="1:2" x14ac:dyDescent="0.35">
      <c r="A122" s="182">
        <f t="shared" si="8"/>
        <v>0</v>
      </c>
      <c r="B122" s="78" t="str">
        <f t="shared" si="7"/>
        <v>0</v>
      </c>
    </row>
    <row r="123" spans="1:2" x14ac:dyDescent="0.35">
      <c r="A123" s="182">
        <f t="shared" si="8"/>
        <v>0</v>
      </c>
      <c r="B123" s="78" t="str">
        <f t="shared" si="7"/>
        <v>0</v>
      </c>
    </row>
    <row r="124" spans="1:2" x14ac:dyDescent="0.35">
      <c r="A124" s="182">
        <f t="shared" si="8"/>
        <v>0</v>
      </c>
      <c r="B124" s="78" t="str">
        <f t="shared" si="7"/>
        <v>0</v>
      </c>
    </row>
    <row r="125" spans="1:2" x14ac:dyDescent="0.35">
      <c r="A125" s="182">
        <f t="shared" si="8"/>
        <v>0</v>
      </c>
      <c r="B125" s="78" t="str">
        <f t="shared" si="7"/>
        <v>0</v>
      </c>
    </row>
    <row r="126" spans="1:2" x14ac:dyDescent="0.35">
      <c r="A126" s="182">
        <f t="shared" si="8"/>
        <v>0</v>
      </c>
      <c r="B126" s="78" t="str">
        <f t="shared" si="7"/>
        <v>0</v>
      </c>
    </row>
    <row r="127" spans="1:2" x14ac:dyDescent="0.35">
      <c r="A127" s="182">
        <f t="shared" si="8"/>
        <v>0</v>
      </c>
      <c r="B127" s="78" t="str">
        <f t="shared" si="7"/>
        <v>0</v>
      </c>
    </row>
    <row r="128" spans="1:2" x14ac:dyDescent="0.35">
      <c r="A128" s="182">
        <f t="shared" si="8"/>
        <v>0</v>
      </c>
      <c r="B128" s="78" t="str">
        <f t="shared" si="7"/>
        <v>0</v>
      </c>
    </row>
    <row r="129" spans="1:2" x14ac:dyDescent="0.35">
      <c r="A129" s="182">
        <f t="shared" si="8"/>
        <v>0</v>
      </c>
      <c r="B129" s="78" t="str">
        <f t="shared" si="7"/>
        <v>0</v>
      </c>
    </row>
    <row r="130" spans="1:2" x14ac:dyDescent="0.35">
      <c r="A130" s="182">
        <f t="shared" si="8"/>
        <v>0</v>
      </c>
      <c r="B130" s="78" t="str">
        <f t="shared" si="7"/>
        <v>0</v>
      </c>
    </row>
    <row r="131" spans="1:2" x14ac:dyDescent="0.35">
      <c r="A131" s="182">
        <f t="shared" si="8"/>
        <v>0</v>
      </c>
      <c r="B131" s="78" t="str">
        <f t="shared" si="7"/>
        <v>0</v>
      </c>
    </row>
    <row r="132" spans="1:2" x14ac:dyDescent="0.35">
      <c r="A132" s="182">
        <f t="shared" si="8"/>
        <v>0</v>
      </c>
      <c r="B132" s="78" t="str">
        <f t="shared" si="7"/>
        <v>0</v>
      </c>
    </row>
    <row r="133" spans="1:2" x14ac:dyDescent="0.35">
      <c r="A133" s="182">
        <f t="shared" si="8"/>
        <v>0</v>
      </c>
      <c r="B133" s="78" t="str">
        <f t="shared" si="7"/>
        <v>0</v>
      </c>
    </row>
    <row r="134" spans="1:2" x14ac:dyDescent="0.35">
      <c r="A134" s="182">
        <f t="shared" si="8"/>
        <v>0</v>
      </c>
      <c r="B134" s="78" t="str">
        <f t="shared" si="7"/>
        <v>0</v>
      </c>
    </row>
    <row r="135" spans="1:2" x14ac:dyDescent="0.35">
      <c r="A135" s="182">
        <f t="shared" si="8"/>
        <v>0</v>
      </c>
      <c r="B135" s="78" t="str">
        <f t="shared" ref="B135:B175" si="9">CONCATENATE(A135,C135)</f>
        <v>0</v>
      </c>
    </row>
    <row r="136" spans="1:2" x14ac:dyDescent="0.35">
      <c r="A136" s="182">
        <f t="shared" si="8"/>
        <v>0</v>
      </c>
      <c r="B136" s="78" t="str">
        <f t="shared" si="9"/>
        <v>0</v>
      </c>
    </row>
    <row r="137" spans="1:2" x14ac:dyDescent="0.35">
      <c r="A137" s="182">
        <f t="shared" si="8"/>
        <v>0</v>
      </c>
      <c r="B137" s="78" t="str">
        <f t="shared" si="9"/>
        <v>0</v>
      </c>
    </row>
    <row r="138" spans="1:2" x14ac:dyDescent="0.35">
      <c r="A138" s="182">
        <f t="shared" si="8"/>
        <v>0</v>
      </c>
      <c r="B138" s="78" t="str">
        <f t="shared" si="9"/>
        <v>0</v>
      </c>
    </row>
    <row r="139" spans="1:2" x14ac:dyDescent="0.35">
      <c r="A139" s="182">
        <f t="shared" si="8"/>
        <v>0</v>
      </c>
      <c r="B139" s="78" t="str">
        <f t="shared" si="9"/>
        <v>0</v>
      </c>
    </row>
    <row r="140" spans="1:2" x14ac:dyDescent="0.35">
      <c r="A140" s="182">
        <f t="shared" si="8"/>
        <v>0</v>
      </c>
      <c r="B140" s="78" t="str">
        <f t="shared" si="9"/>
        <v>0</v>
      </c>
    </row>
    <row r="141" spans="1:2" x14ac:dyDescent="0.35">
      <c r="A141" s="182">
        <f t="shared" si="8"/>
        <v>0</v>
      </c>
      <c r="B141" s="78" t="str">
        <f t="shared" si="9"/>
        <v>0</v>
      </c>
    </row>
    <row r="142" spans="1:2" x14ac:dyDescent="0.35">
      <c r="A142" s="182">
        <f t="shared" si="8"/>
        <v>0</v>
      </c>
      <c r="B142" s="78" t="str">
        <f t="shared" si="9"/>
        <v>0</v>
      </c>
    </row>
    <row r="143" spans="1:2" x14ac:dyDescent="0.35">
      <c r="A143" s="182">
        <f t="shared" si="8"/>
        <v>0</v>
      </c>
      <c r="B143" s="78" t="str">
        <f t="shared" si="9"/>
        <v>0</v>
      </c>
    </row>
    <row r="144" spans="1:2" x14ac:dyDescent="0.35">
      <c r="A144" s="182">
        <f t="shared" si="8"/>
        <v>0</v>
      </c>
      <c r="B144" s="78" t="str">
        <f t="shared" si="9"/>
        <v>0</v>
      </c>
    </row>
    <row r="145" spans="1:2" x14ac:dyDescent="0.35">
      <c r="A145" s="182">
        <f t="shared" si="8"/>
        <v>0</v>
      </c>
      <c r="B145" s="78" t="str">
        <f t="shared" si="9"/>
        <v>0</v>
      </c>
    </row>
    <row r="146" spans="1:2" x14ac:dyDescent="0.35">
      <c r="A146" s="182">
        <f t="shared" si="8"/>
        <v>0</v>
      </c>
      <c r="B146" s="78" t="str">
        <f t="shared" si="9"/>
        <v>0</v>
      </c>
    </row>
    <row r="147" spans="1:2" x14ac:dyDescent="0.35">
      <c r="A147" s="182">
        <f t="shared" si="8"/>
        <v>0</v>
      </c>
      <c r="B147" s="78" t="str">
        <f t="shared" si="9"/>
        <v>0</v>
      </c>
    </row>
    <row r="148" spans="1:2" x14ac:dyDescent="0.35">
      <c r="A148" s="182">
        <f t="shared" si="8"/>
        <v>0</v>
      </c>
      <c r="B148" s="78" t="str">
        <f t="shared" si="9"/>
        <v>0</v>
      </c>
    </row>
    <row r="149" spans="1:2" x14ac:dyDescent="0.35">
      <c r="A149" s="182">
        <f t="shared" si="8"/>
        <v>0</v>
      </c>
      <c r="B149" s="78" t="str">
        <f t="shared" si="9"/>
        <v>0</v>
      </c>
    </row>
    <row r="150" spans="1:2" x14ac:dyDescent="0.35">
      <c r="A150" s="182">
        <f t="shared" si="8"/>
        <v>0</v>
      </c>
      <c r="B150" s="78" t="str">
        <f t="shared" si="9"/>
        <v>0</v>
      </c>
    </row>
    <row r="151" spans="1:2" x14ac:dyDescent="0.35">
      <c r="A151" s="182">
        <f t="shared" si="8"/>
        <v>0</v>
      </c>
      <c r="B151" s="78" t="str">
        <f t="shared" si="9"/>
        <v>0</v>
      </c>
    </row>
    <row r="152" spans="1:2" x14ac:dyDescent="0.35">
      <c r="A152" s="182">
        <f t="shared" si="8"/>
        <v>0</v>
      </c>
      <c r="B152" s="78" t="str">
        <f t="shared" si="9"/>
        <v>0</v>
      </c>
    </row>
    <row r="153" spans="1:2" x14ac:dyDescent="0.35">
      <c r="A153" s="182">
        <f t="shared" si="8"/>
        <v>0</v>
      </c>
      <c r="B153" s="78" t="str">
        <f t="shared" si="9"/>
        <v>0</v>
      </c>
    </row>
    <row r="154" spans="1:2" x14ac:dyDescent="0.35">
      <c r="A154" s="182">
        <f t="shared" si="8"/>
        <v>0</v>
      </c>
      <c r="B154" s="78" t="str">
        <f t="shared" si="9"/>
        <v>0</v>
      </c>
    </row>
    <row r="155" spans="1:2" x14ac:dyDescent="0.35">
      <c r="A155" s="182">
        <f t="shared" si="8"/>
        <v>0</v>
      </c>
      <c r="B155" s="78" t="str">
        <f t="shared" si="9"/>
        <v>0</v>
      </c>
    </row>
    <row r="156" spans="1:2" x14ac:dyDescent="0.35">
      <c r="A156" s="182">
        <f t="shared" si="8"/>
        <v>0</v>
      </c>
      <c r="B156" s="78" t="str">
        <f t="shared" si="9"/>
        <v>0</v>
      </c>
    </row>
    <row r="157" spans="1:2" x14ac:dyDescent="0.35">
      <c r="A157" s="182">
        <f t="shared" ref="A157:A175" si="10">F157</f>
        <v>0</v>
      </c>
      <c r="B157" s="78" t="str">
        <f t="shared" si="9"/>
        <v>0</v>
      </c>
    </row>
    <row r="158" spans="1:2" x14ac:dyDescent="0.35">
      <c r="A158" s="182">
        <f t="shared" si="10"/>
        <v>0</v>
      </c>
      <c r="B158" s="78" t="str">
        <f t="shared" si="9"/>
        <v>0</v>
      </c>
    </row>
    <row r="159" spans="1:2" x14ac:dyDescent="0.35">
      <c r="A159" s="182">
        <f t="shared" si="10"/>
        <v>0</v>
      </c>
      <c r="B159" s="78" t="str">
        <f t="shared" si="9"/>
        <v>0</v>
      </c>
    </row>
    <row r="160" spans="1:2" x14ac:dyDescent="0.35">
      <c r="A160" s="182">
        <f t="shared" si="10"/>
        <v>0</v>
      </c>
      <c r="B160" s="78" t="str">
        <f t="shared" si="9"/>
        <v>0</v>
      </c>
    </row>
    <row r="161" spans="1:2" x14ac:dyDescent="0.35">
      <c r="A161" s="182">
        <f t="shared" si="10"/>
        <v>0</v>
      </c>
      <c r="B161" s="78" t="str">
        <f t="shared" si="9"/>
        <v>0</v>
      </c>
    </row>
    <row r="162" spans="1:2" x14ac:dyDescent="0.35">
      <c r="A162" s="182">
        <f t="shared" si="10"/>
        <v>0</v>
      </c>
      <c r="B162" s="78" t="str">
        <f t="shared" si="9"/>
        <v>0</v>
      </c>
    </row>
    <row r="163" spans="1:2" x14ac:dyDescent="0.35">
      <c r="A163" s="182">
        <f t="shared" si="10"/>
        <v>0</v>
      </c>
      <c r="B163" s="78" t="str">
        <f t="shared" si="9"/>
        <v>0</v>
      </c>
    </row>
    <row r="164" spans="1:2" x14ac:dyDescent="0.35">
      <c r="A164" s="182">
        <f t="shared" si="10"/>
        <v>0</v>
      </c>
      <c r="B164" s="78" t="str">
        <f t="shared" si="9"/>
        <v>0</v>
      </c>
    </row>
    <row r="165" spans="1:2" x14ac:dyDescent="0.35">
      <c r="A165" s="182">
        <f t="shared" si="10"/>
        <v>0</v>
      </c>
      <c r="B165" s="78" t="str">
        <f t="shared" si="9"/>
        <v>0</v>
      </c>
    </row>
    <row r="166" spans="1:2" x14ac:dyDescent="0.35">
      <c r="A166" s="182">
        <f t="shared" si="10"/>
        <v>0</v>
      </c>
      <c r="B166" s="78" t="str">
        <f t="shared" si="9"/>
        <v>0</v>
      </c>
    </row>
    <row r="167" spans="1:2" x14ac:dyDescent="0.35">
      <c r="A167" s="182">
        <f t="shared" si="10"/>
        <v>0</v>
      </c>
      <c r="B167" s="78" t="str">
        <f t="shared" si="9"/>
        <v>0</v>
      </c>
    </row>
    <row r="168" spans="1:2" x14ac:dyDescent="0.35">
      <c r="A168" s="182">
        <f t="shared" si="10"/>
        <v>0</v>
      </c>
      <c r="B168" s="78" t="str">
        <f t="shared" si="9"/>
        <v>0</v>
      </c>
    </row>
    <row r="169" spans="1:2" x14ac:dyDescent="0.35">
      <c r="A169" s="182">
        <f t="shared" si="10"/>
        <v>0</v>
      </c>
      <c r="B169" s="78" t="str">
        <f t="shared" si="9"/>
        <v>0</v>
      </c>
    </row>
    <row r="170" spans="1:2" x14ac:dyDescent="0.35">
      <c r="A170" s="182">
        <f t="shared" si="10"/>
        <v>0</v>
      </c>
      <c r="B170" s="78" t="str">
        <f t="shared" si="9"/>
        <v>0</v>
      </c>
    </row>
    <row r="171" spans="1:2" x14ac:dyDescent="0.35">
      <c r="A171" s="182">
        <f t="shared" si="10"/>
        <v>0</v>
      </c>
      <c r="B171" s="78" t="str">
        <f t="shared" si="9"/>
        <v>0</v>
      </c>
    </row>
    <row r="172" spans="1:2" x14ac:dyDescent="0.35">
      <c r="A172" s="182">
        <f t="shared" si="10"/>
        <v>0</v>
      </c>
      <c r="B172" s="78" t="str">
        <f t="shared" si="9"/>
        <v>0</v>
      </c>
    </row>
    <row r="173" spans="1:2" x14ac:dyDescent="0.35">
      <c r="A173" s="182">
        <f t="shared" si="10"/>
        <v>0</v>
      </c>
      <c r="B173" s="78" t="str">
        <f t="shared" si="9"/>
        <v>0</v>
      </c>
    </row>
    <row r="174" spans="1:2" x14ac:dyDescent="0.35">
      <c r="A174" s="182">
        <f t="shared" si="10"/>
        <v>0</v>
      </c>
      <c r="B174" s="78" t="str">
        <f t="shared" si="9"/>
        <v>0</v>
      </c>
    </row>
    <row r="175" spans="1:2" x14ac:dyDescent="0.35">
      <c r="A175" s="182">
        <f t="shared" si="10"/>
        <v>0</v>
      </c>
      <c r="B175" s="78" t="str">
        <f t="shared" si="9"/>
        <v>0</v>
      </c>
    </row>
  </sheetData>
  <mergeCells count="23">
    <mergeCell ref="C24:C25"/>
    <mergeCell ref="E24:E25"/>
    <mergeCell ref="E35:E38"/>
    <mergeCell ref="C83:K83"/>
    <mergeCell ref="C57:K57"/>
    <mergeCell ref="C65:K65"/>
    <mergeCell ref="C39:K39"/>
    <mergeCell ref="C2:K2"/>
    <mergeCell ref="C32:K32"/>
    <mergeCell ref="E3:K3"/>
    <mergeCell ref="K8:K10"/>
    <mergeCell ref="K11:K16"/>
    <mergeCell ref="K23:K25"/>
    <mergeCell ref="E11:E16"/>
    <mergeCell ref="C4:K4"/>
    <mergeCell ref="C3:D3"/>
    <mergeCell ref="C11:C12"/>
    <mergeCell ref="C13:C14"/>
    <mergeCell ref="C15:C16"/>
    <mergeCell ref="E19:E20"/>
    <mergeCell ref="C19:C20"/>
    <mergeCell ref="C21:C22"/>
    <mergeCell ref="E21:E22"/>
  </mergeCells>
  <conditionalFormatting sqref="D1:D2 D64 D90:D1048576 D57 D83 D6:D14 D16:D32 D37:D38">
    <cfRule type="containsText" dxfId="119" priority="66" operator="containsText" text="Activity">
      <formula>NOT(ISERROR(SEARCH("Activity",D1)))</formula>
    </cfRule>
    <cfRule type="containsText" dxfId="118" priority="67" operator="containsText" text="STO">
      <formula>NOT(ISERROR(SEARCH("STO",D1)))</formula>
    </cfRule>
    <cfRule type="containsText" dxfId="117" priority="68" operator="containsText" text="MTO">
      <formula>NOT(ISERROR(SEARCH("MTO",D1)))</formula>
    </cfRule>
  </conditionalFormatting>
  <conditionalFormatting sqref="D1:D2 D64 D90:D1048576 D57 D83 D6:D14 D16:D32 D37:D38">
    <cfRule type="containsText" dxfId="116" priority="65" operator="containsText" text="Global Indicator">
      <formula>NOT(ISERROR(SEARCH("Global Indicator",D1)))</formula>
    </cfRule>
  </conditionalFormatting>
  <conditionalFormatting sqref="D39">
    <cfRule type="containsText" dxfId="115" priority="58" operator="containsText" text="Activity">
      <formula>NOT(ISERROR(SEARCH("Activity",D39)))</formula>
    </cfRule>
    <cfRule type="containsText" dxfId="114" priority="59" operator="containsText" text="STO">
      <formula>NOT(ISERROR(SEARCH("STO",D39)))</formula>
    </cfRule>
    <cfRule type="containsText" dxfId="113" priority="60" operator="containsText" text="MTO">
      <formula>NOT(ISERROR(SEARCH("MTO",D39)))</formula>
    </cfRule>
  </conditionalFormatting>
  <conditionalFormatting sqref="D39">
    <cfRule type="containsText" dxfId="112" priority="57" operator="containsText" text="Global Indicator">
      <formula>NOT(ISERROR(SEARCH("Global Indicator",D39)))</formula>
    </cfRule>
  </conditionalFormatting>
  <conditionalFormatting sqref="D65">
    <cfRule type="containsText" dxfId="111" priority="54" operator="containsText" text="Activity">
      <formula>NOT(ISERROR(SEARCH("Activity",D65)))</formula>
    </cfRule>
    <cfRule type="containsText" dxfId="110" priority="55" operator="containsText" text="STO">
      <formula>NOT(ISERROR(SEARCH("STO",D65)))</formula>
    </cfRule>
    <cfRule type="containsText" dxfId="109" priority="56" operator="containsText" text="MTO">
      <formula>NOT(ISERROR(SEARCH("MTO",D65)))</formula>
    </cfRule>
  </conditionalFormatting>
  <conditionalFormatting sqref="D65">
    <cfRule type="containsText" dxfId="108" priority="53" operator="containsText" text="Global Indicator">
      <formula>NOT(ISERROR(SEARCH("Global Indicator",D65)))</formula>
    </cfRule>
  </conditionalFormatting>
  <conditionalFormatting sqref="D45:D56">
    <cfRule type="containsText" dxfId="107" priority="38" operator="containsText" text="Activity">
      <formula>NOT(ISERROR(SEARCH("Activity",D45)))</formula>
    </cfRule>
    <cfRule type="containsText" dxfId="106" priority="39" operator="containsText" text="STO">
      <formula>NOT(ISERROR(SEARCH("STO",D45)))</formula>
    </cfRule>
    <cfRule type="containsText" dxfId="105" priority="40" operator="containsText" text="MTO">
      <formula>NOT(ISERROR(SEARCH("MTO",D45)))</formula>
    </cfRule>
  </conditionalFormatting>
  <conditionalFormatting sqref="D45:D56">
    <cfRule type="containsText" dxfId="104" priority="37" operator="containsText" text="Global Indicator">
      <formula>NOT(ISERROR(SEARCH("Global Indicator",D45)))</formula>
    </cfRule>
  </conditionalFormatting>
  <conditionalFormatting sqref="D69:D82">
    <cfRule type="containsText" dxfId="103" priority="34" operator="containsText" text="Activity">
      <formula>NOT(ISERROR(SEARCH("Activity",D69)))</formula>
    </cfRule>
    <cfRule type="containsText" dxfId="102" priority="35" operator="containsText" text="STO">
      <formula>NOT(ISERROR(SEARCH("STO",D69)))</formula>
    </cfRule>
    <cfRule type="containsText" dxfId="101" priority="36" operator="containsText" text="MTO">
      <formula>NOT(ISERROR(SEARCH("MTO",D69)))</formula>
    </cfRule>
  </conditionalFormatting>
  <conditionalFormatting sqref="D69:D82">
    <cfRule type="containsText" dxfId="100" priority="33" operator="containsText" text="Global Indicator">
      <formula>NOT(ISERROR(SEARCH("Global Indicator",D69)))</formula>
    </cfRule>
  </conditionalFormatting>
  <conditionalFormatting sqref="D33">
    <cfRule type="containsText" dxfId="99" priority="26" operator="containsText" text="Activity">
      <formula>NOT(ISERROR(SEARCH("Activity",D33)))</formula>
    </cfRule>
    <cfRule type="containsText" dxfId="98" priority="27" operator="containsText" text="STO">
      <formula>NOT(ISERROR(SEARCH("STO",D33)))</formula>
    </cfRule>
    <cfRule type="containsText" dxfId="97" priority="28" operator="containsText" text="MTO">
      <formula>NOT(ISERROR(SEARCH("MTO",D33)))</formula>
    </cfRule>
  </conditionalFormatting>
  <conditionalFormatting sqref="D33">
    <cfRule type="containsText" dxfId="96" priority="25" operator="containsText" text="Global Indicator">
      <formula>NOT(ISERROR(SEARCH("Global Indicator",D33)))</formula>
    </cfRule>
  </conditionalFormatting>
  <conditionalFormatting sqref="D40:D44">
    <cfRule type="containsText" dxfId="95" priority="22" operator="containsText" text="Activity">
      <formula>NOT(ISERROR(SEARCH("Activity",D40)))</formula>
    </cfRule>
    <cfRule type="containsText" dxfId="94" priority="23" operator="containsText" text="STO">
      <formula>NOT(ISERROR(SEARCH("STO",D40)))</formula>
    </cfRule>
    <cfRule type="containsText" dxfId="93" priority="24" operator="containsText" text="MTO">
      <formula>NOT(ISERROR(SEARCH("MTO",D40)))</formula>
    </cfRule>
  </conditionalFormatting>
  <conditionalFormatting sqref="D40:D44">
    <cfRule type="containsText" dxfId="92" priority="21" operator="containsText" text="Global Indicator">
      <formula>NOT(ISERROR(SEARCH("Global Indicator",D40)))</formula>
    </cfRule>
  </conditionalFormatting>
  <conditionalFormatting sqref="D58:D63">
    <cfRule type="containsText" dxfId="91" priority="18" operator="containsText" text="Activity">
      <formula>NOT(ISERROR(SEARCH("Activity",D58)))</formula>
    </cfRule>
    <cfRule type="containsText" dxfId="90" priority="19" operator="containsText" text="STO">
      <formula>NOT(ISERROR(SEARCH("STO",D58)))</formula>
    </cfRule>
    <cfRule type="containsText" dxfId="89" priority="20" operator="containsText" text="MTO">
      <formula>NOT(ISERROR(SEARCH("MTO",D58)))</formula>
    </cfRule>
  </conditionalFormatting>
  <conditionalFormatting sqref="D58:D63">
    <cfRule type="containsText" dxfId="88" priority="17" operator="containsText" text="Global Indicator">
      <formula>NOT(ISERROR(SEARCH("Global Indicator",D58)))</formula>
    </cfRule>
  </conditionalFormatting>
  <conditionalFormatting sqref="D66:D68">
    <cfRule type="containsText" dxfId="87" priority="14" operator="containsText" text="Activity">
      <formula>NOT(ISERROR(SEARCH("Activity",D66)))</formula>
    </cfRule>
    <cfRule type="containsText" dxfId="86" priority="15" operator="containsText" text="STO">
      <formula>NOT(ISERROR(SEARCH("STO",D66)))</formula>
    </cfRule>
    <cfRule type="containsText" dxfId="85" priority="16" operator="containsText" text="MTO">
      <formula>NOT(ISERROR(SEARCH("MTO",D66)))</formula>
    </cfRule>
  </conditionalFormatting>
  <conditionalFormatting sqref="D66:D68">
    <cfRule type="containsText" dxfId="84" priority="13" operator="containsText" text="Global Indicator">
      <formula>NOT(ISERROR(SEARCH("Global Indicator",D66)))</formula>
    </cfRule>
  </conditionalFormatting>
  <conditionalFormatting sqref="D84:D89">
    <cfRule type="containsText" dxfId="83" priority="10" operator="containsText" text="Activity">
      <formula>NOT(ISERROR(SEARCH("Activity",D84)))</formula>
    </cfRule>
    <cfRule type="containsText" dxfId="82" priority="11" operator="containsText" text="STO">
      <formula>NOT(ISERROR(SEARCH("STO",D84)))</formula>
    </cfRule>
    <cfRule type="containsText" dxfId="81" priority="12" operator="containsText" text="MTO">
      <formula>NOT(ISERROR(SEARCH("MTO",D84)))</formula>
    </cfRule>
  </conditionalFormatting>
  <conditionalFormatting sqref="D84:D89">
    <cfRule type="containsText" dxfId="80" priority="9" operator="containsText" text="Global Indicator">
      <formula>NOT(ISERROR(SEARCH("Global Indicator",D84)))</formula>
    </cfRule>
  </conditionalFormatting>
  <conditionalFormatting sqref="D34:D36">
    <cfRule type="containsText" dxfId="79" priority="6" operator="containsText" text="Activity">
      <formula>NOT(ISERROR(SEARCH("Activity",D34)))</formula>
    </cfRule>
    <cfRule type="containsText" dxfId="78" priority="7" operator="containsText" text="STO">
      <formula>NOT(ISERROR(SEARCH("STO",D34)))</formula>
    </cfRule>
    <cfRule type="containsText" dxfId="77" priority="8" operator="containsText" text="MTO">
      <formula>NOT(ISERROR(SEARCH("MTO",D34)))</formula>
    </cfRule>
  </conditionalFormatting>
  <conditionalFormatting sqref="D34:D36">
    <cfRule type="containsText" dxfId="76" priority="5" operator="containsText" text="Global Indicator">
      <formula>NOT(ISERROR(SEARCH("Global Indicator",D34)))</formula>
    </cfRule>
  </conditionalFormatting>
  <conditionalFormatting sqref="D15">
    <cfRule type="containsText" dxfId="75" priority="2" operator="containsText" text="Activity">
      <formula>NOT(ISERROR(SEARCH("Activity",D15)))</formula>
    </cfRule>
    <cfRule type="containsText" dxfId="74" priority="3" operator="containsText" text="STO">
      <formula>NOT(ISERROR(SEARCH("STO",D15)))</formula>
    </cfRule>
    <cfRule type="containsText" dxfId="73" priority="4" operator="containsText" text="MTO">
      <formula>NOT(ISERROR(SEARCH("MTO",D15)))</formula>
    </cfRule>
  </conditionalFormatting>
  <conditionalFormatting sqref="D15">
    <cfRule type="containsText" dxfId="72" priority="1" operator="containsText" text="Global Indicator">
      <formula>NOT(ISERROR(SEARCH("Global Indicator",D15)))</formula>
    </cfRule>
  </conditionalFormatting>
  <pageMargins left="0.7" right="0.7" top="0.75" bottom="0.75" header="0.3" footer="0.3"/>
  <pageSetup orientation="portrait" r:id="rId1"/>
  <drawing r:id="rId2"/>
  <legacyDrawing r:id="rId3"/>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0000000}">
          <x14:formula1>
            <xm:f>Logframe!$W$6:$W$10</xm:f>
          </x14:formula1>
          <xm:sqref>D69:D82</xm:sqref>
        </x14:dataValidation>
        <x14:dataValidation type="list" allowBlank="1" showInputMessage="1" showErrorMessage="1" xr:uid="{00000000-0002-0000-0100-000001000000}">
          <x14:formula1>
            <xm:f>Logframe!$W$5:$W$9</xm:f>
          </x14:formula1>
          <xm:sqref>D6:D31 D84:D89 D40:D44 D58:D63 D66:D68 D33:D38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theme="0" tint="-0.249977111117893"/>
  </sheetPr>
  <dimension ref="A2:I20"/>
  <sheetViews>
    <sheetView topLeftCell="F1" zoomScale="90" zoomScaleNormal="90" workbookViewId="0">
      <selection activeCell="G11" sqref="G11"/>
    </sheetView>
  </sheetViews>
  <sheetFormatPr defaultColWidth="9.1796875" defaultRowHeight="14.5" x14ac:dyDescent="0.35"/>
  <cols>
    <col min="1" max="1" width="16" style="22" customWidth="1"/>
    <col min="2" max="2" width="48.453125" style="242" customWidth="1"/>
    <col min="3" max="5" width="17" style="242" customWidth="1"/>
    <col min="6" max="8" width="16.7265625" style="242" customWidth="1"/>
    <col min="9" max="9" width="46.81640625" style="242" customWidth="1"/>
    <col min="10" max="16384" width="9.1796875" style="22"/>
  </cols>
  <sheetData>
    <row r="2" spans="1:9" ht="15" thickBot="1" x14ac:dyDescent="0.4"/>
    <row r="3" spans="1:9" ht="93" thickBot="1" x14ac:dyDescent="0.4">
      <c r="A3" s="228" t="s">
        <v>527</v>
      </c>
      <c r="B3" s="229" t="s">
        <v>129</v>
      </c>
      <c r="C3" s="840" t="s">
        <v>2159</v>
      </c>
      <c r="D3" s="839" t="s">
        <v>2163</v>
      </c>
      <c r="E3" s="837" t="s">
        <v>143</v>
      </c>
      <c r="F3" s="840" t="s">
        <v>2160</v>
      </c>
      <c r="G3" s="839" t="s">
        <v>2161</v>
      </c>
      <c r="H3" s="837" t="s">
        <v>146</v>
      </c>
      <c r="I3" s="229" t="s">
        <v>147</v>
      </c>
    </row>
    <row r="4" spans="1:9" ht="43.5" x14ac:dyDescent="0.35">
      <c r="A4" s="230" t="s">
        <v>350</v>
      </c>
      <c r="B4" s="231" t="s">
        <v>351</v>
      </c>
      <c r="C4" s="1058">
        <v>610</v>
      </c>
      <c r="D4" s="1059">
        <v>340</v>
      </c>
      <c r="E4" s="1060">
        <f>SUM(Table18[[#This Row],[Actual FEMALE unique beneficiaries per activity]:[Actual MALE unique beneficiaries per activity]])</f>
        <v>950</v>
      </c>
      <c r="F4" s="1046">
        <f>Table18[[#This Row],[Actual FEMALE unique beneficiaries per activity]]</f>
        <v>610</v>
      </c>
      <c r="G4" s="1047">
        <f>Table18[[#This Row],[Actual MALE unique beneficiaries per activity]]</f>
        <v>340</v>
      </c>
      <c r="H4" s="1019">
        <f>SUM(Table18[[#This Row],[Actual FEMALE unique beneficiares per project]:[Actual MALE unique beneficiaries per project]])</f>
        <v>950</v>
      </c>
      <c r="I4" s="995" t="s">
        <v>2162</v>
      </c>
    </row>
    <row r="5" spans="1:9" ht="29" x14ac:dyDescent="0.35">
      <c r="A5" s="230" t="s">
        <v>353</v>
      </c>
      <c r="B5" s="231" t="s">
        <v>354</v>
      </c>
      <c r="C5" s="1055">
        <v>1500</v>
      </c>
      <c r="D5" s="1056">
        <v>1000</v>
      </c>
      <c r="E5" s="1002">
        <f>SUM(Table18[[#This Row],[Actual FEMALE unique beneficiaries per activity]:[Actual MALE unique beneficiaries per activity]])</f>
        <v>2500</v>
      </c>
      <c r="F5" s="1046">
        <f>Table18[[#This Row],[Actual FEMALE unique beneficiaries per activity]]-F4</f>
        <v>890</v>
      </c>
      <c r="G5" s="1047">
        <f>Table18[[#This Row],[Actual MALE unique beneficiaries per activity]]-G4</f>
        <v>660</v>
      </c>
      <c r="H5" s="1019">
        <f>SUM(Table18[[#This Row],[Actual FEMALE unique beneficiares per project]:[Actual MALE unique beneficiaries per project]])</f>
        <v>1550</v>
      </c>
      <c r="I5" s="995" t="s">
        <v>2180</v>
      </c>
    </row>
    <row r="6" spans="1:9" ht="43.5" x14ac:dyDescent="0.35">
      <c r="A6" s="1049" t="s">
        <v>1220</v>
      </c>
      <c r="B6" s="1051" t="s">
        <v>2181</v>
      </c>
      <c r="C6" s="1046">
        <v>475</v>
      </c>
      <c r="D6" s="1047">
        <v>0</v>
      </c>
      <c r="E6" s="1002">
        <f>SUM(Table18[[#This Row],[Actual FEMALE unique beneficiaries per activity]:[Actual MALE unique beneficiaries per activity]])</f>
        <v>475</v>
      </c>
      <c r="F6" s="1046">
        <f>Table18[[#This Row],[Actual FEMALE unique beneficiaries per activity]]</f>
        <v>475</v>
      </c>
      <c r="G6" s="1047">
        <f>Table18[[#This Row],[Actual MALE unique beneficiaries per activity]]</f>
        <v>0</v>
      </c>
      <c r="H6" s="1019">
        <f>SUM(Table18[[#This Row],[Actual FEMALE unique beneficiares per project]:[Actual MALE unique beneficiaries per project]])</f>
        <v>475</v>
      </c>
      <c r="I6" s="1045" t="s">
        <v>2182</v>
      </c>
    </row>
    <row r="7" spans="1:9" ht="43.5" x14ac:dyDescent="0.35">
      <c r="A7" s="1049" t="s">
        <v>1227</v>
      </c>
      <c r="B7" s="1051" t="s">
        <v>1229</v>
      </c>
      <c r="C7" s="1046">
        <v>1250</v>
      </c>
      <c r="D7" s="1047">
        <v>0</v>
      </c>
      <c r="E7" s="1002">
        <f>SUM(Table18[[#This Row],[Actual FEMALE unique beneficiaries per activity]:[Actual MALE unique beneficiaries per activity]])</f>
        <v>1250</v>
      </c>
      <c r="F7" s="1046">
        <f>(Table18[[#This Row],[Actual FEMALE unique beneficiaries per activity]]-F6)</f>
        <v>775</v>
      </c>
      <c r="G7" s="1048">
        <f>Table18[[#This Row],[Actual MALE unique beneficiaries per activity]]</f>
        <v>0</v>
      </c>
      <c r="H7" s="1019">
        <f>SUM(Table18[[#This Row],[Actual FEMALE unique beneficiares per project]:[Actual MALE unique beneficiaries per project]])</f>
        <v>775</v>
      </c>
      <c r="I7" s="1050" t="s">
        <v>2183</v>
      </c>
    </row>
    <row r="8" spans="1:9" ht="37" x14ac:dyDescent="0.35">
      <c r="A8" s="233" t="s">
        <v>358</v>
      </c>
      <c r="B8" s="228" t="s">
        <v>2193</v>
      </c>
      <c r="C8" s="1003">
        <f>SUBTOTAL(109,H4:H7)</f>
        <v>3750</v>
      </c>
      <c r="D8" s="234"/>
      <c r="E8" s="1004"/>
      <c r="F8" s="1003"/>
      <c r="G8" s="234"/>
      <c r="H8" s="1004"/>
      <c r="I8" s="1052" t="s">
        <v>2184</v>
      </c>
    </row>
    <row r="9" spans="1:9" x14ac:dyDescent="0.35">
      <c r="A9" s="236"/>
      <c r="B9" s="236"/>
      <c r="C9" s="1005"/>
      <c r="D9" s="237"/>
      <c r="E9" s="1006"/>
      <c r="F9" s="1005"/>
      <c r="G9" s="237"/>
      <c r="H9" s="1006"/>
      <c r="I9" s="236"/>
    </row>
    <row r="10" spans="1:9" ht="29" x14ac:dyDescent="0.35">
      <c r="A10" s="230" t="s">
        <v>360</v>
      </c>
      <c r="B10" s="231" t="s">
        <v>361</v>
      </c>
      <c r="C10" s="1046">
        <v>1250</v>
      </c>
      <c r="D10" s="1047">
        <v>0</v>
      </c>
      <c r="E10" s="1007">
        <f>SUM(Table18[[#This Row],[Actual FEMALE unique beneficiaries per activity]:[Actual MALE unique beneficiaries per activity]])</f>
        <v>1250</v>
      </c>
      <c r="F10" s="1013">
        <f>Table18[[#This Row],[TOTAL unique beneficiaries per activity]]-C7</f>
        <v>0</v>
      </c>
      <c r="G10" s="232">
        <f>Table18[[#This Row],[Actual MALE unique beneficiaries per activity]]</f>
        <v>0</v>
      </c>
      <c r="H10" s="1014">
        <f>SUM(Table18[[#This Row],[Actual FEMALE unique beneficiares per project]:[Actual MALE unique beneficiaries per project]])</f>
        <v>0</v>
      </c>
      <c r="I10" s="996" t="s">
        <v>2191</v>
      </c>
    </row>
    <row r="11" spans="1:9" ht="29" x14ac:dyDescent="0.35">
      <c r="A11" s="230" t="s">
        <v>342</v>
      </c>
      <c r="B11" s="231" t="s">
        <v>363</v>
      </c>
      <c r="C11" s="1046">
        <v>1250</v>
      </c>
      <c r="D11" s="1047">
        <v>0</v>
      </c>
      <c r="E11" s="1019">
        <f>SUM(Table18[[#This Row],[Actual FEMALE unique beneficiaries per activity]:[Actual MALE unique beneficiaries per activity]])</f>
        <v>1250</v>
      </c>
      <c r="F11" s="1013">
        <f>Table18[[#This Row],[TOTAL unique beneficiaries per activity]]-C7</f>
        <v>0</v>
      </c>
      <c r="G11" s="232">
        <f>Table18[[#This Row],[Actual MALE unique beneficiaries per activity]]</f>
        <v>0</v>
      </c>
      <c r="H11" s="1014">
        <f>SUM(Table18[[#This Row],[Actual FEMALE unique beneficiares per project]:[Actual MALE unique beneficiaries per project]])</f>
        <v>0</v>
      </c>
      <c r="I11" s="996" t="s">
        <v>2191</v>
      </c>
    </row>
    <row r="12" spans="1:9" x14ac:dyDescent="0.35">
      <c r="A12" s="230" t="s">
        <v>365</v>
      </c>
      <c r="B12" s="231" t="s">
        <v>366</v>
      </c>
      <c r="C12" s="1041">
        <v>6</v>
      </c>
      <c r="D12" s="237">
        <v>0</v>
      </c>
      <c r="E12" s="1019">
        <f>SUM(Table18[[#This Row],[Actual FEMALE unique beneficiaries per activity]:[Actual MALE unique beneficiaries per activity]])</f>
        <v>6</v>
      </c>
      <c r="F12" s="1018">
        <f>Table18[[#This Row],[TOTAL unique beneficiaries per activity]]</f>
        <v>6</v>
      </c>
      <c r="G12" s="232">
        <f>Table18[[#This Row],[Actual MALE unique beneficiaries per activity]]</f>
        <v>0</v>
      </c>
      <c r="H12" s="1020">
        <f>SUM(Table18[[#This Row],[Actual FEMALE unique beneficiares per project]:[Actual MALE unique beneficiaries per project]])</f>
        <v>6</v>
      </c>
      <c r="I12" s="995" t="s">
        <v>2192</v>
      </c>
    </row>
    <row r="13" spans="1:9" s="238" customFormat="1" ht="37" x14ac:dyDescent="0.35">
      <c r="A13" s="233" t="s">
        <v>348</v>
      </c>
      <c r="B13" s="228" t="s">
        <v>368</v>
      </c>
      <c r="C13" s="1003">
        <f>E10+F12</f>
        <v>1256</v>
      </c>
      <c r="D13" s="234"/>
      <c r="E13" s="1004"/>
      <c r="F13" s="1003"/>
      <c r="G13" s="234"/>
      <c r="H13" s="1004"/>
      <c r="I13" s="1052" t="s">
        <v>2185</v>
      </c>
    </row>
    <row r="14" spans="1:9" x14ac:dyDescent="0.35">
      <c r="A14" s="236"/>
      <c r="B14" s="236"/>
      <c r="C14" s="1005"/>
      <c r="D14" s="237"/>
      <c r="E14" s="1006"/>
      <c r="F14" s="1005"/>
      <c r="G14" s="237"/>
      <c r="H14" s="1006"/>
      <c r="I14" s="236"/>
    </row>
    <row r="15" spans="1:9" ht="43.5" x14ac:dyDescent="0.35">
      <c r="A15" s="230" t="s">
        <v>370</v>
      </c>
      <c r="B15" s="231" t="s">
        <v>371</v>
      </c>
      <c r="C15" s="1053">
        <v>7650</v>
      </c>
      <c r="D15" s="1054">
        <v>7350</v>
      </c>
      <c r="E15" s="1037">
        <f>SUM(Table18[[#This Row],[Actual FEMALE unique beneficiaries per activity]:[Actual MALE unique beneficiaries per activity]])</f>
        <v>15000</v>
      </c>
      <c r="F15" s="1053">
        <f>Table18[[#This Row],[Actual FEMALE unique beneficiaries per activity]]-C5</f>
        <v>6150</v>
      </c>
      <c r="G15" s="1054">
        <f>Table18[[#This Row],[Actual MALE unique beneficiaries per activity]]-D5</f>
        <v>6350</v>
      </c>
      <c r="H15" s="1008">
        <f>SUM(Table18[[#This Row],[Actual FEMALE unique beneficiares per project]:[Actual MALE unique beneficiaries per project]])</f>
        <v>12500</v>
      </c>
      <c r="I15" s="231" t="s">
        <v>372</v>
      </c>
    </row>
    <row r="16" spans="1:9" ht="43.5" x14ac:dyDescent="0.35">
      <c r="A16" s="230" t="s">
        <v>374</v>
      </c>
      <c r="B16" s="231" t="s">
        <v>375</v>
      </c>
      <c r="C16" s="1035">
        <v>7750</v>
      </c>
      <c r="D16" s="1036">
        <v>7350</v>
      </c>
      <c r="E16" s="1057">
        <f>SUBTOTAL(109,C16:D16)</f>
        <v>15100</v>
      </c>
      <c r="F16" s="1061">
        <f>Table18[[#This Row],[Actual FEMALE unique beneficiaries per activity]]-C15</f>
        <v>100</v>
      </c>
      <c r="G16" s="237">
        <f>Table18[[#This Row],[Actual MALE unique beneficiaries per activity]]-D15</f>
        <v>0</v>
      </c>
      <c r="H16" s="1008">
        <f>SUM(Table18[[#This Row],[Actual FEMALE unique beneficiares per project]:[Actual MALE unique beneficiaries per project]])</f>
        <v>100</v>
      </c>
      <c r="I16" s="231" t="s">
        <v>376</v>
      </c>
    </row>
    <row r="17" spans="1:9" ht="37" x14ac:dyDescent="0.35">
      <c r="A17" s="233" t="s">
        <v>378</v>
      </c>
      <c r="B17" s="239" t="s">
        <v>379</v>
      </c>
      <c r="C17" s="1009">
        <f>E16</f>
        <v>15100</v>
      </c>
      <c r="D17" s="240"/>
      <c r="E17" s="1010"/>
      <c r="F17" s="1009"/>
      <c r="G17" s="240"/>
      <c r="H17" s="1010"/>
      <c r="I17" s="1052" t="s">
        <v>2164</v>
      </c>
    </row>
    <row r="18" spans="1:9" ht="44" thickBot="1" x14ac:dyDescent="0.4">
      <c r="A18" s="233" t="s">
        <v>381</v>
      </c>
      <c r="B18" s="239" t="s">
        <v>382</v>
      </c>
      <c r="C18" s="1011">
        <v>4000</v>
      </c>
      <c r="D18" s="1012">
        <v>4000</v>
      </c>
      <c r="E18" s="1038">
        <f>SUM(Table18[[#This Row],[Actual FEMALE unique beneficiaries per activity]:[Actual MALE unique beneficiaries per activity]])</f>
        <v>8000</v>
      </c>
      <c r="F18" s="1015">
        <v>0</v>
      </c>
      <c r="G18" s="1016">
        <v>0</v>
      </c>
      <c r="H18" s="1017">
        <f>SUM(Table18[[#This Row],[Actual FEMALE unique beneficiares per project]:[Actual MALE unique beneficiaries per project]])</f>
        <v>0</v>
      </c>
      <c r="I18" s="995" t="s">
        <v>2165</v>
      </c>
    </row>
    <row r="19" spans="1:9" ht="18.5" x14ac:dyDescent="0.35">
      <c r="A19" s="241"/>
      <c r="C19" s="243" t="s">
        <v>2166</v>
      </c>
      <c r="D19" s="243"/>
      <c r="E19" s="243"/>
      <c r="F19" s="1001">
        <f>SUBTOTAL(109,F4:F17)</f>
        <v>9006</v>
      </c>
      <c r="G19" s="1001">
        <f>SUBTOTAL(109,G4:G17)</f>
        <v>7350</v>
      </c>
      <c r="H19" s="1001"/>
    </row>
    <row r="20" spans="1:9" ht="43.5" x14ac:dyDescent="0.35">
      <c r="A20" s="241"/>
      <c r="C20" s="243" t="s">
        <v>148</v>
      </c>
      <c r="D20" s="243"/>
      <c r="E20" s="243"/>
      <c r="F20" s="240"/>
      <c r="G20" s="1021"/>
      <c r="H20" s="240">
        <f>SUBTOTAL(109,H4:H18)</f>
        <v>16356</v>
      </c>
      <c r="I20" s="231" t="s">
        <v>383</v>
      </c>
    </row>
  </sheetData>
  <pageMargins left="0.7" right="0.7" top="0.75" bottom="0.75" header="0.3" footer="0.3"/>
  <pageSetup orientation="portrait" r:id="rId1"/>
  <drawing r:id="rId2"/>
  <legacyDrawing r:id="rId3"/>
  <tableParts count="1">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0" tint="-0.249977111117893"/>
  </sheetPr>
  <dimension ref="A1:I18"/>
  <sheetViews>
    <sheetView zoomScale="90" zoomScaleNormal="90" workbookViewId="0">
      <selection activeCell="H19" sqref="H19"/>
    </sheetView>
  </sheetViews>
  <sheetFormatPr defaultColWidth="9.1796875" defaultRowHeight="14.5" x14ac:dyDescent="0.35"/>
  <cols>
    <col min="1" max="1" width="16" style="22" customWidth="1"/>
    <col min="2" max="2" width="48.453125" style="242" customWidth="1"/>
    <col min="3" max="5" width="17" style="242" customWidth="1"/>
    <col min="6" max="8" width="16.7265625" style="242" customWidth="1"/>
    <col min="9" max="9" width="63.54296875" style="242" customWidth="1"/>
    <col min="10" max="16384" width="9.1796875" style="22"/>
  </cols>
  <sheetData>
    <row r="1" spans="1:9" ht="92.5" x14ac:dyDescent="0.35">
      <c r="A1" s="228" t="s">
        <v>140</v>
      </c>
      <c r="B1" s="229" t="s">
        <v>129</v>
      </c>
      <c r="C1" s="840" t="s">
        <v>2159</v>
      </c>
      <c r="D1" s="839" t="s">
        <v>2167</v>
      </c>
      <c r="E1" s="837" t="s">
        <v>143</v>
      </c>
      <c r="F1" s="840" t="s">
        <v>2168</v>
      </c>
      <c r="G1" s="839" t="s">
        <v>2161</v>
      </c>
      <c r="H1" s="837" t="s">
        <v>146</v>
      </c>
      <c r="I1" s="229" t="s">
        <v>147</v>
      </c>
    </row>
    <row r="2" spans="1:9" ht="29" x14ac:dyDescent="0.35">
      <c r="A2" s="230" t="s">
        <v>385</v>
      </c>
      <c r="B2" s="995" t="s">
        <v>963</v>
      </c>
      <c r="C2" s="1027">
        <v>3750</v>
      </c>
      <c r="D2" s="999">
        <v>3750</v>
      </c>
      <c r="E2" s="1024">
        <f>SUM(Table169[[#This Row],[Actual FEMALE unique beneficiaries per activity]:[Actual MALE unique beneficiaries per activity]])</f>
        <v>7500</v>
      </c>
      <c r="F2" s="1027">
        <f>Table169[[#This Row],[Actual FEMALE unique beneficiaries per activity]]</f>
        <v>3750</v>
      </c>
      <c r="G2" s="999">
        <f>Table169[[#This Row],[Actual MALE unique beneficiaries per activity]]</f>
        <v>3750</v>
      </c>
      <c r="H2" s="1024">
        <f>SUM(Table169[[#This Row],[Actual FEMALE unique beneficiaries per project]:[Actual MALE unique beneficiaries per project]])</f>
        <v>7500</v>
      </c>
      <c r="I2" s="995" t="s">
        <v>2171</v>
      </c>
    </row>
    <row r="3" spans="1:9" ht="43.5" x14ac:dyDescent="0.35">
      <c r="A3" s="230" t="s">
        <v>386</v>
      </c>
      <c r="B3" s="995" t="s">
        <v>2169</v>
      </c>
      <c r="C3" s="1027">
        <v>7500</v>
      </c>
      <c r="D3" s="999">
        <v>7500</v>
      </c>
      <c r="E3" s="1024">
        <f>SUM(Table169[[#This Row],[Actual FEMALE unique beneficiaries per activity]:[Actual MALE unique beneficiaries per activity]])</f>
        <v>15000</v>
      </c>
      <c r="F3" s="1027">
        <f>Table169[[#This Row],[Actual FEMALE unique beneficiaries per activity]]-F2</f>
        <v>3750</v>
      </c>
      <c r="G3" s="999">
        <f>Table169[[#This Row],[Actual MALE unique beneficiaries per activity]]-G2</f>
        <v>3750</v>
      </c>
      <c r="H3" s="1024">
        <f>SUM(Table169[[#This Row],[Actual FEMALE unique beneficiaries per project]:[Actual MALE unique beneficiaries per project]])</f>
        <v>7500</v>
      </c>
      <c r="I3" s="995" t="s">
        <v>2172</v>
      </c>
    </row>
    <row r="4" spans="1:9" ht="29" x14ac:dyDescent="0.35">
      <c r="A4" s="230" t="s">
        <v>387</v>
      </c>
      <c r="B4" s="995" t="s">
        <v>974</v>
      </c>
      <c r="C4" s="1027">
        <v>750</v>
      </c>
      <c r="D4" s="999">
        <v>750</v>
      </c>
      <c r="E4" s="1024">
        <f>SUM(Table169[[#This Row],[Actual FEMALE unique beneficiaries per activity]:[Actual MALE unique beneficiaries per activity]])</f>
        <v>1500</v>
      </c>
      <c r="F4" s="1027">
        <f>Table169[[#This Row],[Actual FEMALE unique beneficiaries per activity]]</f>
        <v>750</v>
      </c>
      <c r="G4" s="999">
        <f>Table169[[#This Row],[Actual MALE unique beneficiaries per activity]]</f>
        <v>750</v>
      </c>
      <c r="H4" s="1024">
        <f>SUM(Table169[[#This Row],[Actual FEMALE unique beneficiaries per project]:[Actual MALE unique beneficiaries per project]])</f>
        <v>1500</v>
      </c>
      <c r="I4" s="995" t="s">
        <v>2173</v>
      </c>
    </row>
    <row r="5" spans="1:9" ht="55.5" x14ac:dyDescent="0.35">
      <c r="A5" s="233" t="s">
        <v>388</v>
      </c>
      <c r="B5" s="228" t="s">
        <v>2174</v>
      </c>
      <c r="C5" s="1003">
        <f>SUBTOTAL(109,H2:H4)</f>
        <v>16500</v>
      </c>
      <c r="D5" s="234"/>
      <c r="E5" s="1025"/>
      <c r="F5" s="1003"/>
      <c r="G5" s="234"/>
      <c r="H5" s="1025"/>
      <c r="I5" s="997" t="s">
        <v>2170</v>
      </c>
    </row>
    <row r="6" spans="1:9" x14ac:dyDescent="0.35">
      <c r="A6" s="236"/>
      <c r="B6" s="236"/>
      <c r="C6" s="1005"/>
      <c r="D6" s="237"/>
      <c r="E6" s="1026"/>
      <c r="F6" s="1005"/>
      <c r="G6" s="237"/>
      <c r="H6" s="1026"/>
      <c r="I6" s="236"/>
    </row>
    <row r="7" spans="1:9" ht="58" x14ac:dyDescent="0.35">
      <c r="A7" s="245" t="s">
        <v>390</v>
      </c>
      <c r="B7" s="231" t="s">
        <v>391</v>
      </c>
      <c r="C7" s="1027">
        <v>5100</v>
      </c>
      <c r="D7" s="999">
        <v>4900</v>
      </c>
      <c r="E7" s="1024">
        <f>SUM(Table169[[#This Row],[Actual FEMALE unique beneficiaries per activity]:[Actual MALE unique beneficiaries per activity]])</f>
        <v>10000</v>
      </c>
      <c r="F7" s="1013">
        <v>0</v>
      </c>
      <c r="G7" s="232">
        <v>0</v>
      </c>
      <c r="H7" s="1032">
        <f>SUM(Table169[[#This Row],[Actual FEMALE unique beneficiaries per project]:[Actual MALE unique beneficiaries per project]])</f>
        <v>0</v>
      </c>
      <c r="I7" s="995" t="s">
        <v>2175</v>
      </c>
    </row>
    <row r="8" spans="1:9" ht="246.5" x14ac:dyDescent="0.35">
      <c r="A8" s="230" t="s">
        <v>392</v>
      </c>
      <c r="B8" s="231" t="s">
        <v>393</v>
      </c>
      <c r="C8" s="1027">
        <v>204</v>
      </c>
      <c r="D8" s="999">
        <v>196</v>
      </c>
      <c r="E8" s="1024">
        <f>SUM(Table169[[#This Row],[Actual FEMALE unique beneficiaries per activity]:[Actual MALE unique beneficiaries per activity]])</f>
        <v>400</v>
      </c>
      <c r="F8" s="1013">
        <v>0</v>
      </c>
      <c r="G8" s="232">
        <v>0</v>
      </c>
      <c r="H8" s="1032">
        <f>SUM(Table169[[#This Row],[Actual FEMALE unique beneficiaries per project]:[Actual MALE unique beneficiaries per project]])</f>
        <v>0</v>
      </c>
      <c r="I8" s="246" t="s">
        <v>2176</v>
      </c>
    </row>
    <row r="9" spans="1:9" ht="29" x14ac:dyDescent="0.35">
      <c r="A9" s="230" t="s">
        <v>392</v>
      </c>
      <c r="B9" s="231" t="s">
        <v>394</v>
      </c>
      <c r="C9" s="1039">
        <v>26</v>
      </c>
      <c r="D9" s="1040">
        <v>24</v>
      </c>
      <c r="E9" s="1024">
        <f>SUM(Table169[[#This Row],[Actual FEMALE unique beneficiaries per activity]:[Actual MALE unique beneficiaries per activity]])</f>
        <v>50</v>
      </c>
      <c r="F9" s="1027">
        <f>Table169[[#This Row],[Actual FEMALE unique beneficiaries per activity]]</f>
        <v>26</v>
      </c>
      <c r="G9" s="999">
        <f>Table169[[#This Row],[Actual MALE unique beneficiaries per activity]]</f>
        <v>24</v>
      </c>
      <c r="H9" s="1032">
        <f>SUM(Table169[[#This Row],[Actual FEMALE unique beneficiaries per project]:[Actual MALE unique beneficiaries per project]])</f>
        <v>50</v>
      </c>
      <c r="I9" s="995" t="s">
        <v>395</v>
      </c>
    </row>
    <row r="10" spans="1:9" ht="29" x14ac:dyDescent="0.35">
      <c r="A10" s="233" t="s">
        <v>396</v>
      </c>
      <c r="B10" s="228" t="s">
        <v>397</v>
      </c>
      <c r="C10" s="1003">
        <v>10100</v>
      </c>
      <c r="D10" s="234"/>
      <c r="E10" s="1025"/>
      <c r="F10" s="1003"/>
      <c r="G10" s="234"/>
      <c r="H10" s="1025"/>
      <c r="I10" s="247" t="s">
        <v>398</v>
      </c>
    </row>
    <row r="11" spans="1:9" ht="12.75" customHeight="1" x14ac:dyDescent="0.35">
      <c r="A11" s="236"/>
      <c r="B11" s="236"/>
      <c r="C11" s="1005"/>
      <c r="D11" s="237"/>
      <c r="E11" s="1026"/>
      <c r="F11" s="1005"/>
      <c r="G11" s="237"/>
      <c r="H11" s="1026"/>
      <c r="I11" s="236"/>
    </row>
    <row r="12" spans="1:9" s="238" customFormat="1" ht="29" x14ac:dyDescent="0.35">
      <c r="A12" s="230" t="s">
        <v>400</v>
      </c>
      <c r="B12" s="231" t="s">
        <v>401</v>
      </c>
      <c r="C12" s="1039">
        <v>3</v>
      </c>
      <c r="D12" s="1040">
        <v>12</v>
      </c>
      <c r="E12" s="1028">
        <f>SUM(Table169[[#This Row],[Actual FEMALE unique beneficiaries per activity]:[Actual MALE unique beneficiaries per activity]])</f>
        <v>15</v>
      </c>
      <c r="F12" s="1005">
        <v>0</v>
      </c>
      <c r="G12" s="237">
        <v>0</v>
      </c>
      <c r="H12" s="1026">
        <f>SUM(Table169[[#This Row],[Actual FEMALE unique beneficiaries per project]:[Actual MALE unique beneficiaries per project]])</f>
        <v>0</v>
      </c>
      <c r="I12" s="231" t="s">
        <v>402</v>
      </c>
    </row>
    <row r="13" spans="1:9" ht="29" x14ac:dyDescent="0.35">
      <c r="A13" s="230" t="s">
        <v>404</v>
      </c>
      <c r="B13" s="231" t="s">
        <v>405</v>
      </c>
      <c r="C13" s="1027">
        <v>3750</v>
      </c>
      <c r="D13" s="999">
        <v>3750</v>
      </c>
      <c r="E13" s="1028">
        <f>SUM(Table169[[#This Row],[Actual FEMALE unique beneficiaries per activity]:[Actual MALE unique beneficiaries per activity]])</f>
        <v>7500</v>
      </c>
      <c r="F13" s="1005">
        <v>0</v>
      </c>
      <c r="G13" s="237">
        <v>0</v>
      </c>
      <c r="H13" s="1026">
        <f>SUM(Table169[[#This Row],[Actual FEMALE unique beneficiaries per project]:[Actual MALE unique beneficiaries per project]])</f>
        <v>0</v>
      </c>
      <c r="I13" s="231" t="s">
        <v>406</v>
      </c>
    </row>
    <row r="14" spans="1:9" ht="37" x14ac:dyDescent="0.35">
      <c r="A14" s="233" t="s">
        <v>408</v>
      </c>
      <c r="B14" s="239" t="s">
        <v>409</v>
      </c>
      <c r="C14" s="1003">
        <f>E13</f>
        <v>7500</v>
      </c>
      <c r="D14" s="234"/>
      <c r="E14" s="1025"/>
      <c r="F14" s="1009"/>
      <c r="G14" s="240"/>
      <c r="H14" s="1033"/>
      <c r="I14" s="997" t="s">
        <v>2177</v>
      </c>
    </row>
    <row r="15" spans="1:9" ht="10.5" customHeight="1" x14ac:dyDescent="0.35">
      <c r="A15" s="233"/>
      <c r="B15" s="239"/>
      <c r="C15" s="1003"/>
      <c r="D15" s="234"/>
      <c r="E15" s="1025"/>
      <c r="F15" s="1009"/>
      <c r="G15" s="240"/>
      <c r="H15" s="1033"/>
      <c r="I15" s="997"/>
    </row>
    <row r="16" spans="1:9" ht="19" thickBot="1" x14ac:dyDescent="0.4">
      <c r="A16" s="233" t="s">
        <v>381</v>
      </c>
      <c r="B16" s="239" t="s">
        <v>382</v>
      </c>
      <c r="C16" s="1029">
        <v>8000</v>
      </c>
      <c r="D16" s="1030">
        <v>8000</v>
      </c>
      <c r="E16" s="1031">
        <f>SUM(Table169[[#This Row],[Actual FEMALE unique beneficiaries per activity]:[Actual MALE unique beneficiaries per activity]])</f>
        <v>16000</v>
      </c>
      <c r="F16" s="1015">
        <v>0</v>
      </c>
      <c r="G16" s="1016">
        <v>0</v>
      </c>
      <c r="H16" s="1034">
        <f>SUM(Table169[[#This Row],[Actual FEMALE unique beneficiaries per project]:[Actual MALE unique beneficiaries per project]])</f>
        <v>0</v>
      </c>
      <c r="I16" s="998" t="s">
        <v>2178</v>
      </c>
    </row>
    <row r="17" spans="1:9" ht="18.5" x14ac:dyDescent="0.35">
      <c r="A17" s="241"/>
      <c r="B17" s="1000"/>
      <c r="C17" s="243" t="s">
        <v>2179</v>
      </c>
      <c r="D17" s="243"/>
      <c r="E17" s="1023"/>
      <c r="F17" s="1001">
        <f>SUBTOTAL(109,F2:F16)</f>
        <v>8276</v>
      </c>
      <c r="G17" s="1001">
        <f>SUBTOTAL(109,G2:G16)</f>
        <v>8274</v>
      </c>
      <c r="H17" s="1022"/>
      <c r="I17" s="231"/>
    </row>
    <row r="18" spans="1:9" ht="18.5" x14ac:dyDescent="0.35">
      <c r="A18" s="241"/>
      <c r="C18" s="243" t="s">
        <v>148</v>
      </c>
      <c r="D18" s="243"/>
      <c r="E18" s="243"/>
      <c r="F18" s="244"/>
      <c r="G18" s="1021"/>
      <c r="H18" s="240">
        <f>SUBTOTAL(109,H2:H17)</f>
        <v>16550</v>
      </c>
      <c r="I18" s="231"/>
    </row>
  </sheetData>
  <pageMargins left="0.7" right="0.7" top="0.75" bottom="0.75" header="0.3" footer="0.3"/>
  <pageSetup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B9D4-0252-40C0-9274-F4F1F59AE6F2}">
  <sheetPr codeName="Sheet14">
    <tabColor theme="0" tint="-0.249977111117893"/>
  </sheetPr>
  <dimension ref="A1:O42"/>
  <sheetViews>
    <sheetView zoomScale="85" zoomScaleNormal="85" workbookViewId="0">
      <selection activeCell="B15" sqref="B15"/>
    </sheetView>
  </sheetViews>
  <sheetFormatPr defaultColWidth="9.1796875" defaultRowHeight="14.5" x14ac:dyDescent="0.35"/>
  <cols>
    <col min="1" max="1" width="5.81640625" style="833" customWidth="1"/>
    <col min="2" max="2" width="61.26953125" style="834" customWidth="1"/>
    <col min="3" max="13" width="6.1796875" style="833" customWidth="1"/>
    <col min="14" max="14" width="6.81640625" style="833" customWidth="1"/>
    <col min="15" max="15" width="35.453125" style="833" customWidth="1"/>
    <col min="16" max="16384" width="9.1796875" style="833"/>
  </cols>
  <sheetData>
    <row r="1" spans="1:15" s="800" customFormat="1" ht="24" customHeight="1" x14ac:dyDescent="0.5">
      <c r="A1" s="1285" t="s">
        <v>149</v>
      </c>
      <c r="B1" s="1285"/>
      <c r="C1" s="852"/>
      <c r="D1" s="799"/>
      <c r="E1" s="799"/>
      <c r="F1" s="799"/>
      <c r="G1" s="799"/>
      <c r="H1" s="799"/>
      <c r="I1" s="799"/>
      <c r="J1" s="799"/>
      <c r="K1" s="1287" t="s">
        <v>150</v>
      </c>
      <c r="L1" s="1287"/>
      <c r="M1" s="1288" t="s">
        <v>151</v>
      </c>
      <c r="N1" s="1288"/>
    </row>
    <row r="2" spans="1:15" s="800" customFormat="1" ht="21.5" thickBot="1" x14ac:dyDescent="0.55000000000000004">
      <c r="A2" s="1286"/>
      <c r="B2" s="1286"/>
      <c r="C2" s="801"/>
      <c r="D2" s="801"/>
      <c r="E2" s="801"/>
      <c r="F2" s="801"/>
      <c r="G2" s="801"/>
      <c r="H2" s="801"/>
      <c r="I2" s="801"/>
      <c r="J2" s="801"/>
      <c r="K2" s="801"/>
      <c r="L2" s="801"/>
      <c r="M2" s="801"/>
      <c r="N2" s="801"/>
    </row>
    <row r="3" spans="1:15" s="807" customFormat="1" ht="31.5" thickBot="1" x14ac:dyDescent="0.4">
      <c r="A3" s="802"/>
      <c r="B3" s="803" t="s">
        <v>129</v>
      </c>
      <c r="C3" s="804" t="s">
        <v>152</v>
      </c>
      <c r="D3" s="805" t="s">
        <v>153</v>
      </c>
      <c r="E3" s="805" t="s">
        <v>154</v>
      </c>
      <c r="F3" s="805" t="s">
        <v>155</v>
      </c>
      <c r="G3" s="805" t="s">
        <v>156</v>
      </c>
      <c r="H3" s="805" t="s">
        <v>157</v>
      </c>
      <c r="I3" s="805" t="s">
        <v>158</v>
      </c>
      <c r="J3" s="805" t="s">
        <v>159</v>
      </c>
      <c r="K3" s="805" t="s">
        <v>160</v>
      </c>
      <c r="L3" s="805" t="s">
        <v>161</v>
      </c>
      <c r="M3" s="805" t="s">
        <v>162</v>
      </c>
      <c r="N3" s="806" t="s">
        <v>163</v>
      </c>
      <c r="O3" s="803" t="s">
        <v>164</v>
      </c>
    </row>
    <row r="4" spans="1:15" s="800" customFormat="1" ht="21.5" thickBot="1" x14ac:dyDescent="0.55000000000000004">
      <c r="A4" s="1289" t="s">
        <v>410</v>
      </c>
      <c r="B4" s="1290"/>
      <c r="C4" s="1290"/>
      <c r="D4" s="1290"/>
      <c r="E4" s="1290"/>
      <c r="F4" s="1290"/>
      <c r="G4" s="1290"/>
      <c r="H4" s="1290"/>
      <c r="I4" s="1290"/>
      <c r="J4" s="1290"/>
      <c r="K4" s="1290"/>
      <c r="L4" s="1290"/>
      <c r="M4" s="1290"/>
      <c r="N4" s="1290"/>
      <c r="O4" s="808"/>
    </row>
    <row r="5" spans="1:15" s="815" customFormat="1" ht="18.5" x14ac:dyDescent="0.45">
      <c r="A5" s="809">
        <v>1</v>
      </c>
      <c r="B5" s="810" t="s">
        <v>411</v>
      </c>
      <c r="C5" s="811"/>
      <c r="D5" s="812"/>
      <c r="E5" s="812"/>
      <c r="F5" s="812"/>
      <c r="G5" s="812"/>
      <c r="H5" s="812"/>
      <c r="I5" s="812"/>
      <c r="J5" s="812"/>
      <c r="K5" s="812"/>
      <c r="L5" s="812"/>
      <c r="M5" s="812"/>
      <c r="N5" s="813"/>
      <c r="O5" s="814" t="s">
        <v>412</v>
      </c>
    </row>
    <row r="6" spans="1:15" s="815" customFormat="1" ht="18.5" x14ac:dyDescent="0.45">
      <c r="A6" s="816">
        <v>2</v>
      </c>
      <c r="B6" s="817" t="s">
        <v>413</v>
      </c>
      <c r="C6" s="818"/>
      <c r="D6" s="819"/>
      <c r="E6" s="819"/>
      <c r="F6" s="819"/>
      <c r="G6" s="819"/>
      <c r="H6" s="819"/>
      <c r="I6" s="819"/>
      <c r="J6" s="819"/>
      <c r="K6" s="819"/>
      <c r="L6" s="819"/>
      <c r="M6" s="819"/>
      <c r="N6" s="820"/>
      <c r="O6" s="821" t="s">
        <v>412</v>
      </c>
    </row>
    <row r="7" spans="1:15" s="815" customFormat="1" ht="18.5" x14ac:dyDescent="0.45">
      <c r="A7" s="816">
        <v>3</v>
      </c>
      <c r="B7" s="817" t="s">
        <v>414</v>
      </c>
      <c r="C7" s="822"/>
      <c r="D7" s="819"/>
      <c r="E7" s="823"/>
      <c r="F7" s="819"/>
      <c r="G7" s="819"/>
      <c r="H7" s="819"/>
      <c r="I7" s="819"/>
      <c r="J7" s="819"/>
      <c r="K7" s="819"/>
      <c r="L7" s="819"/>
      <c r="M7" s="819"/>
      <c r="N7" s="820"/>
      <c r="O7" s="824" t="s">
        <v>415</v>
      </c>
    </row>
    <row r="8" spans="1:15" s="815" customFormat="1" ht="18.5" x14ac:dyDescent="0.45">
      <c r="A8" s="816">
        <v>4</v>
      </c>
      <c r="B8" s="817" t="s">
        <v>416</v>
      </c>
      <c r="C8" s="822"/>
      <c r="D8" s="819"/>
      <c r="E8" s="823"/>
      <c r="F8" s="819"/>
      <c r="G8" s="819"/>
      <c r="H8" s="819"/>
      <c r="I8" s="819"/>
      <c r="J8" s="819"/>
      <c r="K8" s="819"/>
      <c r="L8" s="819"/>
      <c r="M8" s="819"/>
      <c r="N8" s="820"/>
      <c r="O8" s="824" t="s">
        <v>415</v>
      </c>
    </row>
    <row r="9" spans="1:15" s="815" customFormat="1" ht="18.5" x14ac:dyDescent="0.45">
      <c r="A9" s="816">
        <v>5</v>
      </c>
      <c r="B9" s="817" t="s">
        <v>282</v>
      </c>
      <c r="C9" s="822"/>
      <c r="D9" s="819"/>
      <c r="E9" s="823"/>
      <c r="F9" s="819"/>
      <c r="G9" s="819"/>
      <c r="H9" s="823"/>
      <c r="I9" s="819"/>
      <c r="J9" s="819"/>
      <c r="K9" s="819"/>
      <c r="L9" s="819"/>
      <c r="M9" s="819"/>
      <c r="N9" s="820"/>
      <c r="O9" s="824" t="s">
        <v>417</v>
      </c>
    </row>
    <row r="10" spans="1:15" s="815" customFormat="1" ht="18.5" x14ac:dyDescent="0.45">
      <c r="A10" s="816">
        <v>6</v>
      </c>
      <c r="B10" s="817" t="s">
        <v>286</v>
      </c>
      <c r="C10" s="822"/>
      <c r="D10" s="819"/>
      <c r="E10" s="819"/>
      <c r="F10" s="823"/>
      <c r="G10" s="819"/>
      <c r="H10" s="819"/>
      <c r="I10" s="823"/>
      <c r="J10" s="819"/>
      <c r="K10" s="819"/>
      <c r="L10" s="819"/>
      <c r="M10" s="819"/>
      <c r="N10" s="820"/>
      <c r="O10" s="824" t="s">
        <v>418</v>
      </c>
    </row>
    <row r="11" spans="1:15" s="815" customFormat="1" ht="18.5" x14ac:dyDescent="0.45">
      <c r="A11" s="816">
        <v>7</v>
      </c>
      <c r="B11" s="817" t="s">
        <v>289</v>
      </c>
      <c r="C11" s="822"/>
      <c r="D11" s="819"/>
      <c r="E11" s="819"/>
      <c r="F11" s="823"/>
      <c r="G11" s="819"/>
      <c r="H11" s="819"/>
      <c r="I11" s="823"/>
      <c r="J11" s="819"/>
      <c r="K11" s="819"/>
      <c r="L11" s="819"/>
      <c r="M11" s="819"/>
      <c r="N11" s="820"/>
      <c r="O11" s="824" t="s">
        <v>418</v>
      </c>
    </row>
    <row r="12" spans="1:15" s="815" customFormat="1" ht="18.5" x14ac:dyDescent="0.45">
      <c r="A12" s="816">
        <v>8</v>
      </c>
      <c r="B12" s="817" t="s">
        <v>292</v>
      </c>
      <c r="C12" s="822"/>
      <c r="D12" s="819"/>
      <c r="E12" s="823"/>
      <c r="F12" s="819"/>
      <c r="G12" s="819"/>
      <c r="H12" s="819"/>
      <c r="I12" s="819"/>
      <c r="J12" s="819"/>
      <c r="K12" s="819"/>
      <c r="L12" s="819"/>
      <c r="M12" s="819"/>
      <c r="N12" s="820"/>
      <c r="O12" s="824" t="s">
        <v>417</v>
      </c>
    </row>
    <row r="13" spans="1:15" s="815" customFormat="1" ht="18.5" x14ac:dyDescent="0.45">
      <c r="A13" s="816">
        <v>9</v>
      </c>
      <c r="B13" s="817" t="s">
        <v>303</v>
      </c>
      <c r="C13" s="822"/>
      <c r="D13" s="819"/>
      <c r="E13" s="819"/>
      <c r="F13" s="823"/>
      <c r="G13" s="823"/>
      <c r="H13" s="819"/>
      <c r="I13" s="819"/>
      <c r="J13" s="819"/>
      <c r="K13" s="819"/>
      <c r="L13" s="819"/>
      <c r="M13" s="819"/>
      <c r="N13" s="820"/>
      <c r="O13" s="824" t="s">
        <v>419</v>
      </c>
    </row>
    <row r="14" spans="1:15" s="815" customFormat="1" ht="18.5" x14ac:dyDescent="0.45">
      <c r="A14" s="816">
        <v>10</v>
      </c>
      <c r="B14" s="817" t="s">
        <v>420</v>
      </c>
      <c r="C14" s="822"/>
      <c r="D14" s="819"/>
      <c r="E14" s="819"/>
      <c r="F14" s="819"/>
      <c r="G14" s="819"/>
      <c r="H14" s="819"/>
      <c r="I14" s="823"/>
      <c r="J14" s="819"/>
      <c r="K14" s="819"/>
      <c r="L14" s="819"/>
      <c r="M14" s="819"/>
      <c r="N14" s="820"/>
      <c r="O14" s="824" t="s">
        <v>415</v>
      </c>
    </row>
    <row r="15" spans="1:15" s="815" customFormat="1" ht="18.5" x14ac:dyDescent="0.45">
      <c r="A15" s="816">
        <v>11</v>
      </c>
      <c r="B15" s="817" t="s">
        <v>421</v>
      </c>
      <c r="C15" s="822"/>
      <c r="D15" s="819"/>
      <c r="E15" s="819"/>
      <c r="F15" s="819"/>
      <c r="G15" s="819"/>
      <c r="H15" s="819"/>
      <c r="I15" s="823"/>
      <c r="J15" s="819"/>
      <c r="K15" s="819"/>
      <c r="L15" s="819"/>
      <c r="M15" s="819"/>
      <c r="N15" s="820"/>
      <c r="O15" s="824" t="s">
        <v>415</v>
      </c>
    </row>
    <row r="16" spans="1:15" s="815" customFormat="1" ht="18.5" x14ac:dyDescent="0.45">
      <c r="A16" s="816">
        <v>12</v>
      </c>
      <c r="B16" s="817" t="s">
        <v>310</v>
      </c>
      <c r="C16" s="822"/>
      <c r="D16" s="819"/>
      <c r="E16" s="819"/>
      <c r="F16" s="819"/>
      <c r="G16" s="819"/>
      <c r="H16" s="819"/>
      <c r="I16" s="819"/>
      <c r="J16" s="823"/>
      <c r="K16" s="819"/>
      <c r="L16" s="819"/>
      <c r="M16" s="819"/>
      <c r="N16" s="820"/>
      <c r="O16" s="824" t="s">
        <v>422</v>
      </c>
    </row>
    <row r="17" spans="1:15" s="815" customFormat="1" ht="18.5" x14ac:dyDescent="0.45">
      <c r="A17" s="816">
        <v>12</v>
      </c>
      <c r="B17" s="817" t="s">
        <v>315</v>
      </c>
      <c r="C17" s="822"/>
      <c r="D17" s="819"/>
      <c r="E17" s="819"/>
      <c r="F17" s="819"/>
      <c r="G17" s="819"/>
      <c r="H17" s="819"/>
      <c r="I17" s="819"/>
      <c r="J17" s="823"/>
      <c r="K17" s="819"/>
      <c r="L17" s="819"/>
      <c r="M17" s="819"/>
      <c r="N17" s="820"/>
      <c r="O17" s="824" t="s">
        <v>422</v>
      </c>
    </row>
    <row r="18" spans="1:15" s="815" customFormat="1" ht="18.5" x14ac:dyDescent="0.45">
      <c r="A18" s="816">
        <v>13</v>
      </c>
      <c r="B18" s="817" t="s">
        <v>318</v>
      </c>
      <c r="C18" s="822"/>
      <c r="D18" s="819"/>
      <c r="E18" s="819"/>
      <c r="F18" s="819"/>
      <c r="G18" s="819"/>
      <c r="H18" s="819"/>
      <c r="I18" s="819"/>
      <c r="J18" s="823"/>
      <c r="K18" s="819"/>
      <c r="L18" s="823"/>
      <c r="M18" s="819"/>
      <c r="N18" s="820"/>
      <c r="O18" s="824" t="s">
        <v>422</v>
      </c>
    </row>
    <row r="19" spans="1:15" s="815" customFormat="1" ht="18.5" x14ac:dyDescent="0.45">
      <c r="A19" s="816">
        <v>14</v>
      </c>
      <c r="B19" s="817" t="s">
        <v>322</v>
      </c>
      <c r="C19" s="822"/>
      <c r="D19" s="819"/>
      <c r="E19" s="819"/>
      <c r="F19" s="819"/>
      <c r="G19" s="819"/>
      <c r="H19" s="819"/>
      <c r="I19" s="819"/>
      <c r="J19" s="823"/>
      <c r="K19" s="819"/>
      <c r="L19" s="819"/>
      <c r="M19" s="819"/>
      <c r="N19" s="820"/>
      <c r="O19" s="824" t="s">
        <v>422</v>
      </c>
    </row>
    <row r="20" spans="1:15" s="815" customFormat="1" ht="18.5" x14ac:dyDescent="0.45">
      <c r="A20" s="816">
        <v>15</v>
      </c>
      <c r="B20" s="817" t="s">
        <v>341</v>
      </c>
      <c r="C20" s="822"/>
      <c r="D20" s="819"/>
      <c r="E20" s="819"/>
      <c r="F20" s="819"/>
      <c r="G20" s="823"/>
      <c r="H20" s="819"/>
      <c r="I20" s="823"/>
      <c r="J20" s="819"/>
      <c r="K20" s="823"/>
      <c r="L20" s="819"/>
      <c r="M20" s="819"/>
      <c r="N20" s="820"/>
      <c r="O20" s="824" t="s">
        <v>423</v>
      </c>
    </row>
    <row r="21" spans="1:15" s="815" customFormat="1" ht="18.5" x14ac:dyDescent="0.45">
      <c r="A21" s="816">
        <v>16</v>
      </c>
      <c r="B21" s="817" t="s">
        <v>345</v>
      </c>
      <c r="C21" s="822"/>
      <c r="D21" s="819"/>
      <c r="E21" s="819"/>
      <c r="F21" s="819"/>
      <c r="G21" s="823"/>
      <c r="H21" s="819"/>
      <c r="I21" s="823"/>
      <c r="J21" s="819"/>
      <c r="K21" s="823"/>
      <c r="L21" s="819"/>
      <c r="M21" s="819"/>
      <c r="N21" s="820"/>
      <c r="O21" s="824" t="s">
        <v>423</v>
      </c>
    </row>
    <row r="22" spans="1:15" s="815" customFormat="1" ht="18.5" x14ac:dyDescent="0.45">
      <c r="A22" s="816">
        <v>17</v>
      </c>
      <c r="B22" s="817" t="s">
        <v>424</v>
      </c>
      <c r="C22" s="822"/>
      <c r="D22" s="825"/>
      <c r="E22" s="819"/>
      <c r="F22" s="819"/>
      <c r="G22" s="819"/>
      <c r="H22" s="819"/>
      <c r="I22" s="819"/>
      <c r="J22" s="819"/>
      <c r="K22" s="819"/>
      <c r="L22" s="819"/>
      <c r="M22" s="819"/>
      <c r="N22" s="820"/>
      <c r="O22" s="824" t="s">
        <v>425</v>
      </c>
    </row>
    <row r="23" spans="1:15" s="815" customFormat="1" ht="18.5" x14ac:dyDescent="0.45">
      <c r="A23" s="816">
        <v>18</v>
      </c>
      <c r="B23" s="817" t="s">
        <v>426</v>
      </c>
      <c r="C23" s="822"/>
      <c r="D23" s="819"/>
      <c r="E23" s="819"/>
      <c r="F23" s="825"/>
      <c r="G23" s="825"/>
      <c r="H23" s="825"/>
      <c r="I23" s="825"/>
      <c r="J23" s="825"/>
      <c r="K23" s="819"/>
      <c r="L23" s="825"/>
      <c r="M23" s="819"/>
      <c r="N23" s="820"/>
      <c r="O23" s="824" t="s">
        <v>425</v>
      </c>
    </row>
    <row r="24" spans="1:15" s="815" customFormat="1" ht="18.5" x14ac:dyDescent="0.45">
      <c r="A24" s="816">
        <v>19</v>
      </c>
      <c r="B24" s="817" t="s">
        <v>427</v>
      </c>
      <c r="C24" s="822"/>
      <c r="D24" s="819"/>
      <c r="E24" s="819"/>
      <c r="F24" s="825"/>
      <c r="G24" s="819"/>
      <c r="H24" s="819"/>
      <c r="I24" s="819"/>
      <c r="J24" s="819"/>
      <c r="K24" s="825"/>
      <c r="L24" s="819"/>
      <c r="M24" s="819"/>
      <c r="N24" s="820"/>
      <c r="O24" s="824" t="s">
        <v>425</v>
      </c>
    </row>
    <row r="25" spans="1:15" s="815" customFormat="1" ht="19" thickBot="1" x14ac:dyDescent="0.5">
      <c r="A25" s="826">
        <v>20</v>
      </c>
      <c r="B25" s="827" t="s">
        <v>428</v>
      </c>
      <c r="C25" s="828"/>
      <c r="D25" s="829"/>
      <c r="E25" s="829"/>
      <c r="F25" s="829"/>
      <c r="G25" s="829"/>
      <c r="H25" s="829"/>
      <c r="I25" s="829"/>
      <c r="J25" s="829"/>
      <c r="K25" s="829"/>
      <c r="L25" s="829"/>
      <c r="M25" s="830"/>
      <c r="N25" s="831"/>
      <c r="O25" s="832" t="s">
        <v>425</v>
      </c>
    </row>
    <row r="28" spans="1:15" x14ac:dyDescent="0.35">
      <c r="B28" s="833"/>
    </row>
    <row r="29" spans="1:15" x14ac:dyDescent="0.35">
      <c r="B29" s="833"/>
    </row>
    <row r="30" spans="1:15" x14ac:dyDescent="0.35">
      <c r="B30" s="833"/>
    </row>
    <row r="31" spans="1:15" x14ac:dyDescent="0.35">
      <c r="B31" s="833"/>
    </row>
    <row r="32" spans="1:15" x14ac:dyDescent="0.35">
      <c r="B32" s="833"/>
    </row>
    <row r="33" spans="2:2" x14ac:dyDescent="0.35">
      <c r="B33" s="833"/>
    </row>
    <row r="34" spans="2:2" x14ac:dyDescent="0.35">
      <c r="B34" s="833"/>
    </row>
    <row r="35" spans="2:2" x14ac:dyDescent="0.35">
      <c r="B35" s="833"/>
    </row>
    <row r="36" spans="2:2" x14ac:dyDescent="0.35">
      <c r="B36" s="833"/>
    </row>
    <row r="37" spans="2:2" x14ac:dyDescent="0.35">
      <c r="B37" s="833"/>
    </row>
    <row r="38" spans="2:2" x14ac:dyDescent="0.35">
      <c r="B38" s="833"/>
    </row>
    <row r="39" spans="2:2" x14ac:dyDescent="0.35">
      <c r="B39" s="833"/>
    </row>
    <row r="40" spans="2:2" x14ac:dyDescent="0.35">
      <c r="B40" s="833"/>
    </row>
    <row r="41" spans="2:2" x14ac:dyDescent="0.35">
      <c r="B41" s="833"/>
    </row>
    <row r="42" spans="2:2" x14ac:dyDescent="0.35">
      <c r="B42" s="833"/>
    </row>
  </sheetData>
  <mergeCells count="4">
    <mergeCell ref="A1:B2"/>
    <mergeCell ref="K1:L1"/>
    <mergeCell ref="M1:N1"/>
    <mergeCell ref="A4:N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0" tint="-0.249977111117893"/>
  </sheetPr>
  <dimension ref="A1:S909"/>
  <sheetViews>
    <sheetView zoomScale="110" zoomScaleNormal="110" workbookViewId="0">
      <selection activeCell="S2" sqref="S2"/>
    </sheetView>
  </sheetViews>
  <sheetFormatPr defaultColWidth="14.453125" defaultRowHeight="14.5" x14ac:dyDescent="0.35"/>
  <cols>
    <col min="1" max="1" width="4" style="7" customWidth="1"/>
    <col min="2" max="2" width="9.26953125" style="82" customWidth="1"/>
    <col min="3" max="3" width="40.453125" style="84" customWidth="1"/>
    <col min="4" max="4" width="15.453125" style="5" customWidth="1"/>
    <col min="5" max="5" width="6.81640625" style="5" customWidth="1"/>
    <col min="6" max="6" width="7.1796875" style="5" customWidth="1"/>
    <col min="7" max="7" width="6.81640625" style="5" customWidth="1"/>
    <col min="8" max="8" width="7.1796875" style="5" customWidth="1"/>
    <col min="9" max="9" width="6.81640625" style="5" customWidth="1"/>
    <col min="10" max="10" width="7.1796875" style="5" customWidth="1"/>
    <col min="11" max="11" width="6.81640625" style="5" customWidth="1"/>
    <col min="12" max="12" width="7.1796875" style="5" customWidth="1"/>
    <col min="13" max="13" width="6.81640625" style="5" customWidth="1"/>
    <col min="14" max="14" width="7.1796875" style="5" customWidth="1"/>
    <col min="15" max="15" width="6.81640625" style="5" customWidth="1"/>
    <col min="16" max="16" width="7.1796875" style="5" customWidth="1"/>
    <col min="17" max="17" width="10.26953125" customWidth="1"/>
    <col min="18" max="18" width="26.453125" customWidth="1"/>
    <col min="19" max="19" width="19.453125" customWidth="1"/>
  </cols>
  <sheetData>
    <row r="1" spans="1:19" ht="19" thickBot="1" x14ac:dyDescent="0.5">
      <c r="A1" s="1189" t="s">
        <v>165</v>
      </c>
      <c r="B1" s="1189"/>
      <c r="C1" s="1189"/>
      <c r="D1" s="1189"/>
      <c r="E1" s="1189"/>
      <c r="F1" s="1189"/>
      <c r="G1" s="1189"/>
      <c r="H1" s="1189"/>
      <c r="I1" s="1189"/>
      <c r="J1" s="1189"/>
      <c r="K1" s="1189"/>
      <c r="L1" s="1189"/>
      <c r="M1" s="1189"/>
      <c r="N1" s="1189"/>
      <c r="O1" s="1189"/>
      <c r="P1" s="1189"/>
      <c r="Q1" s="1189"/>
    </row>
    <row r="2" spans="1:19" ht="26.5" thickBot="1" x14ac:dyDescent="0.4">
      <c r="A2" s="73" t="s">
        <v>166</v>
      </c>
      <c r="B2" s="85" t="s">
        <v>167</v>
      </c>
      <c r="C2" s="86" t="s">
        <v>168</v>
      </c>
      <c r="D2" s="79" t="s">
        <v>169</v>
      </c>
      <c r="E2" s="74">
        <v>43466</v>
      </c>
      <c r="F2" s="75">
        <v>43497</v>
      </c>
      <c r="G2" s="76">
        <v>43525</v>
      </c>
      <c r="H2" s="76">
        <v>43556</v>
      </c>
      <c r="I2" s="76">
        <v>43586</v>
      </c>
      <c r="J2" s="76">
        <v>43617</v>
      </c>
      <c r="K2" s="76">
        <v>43647</v>
      </c>
      <c r="L2" s="76">
        <v>43678</v>
      </c>
      <c r="M2" s="76">
        <v>43709</v>
      </c>
      <c r="N2" s="76">
        <v>43739</v>
      </c>
      <c r="O2" s="76">
        <v>43770</v>
      </c>
      <c r="P2" s="77">
        <v>43800</v>
      </c>
      <c r="Q2" s="133" t="s">
        <v>170</v>
      </c>
      <c r="R2" s="177" t="s">
        <v>121</v>
      </c>
      <c r="S2" s="177" t="s">
        <v>171</v>
      </c>
    </row>
    <row r="3" spans="1:19" ht="15" customHeight="1" x14ac:dyDescent="0.35">
      <c r="A3" s="1301">
        <v>1</v>
      </c>
      <c r="B3" s="1306" t="str">
        <f>IF(VLOOKUP(A:A,'Benefit-People-Indicator Ex'!Z:AD,5,FALSE)=0,"",VLOOKUP(A:A,'Benefit-People-Indicator Ex'!Z:AD,5,FALSE))</f>
        <v>B020201</v>
      </c>
      <c r="C3" s="1308" t="str">
        <f>_xlfn.IFNA(VLOOKUP(A:A,'Benefit-People-Indicator Ex'!P:W,8,FALSE),"")</f>
        <v># of tools distributed</v>
      </c>
      <c r="D3" s="1310" t="s">
        <v>175</v>
      </c>
      <c r="E3" s="1311"/>
      <c r="F3" s="1311"/>
      <c r="G3" s="1311"/>
      <c r="H3" s="1311"/>
      <c r="I3" s="1311"/>
      <c r="J3" s="1311"/>
      <c r="K3" s="1311"/>
      <c r="L3" s="1311"/>
      <c r="M3" s="1311"/>
      <c r="N3" s="1311"/>
      <c r="O3" s="1311"/>
      <c r="P3" s="1312"/>
      <c r="Q3" s="138">
        <f>SUM(E5:P5)/Q4*100%</f>
        <v>1.0442857142857143</v>
      </c>
      <c r="R3" s="1294" t="s">
        <v>429</v>
      </c>
      <c r="S3" s="1291" t="s">
        <v>430</v>
      </c>
    </row>
    <row r="4" spans="1:19" x14ac:dyDescent="0.35">
      <c r="A4" s="1302"/>
      <c r="B4" s="1306"/>
      <c r="C4" s="1196"/>
      <c r="D4" s="38" t="s">
        <v>431</v>
      </c>
      <c r="E4" s="40">
        <v>100</v>
      </c>
      <c r="F4" s="41"/>
      <c r="G4" s="42"/>
      <c r="H4" s="42">
        <v>100</v>
      </c>
      <c r="I4" s="42"/>
      <c r="J4" s="42"/>
      <c r="K4" s="42">
        <v>200</v>
      </c>
      <c r="L4" s="42"/>
      <c r="M4" s="42"/>
      <c r="N4" s="42">
        <v>200</v>
      </c>
      <c r="O4" s="42">
        <v>100</v>
      </c>
      <c r="P4" s="39"/>
      <c r="Q4" s="65">
        <f>SUM(E4:P4)</f>
        <v>700</v>
      </c>
      <c r="R4" s="1295"/>
      <c r="S4" s="1292"/>
    </row>
    <row r="5" spans="1:19" ht="15" thickBot="1" x14ac:dyDescent="0.4">
      <c r="A5" s="1303"/>
      <c r="B5" s="1307"/>
      <c r="C5" s="1309"/>
      <c r="D5" s="53" t="s">
        <v>432</v>
      </c>
      <c r="E5" s="49">
        <v>90</v>
      </c>
      <c r="F5" s="50">
        <v>10</v>
      </c>
      <c r="G5" s="51">
        <v>20</v>
      </c>
      <c r="H5" s="51">
        <v>95</v>
      </c>
      <c r="I5" s="51"/>
      <c r="J5" s="51"/>
      <c r="K5" s="51">
        <v>198</v>
      </c>
      <c r="L5" s="51"/>
      <c r="M5" s="51"/>
      <c r="N5" s="51">
        <v>210</v>
      </c>
      <c r="O5" s="51">
        <v>108</v>
      </c>
      <c r="P5" s="52"/>
      <c r="Q5" s="139">
        <f>SUM(E5:P5)</f>
        <v>731</v>
      </c>
      <c r="R5" s="1295"/>
      <c r="S5" s="1292"/>
    </row>
    <row r="6" spans="1:19" s="10" customFormat="1" x14ac:dyDescent="0.35">
      <c r="A6" s="1304">
        <v>2</v>
      </c>
      <c r="B6" s="1306" t="str">
        <f>IF(VLOOKUP(A:A,'Benefit-People-Indicator Ex'!Z:AD,5,FALSE)=0,"",VLOOKUP(A:A,'Benefit-People-Indicator Ex'!Z:AD,5,FALSE))</f>
        <v>B020204</v>
      </c>
      <c r="C6" s="1308" t="str">
        <f>_xlfn.IFNA(VLOOKUP(A:A,'Benefit-People-Indicator Ex'!P:W,8,FALSE),"")</f>
        <v># of improved "seed packages" distributed</v>
      </c>
      <c r="D6" s="1310" t="s">
        <v>175</v>
      </c>
      <c r="E6" s="1311"/>
      <c r="F6" s="1311"/>
      <c r="G6" s="1311"/>
      <c r="H6" s="1311"/>
      <c r="I6" s="1311"/>
      <c r="J6" s="1311"/>
      <c r="K6" s="1311"/>
      <c r="L6" s="1311"/>
      <c r="M6" s="1311"/>
      <c r="N6" s="1311"/>
      <c r="O6" s="1311"/>
      <c r="P6" s="1312"/>
      <c r="Q6" s="138" t="e">
        <f>SUM(E8:P8)/Q7*100%</f>
        <v>#DIV/0!</v>
      </c>
      <c r="R6" s="1295"/>
      <c r="S6" s="1292"/>
    </row>
    <row r="7" spans="1:19" s="2" customFormat="1" x14ac:dyDescent="0.35">
      <c r="A7" s="1302"/>
      <c r="B7" s="1306"/>
      <c r="C7" s="1196"/>
      <c r="D7" s="38" t="s">
        <v>431</v>
      </c>
      <c r="E7" s="40"/>
      <c r="F7" s="41"/>
      <c r="G7" s="42"/>
      <c r="H7" s="42"/>
      <c r="I7" s="42"/>
      <c r="J7" s="42"/>
      <c r="K7" s="42"/>
      <c r="L7" s="42"/>
      <c r="M7" s="42"/>
      <c r="N7" s="42"/>
      <c r="O7" s="42"/>
      <c r="P7" s="39"/>
      <c r="Q7" s="65">
        <f>SUM(E7:P7)</f>
        <v>0</v>
      </c>
      <c r="R7" s="1295"/>
      <c r="S7" s="1292"/>
    </row>
    <row r="8" spans="1:19" s="2" customFormat="1" ht="15" thickBot="1" x14ac:dyDescent="0.4">
      <c r="A8" s="1305"/>
      <c r="B8" s="1307"/>
      <c r="C8" s="1309"/>
      <c r="D8" s="53" t="s">
        <v>432</v>
      </c>
      <c r="E8" s="45"/>
      <c r="F8" s="46"/>
      <c r="G8" s="47"/>
      <c r="H8" s="47"/>
      <c r="I8" s="47"/>
      <c r="J8" s="47"/>
      <c r="K8" s="47"/>
      <c r="L8" s="47"/>
      <c r="M8" s="47"/>
      <c r="N8" s="47"/>
      <c r="O8" s="47"/>
      <c r="P8" s="48"/>
      <c r="Q8" s="139">
        <f>SUM(E8:P8)</f>
        <v>0</v>
      </c>
      <c r="R8" s="1295"/>
      <c r="S8" s="1292"/>
    </row>
    <row r="9" spans="1:19" s="10" customFormat="1" ht="15" customHeight="1" x14ac:dyDescent="0.35">
      <c r="A9" s="1304">
        <v>3</v>
      </c>
      <c r="B9" s="1306" t="str">
        <f>IF(VLOOKUP(A:A,'Benefit-People-Indicator Ex'!Z:AD,5,FALSE)=0,"",VLOOKUP(A:A,'Benefit-People-Indicator Ex'!Z:AD,5,FALSE))</f>
        <v>B020203</v>
      </c>
      <c r="C9" s="1308" t="str">
        <f>_xlfn.IFNA(VLOOKUP(A:A,'Benefit-People-Indicator Ex'!P:W,8,FALSE),"")</f>
        <v># of trees/saplings/seedlings distributed</v>
      </c>
      <c r="D9" s="1313" t="s">
        <v>175</v>
      </c>
      <c r="E9" s="1314"/>
      <c r="F9" s="1314"/>
      <c r="G9" s="1314"/>
      <c r="H9" s="1314"/>
      <c r="I9" s="1314"/>
      <c r="J9" s="1314"/>
      <c r="K9" s="1314"/>
      <c r="L9" s="1314"/>
      <c r="M9" s="1314"/>
      <c r="N9" s="1314"/>
      <c r="O9" s="1314"/>
      <c r="P9" s="1315"/>
      <c r="Q9" s="136" t="e">
        <f>SUM(E11:P11)/Q10*100%</f>
        <v>#DIV/0!</v>
      </c>
      <c r="R9" s="1295"/>
      <c r="S9" s="1292"/>
    </row>
    <row r="10" spans="1:19" s="2" customFormat="1" x14ac:dyDescent="0.35">
      <c r="A10" s="1302"/>
      <c r="B10" s="1306"/>
      <c r="C10" s="1196"/>
      <c r="D10" s="38" t="s">
        <v>431</v>
      </c>
      <c r="E10" s="40"/>
      <c r="F10" s="41"/>
      <c r="G10" s="42"/>
      <c r="H10" s="42"/>
      <c r="I10" s="42"/>
      <c r="J10" s="42"/>
      <c r="K10" s="42"/>
      <c r="L10" s="42"/>
      <c r="M10" s="42"/>
      <c r="N10" s="42"/>
      <c r="O10" s="42"/>
      <c r="P10" s="39"/>
      <c r="Q10" s="65">
        <f>SUM(E10:P10)</f>
        <v>0</v>
      </c>
      <c r="R10" s="1295"/>
      <c r="S10" s="1292"/>
    </row>
    <row r="11" spans="1:19" s="2" customFormat="1" ht="15" thickBot="1" x14ac:dyDescent="0.4">
      <c r="A11" s="1305"/>
      <c r="B11" s="1307"/>
      <c r="C11" s="1309"/>
      <c r="D11" s="9" t="s">
        <v>432</v>
      </c>
      <c r="E11" s="49"/>
      <c r="F11" s="50"/>
      <c r="G11" s="51"/>
      <c r="H11" s="51"/>
      <c r="I11" s="51"/>
      <c r="J11" s="51"/>
      <c r="K11" s="51"/>
      <c r="L11" s="51"/>
      <c r="M11" s="51"/>
      <c r="N11" s="51"/>
      <c r="O11" s="51"/>
      <c r="P11" s="52"/>
      <c r="Q11" s="140">
        <f>SUM(E11:P11)</f>
        <v>0</v>
      </c>
      <c r="R11" s="1296"/>
      <c r="S11" s="1293"/>
    </row>
    <row r="12" spans="1:19" ht="15" customHeight="1" x14ac:dyDescent="0.35">
      <c r="A12" s="1304">
        <v>4</v>
      </c>
      <c r="B12" s="1306" t="str">
        <f>IF(VLOOKUP(A:A,'Benefit-People-Indicator Ex'!Z:AD,5,FALSE)=0,"",VLOOKUP(A:A,'Benefit-People-Indicator Ex'!Z:AD,5,FALSE))</f>
        <v>B010004</v>
      </c>
      <c r="C12" s="1308" t="str">
        <f>_xlfn.IFNA(VLOOKUP(A:A,'Benefit-People-Indicator Ex'!P:W,8,FALSE),"")</f>
        <v># of kitchen gardens established</v>
      </c>
      <c r="D12" s="1310" t="s">
        <v>175</v>
      </c>
      <c r="E12" s="1311"/>
      <c r="F12" s="1311"/>
      <c r="G12" s="1311"/>
      <c r="H12" s="1311"/>
      <c r="I12" s="1311"/>
      <c r="J12" s="1311"/>
      <c r="K12" s="1311"/>
      <c r="L12" s="1311"/>
      <c r="M12" s="1311"/>
      <c r="N12" s="1311"/>
      <c r="O12" s="1311"/>
      <c r="P12" s="1312"/>
      <c r="Q12" s="138" t="e">
        <f t="shared" ref="Q12" si="0">SUM(E14:P14)/Q13*100%</f>
        <v>#DIV/0!</v>
      </c>
      <c r="R12" s="1294" t="s">
        <v>433</v>
      </c>
      <c r="S12" s="1291" t="s">
        <v>434</v>
      </c>
    </row>
    <row r="13" spans="1:19" x14ac:dyDescent="0.35">
      <c r="A13" s="1302"/>
      <c r="B13" s="1306"/>
      <c r="C13" s="1196"/>
      <c r="D13" s="38" t="s">
        <v>431</v>
      </c>
      <c r="E13" s="40"/>
      <c r="F13" s="41"/>
      <c r="G13" s="42"/>
      <c r="H13" s="42"/>
      <c r="I13" s="42"/>
      <c r="J13" s="42"/>
      <c r="K13" s="42"/>
      <c r="L13" s="42"/>
      <c r="M13" s="42"/>
      <c r="N13" s="42"/>
      <c r="O13" s="42"/>
      <c r="P13" s="39"/>
      <c r="Q13" s="65">
        <f t="shared" ref="Q13:Q14" si="1">SUM(E13:P13)</f>
        <v>0</v>
      </c>
      <c r="R13" s="1295"/>
      <c r="S13" s="1292"/>
    </row>
    <row r="14" spans="1:19" ht="15" thickBot="1" x14ac:dyDescent="0.4">
      <c r="A14" s="1305"/>
      <c r="B14" s="1307"/>
      <c r="C14" s="1309"/>
      <c r="D14" s="53" t="s">
        <v>432</v>
      </c>
      <c r="E14" s="45"/>
      <c r="F14" s="46"/>
      <c r="G14" s="47"/>
      <c r="H14" s="47"/>
      <c r="I14" s="47"/>
      <c r="J14" s="47"/>
      <c r="K14" s="47"/>
      <c r="L14" s="47"/>
      <c r="M14" s="47"/>
      <c r="N14" s="47"/>
      <c r="O14" s="47"/>
      <c r="P14" s="48"/>
      <c r="Q14" s="139">
        <f t="shared" si="1"/>
        <v>0</v>
      </c>
      <c r="R14" s="1296"/>
      <c r="S14" s="1293"/>
    </row>
    <row r="15" spans="1:19" ht="15" customHeight="1" x14ac:dyDescent="0.35">
      <c r="A15" s="1304">
        <v>5</v>
      </c>
      <c r="B15" s="1306" t="str">
        <f>IF(VLOOKUP(A:A,'Benefit-People-Indicator Ex'!Z:AD,5,FALSE)=0,"",VLOOKUP(A:A,'Benefit-People-Indicator Ex'!Z:AD,5,FALSE))</f>
        <v>B010307</v>
      </c>
      <c r="C15" s="1308" t="str">
        <f>_xlfn.IFNA(VLOOKUP(A:A,'Benefit-People-Indicator Ex'!P:W,8,FALSE),"")</f>
        <v/>
      </c>
      <c r="D15" s="1310" t="s">
        <v>175</v>
      </c>
      <c r="E15" s="1311"/>
      <c r="F15" s="1311"/>
      <c r="G15" s="1311"/>
      <c r="H15" s="1311"/>
      <c r="I15" s="1311"/>
      <c r="J15" s="1311"/>
      <c r="K15" s="1311"/>
      <c r="L15" s="1311"/>
      <c r="M15" s="1311"/>
      <c r="N15" s="1311"/>
      <c r="O15" s="1311"/>
      <c r="P15" s="1312"/>
      <c r="Q15" s="138" t="e">
        <f t="shared" ref="Q15" si="2">SUM(E17:P17)/Q16*100%</f>
        <v>#DIV/0!</v>
      </c>
      <c r="R15" s="1294" t="s">
        <v>429</v>
      </c>
      <c r="S15" s="1298" t="s">
        <v>435</v>
      </c>
    </row>
    <row r="16" spans="1:19" x14ac:dyDescent="0.35">
      <c r="A16" s="1302"/>
      <c r="B16" s="1306"/>
      <c r="C16" s="1196"/>
      <c r="D16" s="38" t="s">
        <v>431</v>
      </c>
      <c r="E16" s="40"/>
      <c r="F16" s="41"/>
      <c r="G16" s="42"/>
      <c r="H16" s="42"/>
      <c r="I16" s="42"/>
      <c r="J16" s="42"/>
      <c r="K16" s="42"/>
      <c r="L16" s="42"/>
      <c r="M16" s="42"/>
      <c r="N16" s="42"/>
      <c r="O16" s="42"/>
      <c r="P16" s="39"/>
      <c r="Q16" s="65">
        <f t="shared" ref="Q16:Q17" si="3">SUM(E16:P16)</f>
        <v>0</v>
      </c>
      <c r="R16" s="1295"/>
      <c r="S16" s="1299"/>
    </row>
    <row r="17" spans="1:19" ht="15" thickBot="1" x14ac:dyDescent="0.4">
      <c r="A17" s="1305"/>
      <c r="B17" s="1307"/>
      <c r="C17" s="1309"/>
      <c r="D17" s="53" t="s">
        <v>432</v>
      </c>
      <c r="E17" s="45"/>
      <c r="F17" s="46"/>
      <c r="G17" s="47"/>
      <c r="H17" s="47"/>
      <c r="I17" s="47"/>
      <c r="J17" s="47"/>
      <c r="K17" s="47"/>
      <c r="L17" s="47"/>
      <c r="M17" s="47"/>
      <c r="N17" s="47"/>
      <c r="O17" s="47"/>
      <c r="P17" s="48"/>
      <c r="Q17" s="139">
        <f t="shared" si="3"/>
        <v>0</v>
      </c>
      <c r="R17" s="1295"/>
      <c r="S17" s="1299"/>
    </row>
    <row r="18" spans="1:19" ht="15" customHeight="1" x14ac:dyDescent="0.35">
      <c r="A18" s="1304">
        <v>6</v>
      </c>
      <c r="B18" s="1306" t="str">
        <f>IF(VLOOKUP(A:A,'Benefit-People-Indicator Ex'!Z:AD,5,FALSE)=0,"",VLOOKUP(A:A,'Benefit-People-Indicator Ex'!Z:AD,5,FALSE))</f>
        <v>B020201</v>
      </c>
      <c r="C18" s="1308" t="str">
        <f>_xlfn.IFNA(VLOOKUP(A:A,'Benefit-People-Indicator Ex'!P:W,8,FALSE),"")</f>
        <v># of tools distributed</v>
      </c>
      <c r="D18" s="1310" t="s">
        <v>175</v>
      </c>
      <c r="E18" s="1311"/>
      <c r="F18" s="1311"/>
      <c r="G18" s="1311"/>
      <c r="H18" s="1311"/>
      <c r="I18" s="1311"/>
      <c r="J18" s="1311"/>
      <c r="K18" s="1311"/>
      <c r="L18" s="1311"/>
      <c r="M18" s="1311"/>
      <c r="N18" s="1311"/>
      <c r="O18" s="1311"/>
      <c r="P18" s="1312"/>
      <c r="Q18" s="138" t="e">
        <f t="shared" ref="Q18" si="4">SUM(E20:P20)/Q19*100%</f>
        <v>#DIV/0!</v>
      </c>
      <c r="R18" s="1295"/>
      <c r="S18" s="1299"/>
    </row>
    <row r="19" spans="1:19" x14ac:dyDescent="0.35">
      <c r="A19" s="1302"/>
      <c r="B19" s="1306"/>
      <c r="C19" s="1196"/>
      <c r="D19" s="38" t="s">
        <v>431</v>
      </c>
      <c r="E19" s="40"/>
      <c r="F19" s="41"/>
      <c r="G19" s="42"/>
      <c r="H19" s="42"/>
      <c r="I19" s="42"/>
      <c r="J19" s="42"/>
      <c r="K19" s="42"/>
      <c r="L19" s="42"/>
      <c r="M19" s="42"/>
      <c r="N19" s="42"/>
      <c r="O19" s="42"/>
      <c r="P19" s="39"/>
      <c r="Q19" s="65">
        <f t="shared" ref="Q19:Q20" si="5">SUM(E19:P19)</f>
        <v>0</v>
      </c>
      <c r="R19" s="1295"/>
      <c r="S19" s="1299"/>
    </row>
    <row r="20" spans="1:19" ht="15" thickBot="1" x14ac:dyDescent="0.4">
      <c r="A20" s="1305"/>
      <c r="B20" s="1307"/>
      <c r="C20" s="1309"/>
      <c r="D20" s="53" t="s">
        <v>432</v>
      </c>
      <c r="E20" s="45"/>
      <c r="F20" s="46"/>
      <c r="G20" s="47"/>
      <c r="H20" s="47"/>
      <c r="I20" s="47"/>
      <c r="J20" s="47"/>
      <c r="K20" s="47"/>
      <c r="L20" s="47"/>
      <c r="M20" s="47"/>
      <c r="N20" s="47"/>
      <c r="O20" s="47"/>
      <c r="P20" s="48"/>
      <c r="Q20" s="139">
        <f t="shared" si="5"/>
        <v>0</v>
      </c>
      <c r="R20" s="1295"/>
      <c r="S20" s="1299"/>
    </row>
    <row r="21" spans="1:19" ht="15" customHeight="1" x14ac:dyDescent="0.35">
      <c r="A21" s="1304">
        <v>7</v>
      </c>
      <c r="B21" s="1306" t="str">
        <f>IF(VLOOKUP(A:A,'Benefit-People-Indicator Ex'!Z:AD,5,FALSE)=0,"",VLOOKUP(A:A,'Benefit-People-Indicator Ex'!Z:AD,5,FALSE))</f>
        <v>B019991</v>
      </c>
      <c r="C21" s="1308" t="str">
        <f>_xlfn.IFNA(VLOOKUP(A:A,'Benefit-People-Indicator Ex'!P:W,8,FALSE),"")</f>
        <v># of beehives set up successfully</v>
      </c>
      <c r="D21" s="1310" t="s">
        <v>175</v>
      </c>
      <c r="E21" s="1311"/>
      <c r="F21" s="1311"/>
      <c r="G21" s="1311"/>
      <c r="H21" s="1311"/>
      <c r="I21" s="1311"/>
      <c r="J21" s="1311"/>
      <c r="K21" s="1311"/>
      <c r="L21" s="1311"/>
      <c r="M21" s="1311"/>
      <c r="N21" s="1311"/>
      <c r="O21" s="1311"/>
      <c r="P21" s="1312"/>
      <c r="Q21" s="138" t="e">
        <f t="shared" ref="Q21" si="6">SUM(E23:P23)/Q22*100%</f>
        <v>#DIV/0!</v>
      </c>
      <c r="R21" s="1294" t="s">
        <v>433</v>
      </c>
      <c r="S21" s="1299"/>
    </row>
    <row r="22" spans="1:19" x14ac:dyDescent="0.35">
      <c r="A22" s="1302"/>
      <c r="B22" s="1306"/>
      <c r="C22" s="1196"/>
      <c r="D22" s="38" t="s">
        <v>431</v>
      </c>
      <c r="E22" s="40"/>
      <c r="F22" s="41"/>
      <c r="G22" s="42"/>
      <c r="H22" s="42"/>
      <c r="I22" s="42"/>
      <c r="J22" s="42"/>
      <c r="K22" s="42"/>
      <c r="L22" s="42"/>
      <c r="M22" s="42"/>
      <c r="N22" s="42"/>
      <c r="O22" s="42"/>
      <c r="P22" s="39"/>
      <c r="Q22" s="65">
        <f t="shared" ref="Q22:Q23" si="7">SUM(E22:P22)</f>
        <v>0</v>
      </c>
      <c r="R22" s="1295"/>
      <c r="S22" s="1299"/>
    </row>
    <row r="23" spans="1:19" ht="15" thickBot="1" x14ac:dyDescent="0.4">
      <c r="A23" s="1305"/>
      <c r="B23" s="1307"/>
      <c r="C23" s="1309"/>
      <c r="D23" s="53" t="s">
        <v>432</v>
      </c>
      <c r="E23" s="45"/>
      <c r="F23" s="46"/>
      <c r="G23" s="47"/>
      <c r="H23" s="47"/>
      <c r="I23" s="47"/>
      <c r="J23" s="47"/>
      <c r="K23" s="47"/>
      <c r="L23" s="47"/>
      <c r="M23" s="47"/>
      <c r="N23" s="47"/>
      <c r="O23" s="47"/>
      <c r="P23" s="48"/>
      <c r="Q23" s="139">
        <f t="shared" si="7"/>
        <v>0</v>
      </c>
      <c r="R23" s="1296"/>
      <c r="S23" s="1299"/>
    </row>
    <row r="24" spans="1:19" ht="15" customHeight="1" x14ac:dyDescent="0.35">
      <c r="A24" s="1304">
        <v>8</v>
      </c>
      <c r="B24" s="1306" t="str">
        <f>IF(VLOOKUP(A:A,'Benefit-People-Indicator Ex'!Z:AD,5,FALSE)=0,"",VLOOKUP(A:A,'Benefit-People-Indicator Ex'!Z:AD,5,FALSE))</f>
        <v>B020200</v>
      </c>
      <c r="C24" s="1308" t="str">
        <f>_xlfn.IFNA(VLOOKUP(A:A,'Benefit-People-Indicator Ex'!P:W,8,FALSE),"")</f>
        <v>B020200</v>
      </c>
      <c r="D24" s="1310" t="s">
        <v>175</v>
      </c>
      <c r="E24" s="1311"/>
      <c r="F24" s="1311"/>
      <c r="G24" s="1311"/>
      <c r="H24" s="1311"/>
      <c r="I24" s="1311"/>
      <c r="J24" s="1311"/>
      <c r="K24" s="1311"/>
      <c r="L24" s="1311"/>
      <c r="M24" s="1311"/>
      <c r="N24" s="1311"/>
      <c r="O24" s="1311"/>
      <c r="P24" s="1312"/>
      <c r="Q24" s="138" t="e">
        <f t="shared" ref="Q24" si="8">SUM(E26:P26)/Q25*100%</f>
        <v>#DIV/0!</v>
      </c>
      <c r="R24" s="1291" t="s">
        <v>429</v>
      </c>
      <c r="S24" s="1299"/>
    </row>
    <row r="25" spans="1:19" x14ac:dyDescent="0.35">
      <c r="A25" s="1302"/>
      <c r="B25" s="1306"/>
      <c r="C25" s="1196"/>
      <c r="D25" s="38" t="s">
        <v>431</v>
      </c>
      <c r="E25" s="40"/>
      <c r="F25" s="41"/>
      <c r="G25" s="42"/>
      <c r="H25" s="42"/>
      <c r="I25" s="42"/>
      <c r="J25" s="42"/>
      <c r="K25" s="42"/>
      <c r="L25" s="42"/>
      <c r="M25" s="42"/>
      <c r="N25" s="42"/>
      <c r="O25" s="42"/>
      <c r="P25" s="39"/>
      <c r="Q25" s="65">
        <f t="shared" ref="Q25:Q26" si="9">SUM(E25:P25)</f>
        <v>0</v>
      </c>
      <c r="R25" s="1292"/>
      <c r="S25" s="1299"/>
    </row>
    <row r="26" spans="1:19" ht="15" thickBot="1" x14ac:dyDescent="0.4">
      <c r="A26" s="1305"/>
      <c r="B26" s="1307"/>
      <c r="C26" s="1309"/>
      <c r="D26" s="53" t="s">
        <v>432</v>
      </c>
      <c r="E26" s="45"/>
      <c r="F26" s="46"/>
      <c r="G26" s="47"/>
      <c r="H26" s="47"/>
      <c r="I26" s="47"/>
      <c r="J26" s="47"/>
      <c r="K26" s="47"/>
      <c r="L26" s="47"/>
      <c r="M26" s="47"/>
      <c r="N26" s="47"/>
      <c r="O26" s="47"/>
      <c r="P26" s="48"/>
      <c r="Q26" s="139">
        <f t="shared" si="9"/>
        <v>0</v>
      </c>
      <c r="R26" s="1293"/>
      <c r="S26" s="1299"/>
    </row>
    <row r="27" spans="1:19" ht="15" customHeight="1" x14ac:dyDescent="0.35">
      <c r="A27" s="1304">
        <v>9</v>
      </c>
      <c r="B27" s="1306" t="str">
        <f>IF(VLOOKUP(A:A,'Benefit-People-Indicator Ex'!Z:AD,5,FALSE)=0,"",VLOOKUP(A:A,'Benefit-People-Indicator Ex'!Z:AD,5,FALSE))</f>
        <v>B010300</v>
      </c>
      <c r="C27" s="1308" t="str">
        <f>_xlfn.IFNA(VLOOKUP(A:A,'Benefit-People-Indicator Ex'!P:W,8,FALSE),"")</f>
        <v>B010300</v>
      </c>
      <c r="D27" s="1310" t="s">
        <v>175</v>
      </c>
      <c r="E27" s="1311"/>
      <c r="F27" s="1311"/>
      <c r="G27" s="1311"/>
      <c r="H27" s="1311"/>
      <c r="I27" s="1311"/>
      <c r="J27" s="1311"/>
      <c r="K27" s="1311"/>
      <c r="L27" s="1311"/>
      <c r="M27" s="1311"/>
      <c r="N27" s="1311"/>
      <c r="O27" s="1311"/>
      <c r="P27" s="1312"/>
      <c r="Q27" s="138" t="e">
        <f t="shared" ref="Q27" si="10">SUM(E29:P29)/Q28*100%</f>
        <v>#DIV/0!</v>
      </c>
      <c r="R27" s="1291" t="s">
        <v>429</v>
      </c>
      <c r="S27" s="1299"/>
    </row>
    <row r="28" spans="1:19" x14ac:dyDescent="0.35">
      <c r="A28" s="1302"/>
      <c r="B28" s="1306"/>
      <c r="C28" s="1196"/>
      <c r="D28" s="38" t="s">
        <v>431</v>
      </c>
      <c r="E28" s="40"/>
      <c r="F28" s="41"/>
      <c r="G28" s="42"/>
      <c r="H28" s="42"/>
      <c r="I28" s="42"/>
      <c r="J28" s="42"/>
      <c r="K28" s="42"/>
      <c r="L28" s="42"/>
      <c r="M28" s="42"/>
      <c r="N28" s="42"/>
      <c r="O28" s="42"/>
      <c r="P28" s="39"/>
      <c r="Q28" s="65">
        <f t="shared" ref="Q28:Q29" si="11">SUM(E28:P28)</f>
        <v>0</v>
      </c>
      <c r="R28" s="1292"/>
      <c r="S28" s="1299"/>
    </row>
    <row r="29" spans="1:19" ht="15" thickBot="1" x14ac:dyDescent="0.4">
      <c r="A29" s="1305"/>
      <c r="B29" s="1307"/>
      <c r="C29" s="1309"/>
      <c r="D29" s="53" t="s">
        <v>432</v>
      </c>
      <c r="E29" s="45"/>
      <c r="F29" s="46"/>
      <c r="G29" s="47"/>
      <c r="H29" s="47"/>
      <c r="I29" s="47"/>
      <c r="J29" s="47"/>
      <c r="K29" s="47"/>
      <c r="L29" s="47"/>
      <c r="M29" s="47"/>
      <c r="N29" s="47"/>
      <c r="O29" s="47"/>
      <c r="P29" s="48"/>
      <c r="Q29" s="139">
        <f t="shared" si="11"/>
        <v>0</v>
      </c>
      <c r="R29" s="1293"/>
      <c r="S29" s="1300"/>
    </row>
    <row r="30" spans="1:19" ht="15" customHeight="1" x14ac:dyDescent="0.35">
      <c r="A30" s="1304">
        <v>10</v>
      </c>
      <c r="B30" s="1306" t="str">
        <f>IF(VLOOKUP(A:A,'Benefit-People-Indicator Ex'!Z:AD,5,FALSE)=0,"",VLOOKUP(A:A,'Benefit-People-Indicator Ex'!Z:AD,5,FALSE))</f>
        <v>B040001</v>
      </c>
      <c r="C30" s="1308" t="str">
        <f>_xlfn.IFNA(VLOOKUP(A:A,'Benefit-People-Indicator Ex'!P:W,8,FALSE),"")</f>
        <v># of cooking demonstrations conducted</v>
      </c>
      <c r="D30" s="1310" t="s">
        <v>175</v>
      </c>
      <c r="E30" s="1311"/>
      <c r="F30" s="1311"/>
      <c r="G30" s="1311"/>
      <c r="H30" s="1311"/>
      <c r="I30" s="1311"/>
      <c r="J30" s="1311"/>
      <c r="K30" s="1311"/>
      <c r="L30" s="1311"/>
      <c r="M30" s="1311"/>
      <c r="N30" s="1311"/>
      <c r="O30" s="1311"/>
      <c r="P30" s="1312"/>
      <c r="Q30" s="138" t="e">
        <f t="shared" ref="Q30" si="12">SUM(E32:P32)/Q31*100%</f>
        <v>#DIV/0!</v>
      </c>
      <c r="R30" s="1291" t="s">
        <v>436</v>
      </c>
      <c r="S30" s="1291" t="s">
        <v>437</v>
      </c>
    </row>
    <row r="31" spans="1:19" x14ac:dyDescent="0.35">
      <c r="A31" s="1302"/>
      <c r="B31" s="1306"/>
      <c r="C31" s="1196"/>
      <c r="D31" s="38" t="s">
        <v>431</v>
      </c>
      <c r="E31" s="40"/>
      <c r="F31" s="41"/>
      <c r="G31" s="42"/>
      <c r="H31" s="42"/>
      <c r="I31" s="42"/>
      <c r="J31" s="42"/>
      <c r="K31" s="42"/>
      <c r="L31" s="42"/>
      <c r="M31" s="42"/>
      <c r="N31" s="42"/>
      <c r="O31" s="42"/>
      <c r="P31" s="39"/>
      <c r="Q31" s="65">
        <f t="shared" ref="Q31:Q32" si="13">SUM(E31:P31)</f>
        <v>0</v>
      </c>
      <c r="R31" s="1292"/>
      <c r="S31" s="1292"/>
    </row>
    <row r="32" spans="1:19" ht="15" thickBot="1" x14ac:dyDescent="0.4">
      <c r="A32" s="1305"/>
      <c r="B32" s="1307"/>
      <c r="C32" s="1309"/>
      <c r="D32" s="53" t="s">
        <v>432</v>
      </c>
      <c r="E32" s="45"/>
      <c r="F32" s="46"/>
      <c r="G32" s="47"/>
      <c r="H32" s="47"/>
      <c r="I32" s="47"/>
      <c r="J32" s="47"/>
      <c r="K32" s="47"/>
      <c r="L32" s="47"/>
      <c r="M32" s="47"/>
      <c r="N32" s="47"/>
      <c r="O32" s="47"/>
      <c r="P32" s="48"/>
      <c r="Q32" s="139">
        <f t="shared" si="13"/>
        <v>0</v>
      </c>
      <c r="R32" s="1293"/>
      <c r="S32" s="1292"/>
    </row>
    <row r="33" spans="1:19" x14ac:dyDescent="0.35">
      <c r="A33" s="1304">
        <v>11</v>
      </c>
      <c r="B33" s="1306" t="str">
        <f>IF(VLOOKUP(A:A,'Benefit-People-Indicator Ex'!Z:AD,5,FALSE)=0,"",VLOOKUP(A:A,'Benefit-People-Indicator Ex'!Z:AD,5,FALSE))</f>
        <v/>
      </c>
      <c r="C33" s="1308" t="str">
        <f>_xlfn.IFNA(VLOOKUP(A:A,'Benefit-People-Indicator Ex'!P:W,8,FALSE),"")</f>
        <v/>
      </c>
      <c r="D33" s="1310" t="s">
        <v>175</v>
      </c>
      <c r="E33" s="1311"/>
      <c r="F33" s="1311"/>
      <c r="G33" s="1311"/>
      <c r="H33" s="1311"/>
      <c r="I33" s="1311"/>
      <c r="J33" s="1311"/>
      <c r="K33" s="1311"/>
      <c r="L33" s="1311"/>
      <c r="M33" s="1311"/>
      <c r="N33" s="1311"/>
      <c r="O33" s="1311"/>
      <c r="P33" s="1312"/>
      <c r="Q33" s="138" t="e">
        <f t="shared" ref="Q33" si="14">SUM(E35:P35)/Q34*100%</f>
        <v>#DIV/0!</v>
      </c>
      <c r="R33" s="1291" t="s">
        <v>438</v>
      </c>
      <c r="S33" s="1292"/>
    </row>
    <row r="34" spans="1:19" x14ac:dyDescent="0.35">
      <c r="A34" s="1302"/>
      <c r="B34" s="1306"/>
      <c r="C34" s="1196"/>
      <c r="D34" s="38" t="s">
        <v>431</v>
      </c>
      <c r="E34" s="40"/>
      <c r="F34" s="41"/>
      <c r="G34" s="42"/>
      <c r="H34" s="42"/>
      <c r="I34" s="42"/>
      <c r="J34" s="42"/>
      <c r="K34" s="42"/>
      <c r="L34" s="42"/>
      <c r="M34" s="42"/>
      <c r="N34" s="42"/>
      <c r="O34" s="42"/>
      <c r="P34" s="39"/>
      <c r="Q34" s="65">
        <f t="shared" ref="Q34:Q35" si="15">SUM(E34:P34)</f>
        <v>0</v>
      </c>
      <c r="R34" s="1292"/>
      <c r="S34" s="1292"/>
    </row>
    <row r="35" spans="1:19" ht="15" thickBot="1" x14ac:dyDescent="0.4">
      <c r="A35" s="1305"/>
      <c r="B35" s="1307"/>
      <c r="C35" s="1309"/>
      <c r="D35" s="53" t="s">
        <v>432</v>
      </c>
      <c r="E35" s="45"/>
      <c r="F35" s="46"/>
      <c r="G35" s="47"/>
      <c r="H35" s="47"/>
      <c r="I35" s="47"/>
      <c r="J35" s="47"/>
      <c r="K35" s="47"/>
      <c r="L35" s="47"/>
      <c r="M35" s="47"/>
      <c r="N35" s="47"/>
      <c r="O35" s="47"/>
      <c r="P35" s="48"/>
      <c r="Q35" s="139">
        <f t="shared" si="15"/>
        <v>0</v>
      </c>
      <c r="R35" s="1293"/>
      <c r="S35" s="1293"/>
    </row>
    <row r="36" spans="1:19" ht="15" customHeight="1" x14ac:dyDescent="0.35">
      <c r="A36" s="1304">
        <v>12</v>
      </c>
      <c r="B36" s="1306" t="str">
        <f>IF(VLOOKUP(A:A,'Benefit-People-Indicator Ex'!Z:AD,5,FALSE)=0,"",VLOOKUP(A:A,'Benefit-People-Indicator Ex'!Z:AD,5,FALSE))</f>
        <v/>
      </c>
      <c r="C36" s="1308" t="str">
        <f>_xlfn.IFNA(VLOOKUP(A:A,'Benefit-People-Indicator Ex'!P:W,8,FALSE),"")</f>
        <v/>
      </c>
      <c r="D36" s="1310" t="s">
        <v>175</v>
      </c>
      <c r="E36" s="1311"/>
      <c r="F36" s="1311"/>
      <c r="G36" s="1311"/>
      <c r="H36" s="1311"/>
      <c r="I36" s="1311"/>
      <c r="J36" s="1311"/>
      <c r="K36" s="1311"/>
      <c r="L36" s="1311"/>
      <c r="M36" s="1311"/>
      <c r="N36" s="1311"/>
      <c r="O36" s="1311"/>
      <c r="P36" s="1312"/>
      <c r="Q36" s="138" t="e">
        <f t="shared" ref="Q36" si="16">SUM(E38:P38)/Q37*100%</f>
        <v>#DIV/0!</v>
      </c>
      <c r="R36" s="1294" t="s">
        <v>433</v>
      </c>
      <c r="S36" s="1291" t="s">
        <v>434</v>
      </c>
    </row>
    <row r="37" spans="1:19" x14ac:dyDescent="0.35">
      <c r="A37" s="1302"/>
      <c r="B37" s="1306"/>
      <c r="C37" s="1196"/>
      <c r="D37" s="38" t="s">
        <v>431</v>
      </c>
      <c r="E37" s="40"/>
      <c r="F37" s="41"/>
      <c r="G37" s="42"/>
      <c r="H37" s="42"/>
      <c r="I37" s="42"/>
      <c r="J37" s="42"/>
      <c r="K37" s="42"/>
      <c r="L37" s="42"/>
      <c r="M37" s="42"/>
      <c r="N37" s="42"/>
      <c r="O37" s="42"/>
      <c r="P37" s="39"/>
      <c r="Q37" s="65">
        <f t="shared" ref="Q37:Q38" si="17">SUM(E37:P37)</f>
        <v>0</v>
      </c>
      <c r="R37" s="1295"/>
      <c r="S37" s="1292"/>
    </row>
    <row r="38" spans="1:19" ht="15" thickBot="1" x14ac:dyDescent="0.4">
      <c r="A38" s="1305"/>
      <c r="B38" s="1307"/>
      <c r="C38" s="1309"/>
      <c r="D38" s="53" t="s">
        <v>432</v>
      </c>
      <c r="E38" s="45"/>
      <c r="F38" s="46"/>
      <c r="G38" s="47"/>
      <c r="H38" s="47"/>
      <c r="I38" s="47"/>
      <c r="J38" s="47"/>
      <c r="K38" s="47"/>
      <c r="L38" s="47"/>
      <c r="M38" s="47"/>
      <c r="N38" s="47"/>
      <c r="O38" s="47"/>
      <c r="P38" s="48"/>
      <c r="Q38" s="139">
        <f t="shared" si="17"/>
        <v>0</v>
      </c>
      <c r="R38" s="1296"/>
      <c r="S38" s="1293"/>
    </row>
    <row r="39" spans="1:19" x14ac:dyDescent="0.35">
      <c r="A39" s="1304">
        <v>13</v>
      </c>
      <c r="B39" s="1306" t="str">
        <f>IF(VLOOKUP(A:A,'Benefit-People-Indicator Ex'!Z:AD,5,FALSE)=0,"",VLOOKUP(A:A,'Benefit-People-Indicator Ex'!Z:AD,5,FALSE))</f>
        <v/>
      </c>
      <c r="C39" s="1308" t="str">
        <f>_xlfn.IFNA(VLOOKUP(A:A,'Benefit-People-Indicator Ex'!P:W,8,FALSE),"")</f>
        <v/>
      </c>
      <c r="D39" s="1310" t="s">
        <v>175</v>
      </c>
      <c r="E39" s="1311"/>
      <c r="F39" s="1311"/>
      <c r="G39" s="1311"/>
      <c r="H39" s="1311"/>
      <c r="I39" s="1311"/>
      <c r="J39" s="1311"/>
      <c r="K39" s="1311"/>
      <c r="L39" s="1311"/>
      <c r="M39" s="1311"/>
      <c r="N39" s="1311"/>
      <c r="O39" s="1311"/>
      <c r="P39" s="1312"/>
      <c r="Q39" s="138" t="e">
        <f t="shared" ref="Q39" si="18">SUM(E41:P41)/Q40*100%</f>
        <v>#DIV/0!</v>
      </c>
      <c r="R39" s="1294"/>
      <c r="S39" s="1294"/>
    </row>
    <row r="40" spans="1:19" x14ac:dyDescent="0.35">
      <c r="A40" s="1302"/>
      <c r="B40" s="1306"/>
      <c r="C40" s="1196"/>
      <c r="D40" s="38" t="s">
        <v>431</v>
      </c>
      <c r="E40" s="40"/>
      <c r="F40" s="41"/>
      <c r="G40" s="42"/>
      <c r="H40" s="42"/>
      <c r="I40" s="42"/>
      <c r="J40" s="42"/>
      <c r="K40" s="42"/>
      <c r="L40" s="42"/>
      <c r="M40" s="42"/>
      <c r="N40" s="42"/>
      <c r="O40" s="42"/>
      <c r="P40" s="39"/>
      <c r="Q40" s="65">
        <f t="shared" ref="Q40:Q41" si="19">SUM(E40:P40)</f>
        <v>0</v>
      </c>
      <c r="R40" s="1295"/>
      <c r="S40" s="1295"/>
    </row>
    <row r="41" spans="1:19" ht="15" thickBot="1" x14ac:dyDescent="0.4">
      <c r="A41" s="1305"/>
      <c r="B41" s="1307"/>
      <c r="C41" s="1309"/>
      <c r="D41" s="53" t="s">
        <v>432</v>
      </c>
      <c r="E41" s="45"/>
      <c r="F41" s="46"/>
      <c r="G41" s="47"/>
      <c r="H41" s="47"/>
      <c r="I41" s="47"/>
      <c r="J41" s="47"/>
      <c r="K41" s="47"/>
      <c r="L41" s="47"/>
      <c r="M41" s="47"/>
      <c r="N41" s="47"/>
      <c r="O41" s="47"/>
      <c r="P41" s="48"/>
      <c r="Q41" s="139">
        <f t="shared" si="19"/>
        <v>0</v>
      </c>
      <c r="R41" s="1296"/>
      <c r="S41" s="1296"/>
    </row>
    <row r="42" spans="1:19" x14ac:dyDescent="0.35">
      <c r="A42" s="1304">
        <v>14</v>
      </c>
      <c r="B42" s="1306" t="str">
        <f>IF(VLOOKUP(A:A,'Benefit-People-Indicator Ex'!Z:AD,5,FALSE)=0,"",VLOOKUP(A:A,'Benefit-People-Indicator Ex'!Z:AD,5,FALSE))</f>
        <v/>
      </c>
      <c r="C42" s="1308" t="str">
        <f>_xlfn.IFNA(VLOOKUP(A:A,'Benefit-People-Indicator Ex'!P:W,8,FALSE),"")</f>
        <v/>
      </c>
      <c r="D42" s="1310" t="s">
        <v>175</v>
      </c>
      <c r="E42" s="1311"/>
      <c r="F42" s="1311"/>
      <c r="G42" s="1311"/>
      <c r="H42" s="1311"/>
      <c r="I42" s="1311"/>
      <c r="J42" s="1311"/>
      <c r="K42" s="1311"/>
      <c r="L42" s="1311"/>
      <c r="M42" s="1311"/>
      <c r="N42" s="1311"/>
      <c r="O42" s="1311"/>
      <c r="P42" s="1312"/>
      <c r="Q42" s="138" t="e">
        <f t="shared" ref="Q42" si="20">SUM(E44:P44)/Q43*100%</f>
        <v>#DIV/0!</v>
      </c>
      <c r="R42" s="1294"/>
      <c r="S42" s="1294"/>
    </row>
    <row r="43" spans="1:19" x14ac:dyDescent="0.35">
      <c r="A43" s="1302"/>
      <c r="B43" s="1306"/>
      <c r="C43" s="1196"/>
      <c r="D43" s="38" t="s">
        <v>431</v>
      </c>
      <c r="E43" s="40"/>
      <c r="F43" s="41"/>
      <c r="G43" s="42"/>
      <c r="H43" s="42"/>
      <c r="I43" s="42"/>
      <c r="J43" s="42"/>
      <c r="K43" s="42"/>
      <c r="L43" s="42"/>
      <c r="M43" s="42"/>
      <c r="N43" s="42"/>
      <c r="O43" s="42"/>
      <c r="P43" s="39"/>
      <c r="Q43" s="65">
        <f t="shared" ref="Q43:Q44" si="21">SUM(E43:P43)</f>
        <v>0</v>
      </c>
      <c r="R43" s="1295"/>
      <c r="S43" s="1295"/>
    </row>
    <row r="44" spans="1:19" ht="15" thickBot="1" x14ac:dyDescent="0.4">
      <c r="A44" s="1305"/>
      <c r="B44" s="1307"/>
      <c r="C44" s="1309"/>
      <c r="D44" s="53" t="s">
        <v>432</v>
      </c>
      <c r="E44" s="45"/>
      <c r="F44" s="46"/>
      <c r="G44" s="47"/>
      <c r="H44" s="47"/>
      <c r="I44" s="47"/>
      <c r="J44" s="47"/>
      <c r="K44" s="47"/>
      <c r="L44" s="47"/>
      <c r="M44" s="47"/>
      <c r="N44" s="47"/>
      <c r="O44" s="47"/>
      <c r="P44" s="48"/>
      <c r="Q44" s="139">
        <f t="shared" si="21"/>
        <v>0</v>
      </c>
      <c r="R44" s="1296"/>
      <c r="S44" s="1296"/>
    </row>
    <row r="45" spans="1:19" x14ac:dyDescent="0.35">
      <c r="A45" s="1304">
        <v>15</v>
      </c>
      <c r="B45" s="1306" t="str">
        <f>IF(VLOOKUP(A:A,'Benefit-People-Indicator Ex'!Z:AD,5,FALSE)=0,"",VLOOKUP(A:A,'Benefit-People-Indicator Ex'!Z:AD,5,FALSE))</f>
        <v/>
      </c>
      <c r="C45" s="1308" t="str">
        <f>_xlfn.IFNA(VLOOKUP(A:A,'Benefit-People-Indicator Ex'!P:W,8,FALSE),"")</f>
        <v/>
      </c>
      <c r="D45" s="1310" t="s">
        <v>175</v>
      </c>
      <c r="E45" s="1311"/>
      <c r="F45" s="1311"/>
      <c r="G45" s="1311"/>
      <c r="H45" s="1311"/>
      <c r="I45" s="1311"/>
      <c r="J45" s="1311"/>
      <c r="K45" s="1311"/>
      <c r="L45" s="1311"/>
      <c r="M45" s="1311"/>
      <c r="N45" s="1311"/>
      <c r="O45" s="1311"/>
      <c r="P45" s="1312"/>
      <c r="Q45" s="138" t="e">
        <f t="shared" ref="Q45" si="22">SUM(E47:P47)/Q46*100%</f>
        <v>#DIV/0!</v>
      </c>
      <c r="R45" s="1294"/>
      <c r="S45" s="1294"/>
    </row>
    <row r="46" spans="1:19" x14ac:dyDescent="0.35">
      <c r="A46" s="1302"/>
      <c r="B46" s="1306"/>
      <c r="C46" s="1196"/>
      <c r="D46" s="38" t="s">
        <v>431</v>
      </c>
      <c r="E46" s="40"/>
      <c r="F46" s="41"/>
      <c r="G46" s="42"/>
      <c r="H46" s="42"/>
      <c r="I46" s="42"/>
      <c r="J46" s="42"/>
      <c r="K46" s="42"/>
      <c r="L46" s="42"/>
      <c r="M46" s="42"/>
      <c r="N46" s="42"/>
      <c r="O46" s="42"/>
      <c r="P46" s="39"/>
      <c r="Q46" s="65">
        <f t="shared" ref="Q46:Q47" si="23">SUM(E46:P46)</f>
        <v>0</v>
      </c>
      <c r="R46" s="1295"/>
      <c r="S46" s="1295"/>
    </row>
    <row r="47" spans="1:19" ht="15" thickBot="1" x14ac:dyDescent="0.4">
      <c r="A47" s="1305"/>
      <c r="B47" s="1307"/>
      <c r="C47" s="1309"/>
      <c r="D47" s="53" t="s">
        <v>432</v>
      </c>
      <c r="E47" s="45"/>
      <c r="F47" s="46"/>
      <c r="G47" s="47"/>
      <c r="H47" s="47"/>
      <c r="I47" s="47"/>
      <c r="J47" s="47"/>
      <c r="K47" s="47"/>
      <c r="L47" s="47"/>
      <c r="M47" s="47"/>
      <c r="N47" s="47"/>
      <c r="O47" s="47"/>
      <c r="P47" s="48"/>
      <c r="Q47" s="139">
        <f t="shared" si="23"/>
        <v>0</v>
      </c>
      <c r="R47" s="1296"/>
      <c r="S47" s="1296"/>
    </row>
    <row r="48" spans="1:19" x14ac:dyDescent="0.35">
      <c r="A48" s="1304">
        <v>16</v>
      </c>
      <c r="B48" s="1306" t="str">
        <f>IF(VLOOKUP(A:A,'Benefit-People-Indicator Ex'!Z:AD,5,FALSE)=0,"",VLOOKUP(A:A,'Benefit-People-Indicator Ex'!Z:AD,5,FALSE))</f>
        <v/>
      </c>
      <c r="C48" s="1308" t="str">
        <f>_xlfn.IFNA(VLOOKUP(A:A,'Benefit-People-Indicator Ex'!P:W,8,FALSE),"")</f>
        <v/>
      </c>
      <c r="D48" s="1310" t="s">
        <v>175</v>
      </c>
      <c r="E48" s="1311"/>
      <c r="F48" s="1311"/>
      <c r="G48" s="1311"/>
      <c r="H48" s="1311"/>
      <c r="I48" s="1311"/>
      <c r="J48" s="1311"/>
      <c r="K48" s="1311"/>
      <c r="L48" s="1311"/>
      <c r="M48" s="1311"/>
      <c r="N48" s="1311"/>
      <c r="O48" s="1311"/>
      <c r="P48" s="1312"/>
      <c r="Q48" s="138" t="e">
        <f t="shared" ref="Q48" si="24">SUM(E50:P50)/Q49*100%</f>
        <v>#DIV/0!</v>
      </c>
      <c r="R48" s="1294"/>
      <c r="S48" s="1294"/>
    </row>
    <row r="49" spans="1:19" x14ac:dyDescent="0.35">
      <c r="A49" s="1302"/>
      <c r="B49" s="1306"/>
      <c r="C49" s="1196"/>
      <c r="D49" s="38" t="s">
        <v>431</v>
      </c>
      <c r="E49" s="40"/>
      <c r="F49" s="41"/>
      <c r="G49" s="42"/>
      <c r="H49" s="42"/>
      <c r="I49" s="42"/>
      <c r="J49" s="42"/>
      <c r="K49" s="42"/>
      <c r="L49" s="42"/>
      <c r="M49" s="42"/>
      <c r="N49" s="42"/>
      <c r="O49" s="42"/>
      <c r="P49" s="39"/>
      <c r="Q49" s="65">
        <f t="shared" ref="Q49:Q50" si="25">SUM(E49:P49)</f>
        <v>0</v>
      </c>
      <c r="R49" s="1295"/>
      <c r="S49" s="1295"/>
    </row>
    <row r="50" spans="1:19" ht="15" thickBot="1" x14ac:dyDescent="0.4">
      <c r="A50" s="1305"/>
      <c r="B50" s="1307"/>
      <c r="C50" s="1309"/>
      <c r="D50" s="53" t="s">
        <v>432</v>
      </c>
      <c r="E50" s="45"/>
      <c r="F50" s="46"/>
      <c r="G50" s="47"/>
      <c r="H50" s="47"/>
      <c r="I50" s="47"/>
      <c r="J50" s="47"/>
      <c r="K50" s="47"/>
      <c r="L50" s="47"/>
      <c r="M50" s="47"/>
      <c r="N50" s="47"/>
      <c r="O50" s="47"/>
      <c r="P50" s="48"/>
      <c r="Q50" s="139">
        <f t="shared" si="25"/>
        <v>0</v>
      </c>
      <c r="R50" s="1296"/>
      <c r="S50" s="1296"/>
    </row>
    <row r="51" spans="1:19" x14ac:dyDescent="0.35">
      <c r="A51" s="1304">
        <v>17</v>
      </c>
      <c r="B51" s="1306" t="str">
        <f>IF(VLOOKUP(A:A,'Benefit-People-Indicator Ex'!Z:AD,5,FALSE)=0,"",VLOOKUP(A:A,'Benefit-People-Indicator Ex'!Z:AD,5,FALSE))</f>
        <v/>
      </c>
      <c r="C51" s="1308" t="str">
        <f>_xlfn.IFNA(VLOOKUP(A:A,'Benefit-People-Indicator Ex'!P:W,8,FALSE),"")</f>
        <v/>
      </c>
      <c r="D51" s="1310" t="s">
        <v>175</v>
      </c>
      <c r="E51" s="1311"/>
      <c r="F51" s="1311"/>
      <c r="G51" s="1311"/>
      <c r="H51" s="1311"/>
      <c r="I51" s="1311"/>
      <c r="J51" s="1311"/>
      <c r="K51" s="1311"/>
      <c r="L51" s="1311"/>
      <c r="M51" s="1311"/>
      <c r="N51" s="1311"/>
      <c r="O51" s="1311"/>
      <c r="P51" s="1312"/>
      <c r="Q51" s="138" t="e">
        <f t="shared" ref="Q51" si="26">SUM(E53:P53)/Q52*100%</f>
        <v>#DIV/0!</v>
      </c>
      <c r="R51" s="1294"/>
      <c r="S51" s="1294"/>
    </row>
    <row r="52" spans="1:19" x14ac:dyDescent="0.35">
      <c r="A52" s="1302"/>
      <c r="B52" s="1306"/>
      <c r="C52" s="1196"/>
      <c r="D52" s="38" t="s">
        <v>431</v>
      </c>
      <c r="E52" s="40"/>
      <c r="F52" s="41"/>
      <c r="G52" s="42"/>
      <c r="H52" s="42"/>
      <c r="I52" s="42"/>
      <c r="J52" s="42"/>
      <c r="K52" s="42"/>
      <c r="L52" s="42"/>
      <c r="M52" s="42"/>
      <c r="N52" s="42"/>
      <c r="O52" s="42"/>
      <c r="P52" s="39"/>
      <c r="Q52" s="65">
        <f t="shared" ref="Q52:Q53" si="27">SUM(E52:P52)</f>
        <v>0</v>
      </c>
      <c r="R52" s="1295"/>
      <c r="S52" s="1295"/>
    </row>
    <row r="53" spans="1:19" ht="15" thickBot="1" x14ac:dyDescent="0.4">
      <c r="A53" s="1305"/>
      <c r="B53" s="1307"/>
      <c r="C53" s="1309"/>
      <c r="D53" s="53" t="s">
        <v>432</v>
      </c>
      <c r="E53" s="45"/>
      <c r="F53" s="46"/>
      <c r="G53" s="47"/>
      <c r="H53" s="47"/>
      <c r="I53" s="47"/>
      <c r="J53" s="47"/>
      <c r="K53" s="47"/>
      <c r="L53" s="47"/>
      <c r="M53" s="47"/>
      <c r="N53" s="47"/>
      <c r="O53" s="47"/>
      <c r="P53" s="48"/>
      <c r="Q53" s="139">
        <f t="shared" si="27"/>
        <v>0</v>
      </c>
      <c r="R53" s="1296"/>
      <c r="S53" s="1296"/>
    </row>
    <row r="54" spans="1:19" x14ac:dyDescent="0.35">
      <c r="A54" s="1304">
        <v>18</v>
      </c>
      <c r="B54" s="1306" t="str">
        <f>IF(VLOOKUP(A:A,'Benefit-People-Indicator Ex'!Z:AD,5,FALSE)=0,"",VLOOKUP(A:A,'Benefit-People-Indicator Ex'!Z:AD,5,FALSE))</f>
        <v/>
      </c>
      <c r="C54" s="1308" t="str">
        <f>_xlfn.IFNA(VLOOKUP(A:A,'Benefit-People-Indicator Ex'!P:W,8,FALSE),"")</f>
        <v/>
      </c>
      <c r="D54" s="1310" t="s">
        <v>175</v>
      </c>
      <c r="E54" s="1311"/>
      <c r="F54" s="1311"/>
      <c r="G54" s="1311"/>
      <c r="H54" s="1311"/>
      <c r="I54" s="1311"/>
      <c r="J54" s="1311"/>
      <c r="K54" s="1311"/>
      <c r="L54" s="1311"/>
      <c r="M54" s="1311"/>
      <c r="N54" s="1311"/>
      <c r="O54" s="1311"/>
      <c r="P54" s="1312"/>
      <c r="Q54" s="138" t="e">
        <f t="shared" ref="Q54" si="28">SUM(E56:P56)/Q55*100%</f>
        <v>#DIV/0!</v>
      </c>
      <c r="R54" s="1294"/>
      <c r="S54" s="1294"/>
    </row>
    <row r="55" spans="1:19" x14ac:dyDescent="0.35">
      <c r="A55" s="1302"/>
      <c r="B55" s="1306"/>
      <c r="C55" s="1196"/>
      <c r="D55" s="38" t="s">
        <v>431</v>
      </c>
      <c r="E55" s="40"/>
      <c r="F55" s="41"/>
      <c r="G55" s="42"/>
      <c r="H55" s="42"/>
      <c r="I55" s="42"/>
      <c r="J55" s="42"/>
      <c r="K55" s="42"/>
      <c r="L55" s="42"/>
      <c r="M55" s="42"/>
      <c r="N55" s="42"/>
      <c r="O55" s="42"/>
      <c r="P55" s="39"/>
      <c r="Q55" s="65">
        <f t="shared" ref="Q55:Q56" si="29">SUM(E55:P55)</f>
        <v>0</v>
      </c>
      <c r="R55" s="1295"/>
      <c r="S55" s="1295"/>
    </row>
    <row r="56" spans="1:19" ht="15" thickBot="1" x14ac:dyDescent="0.4">
      <c r="A56" s="1305"/>
      <c r="B56" s="1307"/>
      <c r="C56" s="1309"/>
      <c r="D56" s="53" t="s">
        <v>432</v>
      </c>
      <c r="E56" s="45"/>
      <c r="F56" s="46"/>
      <c r="G56" s="47"/>
      <c r="H56" s="47"/>
      <c r="I56" s="47"/>
      <c r="J56" s="47"/>
      <c r="K56" s="47"/>
      <c r="L56" s="47"/>
      <c r="M56" s="47"/>
      <c r="N56" s="47"/>
      <c r="O56" s="47"/>
      <c r="P56" s="48"/>
      <c r="Q56" s="139">
        <f t="shared" si="29"/>
        <v>0</v>
      </c>
      <c r="R56" s="1296"/>
      <c r="S56" s="1296"/>
    </row>
    <row r="57" spans="1:19" x14ac:dyDescent="0.35">
      <c r="A57" s="1304">
        <v>19</v>
      </c>
      <c r="B57" s="1306" t="str">
        <f>IF(VLOOKUP(A:A,'Benefit-People-Indicator Ex'!Z:AD,5,FALSE)=0,"",VLOOKUP(A:A,'Benefit-People-Indicator Ex'!Z:AD,5,FALSE))</f>
        <v/>
      </c>
      <c r="C57" s="1308" t="str">
        <f>_xlfn.IFNA(VLOOKUP(A:A,'Benefit-People-Indicator Ex'!P:W,8,FALSE),"")</f>
        <v/>
      </c>
      <c r="D57" s="1310" t="s">
        <v>175</v>
      </c>
      <c r="E57" s="1311"/>
      <c r="F57" s="1311"/>
      <c r="G57" s="1311"/>
      <c r="H57" s="1311"/>
      <c r="I57" s="1311"/>
      <c r="J57" s="1311"/>
      <c r="K57" s="1311"/>
      <c r="L57" s="1311"/>
      <c r="M57" s="1311"/>
      <c r="N57" s="1311"/>
      <c r="O57" s="1311"/>
      <c r="P57" s="1312"/>
      <c r="Q57" s="138" t="e">
        <f t="shared" ref="Q57" si="30">SUM(E59:P59)/Q58*100%</f>
        <v>#DIV/0!</v>
      </c>
      <c r="R57" s="1294"/>
      <c r="S57" s="1294"/>
    </row>
    <row r="58" spans="1:19" x14ac:dyDescent="0.35">
      <c r="A58" s="1302"/>
      <c r="B58" s="1306"/>
      <c r="C58" s="1196"/>
      <c r="D58" s="38" t="s">
        <v>431</v>
      </c>
      <c r="E58" s="40"/>
      <c r="F58" s="41"/>
      <c r="G58" s="42"/>
      <c r="H58" s="42"/>
      <c r="I58" s="42"/>
      <c r="J58" s="42"/>
      <c r="K58" s="42"/>
      <c r="L58" s="42"/>
      <c r="M58" s="42"/>
      <c r="N58" s="42"/>
      <c r="O58" s="42"/>
      <c r="P58" s="39"/>
      <c r="Q58" s="65">
        <f t="shared" ref="Q58:Q59" si="31">SUM(E58:P58)</f>
        <v>0</v>
      </c>
      <c r="R58" s="1295"/>
      <c r="S58" s="1295"/>
    </row>
    <row r="59" spans="1:19" ht="15" thickBot="1" x14ac:dyDescent="0.4">
      <c r="A59" s="1305"/>
      <c r="B59" s="1307"/>
      <c r="C59" s="1309"/>
      <c r="D59" s="53" t="s">
        <v>432</v>
      </c>
      <c r="E59" s="45"/>
      <c r="F59" s="46"/>
      <c r="G59" s="47"/>
      <c r="H59" s="47"/>
      <c r="I59" s="47"/>
      <c r="J59" s="47"/>
      <c r="K59" s="47"/>
      <c r="L59" s="47"/>
      <c r="M59" s="47"/>
      <c r="N59" s="47"/>
      <c r="O59" s="47"/>
      <c r="P59" s="48"/>
      <c r="Q59" s="139">
        <f t="shared" si="31"/>
        <v>0</v>
      </c>
      <c r="R59" s="1296"/>
      <c r="S59" s="1296"/>
    </row>
    <row r="60" spans="1:19" x14ac:dyDescent="0.35">
      <c r="A60" s="1304">
        <v>20</v>
      </c>
      <c r="B60" s="1306" t="str">
        <f>IF(VLOOKUP(A:A,'Benefit-People-Indicator Ex'!Z:AD,5,FALSE)=0,"",VLOOKUP(A:A,'Benefit-People-Indicator Ex'!Z:AD,5,FALSE))</f>
        <v/>
      </c>
      <c r="C60" s="1308" t="str">
        <f>_xlfn.IFNA(VLOOKUP(A:A,'Benefit-People-Indicator Ex'!P:W,8,FALSE),"")</f>
        <v/>
      </c>
      <c r="D60" s="1310" t="s">
        <v>175</v>
      </c>
      <c r="E60" s="1311"/>
      <c r="F60" s="1311"/>
      <c r="G60" s="1311"/>
      <c r="H60" s="1311"/>
      <c r="I60" s="1311"/>
      <c r="J60" s="1311"/>
      <c r="K60" s="1311"/>
      <c r="L60" s="1311"/>
      <c r="M60" s="1311"/>
      <c r="N60" s="1311"/>
      <c r="O60" s="1311"/>
      <c r="P60" s="1312"/>
      <c r="Q60" s="138" t="e">
        <f t="shared" ref="Q60" si="32">SUM(E62:P62)/Q61*100%</f>
        <v>#DIV/0!</v>
      </c>
      <c r="R60" s="1294"/>
      <c r="S60" s="1294"/>
    </row>
    <row r="61" spans="1:19" x14ac:dyDescent="0.35">
      <c r="A61" s="1302"/>
      <c r="B61" s="1306"/>
      <c r="C61" s="1196"/>
      <c r="D61" s="38" t="s">
        <v>431</v>
      </c>
      <c r="E61" s="40"/>
      <c r="F61" s="41"/>
      <c r="G61" s="42"/>
      <c r="H61" s="42"/>
      <c r="I61" s="42"/>
      <c r="J61" s="42"/>
      <c r="K61" s="42"/>
      <c r="L61" s="42"/>
      <c r="M61" s="42"/>
      <c r="N61" s="42"/>
      <c r="O61" s="42"/>
      <c r="P61" s="39"/>
      <c r="Q61" s="65">
        <f t="shared" ref="Q61:Q62" si="33">SUM(E61:P61)</f>
        <v>0</v>
      </c>
      <c r="R61" s="1295"/>
      <c r="S61" s="1295"/>
    </row>
    <row r="62" spans="1:19" ht="15" thickBot="1" x14ac:dyDescent="0.4">
      <c r="A62" s="1305"/>
      <c r="B62" s="1307"/>
      <c r="C62" s="1309"/>
      <c r="D62" s="53" t="s">
        <v>432</v>
      </c>
      <c r="E62" s="45"/>
      <c r="F62" s="46"/>
      <c r="G62" s="47"/>
      <c r="H62" s="47"/>
      <c r="I62" s="47"/>
      <c r="J62" s="47"/>
      <c r="K62" s="47"/>
      <c r="L62" s="47"/>
      <c r="M62" s="47"/>
      <c r="N62" s="47"/>
      <c r="O62" s="47"/>
      <c r="P62" s="48"/>
      <c r="Q62" s="139">
        <f t="shared" si="33"/>
        <v>0</v>
      </c>
      <c r="R62" s="1296"/>
      <c r="S62" s="1296"/>
    </row>
    <row r="63" spans="1:19" x14ac:dyDescent="0.35">
      <c r="A63" s="1304">
        <v>21</v>
      </c>
      <c r="B63" s="1306" t="str">
        <f>IF(VLOOKUP(A:A,'Benefit-People-Indicator Ex'!Z:AD,5,FALSE)=0,"",VLOOKUP(A:A,'Benefit-People-Indicator Ex'!Z:AD,5,FALSE))</f>
        <v/>
      </c>
      <c r="C63" s="1308" t="str">
        <f>_xlfn.IFNA(VLOOKUP(A:A,'Benefit-People-Indicator Ex'!P:W,8,FALSE),"")</f>
        <v/>
      </c>
      <c r="D63" s="1310" t="s">
        <v>175</v>
      </c>
      <c r="E63" s="1311"/>
      <c r="F63" s="1311"/>
      <c r="G63" s="1311"/>
      <c r="H63" s="1311"/>
      <c r="I63" s="1311"/>
      <c r="J63" s="1311"/>
      <c r="K63" s="1311"/>
      <c r="L63" s="1311"/>
      <c r="M63" s="1311"/>
      <c r="N63" s="1311"/>
      <c r="O63" s="1311"/>
      <c r="P63" s="1312"/>
      <c r="Q63" s="138" t="e">
        <f t="shared" ref="Q63" si="34">SUM(E65:P65)/Q64*100%</f>
        <v>#DIV/0!</v>
      </c>
      <c r="R63" s="1294"/>
      <c r="S63" s="1294"/>
    </row>
    <row r="64" spans="1:19" x14ac:dyDescent="0.35">
      <c r="A64" s="1302"/>
      <c r="B64" s="1306"/>
      <c r="C64" s="1196"/>
      <c r="D64" s="38" t="s">
        <v>431</v>
      </c>
      <c r="E64" s="40"/>
      <c r="F64" s="41"/>
      <c r="G64" s="42"/>
      <c r="H64" s="42"/>
      <c r="I64" s="42"/>
      <c r="J64" s="42"/>
      <c r="K64" s="42"/>
      <c r="L64" s="42"/>
      <c r="M64" s="42"/>
      <c r="N64" s="42"/>
      <c r="O64" s="42"/>
      <c r="P64" s="39"/>
      <c r="Q64" s="65">
        <f t="shared" ref="Q64:Q65" si="35">SUM(E64:P64)</f>
        <v>0</v>
      </c>
      <c r="R64" s="1295"/>
      <c r="S64" s="1295"/>
    </row>
    <row r="65" spans="1:19" ht="15" thickBot="1" x14ac:dyDescent="0.4">
      <c r="A65" s="1305"/>
      <c r="B65" s="1307"/>
      <c r="C65" s="1309"/>
      <c r="D65" s="53" t="s">
        <v>432</v>
      </c>
      <c r="E65" s="45"/>
      <c r="F65" s="46"/>
      <c r="G65" s="47"/>
      <c r="H65" s="47"/>
      <c r="I65" s="47"/>
      <c r="J65" s="47"/>
      <c r="K65" s="47"/>
      <c r="L65" s="47"/>
      <c r="M65" s="47"/>
      <c r="N65" s="47"/>
      <c r="O65" s="47"/>
      <c r="P65" s="48"/>
      <c r="Q65" s="139">
        <f t="shared" si="35"/>
        <v>0</v>
      </c>
      <c r="R65" s="1296"/>
      <c r="S65" s="1296"/>
    </row>
    <row r="66" spans="1:19" x14ac:dyDescent="0.35">
      <c r="A66" s="1304">
        <v>22</v>
      </c>
      <c r="B66" s="1306" t="str">
        <f>IF(VLOOKUP(A:A,'Benefit-People-Indicator Ex'!Z:AD,5,FALSE)=0,"",VLOOKUP(A:A,'Benefit-People-Indicator Ex'!Z:AD,5,FALSE))</f>
        <v/>
      </c>
      <c r="C66" s="1308" t="str">
        <f>_xlfn.IFNA(VLOOKUP(A:A,'Benefit-People-Indicator Ex'!P:W,8,FALSE),"")</f>
        <v/>
      </c>
      <c r="D66" s="1310" t="s">
        <v>175</v>
      </c>
      <c r="E66" s="1311"/>
      <c r="F66" s="1311"/>
      <c r="G66" s="1311"/>
      <c r="H66" s="1311"/>
      <c r="I66" s="1311"/>
      <c r="J66" s="1311"/>
      <c r="K66" s="1311"/>
      <c r="L66" s="1311"/>
      <c r="M66" s="1311"/>
      <c r="N66" s="1311"/>
      <c r="O66" s="1311"/>
      <c r="P66" s="1312"/>
      <c r="Q66" s="138" t="e">
        <f t="shared" ref="Q66" si="36">SUM(E68:P68)/Q67*100%</f>
        <v>#DIV/0!</v>
      </c>
      <c r="R66" s="1294"/>
      <c r="S66" s="1294"/>
    </row>
    <row r="67" spans="1:19" x14ac:dyDescent="0.35">
      <c r="A67" s="1302"/>
      <c r="B67" s="1306"/>
      <c r="C67" s="1196"/>
      <c r="D67" s="38" t="s">
        <v>431</v>
      </c>
      <c r="E67" s="40"/>
      <c r="F67" s="41"/>
      <c r="G67" s="42"/>
      <c r="H67" s="42"/>
      <c r="I67" s="42"/>
      <c r="J67" s="42"/>
      <c r="K67" s="42"/>
      <c r="L67" s="42"/>
      <c r="M67" s="42"/>
      <c r="N67" s="42"/>
      <c r="O67" s="42"/>
      <c r="P67" s="39"/>
      <c r="Q67" s="65">
        <f t="shared" ref="Q67:Q68" si="37">SUM(E67:P67)</f>
        <v>0</v>
      </c>
      <c r="R67" s="1295"/>
      <c r="S67" s="1295"/>
    </row>
    <row r="68" spans="1:19" ht="15" thickBot="1" x14ac:dyDescent="0.4">
      <c r="A68" s="1305"/>
      <c r="B68" s="1307"/>
      <c r="C68" s="1309"/>
      <c r="D68" s="53" t="s">
        <v>432</v>
      </c>
      <c r="E68" s="45"/>
      <c r="F68" s="46"/>
      <c r="G68" s="47"/>
      <c r="H68" s="47"/>
      <c r="I68" s="47"/>
      <c r="J68" s="47"/>
      <c r="K68" s="47"/>
      <c r="L68" s="47"/>
      <c r="M68" s="47"/>
      <c r="N68" s="47"/>
      <c r="O68" s="47"/>
      <c r="P68" s="48"/>
      <c r="Q68" s="139">
        <f t="shared" si="37"/>
        <v>0</v>
      </c>
      <c r="R68" s="1296"/>
      <c r="S68" s="1296"/>
    </row>
    <row r="69" spans="1:19" x14ac:dyDescent="0.35">
      <c r="A69" s="1304">
        <v>23</v>
      </c>
      <c r="B69" s="1306" t="str">
        <f>IF(VLOOKUP(A:A,'Benefit-People-Indicator Ex'!Z:AD,5,FALSE)=0,"",VLOOKUP(A:A,'Benefit-People-Indicator Ex'!Z:AD,5,FALSE))</f>
        <v/>
      </c>
      <c r="C69" s="1308" t="str">
        <f>_xlfn.IFNA(VLOOKUP(A:A,'Benefit-People-Indicator Ex'!P:W,8,FALSE),"")</f>
        <v/>
      </c>
      <c r="D69" s="1310" t="s">
        <v>175</v>
      </c>
      <c r="E69" s="1311"/>
      <c r="F69" s="1311"/>
      <c r="G69" s="1311"/>
      <c r="H69" s="1311"/>
      <c r="I69" s="1311"/>
      <c r="J69" s="1311"/>
      <c r="K69" s="1311"/>
      <c r="L69" s="1311"/>
      <c r="M69" s="1311"/>
      <c r="N69" s="1311"/>
      <c r="O69" s="1311"/>
      <c r="P69" s="1312"/>
      <c r="Q69" s="138" t="e">
        <f t="shared" ref="Q69" si="38">SUM(E71:P71)/Q70*100%</f>
        <v>#DIV/0!</v>
      </c>
      <c r="R69" s="1294"/>
      <c r="S69" s="1294"/>
    </row>
    <row r="70" spans="1:19" x14ac:dyDescent="0.35">
      <c r="A70" s="1302"/>
      <c r="B70" s="1306"/>
      <c r="C70" s="1196"/>
      <c r="D70" s="38" t="s">
        <v>431</v>
      </c>
      <c r="E70" s="40"/>
      <c r="F70" s="41"/>
      <c r="G70" s="42"/>
      <c r="H70" s="42"/>
      <c r="I70" s="42"/>
      <c r="J70" s="42"/>
      <c r="K70" s="42"/>
      <c r="L70" s="42"/>
      <c r="M70" s="42"/>
      <c r="N70" s="42"/>
      <c r="O70" s="42"/>
      <c r="P70" s="39"/>
      <c r="Q70" s="65">
        <f t="shared" ref="Q70:Q71" si="39">SUM(E70:P70)</f>
        <v>0</v>
      </c>
      <c r="R70" s="1295"/>
      <c r="S70" s="1295"/>
    </row>
    <row r="71" spans="1:19" ht="15" thickBot="1" x14ac:dyDescent="0.4">
      <c r="A71" s="1305"/>
      <c r="B71" s="1307"/>
      <c r="C71" s="1309"/>
      <c r="D71" s="53" t="s">
        <v>432</v>
      </c>
      <c r="E71" s="45"/>
      <c r="F71" s="46"/>
      <c r="G71" s="47"/>
      <c r="H71" s="47"/>
      <c r="I71" s="47"/>
      <c r="J71" s="47"/>
      <c r="K71" s="47"/>
      <c r="L71" s="47"/>
      <c r="M71" s="47"/>
      <c r="N71" s="47"/>
      <c r="O71" s="47"/>
      <c r="P71" s="48"/>
      <c r="Q71" s="139">
        <f t="shared" si="39"/>
        <v>0</v>
      </c>
      <c r="R71" s="1296"/>
      <c r="S71" s="1296"/>
    </row>
    <row r="72" spans="1:19" x14ac:dyDescent="0.35">
      <c r="A72" s="1304">
        <v>24</v>
      </c>
      <c r="B72" s="1306" t="str">
        <f>IF(VLOOKUP(A:A,'Benefit-People-Indicator Ex'!Z:AD,5,FALSE)=0,"",VLOOKUP(A:A,'Benefit-People-Indicator Ex'!Z:AD,5,FALSE))</f>
        <v/>
      </c>
      <c r="C72" s="1308" t="str">
        <f>_xlfn.IFNA(VLOOKUP(A:A,'Benefit-People-Indicator Ex'!P:W,8,FALSE),"")</f>
        <v/>
      </c>
      <c r="D72" s="1310" t="s">
        <v>175</v>
      </c>
      <c r="E72" s="1311"/>
      <c r="F72" s="1311"/>
      <c r="G72" s="1311"/>
      <c r="H72" s="1311"/>
      <c r="I72" s="1311"/>
      <c r="J72" s="1311"/>
      <c r="K72" s="1311"/>
      <c r="L72" s="1311"/>
      <c r="M72" s="1311"/>
      <c r="N72" s="1311"/>
      <c r="O72" s="1311"/>
      <c r="P72" s="1312"/>
      <c r="Q72" s="138" t="e">
        <f t="shared" ref="Q72" si="40">SUM(E74:P74)/Q73*100%</f>
        <v>#DIV/0!</v>
      </c>
      <c r="R72" s="1294"/>
      <c r="S72" s="1294"/>
    </row>
    <row r="73" spans="1:19" x14ac:dyDescent="0.35">
      <c r="A73" s="1302"/>
      <c r="B73" s="1306"/>
      <c r="C73" s="1196"/>
      <c r="D73" s="38" t="s">
        <v>431</v>
      </c>
      <c r="E73" s="40"/>
      <c r="F73" s="41"/>
      <c r="G73" s="42"/>
      <c r="H73" s="42"/>
      <c r="I73" s="42"/>
      <c r="J73" s="42"/>
      <c r="K73" s="42"/>
      <c r="L73" s="42"/>
      <c r="M73" s="42"/>
      <c r="N73" s="42"/>
      <c r="O73" s="42"/>
      <c r="P73" s="39"/>
      <c r="Q73" s="65">
        <f t="shared" ref="Q73:Q74" si="41">SUM(E73:P73)</f>
        <v>0</v>
      </c>
      <c r="R73" s="1295"/>
      <c r="S73" s="1295"/>
    </row>
    <row r="74" spans="1:19" ht="15" thickBot="1" x14ac:dyDescent="0.4">
      <c r="A74" s="1305"/>
      <c r="B74" s="1307"/>
      <c r="C74" s="1309"/>
      <c r="D74" s="53" t="s">
        <v>432</v>
      </c>
      <c r="E74" s="45"/>
      <c r="F74" s="46"/>
      <c r="G74" s="47"/>
      <c r="H74" s="47"/>
      <c r="I74" s="47"/>
      <c r="J74" s="47"/>
      <c r="K74" s="47"/>
      <c r="L74" s="47"/>
      <c r="M74" s="47"/>
      <c r="N74" s="47"/>
      <c r="O74" s="47"/>
      <c r="P74" s="48"/>
      <c r="Q74" s="139">
        <f t="shared" si="41"/>
        <v>0</v>
      </c>
      <c r="R74" s="1296"/>
      <c r="S74" s="1296"/>
    </row>
    <row r="75" spans="1:19" x14ac:dyDescent="0.35">
      <c r="A75" s="1304">
        <v>25</v>
      </c>
      <c r="B75" s="1306" t="str">
        <f>IF(VLOOKUP(A:A,'Benefit-People-Indicator Ex'!Z:AD,5,FALSE)=0,"",VLOOKUP(A:A,'Benefit-People-Indicator Ex'!Z:AD,5,FALSE))</f>
        <v/>
      </c>
      <c r="C75" s="1308" t="str">
        <f>_xlfn.IFNA(VLOOKUP(A:A,'Benefit-People-Indicator Ex'!P:W,8,FALSE),"")</f>
        <v/>
      </c>
      <c r="D75" s="1310" t="s">
        <v>175</v>
      </c>
      <c r="E75" s="1311"/>
      <c r="F75" s="1311"/>
      <c r="G75" s="1311"/>
      <c r="H75" s="1311"/>
      <c r="I75" s="1311"/>
      <c r="J75" s="1311"/>
      <c r="K75" s="1311"/>
      <c r="L75" s="1311"/>
      <c r="M75" s="1311"/>
      <c r="N75" s="1311"/>
      <c r="O75" s="1311"/>
      <c r="P75" s="1312"/>
      <c r="Q75" s="138" t="e">
        <f t="shared" ref="Q75" si="42">SUM(E77:P77)/Q76*100%</f>
        <v>#DIV/0!</v>
      </c>
      <c r="R75" s="1294"/>
      <c r="S75" s="1294"/>
    </row>
    <row r="76" spans="1:19" x14ac:dyDescent="0.35">
      <c r="A76" s="1302"/>
      <c r="B76" s="1306"/>
      <c r="C76" s="1196"/>
      <c r="D76" s="38" t="s">
        <v>431</v>
      </c>
      <c r="E76" s="40"/>
      <c r="F76" s="41"/>
      <c r="G76" s="42"/>
      <c r="H76" s="42"/>
      <c r="I76" s="42"/>
      <c r="J76" s="42"/>
      <c r="K76" s="42"/>
      <c r="L76" s="42"/>
      <c r="M76" s="42"/>
      <c r="N76" s="42"/>
      <c r="O76" s="42"/>
      <c r="P76" s="39"/>
      <c r="Q76" s="65">
        <f t="shared" ref="Q76:Q77" si="43">SUM(E76:P76)</f>
        <v>0</v>
      </c>
      <c r="R76" s="1295"/>
      <c r="S76" s="1295"/>
    </row>
    <row r="77" spans="1:19" ht="15" thickBot="1" x14ac:dyDescent="0.4">
      <c r="A77" s="1305"/>
      <c r="B77" s="1307"/>
      <c r="C77" s="1309"/>
      <c r="D77" s="53" t="s">
        <v>432</v>
      </c>
      <c r="E77" s="45"/>
      <c r="F77" s="46"/>
      <c r="G77" s="47"/>
      <c r="H77" s="47"/>
      <c r="I77" s="47"/>
      <c r="J77" s="47"/>
      <c r="K77" s="47"/>
      <c r="L77" s="47"/>
      <c r="M77" s="47"/>
      <c r="N77" s="47"/>
      <c r="O77" s="47"/>
      <c r="P77" s="48"/>
      <c r="Q77" s="141">
        <f t="shared" si="43"/>
        <v>0</v>
      </c>
      <c r="R77" s="1297"/>
      <c r="S77" s="1297"/>
    </row>
    <row r="78" spans="1:19" x14ac:dyDescent="0.35">
      <c r="A78" s="155"/>
      <c r="B78" s="81"/>
      <c r="C78" s="83"/>
      <c r="D78" s="8"/>
      <c r="E78" s="8"/>
      <c r="F78" s="8"/>
      <c r="G78" s="8"/>
      <c r="H78" s="8"/>
      <c r="I78" s="8"/>
      <c r="J78" s="8"/>
      <c r="K78" s="8"/>
      <c r="L78" s="8"/>
      <c r="M78" s="8"/>
      <c r="N78" s="8"/>
      <c r="O78" s="8"/>
      <c r="P78" s="8"/>
      <c r="Q78" s="1"/>
    </row>
    <row r="79" spans="1:19" x14ac:dyDescent="0.35">
      <c r="A79" s="156"/>
      <c r="B79" s="81"/>
      <c r="C79" s="83"/>
      <c r="D79" s="8"/>
      <c r="E79" s="8"/>
      <c r="F79" s="8"/>
      <c r="G79" s="8"/>
      <c r="H79" s="8"/>
      <c r="I79" s="8"/>
      <c r="J79" s="8"/>
      <c r="K79" s="8"/>
      <c r="L79" s="8"/>
      <c r="M79" s="8"/>
      <c r="N79" s="8"/>
      <c r="O79" s="8"/>
      <c r="P79" s="8"/>
      <c r="Q79" s="1"/>
    </row>
    <row r="80" spans="1:19" x14ac:dyDescent="0.35">
      <c r="A80" s="156"/>
      <c r="B80" s="81"/>
      <c r="C80" s="83"/>
      <c r="D80" s="8"/>
      <c r="E80" s="8"/>
      <c r="F80" s="8"/>
      <c r="G80" s="8"/>
      <c r="H80" s="8"/>
      <c r="I80" s="8"/>
      <c r="J80" s="8"/>
      <c r="K80" s="8"/>
      <c r="L80" s="8"/>
      <c r="M80" s="8"/>
      <c r="N80" s="8"/>
      <c r="O80" s="8"/>
      <c r="P80" s="8"/>
      <c r="Q80" s="1"/>
    </row>
    <row r="81" spans="1:17" x14ac:dyDescent="0.35">
      <c r="A81" s="156"/>
      <c r="B81" s="81"/>
      <c r="C81" s="83"/>
      <c r="D81" s="8"/>
      <c r="E81" s="8"/>
      <c r="F81" s="8"/>
      <c r="G81" s="8"/>
      <c r="H81" s="8"/>
      <c r="I81" s="8"/>
      <c r="J81" s="8"/>
      <c r="K81" s="8"/>
      <c r="L81" s="8"/>
      <c r="M81" s="8"/>
      <c r="N81" s="8"/>
      <c r="O81" s="8"/>
      <c r="P81" s="8"/>
      <c r="Q81" s="1"/>
    </row>
    <row r="82" spans="1:17" x14ac:dyDescent="0.35">
      <c r="A82" s="156"/>
      <c r="B82" s="81"/>
      <c r="C82" s="83"/>
      <c r="D82" s="8"/>
      <c r="E82" s="8"/>
      <c r="F82" s="8"/>
      <c r="G82" s="8"/>
      <c r="H82" s="8"/>
      <c r="I82" s="8"/>
      <c r="J82" s="8"/>
      <c r="K82" s="8"/>
      <c r="L82" s="8"/>
      <c r="M82" s="8"/>
      <c r="N82" s="8"/>
      <c r="O82" s="8"/>
      <c r="P82" s="8"/>
      <c r="Q82" s="1"/>
    </row>
    <row r="83" spans="1:17" x14ac:dyDescent="0.35">
      <c r="A83" s="156"/>
      <c r="B83" s="81"/>
      <c r="C83" s="83"/>
      <c r="D83" s="8"/>
      <c r="E83" s="8"/>
      <c r="F83" s="8"/>
      <c r="G83" s="8"/>
      <c r="H83" s="8"/>
      <c r="I83" s="8"/>
      <c r="J83" s="8"/>
      <c r="K83" s="8"/>
      <c r="L83" s="8"/>
      <c r="M83" s="8"/>
      <c r="N83" s="8"/>
      <c r="O83" s="8"/>
      <c r="P83" s="8"/>
      <c r="Q83" s="1"/>
    </row>
    <row r="84" spans="1:17" x14ac:dyDescent="0.35">
      <c r="A84" s="156"/>
      <c r="B84" s="81"/>
      <c r="C84" s="83"/>
      <c r="D84" s="8"/>
      <c r="E84" s="8"/>
      <c r="F84" s="8"/>
      <c r="G84" s="8"/>
      <c r="H84" s="8"/>
      <c r="I84" s="8"/>
      <c r="J84" s="8"/>
      <c r="K84" s="8"/>
      <c r="L84" s="8"/>
      <c r="M84" s="8"/>
      <c r="N84" s="8"/>
      <c r="O84" s="8"/>
      <c r="P84" s="8"/>
      <c r="Q84" s="1"/>
    </row>
    <row r="85" spans="1:17" x14ac:dyDescent="0.35">
      <c r="A85" s="156"/>
      <c r="B85" s="81"/>
      <c r="C85" s="83"/>
      <c r="D85" s="8"/>
      <c r="E85" s="8"/>
      <c r="F85" s="8"/>
      <c r="G85" s="8"/>
      <c r="H85" s="8"/>
      <c r="I85" s="8"/>
      <c r="J85" s="8"/>
      <c r="K85" s="8"/>
      <c r="L85" s="8"/>
      <c r="M85" s="8"/>
      <c r="N85" s="8"/>
      <c r="O85" s="8"/>
      <c r="P85" s="8"/>
      <c r="Q85" s="1"/>
    </row>
    <row r="86" spans="1:17" x14ac:dyDescent="0.35">
      <c r="A86" s="156"/>
      <c r="B86" s="81"/>
      <c r="C86" s="83"/>
      <c r="D86" s="8"/>
      <c r="E86" s="8"/>
      <c r="F86" s="8"/>
      <c r="G86" s="8"/>
      <c r="H86" s="8"/>
      <c r="I86" s="8"/>
      <c r="J86" s="8"/>
      <c r="K86" s="8"/>
      <c r="L86" s="8"/>
      <c r="M86" s="8"/>
      <c r="N86" s="8"/>
      <c r="O86" s="8"/>
      <c r="P86" s="8"/>
      <c r="Q86" s="1"/>
    </row>
    <row r="87" spans="1:17" x14ac:dyDescent="0.35">
      <c r="A87" s="156"/>
      <c r="B87" s="81"/>
      <c r="C87" s="83"/>
      <c r="D87" s="8"/>
      <c r="E87" s="8"/>
      <c r="F87" s="8"/>
      <c r="G87" s="8"/>
      <c r="H87" s="8"/>
      <c r="I87" s="8"/>
      <c r="J87" s="8"/>
      <c r="K87" s="8"/>
      <c r="L87" s="8"/>
      <c r="M87" s="8"/>
      <c r="N87" s="8"/>
      <c r="O87" s="8"/>
      <c r="P87" s="8"/>
      <c r="Q87" s="1"/>
    </row>
    <row r="88" spans="1:17" x14ac:dyDescent="0.35">
      <c r="A88" s="156"/>
      <c r="B88" s="81"/>
      <c r="C88" s="83"/>
      <c r="D88" s="8"/>
      <c r="E88" s="8"/>
      <c r="F88" s="8"/>
      <c r="G88" s="8"/>
      <c r="H88" s="8"/>
      <c r="I88" s="8"/>
      <c r="J88" s="8"/>
      <c r="K88" s="8"/>
      <c r="L88" s="8"/>
      <c r="M88" s="8"/>
      <c r="N88" s="8"/>
      <c r="O88" s="8"/>
      <c r="P88" s="8"/>
      <c r="Q88" s="1"/>
    </row>
    <row r="89" spans="1:17" x14ac:dyDescent="0.35">
      <c r="A89" s="156"/>
      <c r="B89" s="81"/>
      <c r="C89" s="83"/>
      <c r="D89" s="8"/>
      <c r="E89" s="8"/>
      <c r="F89" s="8"/>
      <c r="G89" s="8"/>
      <c r="H89" s="8"/>
      <c r="I89" s="8"/>
      <c r="J89" s="8"/>
      <c r="K89" s="8"/>
      <c r="L89" s="8"/>
      <c r="M89" s="8"/>
      <c r="N89" s="8"/>
      <c r="O89" s="8"/>
      <c r="P89" s="8"/>
      <c r="Q89" s="1"/>
    </row>
    <row r="90" spans="1:17" x14ac:dyDescent="0.35">
      <c r="A90" s="156"/>
      <c r="B90" s="81"/>
      <c r="C90" s="83"/>
      <c r="D90" s="8"/>
      <c r="E90" s="8"/>
      <c r="F90" s="8"/>
      <c r="G90" s="8"/>
      <c r="H90" s="8"/>
      <c r="I90" s="8"/>
      <c r="J90" s="8"/>
      <c r="K90" s="8"/>
      <c r="L90" s="8"/>
      <c r="M90" s="8"/>
      <c r="N90" s="8"/>
      <c r="O90" s="8"/>
      <c r="P90" s="8"/>
      <c r="Q90" s="1"/>
    </row>
    <row r="91" spans="1:17" x14ac:dyDescent="0.35">
      <c r="A91" s="156"/>
      <c r="B91" s="81"/>
      <c r="C91" s="83"/>
      <c r="D91" s="8"/>
      <c r="E91" s="8"/>
      <c r="F91" s="8"/>
      <c r="G91" s="8"/>
      <c r="H91" s="8"/>
      <c r="I91" s="8"/>
      <c r="J91" s="8"/>
      <c r="K91" s="8"/>
      <c r="L91" s="8"/>
      <c r="M91" s="8"/>
      <c r="N91" s="8"/>
      <c r="O91" s="8"/>
      <c r="P91" s="8"/>
      <c r="Q91" s="1"/>
    </row>
    <row r="92" spans="1:17" x14ac:dyDescent="0.35">
      <c r="A92" s="156"/>
      <c r="B92" s="81"/>
      <c r="C92" s="83"/>
      <c r="D92" s="8"/>
      <c r="E92" s="8"/>
      <c r="F92" s="8"/>
      <c r="G92" s="8"/>
      <c r="H92" s="8"/>
      <c r="I92" s="8"/>
      <c r="J92" s="8"/>
      <c r="K92" s="8"/>
      <c r="L92" s="8"/>
      <c r="M92" s="8"/>
      <c r="N92" s="8"/>
      <c r="O92" s="8"/>
      <c r="P92" s="8"/>
      <c r="Q92" s="1"/>
    </row>
    <row r="93" spans="1:17" x14ac:dyDescent="0.35">
      <c r="A93" s="6"/>
      <c r="B93" s="81"/>
      <c r="C93" s="83"/>
      <c r="D93" s="8"/>
      <c r="E93" s="8"/>
      <c r="F93" s="8"/>
      <c r="G93" s="8"/>
      <c r="H93" s="8"/>
      <c r="I93" s="8"/>
      <c r="J93" s="8"/>
      <c r="K93" s="8"/>
      <c r="L93" s="8"/>
      <c r="M93" s="8"/>
      <c r="N93" s="8"/>
      <c r="O93" s="8"/>
      <c r="P93" s="8"/>
      <c r="Q93" s="1"/>
    </row>
    <row r="94" spans="1:17" x14ac:dyDescent="0.35">
      <c r="A94" s="6"/>
      <c r="B94" s="81"/>
      <c r="C94" s="83"/>
      <c r="D94" s="8"/>
      <c r="E94" s="8"/>
      <c r="F94" s="8"/>
      <c r="G94" s="8"/>
      <c r="H94" s="8"/>
      <c r="I94" s="8"/>
      <c r="J94" s="8"/>
      <c r="K94" s="8"/>
      <c r="L94" s="8"/>
      <c r="M94" s="8"/>
      <c r="N94" s="8"/>
      <c r="O94" s="8"/>
      <c r="P94" s="8"/>
      <c r="Q94" s="1"/>
    </row>
    <row r="95" spans="1:17" x14ac:dyDescent="0.35">
      <c r="A95" s="6"/>
      <c r="B95" s="81"/>
      <c r="C95" s="83"/>
      <c r="D95" s="8"/>
      <c r="E95" s="8"/>
      <c r="F95" s="8"/>
      <c r="G95" s="8"/>
      <c r="H95" s="8"/>
      <c r="I95" s="8"/>
      <c r="J95" s="8"/>
      <c r="K95" s="8"/>
      <c r="L95" s="8"/>
      <c r="M95" s="8"/>
      <c r="N95" s="8"/>
      <c r="O95" s="8"/>
      <c r="P95" s="8"/>
      <c r="Q95" s="1"/>
    </row>
    <row r="96" spans="1:17" x14ac:dyDescent="0.35">
      <c r="A96" s="6"/>
      <c r="B96" s="81"/>
      <c r="C96" s="83"/>
      <c r="D96" s="8"/>
      <c r="E96" s="8"/>
      <c r="F96" s="8"/>
      <c r="G96" s="8"/>
      <c r="H96" s="8"/>
      <c r="I96" s="8"/>
      <c r="J96" s="8"/>
      <c r="K96" s="8"/>
      <c r="L96" s="8"/>
      <c r="M96" s="8"/>
      <c r="N96" s="8"/>
      <c r="O96" s="8"/>
      <c r="P96" s="8"/>
      <c r="Q96" s="1"/>
    </row>
    <row r="97" spans="1:17" x14ac:dyDescent="0.35">
      <c r="A97" s="6"/>
      <c r="B97" s="81"/>
      <c r="C97" s="83"/>
      <c r="D97" s="8"/>
      <c r="E97" s="8"/>
      <c r="F97" s="8"/>
      <c r="G97" s="8"/>
      <c r="H97" s="8"/>
      <c r="I97" s="8"/>
      <c r="J97" s="8"/>
      <c r="K97" s="8"/>
      <c r="L97" s="8"/>
      <c r="M97" s="8"/>
      <c r="N97" s="8"/>
      <c r="O97" s="8"/>
      <c r="P97" s="8"/>
      <c r="Q97" s="1"/>
    </row>
    <row r="98" spans="1:17" x14ac:dyDescent="0.35">
      <c r="A98" s="6"/>
      <c r="B98" s="81"/>
      <c r="C98" s="83"/>
      <c r="D98" s="8"/>
      <c r="E98" s="8"/>
      <c r="F98" s="8"/>
      <c r="G98" s="8"/>
      <c r="H98" s="8"/>
      <c r="I98" s="8"/>
      <c r="J98" s="8"/>
      <c r="K98" s="8"/>
      <c r="L98" s="8"/>
      <c r="M98" s="8"/>
      <c r="N98" s="8"/>
      <c r="O98" s="8"/>
      <c r="P98" s="8"/>
      <c r="Q98" s="1"/>
    </row>
    <row r="99" spans="1:17" x14ac:dyDescent="0.35">
      <c r="A99" s="6"/>
      <c r="B99" s="81"/>
      <c r="C99" s="83"/>
      <c r="D99" s="8"/>
      <c r="E99" s="8"/>
      <c r="F99" s="8"/>
      <c r="G99" s="8"/>
      <c r="H99" s="8"/>
      <c r="I99" s="8"/>
      <c r="J99" s="8"/>
      <c r="K99" s="8"/>
      <c r="L99" s="8"/>
      <c r="M99" s="8"/>
      <c r="N99" s="8"/>
      <c r="O99" s="8"/>
      <c r="P99" s="8"/>
      <c r="Q99" s="1"/>
    </row>
    <row r="100" spans="1:17" x14ac:dyDescent="0.35">
      <c r="A100" s="6"/>
      <c r="B100" s="81"/>
      <c r="C100" s="83"/>
      <c r="D100" s="8"/>
      <c r="E100" s="8"/>
      <c r="F100" s="8"/>
      <c r="G100" s="8"/>
      <c r="H100" s="8"/>
      <c r="I100" s="8"/>
      <c r="J100" s="8"/>
      <c r="K100" s="8"/>
      <c r="L100" s="8"/>
      <c r="M100" s="8"/>
      <c r="N100" s="8"/>
      <c r="O100" s="8"/>
      <c r="P100" s="8"/>
      <c r="Q100" s="1"/>
    </row>
    <row r="101" spans="1:17" x14ac:dyDescent="0.35">
      <c r="A101" s="6"/>
      <c r="B101" s="81"/>
      <c r="C101" s="83"/>
      <c r="D101" s="8"/>
      <c r="E101" s="8"/>
      <c r="F101" s="8"/>
      <c r="G101" s="8"/>
      <c r="H101" s="8"/>
      <c r="I101" s="8"/>
      <c r="J101" s="8"/>
      <c r="K101" s="8"/>
      <c r="L101" s="8"/>
      <c r="M101" s="8"/>
      <c r="N101" s="8"/>
      <c r="O101" s="8"/>
      <c r="P101" s="8"/>
      <c r="Q101" s="1"/>
    </row>
    <row r="102" spans="1:17" x14ac:dyDescent="0.35">
      <c r="A102" s="6"/>
      <c r="B102" s="81"/>
      <c r="C102" s="83"/>
      <c r="D102" s="8"/>
      <c r="E102" s="8"/>
      <c r="F102" s="8"/>
      <c r="G102" s="8"/>
      <c r="H102" s="8"/>
      <c r="I102" s="8"/>
      <c r="J102" s="8"/>
      <c r="K102" s="8"/>
      <c r="L102" s="8"/>
      <c r="M102" s="8"/>
      <c r="N102" s="8"/>
      <c r="O102" s="8"/>
      <c r="P102" s="8"/>
      <c r="Q102" s="1"/>
    </row>
    <row r="103" spans="1:17" x14ac:dyDescent="0.35">
      <c r="A103" s="6"/>
      <c r="B103" s="81"/>
      <c r="C103" s="83"/>
      <c r="D103" s="8"/>
      <c r="E103" s="8"/>
      <c r="F103" s="8"/>
      <c r="G103" s="8"/>
      <c r="H103" s="8"/>
      <c r="I103" s="8"/>
      <c r="J103" s="8"/>
      <c r="K103" s="8"/>
      <c r="L103" s="8"/>
      <c r="M103" s="8"/>
      <c r="N103" s="8"/>
      <c r="O103" s="8"/>
      <c r="P103" s="8"/>
      <c r="Q103" s="1"/>
    </row>
    <row r="104" spans="1:17" x14ac:dyDescent="0.35">
      <c r="A104" s="6"/>
      <c r="B104" s="81"/>
      <c r="C104" s="83"/>
      <c r="D104" s="8"/>
      <c r="E104" s="8"/>
      <c r="F104" s="8"/>
      <c r="G104" s="8"/>
      <c r="H104" s="8"/>
      <c r="I104" s="8"/>
      <c r="J104" s="8"/>
      <c r="K104" s="8"/>
      <c r="L104" s="8"/>
      <c r="M104" s="8"/>
      <c r="N104" s="8"/>
      <c r="O104" s="8"/>
      <c r="P104" s="8"/>
      <c r="Q104" s="1"/>
    </row>
    <row r="105" spans="1:17" x14ac:dyDescent="0.35">
      <c r="A105" s="6"/>
      <c r="B105" s="81"/>
      <c r="C105" s="83"/>
      <c r="D105" s="8"/>
      <c r="E105" s="8"/>
      <c r="F105" s="8"/>
      <c r="G105" s="8"/>
      <c r="H105" s="8"/>
      <c r="I105" s="8"/>
      <c r="J105" s="8"/>
      <c r="K105" s="8"/>
      <c r="L105" s="8"/>
      <c r="M105" s="8"/>
      <c r="N105" s="8"/>
      <c r="O105" s="8"/>
      <c r="P105" s="8"/>
      <c r="Q105" s="1"/>
    </row>
    <row r="106" spans="1:17" x14ac:dyDescent="0.35">
      <c r="A106" s="6"/>
      <c r="B106" s="81"/>
      <c r="C106" s="83"/>
      <c r="D106" s="8"/>
      <c r="E106" s="8"/>
      <c r="F106" s="8"/>
      <c r="G106" s="8"/>
      <c r="H106" s="8"/>
      <c r="I106" s="8"/>
      <c r="J106" s="8"/>
      <c r="K106" s="8"/>
      <c r="L106" s="8"/>
      <c r="M106" s="8"/>
      <c r="N106" s="8"/>
      <c r="O106" s="8"/>
      <c r="P106" s="8"/>
      <c r="Q106" s="1"/>
    </row>
    <row r="107" spans="1:17" x14ac:dyDescent="0.35">
      <c r="A107" s="6"/>
      <c r="B107" s="81"/>
      <c r="C107" s="83"/>
      <c r="D107" s="8"/>
      <c r="E107" s="8"/>
      <c r="F107" s="8"/>
      <c r="G107" s="8"/>
      <c r="H107" s="8"/>
      <c r="I107" s="8"/>
      <c r="J107" s="8"/>
      <c r="K107" s="8"/>
      <c r="L107" s="8"/>
      <c r="M107" s="8"/>
      <c r="N107" s="8"/>
      <c r="O107" s="8"/>
      <c r="P107" s="8"/>
      <c r="Q107" s="1"/>
    </row>
    <row r="108" spans="1:17" x14ac:dyDescent="0.35">
      <c r="A108" s="6"/>
      <c r="B108" s="81"/>
      <c r="C108" s="83"/>
      <c r="D108" s="8"/>
      <c r="E108" s="8"/>
      <c r="F108" s="8"/>
      <c r="G108" s="8"/>
      <c r="H108" s="8"/>
      <c r="I108" s="8"/>
      <c r="J108" s="8"/>
      <c r="K108" s="8"/>
      <c r="L108" s="8"/>
      <c r="M108" s="8"/>
      <c r="N108" s="8"/>
      <c r="O108" s="8"/>
      <c r="P108" s="8"/>
      <c r="Q108" s="1"/>
    </row>
    <row r="109" spans="1:17" x14ac:dyDescent="0.35">
      <c r="A109" s="6"/>
      <c r="B109" s="81"/>
      <c r="C109" s="83"/>
      <c r="D109" s="8"/>
      <c r="E109" s="8"/>
      <c r="F109" s="8"/>
      <c r="G109" s="8"/>
      <c r="H109" s="8"/>
      <c r="I109" s="8"/>
      <c r="J109" s="8"/>
      <c r="K109" s="8"/>
      <c r="L109" s="8"/>
      <c r="M109" s="8"/>
      <c r="N109" s="8"/>
      <c r="O109" s="8"/>
      <c r="P109" s="8"/>
      <c r="Q109" s="1"/>
    </row>
    <row r="110" spans="1:17" x14ac:dyDescent="0.35">
      <c r="A110" s="6"/>
      <c r="B110" s="81"/>
      <c r="C110" s="83"/>
      <c r="D110" s="8"/>
      <c r="E110" s="8"/>
      <c r="F110" s="8"/>
      <c r="G110" s="8"/>
      <c r="H110" s="8"/>
      <c r="I110" s="8"/>
      <c r="J110" s="8"/>
      <c r="K110" s="8"/>
      <c r="L110" s="8"/>
      <c r="M110" s="8"/>
      <c r="N110" s="8"/>
      <c r="O110" s="8"/>
      <c r="P110" s="8"/>
      <c r="Q110" s="1"/>
    </row>
    <row r="111" spans="1:17" x14ac:dyDescent="0.35">
      <c r="A111" s="6"/>
      <c r="B111" s="81"/>
      <c r="C111" s="83"/>
      <c r="D111" s="8"/>
      <c r="E111" s="8"/>
      <c r="F111" s="8"/>
      <c r="G111" s="8"/>
      <c r="H111" s="8"/>
      <c r="I111" s="8"/>
      <c r="J111" s="8"/>
      <c r="K111" s="8"/>
      <c r="L111" s="8"/>
      <c r="M111" s="8"/>
      <c r="N111" s="8"/>
      <c r="O111" s="8"/>
      <c r="P111" s="8"/>
      <c r="Q111" s="1"/>
    </row>
    <row r="112" spans="1:17" x14ac:dyDescent="0.35">
      <c r="A112" s="6"/>
      <c r="B112" s="81"/>
      <c r="C112" s="83"/>
      <c r="D112" s="8"/>
      <c r="E112" s="8"/>
      <c r="F112" s="8"/>
      <c r="G112" s="8"/>
      <c r="H112" s="8"/>
      <c r="I112" s="8"/>
      <c r="J112" s="8"/>
      <c r="K112" s="8"/>
      <c r="L112" s="8"/>
      <c r="M112" s="8"/>
      <c r="N112" s="8"/>
      <c r="O112" s="8"/>
      <c r="P112" s="8"/>
      <c r="Q112" s="1"/>
    </row>
    <row r="113" spans="1:17" x14ac:dyDescent="0.35">
      <c r="A113" s="6"/>
      <c r="B113" s="81"/>
      <c r="C113" s="83"/>
      <c r="D113" s="8"/>
      <c r="E113" s="8"/>
      <c r="F113" s="8"/>
      <c r="G113" s="8"/>
      <c r="H113" s="8"/>
      <c r="I113" s="8"/>
      <c r="J113" s="8"/>
      <c r="K113" s="8"/>
      <c r="L113" s="8"/>
      <c r="M113" s="8"/>
      <c r="N113" s="8"/>
      <c r="O113" s="8"/>
      <c r="P113" s="8"/>
      <c r="Q113" s="1"/>
    </row>
    <row r="114" spans="1:17" x14ac:dyDescent="0.35">
      <c r="A114" s="6"/>
      <c r="B114" s="81"/>
      <c r="C114" s="83"/>
      <c r="D114" s="8"/>
      <c r="E114" s="8"/>
      <c r="F114" s="8"/>
      <c r="G114" s="8"/>
      <c r="H114" s="8"/>
      <c r="I114" s="8"/>
      <c r="J114" s="8"/>
      <c r="K114" s="8"/>
      <c r="L114" s="8"/>
      <c r="M114" s="8"/>
      <c r="N114" s="8"/>
      <c r="O114" s="8"/>
      <c r="P114" s="8"/>
      <c r="Q114" s="1"/>
    </row>
    <row r="115" spans="1:17" x14ac:dyDescent="0.35">
      <c r="A115" s="6"/>
      <c r="B115" s="81"/>
      <c r="C115" s="83"/>
      <c r="D115" s="8"/>
      <c r="E115" s="8"/>
      <c r="F115" s="8"/>
      <c r="G115" s="8"/>
      <c r="H115" s="8"/>
      <c r="I115" s="8"/>
      <c r="J115" s="8"/>
      <c r="K115" s="8"/>
      <c r="L115" s="8"/>
      <c r="M115" s="8"/>
      <c r="N115" s="8"/>
      <c r="O115" s="8"/>
      <c r="P115" s="8"/>
      <c r="Q115" s="1"/>
    </row>
    <row r="116" spans="1:17" x14ac:dyDescent="0.35">
      <c r="A116" s="6"/>
      <c r="B116" s="81"/>
      <c r="C116" s="83"/>
      <c r="D116" s="8"/>
      <c r="E116" s="8"/>
      <c r="F116" s="8"/>
      <c r="G116" s="8"/>
      <c r="H116" s="8"/>
      <c r="I116" s="8"/>
      <c r="J116" s="8"/>
      <c r="K116" s="8"/>
      <c r="L116" s="8"/>
      <c r="M116" s="8"/>
      <c r="N116" s="8"/>
      <c r="O116" s="8"/>
      <c r="P116" s="8"/>
      <c r="Q116" s="1"/>
    </row>
    <row r="117" spans="1:17" x14ac:dyDescent="0.35">
      <c r="A117" s="6"/>
      <c r="B117" s="81"/>
      <c r="C117" s="83"/>
      <c r="D117" s="8"/>
      <c r="E117" s="8"/>
      <c r="F117" s="8"/>
      <c r="G117" s="8"/>
      <c r="H117" s="8"/>
      <c r="I117" s="8"/>
      <c r="J117" s="8"/>
      <c r="K117" s="8"/>
      <c r="L117" s="8"/>
      <c r="M117" s="8"/>
      <c r="N117" s="8"/>
      <c r="O117" s="8"/>
      <c r="P117" s="8"/>
      <c r="Q117" s="1"/>
    </row>
    <row r="118" spans="1:17" x14ac:dyDescent="0.35">
      <c r="A118" s="6"/>
      <c r="B118" s="81"/>
      <c r="C118" s="83"/>
      <c r="D118" s="8"/>
      <c r="E118" s="8"/>
      <c r="F118" s="8"/>
      <c r="G118" s="8"/>
      <c r="H118" s="8"/>
      <c r="I118" s="8"/>
      <c r="J118" s="8"/>
      <c r="K118" s="8"/>
      <c r="L118" s="8"/>
      <c r="M118" s="8"/>
      <c r="N118" s="8"/>
      <c r="O118" s="8"/>
      <c r="P118" s="8"/>
      <c r="Q118" s="1"/>
    </row>
    <row r="119" spans="1:17" x14ac:dyDescent="0.35">
      <c r="A119" s="6"/>
      <c r="B119" s="81"/>
      <c r="C119" s="83"/>
      <c r="D119" s="8"/>
      <c r="E119" s="8"/>
      <c r="F119" s="8"/>
      <c r="G119" s="8"/>
      <c r="H119" s="8"/>
      <c r="I119" s="8"/>
      <c r="J119" s="8"/>
      <c r="K119" s="8"/>
      <c r="L119" s="8"/>
      <c r="M119" s="8"/>
      <c r="N119" s="8"/>
      <c r="O119" s="8"/>
      <c r="P119" s="8"/>
      <c r="Q119" s="1"/>
    </row>
    <row r="120" spans="1:17" x14ac:dyDescent="0.35">
      <c r="A120" s="6"/>
      <c r="B120" s="81"/>
      <c r="C120" s="83"/>
      <c r="D120" s="8"/>
      <c r="E120" s="8"/>
      <c r="F120" s="8"/>
      <c r="G120" s="8"/>
      <c r="H120" s="8"/>
      <c r="I120" s="8"/>
      <c r="J120" s="8"/>
      <c r="K120" s="8"/>
      <c r="L120" s="8"/>
      <c r="M120" s="8"/>
      <c r="N120" s="8"/>
      <c r="O120" s="8"/>
      <c r="P120" s="8"/>
      <c r="Q120" s="1"/>
    </row>
    <row r="121" spans="1:17" x14ac:dyDescent="0.35">
      <c r="A121" s="6"/>
      <c r="B121" s="81"/>
      <c r="C121" s="83"/>
      <c r="D121" s="8"/>
      <c r="E121" s="8"/>
      <c r="F121" s="8"/>
      <c r="G121" s="8"/>
      <c r="H121" s="8"/>
      <c r="I121" s="8"/>
      <c r="J121" s="8"/>
      <c r="K121" s="8"/>
      <c r="L121" s="8"/>
      <c r="M121" s="8"/>
      <c r="N121" s="8"/>
      <c r="O121" s="8"/>
      <c r="P121" s="8"/>
      <c r="Q121" s="1"/>
    </row>
    <row r="122" spans="1:17" x14ac:dyDescent="0.35">
      <c r="A122" s="6"/>
      <c r="B122" s="81"/>
      <c r="C122" s="83"/>
      <c r="D122" s="8"/>
      <c r="E122" s="8"/>
      <c r="F122" s="8"/>
      <c r="G122" s="8"/>
      <c r="H122" s="8"/>
      <c r="I122" s="8"/>
      <c r="J122" s="8"/>
      <c r="K122" s="8"/>
      <c r="L122" s="8"/>
      <c r="M122" s="8"/>
      <c r="N122" s="8"/>
      <c r="O122" s="8"/>
      <c r="P122" s="8"/>
      <c r="Q122" s="1"/>
    </row>
    <row r="123" spans="1:17" x14ac:dyDescent="0.35">
      <c r="A123" s="6"/>
      <c r="B123" s="81"/>
      <c r="C123" s="83"/>
      <c r="D123" s="8"/>
      <c r="E123" s="8"/>
      <c r="F123" s="8"/>
      <c r="G123" s="8"/>
      <c r="H123" s="8"/>
      <c r="I123" s="8"/>
      <c r="J123" s="8"/>
      <c r="K123" s="8"/>
      <c r="L123" s="8"/>
      <c r="M123" s="8"/>
      <c r="N123" s="8"/>
      <c r="O123" s="8"/>
      <c r="P123" s="8"/>
      <c r="Q123" s="1"/>
    </row>
    <row r="124" spans="1:17" x14ac:dyDescent="0.35">
      <c r="A124" s="6"/>
      <c r="B124" s="81"/>
      <c r="C124" s="83"/>
      <c r="D124" s="8"/>
      <c r="E124" s="8"/>
      <c r="F124" s="8"/>
      <c r="G124" s="8"/>
      <c r="H124" s="8"/>
      <c r="I124" s="8"/>
      <c r="J124" s="8"/>
      <c r="K124" s="8"/>
      <c r="L124" s="8"/>
      <c r="M124" s="8"/>
      <c r="N124" s="8"/>
      <c r="O124" s="8"/>
      <c r="P124" s="8"/>
      <c r="Q124" s="1"/>
    </row>
    <row r="125" spans="1:17" x14ac:dyDescent="0.35">
      <c r="A125" s="6"/>
      <c r="B125" s="81"/>
      <c r="C125" s="83"/>
      <c r="D125" s="8"/>
      <c r="E125" s="8"/>
      <c r="F125" s="8"/>
      <c r="G125" s="8"/>
      <c r="H125" s="8"/>
      <c r="I125" s="8"/>
      <c r="J125" s="8"/>
      <c r="K125" s="8"/>
      <c r="L125" s="8"/>
      <c r="M125" s="8"/>
      <c r="N125" s="8"/>
      <c r="O125" s="8"/>
      <c r="P125" s="8"/>
      <c r="Q125" s="1"/>
    </row>
    <row r="126" spans="1:17" x14ac:dyDescent="0.35">
      <c r="A126" s="6"/>
      <c r="B126" s="81"/>
      <c r="C126" s="83"/>
      <c r="D126" s="8"/>
      <c r="E126" s="8"/>
      <c r="F126" s="8"/>
      <c r="G126" s="8"/>
      <c r="H126" s="8"/>
      <c r="I126" s="8"/>
      <c r="J126" s="8"/>
      <c r="K126" s="8"/>
      <c r="L126" s="8"/>
      <c r="M126" s="8"/>
      <c r="N126" s="8"/>
      <c r="O126" s="8"/>
      <c r="P126" s="8"/>
      <c r="Q126" s="1"/>
    </row>
    <row r="127" spans="1:17" x14ac:dyDescent="0.35">
      <c r="A127" s="6"/>
      <c r="B127" s="81"/>
      <c r="C127" s="83"/>
      <c r="D127" s="8"/>
      <c r="E127" s="8"/>
      <c r="F127" s="8"/>
      <c r="G127" s="8"/>
      <c r="H127" s="8"/>
      <c r="I127" s="8"/>
      <c r="J127" s="8"/>
      <c r="K127" s="8"/>
      <c r="L127" s="8"/>
      <c r="M127" s="8"/>
      <c r="N127" s="8"/>
      <c r="O127" s="8"/>
      <c r="P127" s="8"/>
      <c r="Q127" s="1"/>
    </row>
    <row r="128" spans="1:17" x14ac:dyDescent="0.35">
      <c r="A128" s="6"/>
      <c r="B128" s="81"/>
      <c r="C128" s="83"/>
      <c r="D128" s="8"/>
      <c r="E128" s="8"/>
      <c r="F128" s="8"/>
      <c r="G128" s="8"/>
      <c r="H128" s="8"/>
      <c r="I128" s="8"/>
      <c r="J128" s="8"/>
      <c r="K128" s="8"/>
      <c r="L128" s="8"/>
      <c r="M128" s="8"/>
      <c r="N128" s="8"/>
      <c r="O128" s="8"/>
      <c r="P128" s="8"/>
      <c r="Q128" s="1"/>
    </row>
    <row r="129" spans="1:17" x14ac:dyDescent="0.35">
      <c r="A129" s="6"/>
      <c r="B129" s="81"/>
      <c r="C129" s="83"/>
      <c r="D129" s="8"/>
      <c r="E129" s="8"/>
      <c r="F129" s="8"/>
      <c r="G129" s="8"/>
      <c r="H129" s="8"/>
      <c r="I129" s="8"/>
      <c r="J129" s="8"/>
      <c r="K129" s="8"/>
      <c r="L129" s="8"/>
      <c r="M129" s="8"/>
      <c r="N129" s="8"/>
      <c r="O129" s="8"/>
      <c r="P129" s="8"/>
      <c r="Q129" s="1"/>
    </row>
    <row r="130" spans="1:17" x14ac:dyDescent="0.35">
      <c r="A130" s="6"/>
      <c r="B130" s="81"/>
      <c r="C130" s="83"/>
      <c r="D130" s="8"/>
      <c r="E130" s="8"/>
      <c r="F130" s="8"/>
      <c r="G130" s="8"/>
      <c r="H130" s="8"/>
      <c r="I130" s="8"/>
      <c r="J130" s="8"/>
      <c r="K130" s="8"/>
      <c r="L130" s="8"/>
      <c r="M130" s="8"/>
      <c r="N130" s="8"/>
      <c r="O130" s="8"/>
      <c r="P130" s="8"/>
      <c r="Q130" s="1"/>
    </row>
    <row r="131" spans="1:17" x14ac:dyDescent="0.35">
      <c r="A131" s="6"/>
      <c r="B131" s="81"/>
      <c r="C131" s="83"/>
      <c r="D131" s="8"/>
      <c r="E131" s="8"/>
      <c r="F131" s="8"/>
      <c r="G131" s="8"/>
      <c r="H131" s="8"/>
      <c r="I131" s="8"/>
      <c r="J131" s="8"/>
      <c r="K131" s="8"/>
      <c r="L131" s="8"/>
      <c r="M131" s="8"/>
      <c r="N131" s="8"/>
      <c r="O131" s="8"/>
      <c r="P131" s="8"/>
      <c r="Q131" s="1"/>
    </row>
    <row r="132" spans="1:17" x14ac:dyDescent="0.35">
      <c r="A132" s="6"/>
      <c r="B132" s="81"/>
      <c r="C132" s="83"/>
      <c r="D132" s="8"/>
      <c r="E132" s="8"/>
      <c r="F132" s="8"/>
      <c r="G132" s="8"/>
      <c r="H132" s="8"/>
      <c r="I132" s="8"/>
      <c r="J132" s="8"/>
      <c r="K132" s="8"/>
      <c r="L132" s="8"/>
      <c r="M132" s="8"/>
      <c r="N132" s="8"/>
      <c r="O132" s="8"/>
      <c r="P132" s="8"/>
      <c r="Q132" s="1"/>
    </row>
    <row r="133" spans="1:17" x14ac:dyDescent="0.35">
      <c r="A133" s="6"/>
      <c r="B133" s="81"/>
      <c r="C133" s="83"/>
      <c r="D133" s="8"/>
      <c r="E133" s="8"/>
      <c r="F133" s="8"/>
      <c r="G133" s="8"/>
      <c r="H133" s="8"/>
      <c r="I133" s="8"/>
      <c r="J133" s="8"/>
      <c r="K133" s="8"/>
      <c r="L133" s="8"/>
      <c r="M133" s="8"/>
      <c r="N133" s="8"/>
      <c r="O133" s="8"/>
      <c r="P133" s="8"/>
      <c r="Q133" s="1"/>
    </row>
    <row r="134" spans="1:17" x14ac:dyDescent="0.35">
      <c r="A134" s="6"/>
      <c r="B134" s="81"/>
      <c r="C134" s="83"/>
      <c r="D134" s="8"/>
      <c r="E134" s="8"/>
      <c r="F134" s="8"/>
      <c r="G134" s="8"/>
      <c r="H134" s="8"/>
      <c r="I134" s="8"/>
      <c r="J134" s="8"/>
      <c r="K134" s="8"/>
      <c r="L134" s="8"/>
      <c r="M134" s="8"/>
      <c r="N134" s="8"/>
      <c r="O134" s="8"/>
      <c r="P134" s="8"/>
      <c r="Q134" s="1"/>
    </row>
    <row r="135" spans="1:17" x14ac:dyDescent="0.35">
      <c r="A135" s="6"/>
      <c r="B135" s="81"/>
      <c r="C135" s="83"/>
      <c r="D135" s="8"/>
      <c r="E135" s="8"/>
      <c r="F135" s="8"/>
      <c r="G135" s="8"/>
      <c r="H135" s="8"/>
      <c r="I135" s="8"/>
      <c r="J135" s="8"/>
      <c r="K135" s="8"/>
      <c r="L135" s="8"/>
      <c r="M135" s="8"/>
      <c r="N135" s="8"/>
      <c r="O135" s="8"/>
      <c r="P135" s="8"/>
      <c r="Q135" s="1"/>
    </row>
    <row r="136" spans="1:17" x14ac:dyDescent="0.35">
      <c r="A136" s="6"/>
      <c r="B136" s="81"/>
      <c r="C136" s="83"/>
      <c r="D136" s="8"/>
      <c r="E136" s="8"/>
      <c r="F136" s="8"/>
      <c r="G136" s="8"/>
      <c r="H136" s="8"/>
      <c r="I136" s="8"/>
      <c r="J136" s="8"/>
      <c r="K136" s="8"/>
      <c r="L136" s="8"/>
      <c r="M136" s="8"/>
      <c r="N136" s="8"/>
      <c r="O136" s="8"/>
      <c r="P136" s="8"/>
      <c r="Q136" s="1"/>
    </row>
    <row r="137" spans="1:17" x14ac:dyDescent="0.35">
      <c r="A137" s="6"/>
      <c r="B137" s="81"/>
      <c r="C137" s="83"/>
      <c r="D137" s="8"/>
      <c r="E137" s="8"/>
      <c r="F137" s="8"/>
      <c r="G137" s="8"/>
      <c r="H137" s="8"/>
      <c r="I137" s="8"/>
      <c r="J137" s="8"/>
      <c r="K137" s="8"/>
      <c r="L137" s="8"/>
      <c r="M137" s="8"/>
      <c r="N137" s="8"/>
      <c r="O137" s="8"/>
      <c r="P137" s="8"/>
      <c r="Q137" s="1"/>
    </row>
    <row r="138" spans="1:17" x14ac:dyDescent="0.35">
      <c r="A138" s="6"/>
      <c r="B138" s="81"/>
      <c r="C138" s="83"/>
      <c r="D138" s="8"/>
      <c r="E138" s="8"/>
      <c r="F138" s="8"/>
      <c r="G138" s="8"/>
      <c r="H138" s="8"/>
      <c r="I138" s="8"/>
      <c r="J138" s="8"/>
      <c r="K138" s="8"/>
      <c r="L138" s="8"/>
      <c r="M138" s="8"/>
      <c r="N138" s="8"/>
      <c r="O138" s="8"/>
      <c r="P138" s="8"/>
      <c r="Q138" s="1"/>
    </row>
    <row r="139" spans="1:17" x14ac:dyDescent="0.35">
      <c r="A139" s="6"/>
      <c r="B139" s="81"/>
      <c r="C139" s="83"/>
      <c r="D139" s="8"/>
      <c r="E139" s="8"/>
      <c r="F139" s="8"/>
      <c r="G139" s="8"/>
      <c r="H139" s="8"/>
      <c r="I139" s="8"/>
      <c r="J139" s="8"/>
      <c r="K139" s="8"/>
      <c r="L139" s="8"/>
      <c r="M139" s="8"/>
      <c r="N139" s="8"/>
      <c r="O139" s="8"/>
      <c r="P139" s="8"/>
      <c r="Q139" s="1"/>
    </row>
    <row r="140" spans="1:17" x14ac:dyDescent="0.35">
      <c r="A140" s="6"/>
      <c r="B140" s="81"/>
      <c r="C140" s="83"/>
      <c r="D140" s="8"/>
      <c r="E140" s="8"/>
      <c r="F140" s="8"/>
      <c r="G140" s="8"/>
      <c r="H140" s="8"/>
      <c r="I140" s="8"/>
      <c r="J140" s="8"/>
      <c r="K140" s="8"/>
      <c r="L140" s="8"/>
      <c r="M140" s="8"/>
      <c r="N140" s="8"/>
      <c r="O140" s="8"/>
      <c r="P140" s="8"/>
      <c r="Q140" s="1"/>
    </row>
    <row r="141" spans="1:17" x14ac:dyDescent="0.35">
      <c r="A141" s="6"/>
      <c r="B141" s="81"/>
      <c r="C141" s="83"/>
      <c r="D141" s="8"/>
      <c r="E141" s="8"/>
      <c r="F141" s="8"/>
      <c r="G141" s="8"/>
      <c r="H141" s="8"/>
      <c r="I141" s="8"/>
      <c r="J141" s="8"/>
      <c r="K141" s="8"/>
      <c r="L141" s="8"/>
      <c r="M141" s="8"/>
      <c r="N141" s="8"/>
      <c r="O141" s="8"/>
      <c r="P141" s="8"/>
      <c r="Q141" s="1"/>
    </row>
    <row r="142" spans="1:17" x14ac:dyDescent="0.35">
      <c r="A142" s="6"/>
      <c r="B142" s="81"/>
      <c r="C142" s="83"/>
      <c r="D142" s="8"/>
      <c r="E142" s="8"/>
      <c r="F142" s="8"/>
      <c r="G142" s="8"/>
      <c r="H142" s="8"/>
      <c r="I142" s="8"/>
      <c r="J142" s="8"/>
      <c r="K142" s="8"/>
      <c r="L142" s="8"/>
      <c r="M142" s="8"/>
      <c r="N142" s="8"/>
      <c r="O142" s="8"/>
      <c r="P142" s="8"/>
      <c r="Q142" s="1"/>
    </row>
    <row r="143" spans="1:17" x14ac:dyDescent="0.35">
      <c r="A143" s="6"/>
      <c r="B143" s="81"/>
      <c r="C143" s="83"/>
      <c r="D143" s="8"/>
      <c r="E143" s="8"/>
      <c r="F143" s="8"/>
      <c r="G143" s="8"/>
      <c r="H143" s="8"/>
      <c r="I143" s="8"/>
      <c r="J143" s="8"/>
      <c r="K143" s="8"/>
      <c r="L143" s="8"/>
      <c r="M143" s="8"/>
      <c r="N143" s="8"/>
      <c r="O143" s="8"/>
      <c r="P143" s="8"/>
      <c r="Q143" s="1"/>
    </row>
    <row r="144" spans="1:17" x14ac:dyDescent="0.35">
      <c r="A144" s="6"/>
      <c r="B144" s="81"/>
      <c r="C144" s="83"/>
      <c r="D144" s="8"/>
      <c r="E144" s="8"/>
      <c r="F144" s="8"/>
      <c r="G144" s="8"/>
      <c r="H144" s="8"/>
      <c r="I144" s="8"/>
      <c r="J144" s="8"/>
      <c r="K144" s="8"/>
      <c r="L144" s="8"/>
      <c r="M144" s="8"/>
      <c r="N144" s="8"/>
      <c r="O144" s="8"/>
      <c r="P144" s="8"/>
      <c r="Q144" s="1"/>
    </row>
    <row r="145" spans="1:17" x14ac:dyDescent="0.35">
      <c r="A145" s="6"/>
      <c r="B145" s="81"/>
      <c r="C145" s="83"/>
      <c r="D145" s="8"/>
      <c r="E145" s="8"/>
      <c r="F145" s="8"/>
      <c r="G145" s="8"/>
      <c r="H145" s="8"/>
      <c r="I145" s="8"/>
      <c r="J145" s="8"/>
      <c r="K145" s="8"/>
      <c r="L145" s="8"/>
      <c r="M145" s="8"/>
      <c r="N145" s="8"/>
      <c r="O145" s="8"/>
      <c r="P145" s="8"/>
      <c r="Q145" s="1"/>
    </row>
    <row r="146" spans="1:17" x14ac:dyDescent="0.35">
      <c r="A146" s="6"/>
      <c r="B146" s="81"/>
      <c r="C146" s="83"/>
      <c r="D146" s="8"/>
      <c r="E146" s="8"/>
      <c r="F146" s="8"/>
      <c r="G146" s="8"/>
      <c r="H146" s="8"/>
      <c r="I146" s="8"/>
      <c r="J146" s="8"/>
      <c r="K146" s="8"/>
      <c r="L146" s="8"/>
      <c r="M146" s="8"/>
      <c r="N146" s="8"/>
      <c r="O146" s="8"/>
      <c r="P146" s="8"/>
      <c r="Q146" s="1"/>
    </row>
    <row r="147" spans="1:17" x14ac:dyDescent="0.35">
      <c r="A147" s="6"/>
      <c r="B147" s="81"/>
      <c r="C147" s="83"/>
      <c r="D147" s="8"/>
      <c r="E147" s="8"/>
      <c r="F147" s="8"/>
      <c r="G147" s="8"/>
      <c r="H147" s="8"/>
      <c r="I147" s="8"/>
      <c r="J147" s="8"/>
      <c r="K147" s="8"/>
      <c r="L147" s="8"/>
      <c r="M147" s="8"/>
      <c r="N147" s="8"/>
      <c r="O147" s="8"/>
      <c r="P147" s="8"/>
      <c r="Q147" s="1"/>
    </row>
    <row r="148" spans="1:17" x14ac:dyDescent="0.35">
      <c r="A148" s="6"/>
      <c r="B148" s="81"/>
      <c r="C148" s="83"/>
      <c r="D148" s="8"/>
      <c r="E148" s="8"/>
      <c r="F148" s="8"/>
      <c r="G148" s="8"/>
      <c r="H148" s="8"/>
      <c r="I148" s="8"/>
      <c r="J148" s="8"/>
      <c r="K148" s="8"/>
      <c r="L148" s="8"/>
      <c r="M148" s="8"/>
      <c r="N148" s="8"/>
      <c r="O148" s="8"/>
      <c r="P148" s="8"/>
      <c r="Q148" s="1"/>
    </row>
    <row r="149" spans="1:17" x14ac:dyDescent="0.35">
      <c r="A149" s="6"/>
      <c r="B149" s="81"/>
      <c r="C149" s="83"/>
      <c r="D149" s="8"/>
      <c r="E149" s="8"/>
      <c r="F149" s="8"/>
      <c r="G149" s="8"/>
      <c r="H149" s="8"/>
      <c r="I149" s="8"/>
      <c r="J149" s="8"/>
      <c r="K149" s="8"/>
      <c r="L149" s="8"/>
      <c r="M149" s="8"/>
      <c r="N149" s="8"/>
      <c r="O149" s="8"/>
      <c r="P149" s="8"/>
      <c r="Q149" s="1"/>
    </row>
    <row r="150" spans="1:17" x14ac:dyDescent="0.35">
      <c r="A150" s="6"/>
      <c r="B150" s="81"/>
      <c r="C150" s="83"/>
      <c r="D150" s="8"/>
      <c r="E150" s="8"/>
      <c r="F150" s="8"/>
      <c r="G150" s="8"/>
      <c r="H150" s="8"/>
      <c r="I150" s="8"/>
      <c r="J150" s="8"/>
      <c r="K150" s="8"/>
      <c r="L150" s="8"/>
      <c r="M150" s="8"/>
      <c r="N150" s="8"/>
      <c r="O150" s="8"/>
      <c r="P150" s="8"/>
      <c r="Q150" s="1"/>
    </row>
    <row r="151" spans="1:17" x14ac:dyDescent="0.35">
      <c r="A151" s="6"/>
      <c r="B151" s="81"/>
      <c r="C151" s="83"/>
      <c r="D151" s="8"/>
      <c r="E151" s="8"/>
      <c r="F151" s="8"/>
      <c r="G151" s="8"/>
      <c r="H151" s="8"/>
      <c r="I151" s="8"/>
      <c r="J151" s="8"/>
      <c r="K151" s="8"/>
      <c r="L151" s="8"/>
      <c r="M151" s="8"/>
      <c r="N151" s="8"/>
      <c r="O151" s="8"/>
      <c r="P151" s="8"/>
      <c r="Q151" s="1"/>
    </row>
    <row r="152" spans="1:17" x14ac:dyDescent="0.35">
      <c r="A152" s="6"/>
      <c r="B152" s="81"/>
      <c r="C152" s="83"/>
      <c r="D152" s="8"/>
      <c r="E152" s="8"/>
      <c r="F152" s="8"/>
      <c r="G152" s="8"/>
      <c r="H152" s="8"/>
      <c r="I152" s="8"/>
      <c r="J152" s="8"/>
      <c r="K152" s="8"/>
      <c r="L152" s="8"/>
      <c r="M152" s="8"/>
      <c r="N152" s="8"/>
      <c r="O152" s="8"/>
      <c r="P152" s="8"/>
      <c r="Q152" s="1"/>
    </row>
    <row r="153" spans="1:17" x14ac:dyDescent="0.35">
      <c r="A153" s="6"/>
      <c r="B153" s="81"/>
      <c r="C153" s="83"/>
      <c r="D153" s="8"/>
      <c r="E153" s="8"/>
      <c r="F153" s="8"/>
      <c r="G153" s="8"/>
      <c r="H153" s="8"/>
      <c r="I153" s="8"/>
      <c r="J153" s="8"/>
      <c r="K153" s="8"/>
      <c r="L153" s="8"/>
      <c r="M153" s="8"/>
      <c r="N153" s="8"/>
      <c r="O153" s="8"/>
      <c r="P153" s="8"/>
      <c r="Q153" s="1"/>
    </row>
    <row r="154" spans="1:17" x14ac:dyDescent="0.35">
      <c r="A154" s="6"/>
      <c r="B154" s="81"/>
      <c r="C154" s="83"/>
      <c r="D154" s="8"/>
      <c r="E154" s="8"/>
      <c r="F154" s="8"/>
      <c r="G154" s="8"/>
      <c r="H154" s="8"/>
      <c r="I154" s="8"/>
      <c r="J154" s="8"/>
      <c r="K154" s="8"/>
      <c r="L154" s="8"/>
      <c r="M154" s="8"/>
      <c r="N154" s="8"/>
      <c r="O154" s="8"/>
      <c r="P154" s="8"/>
      <c r="Q154" s="1"/>
    </row>
    <row r="155" spans="1:17" x14ac:dyDescent="0.35">
      <c r="A155" s="6"/>
      <c r="B155" s="81"/>
      <c r="C155" s="83"/>
      <c r="D155" s="8"/>
      <c r="E155" s="8"/>
      <c r="F155" s="8"/>
      <c r="G155" s="8"/>
      <c r="H155" s="8"/>
      <c r="I155" s="8"/>
      <c r="J155" s="8"/>
      <c r="K155" s="8"/>
      <c r="L155" s="8"/>
      <c r="M155" s="8"/>
      <c r="N155" s="8"/>
      <c r="O155" s="8"/>
      <c r="P155" s="8"/>
      <c r="Q155" s="1"/>
    </row>
    <row r="156" spans="1:17" x14ac:dyDescent="0.35">
      <c r="A156" s="6"/>
      <c r="B156" s="81"/>
      <c r="C156" s="83"/>
      <c r="D156" s="8"/>
      <c r="E156" s="8"/>
      <c r="F156" s="8"/>
      <c r="G156" s="8"/>
      <c r="H156" s="8"/>
      <c r="I156" s="8"/>
      <c r="J156" s="8"/>
      <c r="K156" s="8"/>
      <c r="L156" s="8"/>
      <c r="M156" s="8"/>
      <c r="N156" s="8"/>
      <c r="O156" s="8"/>
      <c r="P156" s="8"/>
      <c r="Q156" s="1"/>
    </row>
    <row r="157" spans="1:17" x14ac:dyDescent="0.35">
      <c r="A157" s="6"/>
      <c r="B157" s="81"/>
      <c r="C157" s="83"/>
      <c r="D157" s="8"/>
      <c r="E157" s="8"/>
      <c r="F157" s="8"/>
      <c r="G157" s="8"/>
      <c r="H157" s="8"/>
      <c r="I157" s="8"/>
      <c r="J157" s="8"/>
      <c r="K157" s="8"/>
      <c r="L157" s="8"/>
      <c r="M157" s="8"/>
      <c r="N157" s="8"/>
      <c r="O157" s="8"/>
      <c r="P157" s="8"/>
      <c r="Q157" s="1"/>
    </row>
    <row r="158" spans="1:17" x14ac:dyDescent="0.35">
      <c r="A158" s="6"/>
      <c r="B158" s="81"/>
      <c r="C158" s="83"/>
      <c r="D158" s="8"/>
      <c r="E158" s="8"/>
      <c r="F158" s="8"/>
      <c r="G158" s="8"/>
      <c r="H158" s="8"/>
      <c r="I158" s="8"/>
      <c r="J158" s="8"/>
      <c r="K158" s="8"/>
      <c r="L158" s="8"/>
      <c r="M158" s="8"/>
      <c r="N158" s="8"/>
      <c r="O158" s="8"/>
      <c r="P158" s="8"/>
      <c r="Q158" s="1"/>
    </row>
    <row r="159" spans="1:17" x14ac:dyDescent="0.35">
      <c r="A159" s="6"/>
      <c r="B159" s="81"/>
      <c r="C159" s="83"/>
      <c r="D159" s="8"/>
      <c r="E159" s="8"/>
      <c r="F159" s="8"/>
      <c r="G159" s="8"/>
      <c r="H159" s="8"/>
      <c r="I159" s="8"/>
      <c r="J159" s="8"/>
      <c r="K159" s="8"/>
      <c r="L159" s="8"/>
      <c r="M159" s="8"/>
      <c r="N159" s="8"/>
      <c r="O159" s="8"/>
      <c r="P159" s="8"/>
      <c r="Q159" s="1"/>
    </row>
    <row r="160" spans="1:17" x14ac:dyDescent="0.35">
      <c r="A160" s="6"/>
      <c r="B160" s="81"/>
      <c r="C160" s="83"/>
      <c r="D160" s="8"/>
      <c r="E160" s="8"/>
      <c r="F160" s="8"/>
      <c r="G160" s="8"/>
      <c r="H160" s="8"/>
      <c r="I160" s="8"/>
      <c r="J160" s="8"/>
      <c r="K160" s="8"/>
      <c r="L160" s="8"/>
      <c r="M160" s="8"/>
      <c r="N160" s="8"/>
      <c r="O160" s="8"/>
      <c r="P160" s="8"/>
      <c r="Q160" s="1"/>
    </row>
    <row r="161" spans="1:17" x14ac:dyDescent="0.35">
      <c r="A161" s="6"/>
      <c r="B161" s="81"/>
      <c r="C161" s="83"/>
      <c r="D161" s="8"/>
      <c r="E161" s="8"/>
      <c r="F161" s="8"/>
      <c r="G161" s="8"/>
      <c r="H161" s="8"/>
      <c r="I161" s="8"/>
      <c r="J161" s="8"/>
      <c r="K161" s="8"/>
      <c r="L161" s="8"/>
      <c r="M161" s="8"/>
      <c r="N161" s="8"/>
      <c r="O161" s="8"/>
      <c r="P161" s="8"/>
      <c r="Q161" s="1"/>
    </row>
    <row r="162" spans="1:17" x14ac:dyDescent="0.35">
      <c r="A162" s="6"/>
      <c r="B162" s="81"/>
      <c r="C162" s="83"/>
      <c r="D162" s="8"/>
      <c r="E162" s="8"/>
      <c r="F162" s="8"/>
      <c r="G162" s="8"/>
      <c r="H162" s="8"/>
      <c r="I162" s="8"/>
      <c r="J162" s="8"/>
      <c r="K162" s="8"/>
      <c r="L162" s="8"/>
      <c r="M162" s="8"/>
      <c r="N162" s="8"/>
      <c r="O162" s="8"/>
      <c r="P162" s="8"/>
      <c r="Q162" s="1"/>
    </row>
    <row r="163" spans="1:17" x14ac:dyDescent="0.35">
      <c r="A163" s="6"/>
      <c r="B163" s="81"/>
      <c r="C163" s="83"/>
      <c r="D163" s="8"/>
      <c r="E163" s="8"/>
      <c r="F163" s="8"/>
      <c r="G163" s="8"/>
      <c r="H163" s="8"/>
      <c r="I163" s="8"/>
      <c r="J163" s="8"/>
      <c r="K163" s="8"/>
      <c r="L163" s="8"/>
      <c r="M163" s="8"/>
      <c r="N163" s="8"/>
      <c r="O163" s="8"/>
      <c r="P163" s="8"/>
      <c r="Q163" s="1"/>
    </row>
    <row r="164" spans="1:17" x14ac:dyDescent="0.35">
      <c r="A164" s="6"/>
      <c r="B164" s="81"/>
      <c r="C164" s="83"/>
      <c r="D164" s="8"/>
      <c r="E164" s="8"/>
      <c r="F164" s="8"/>
      <c r="G164" s="8"/>
      <c r="H164" s="8"/>
      <c r="I164" s="8"/>
      <c r="J164" s="8"/>
      <c r="K164" s="8"/>
      <c r="L164" s="8"/>
      <c r="M164" s="8"/>
      <c r="N164" s="8"/>
      <c r="O164" s="8"/>
      <c r="P164" s="8"/>
      <c r="Q164" s="1"/>
    </row>
    <row r="165" spans="1:17" x14ac:dyDescent="0.35">
      <c r="A165" s="6"/>
      <c r="B165" s="81"/>
      <c r="C165" s="83"/>
      <c r="D165" s="8"/>
      <c r="E165" s="8"/>
      <c r="F165" s="8"/>
      <c r="G165" s="8"/>
      <c r="H165" s="8"/>
      <c r="I165" s="8"/>
      <c r="J165" s="8"/>
      <c r="K165" s="8"/>
      <c r="L165" s="8"/>
      <c r="M165" s="8"/>
      <c r="N165" s="8"/>
      <c r="O165" s="8"/>
      <c r="P165" s="8"/>
      <c r="Q165" s="1"/>
    </row>
    <row r="166" spans="1:17" x14ac:dyDescent="0.35">
      <c r="A166" s="6"/>
      <c r="B166" s="81"/>
      <c r="C166" s="83"/>
      <c r="D166" s="8"/>
      <c r="E166" s="8"/>
      <c r="F166" s="8"/>
      <c r="G166" s="8"/>
      <c r="H166" s="8"/>
      <c r="I166" s="8"/>
      <c r="J166" s="8"/>
      <c r="K166" s="8"/>
      <c r="L166" s="8"/>
      <c r="M166" s="8"/>
      <c r="N166" s="8"/>
      <c r="O166" s="8"/>
      <c r="P166" s="8"/>
      <c r="Q166" s="1"/>
    </row>
    <row r="167" spans="1:17" x14ac:dyDescent="0.35">
      <c r="A167" s="6"/>
      <c r="B167" s="81"/>
      <c r="C167" s="83"/>
      <c r="D167" s="8"/>
      <c r="E167" s="8"/>
      <c r="F167" s="8"/>
      <c r="G167" s="8"/>
      <c r="H167" s="8"/>
      <c r="I167" s="8"/>
      <c r="J167" s="8"/>
      <c r="K167" s="8"/>
      <c r="L167" s="8"/>
      <c r="M167" s="8"/>
      <c r="N167" s="8"/>
      <c r="O167" s="8"/>
      <c r="P167" s="8"/>
      <c r="Q167" s="1"/>
    </row>
    <row r="168" spans="1:17" x14ac:dyDescent="0.35">
      <c r="A168" s="6"/>
      <c r="B168" s="81"/>
      <c r="C168" s="83"/>
      <c r="D168" s="8"/>
      <c r="E168" s="8"/>
      <c r="F168" s="8"/>
      <c r="G168" s="8"/>
      <c r="H168" s="8"/>
      <c r="I168" s="8"/>
      <c r="J168" s="8"/>
      <c r="K168" s="8"/>
      <c r="L168" s="8"/>
      <c r="M168" s="8"/>
      <c r="N168" s="8"/>
      <c r="O168" s="8"/>
      <c r="P168" s="8"/>
      <c r="Q168" s="1"/>
    </row>
    <row r="169" spans="1:17" x14ac:dyDescent="0.35">
      <c r="A169" s="6"/>
      <c r="B169" s="81"/>
      <c r="C169" s="83"/>
      <c r="D169" s="8"/>
      <c r="E169" s="8"/>
      <c r="F169" s="8"/>
      <c r="G169" s="8"/>
      <c r="H169" s="8"/>
      <c r="I169" s="8"/>
      <c r="J169" s="8"/>
      <c r="K169" s="8"/>
      <c r="L169" s="8"/>
      <c r="M169" s="8"/>
      <c r="N169" s="8"/>
      <c r="O169" s="8"/>
      <c r="P169" s="8"/>
      <c r="Q169" s="1"/>
    </row>
    <row r="170" spans="1:17" x14ac:dyDescent="0.35">
      <c r="A170" s="6"/>
      <c r="B170" s="81"/>
      <c r="C170" s="83"/>
      <c r="D170" s="8"/>
      <c r="E170" s="8"/>
      <c r="F170" s="8"/>
      <c r="G170" s="8"/>
      <c r="H170" s="8"/>
      <c r="I170" s="8"/>
      <c r="J170" s="8"/>
      <c r="K170" s="8"/>
      <c r="L170" s="8"/>
      <c r="M170" s="8"/>
      <c r="N170" s="8"/>
      <c r="O170" s="8"/>
      <c r="P170" s="8"/>
      <c r="Q170" s="1"/>
    </row>
    <row r="171" spans="1:17" x14ac:dyDescent="0.35">
      <c r="A171" s="6"/>
      <c r="B171" s="81"/>
      <c r="C171" s="83"/>
      <c r="D171" s="8"/>
      <c r="E171" s="8"/>
      <c r="F171" s="8"/>
      <c r="G171" s="8"/>
      <c r="H171" s="8"/>
      <c r="I171" s="8"/>
      <c r="J171" s="8"/>
      <c r="K171" s="8"/>
      <c r="L171" s="8"/>
      <c r="M171" s="8"/>
      <c r="N171" s="8"/>
      <c r="O171" s="8"/>
      <c r="P171" s="8"/>
      <c r="Q171" s="1"/>
    </row>
    <row r="172" spans="1:17" x14ac:dyDescent="0.35">
      <c r="A172" s="6"/>
      <c r="B172" s="81"/>
      <c r="C172" s="83"/>
      <c r="D172" s="8"/>
      <c r="E172" s="8"/>
      <c r="F172" s="8"/>
      <c r="G172" s="8"/>
      <c r="H172" s="8"/>
      <c r="I172" s="8"/>
      <c r="J172" s="8"/>
      <c r="K172" s="8"/>
      <c r="L172" s="8"/>
      <c r="M172" s="8"/>
      <c r="N172" s="8"/>
      <c r="O172" s="8"/>
      <c r="P172" s="8"/>
      <c r="Q172" s="1"/>
    </row>
    <row r="173" spans="1:17" x14ac:dyDescent="0.35">
      <c r="A173" s="6"/>
      <c r="B173" s="81"/>
      <c r="C173" s="83"/>
      <c r="D173" s="8"/>
      <c r="E173" s="8"/>
      <c r="F173" s="8"/>
      <c r="G173" s="8"/>
      <c r="H173" s="8"/>
      <c r="I173" s="8"/>
      <c r="J173" s="8"/>
      <c r="K173" s="8"/>
      <c r="L173" s="8"/>
      <c r="M173" s="8"/>
      <c r="N173" s="8"/>
      <c r="O173" s="8"/>
      <c r="P173" s="8"/>
      <c r="Q173" s="1"/>
    </row>
    <row r="174" spans="1:17" x14ac:dyDescent="0.35">
      <c r="A174" s="6"/>
      <c r="B174" s="81"/>
      <c r="C174" s="83"/>
      <c r="D174" s="8"/>
      <c r="E174" s="8"/>
      <c r="F174" s="8"/>
      <c r="G174" s="8"/>
      <c r="H174" s="8"/>
      <c r="I174" s="8"/>
      <c r="J174" s="8"/>
      <c r="K174" s="8"/>
      <c r="L174" s="8"/>
      <c r="M174" s="8"/>
      <c r="N174" s="8"/>
      <c r="O174" s="8"/>
      <c r="P174" s="8"/>
      <c r="Q174" s="1"/>
    </row>
    <row r="175" spans="1:17" x14ac:dyDescent="0.35">
      <c r="A175" s="6"/>
      <c r="B175" s="81"/>
      <c r="C175" s="83"/>
      <c r="D175" s="8"/>
      <c r="E175" s="8"/>
      <c r="F175" s="8"/>
      <c r="G175" s="8"/>
      <c r="H175" s="8"/>
      <c r="I175" s="8"/>
      <c r="J175" s="8"/>
      <c r="K175" s="8"/>
      <c r="L175" s="8"/>
      <c r="M175" s="8"/>
      <c r="N175" s="8"/>
      <c r="O175" s="8"/>
      <c r="P175" s="8"/>
      <c r="Q175" s="1"/>
    </row>
    <row r="176" spans="1:17" x14ac:dyDescent="0.35">
      <c r="A176" s="6"/>
      <c r="B176" s="81"/>
      <c r="C176" s="83"/>
      <c r="D176" s="8"/>
      <c r="E176" s="8"/>
      <c r="F176" s="8"/>
      <c r="G176" s="8"/>
      <c r="H176" s="8"/>
      <c r="I176" s="8"/>
      <c r="J176" s="8"/>
      <c r="K176" s="8"/>
      <c r="L176" s="8"/>
      <c r="M176" s="8"/>
      <c r="N176" s="8"/>
      <c r="O176" s="8"/>
      <c r="P176" s="8"/>
      <c r="Q176" s="1"/>
    </row>
    <row r="177" spans="1:17" x14ac:dyDescent="0.35">
      <c r="A177" s="6"/>
      <c r="B177" s="81"/>
      <c r="C177" s="83"/>
      <c r="D177" s="8"/>
      <c r="E177" s="8"/>
      <c r="F177" s="8"/>
      <c r="G177" s="8"/>
      <c r="H177" s="8"/>
      <c r="I177" s="8"/>
      <c r="J177" s="8"/>
      <c r="K177" s="8"/>
      <c r="L177" s="8"/>
      <c r="M177" s="8"/>
      <c r="N177" s="8"/>
      <c r="O177" s="8"/>
      <c r="P177" s="8"/>
      <c r="Q177" s="1"/>
    </row>
    <row r="178" spans="1:17" x14ac:dyDescent="0.35">
      <c r="A178" s="6"/>
      <c r="B178" s="81"/>
      <c r="C178" s="83"/>
      <c r="D178" s="8"/>
      <c r="E178" s="8"/>
      <c r="F178" s="8"/>
      <c r="G178" s="8"/>
      <c r="H178" s="8"/>
      <c r="I178" s="8"/>
      <c r="J178" s="8"/>
      <c r="K178" s="8"/>
      <c r="L178" s="8"/>
      <c r="M178" s="8"/>
      <c r="N178" s="8"/>
      <c r="O178" s="8"/>
      <c r="P178" s="8"/>
      <c r="Q178" s="1"/>
    </row>
    <row r="179" spans="1:17" x14ac:dyDescent="0.35">
      <c r="A179" s="6"/>
      <c r="B179" s="81"/>
      <c r="C179" s="83"/>
      <c r="D179" s="8"/>
      <c r="E179" s="8"/>
      <c r="F179" s="8"/>
      <c r="G179" s="8"/>
      <c r="H179" s="8"/>
      <c r="I179" s="8"/>
      <c r="J179" s="8"/>
      <c r="K179" s="8"/>
      <c r="L179" s="8"/>
      <c r="M179" s="8"/>
      <c r="N179" s="8"/>
      <c r="O179" s="8"/>
      <c r="P179" s="8"/>
      <c r="Q179" s="1"/>
    </row>
    <row r="180" spans="1:17" x14ac:dyDescent="0.35">
      <c r="A180" s="6"/>
      <c r="B180" s="81"/>
      <c r="C180" s="83"/>
      <c r="D180" s="8"/>
      <c r="E180" s="8"/>
      <c r="F180" s="8"/>
      <c r="G180" s="8"/>
      <c r="H180" s="8"/>
      <c r="I180" s="8"/>
      <c r="J180" s="8"/>
      <c r="K180" s="8"/>
      <c r="L180" s="8"/>
      <c r="M180" s="8"/>
      <c r="N180" s="8"/>
      <c r="O180" s="8"/>
      <c r="P180" s="8"/>
      <c r="Q180" s="1"/>
    </row>
    <row r="181" spans="1:17" x14ac:dyDescent="0.35">
      <c r="A181" s="6"/>
      <c r="B181" s="81"/>
      <c r="C181" s="83"/>
      <c r="D181" s="8"/>
      <c r="E181" s="8"/>
      <c r="F181" s="8"/>
      <c r="G181" s="8"/>
      <c r="H181" s="8"/>
      <c r="I181" s="8"/>
      <c r="J181" s="8"/>
      <c r="K181" s="8"/>
      <c r="L181" s="8"/>
      <c r="M181" s="8"/>
      <c r="N181" s="8"/>
      <c r="O181" s="8"/>
      <c r="P181" s="8"/>
      <c r="Q181" s="1"/>
    </row>
    <row r="182" spans="1:17" x14ac:dyDescent="0.35">
      <c r="A182" s="6"/>
      <c r="B182" s="81"/>
      <c r="C182" s="83"/>
      <c r="D182" s="8"/>
      <c r="E182" s="8"/>
      <c r="F182" s="8"/>
      <c r="G182" s="8"/>
      <c r="H182" s="8"/>
      <c r="I182" s="8"/>
      <c r="J182" s="8"/>
      <c r="K182" s="8"/>
      <c r="L182" s="8"/>
      <c r="M182" s="8"/>
      <c r="N182" s="8"/>
      <c r="O182" s="8"/>
      <c r="P182" s="8"/>
      <c r="Q182" s="1"/>
    </row>
    <row r="183" spans="1:17" x14ac:dyDescent="0.35">
      <c r="A183" s="6"/>
      <c r="B183" s="81"/>
      <c r="C183" s="83"/>
      <c r="D183" s="8"/>
      <c r="E183" s="8"/>
      <c r="F183" s="8"/>
      <c r="G183" s="8"/>
      <c r="H183" s="8"/>
      <c r="I183" s="8"/>
      <c r="J183" s="8"/>
      <c r="K183" s="8"/>
      <c r="L183" s="8"/>
      <c r="M183" s="8"/>
      <c r="N183" s="8"/>
      <c r="O183" s="8"/>
      <c r="P183" s="8"/>
      <c r="Q183" s="1"/>
    </row>
    <row r="184" spans="1:17" x14ac:dyDescent="0.35">
      <c r="A184" s="6"/>
      <c r="B184" s="81"/>
      <c r="C184" s="83"/>
      <c r="D184" s="8"/>
      <c r="E184" s="8"/>
      <c r="F184" s="8"/>
      <c r="G184" s="8"/>
      <c r="H184" s="8"/>
      <c r="I184" s="8"/>
      <c r="J184" s="8"/>
      <c r="K184" s="8"/>
      <c r="L184" s="8"/>
      <c r="M184" s="8"/>
      <c r="N184" s="8"/>
      <c r="O184" s="8"/>
      <c r="P184" s="8"/>
      <c r="Q184" s="1"/>
    </row>
    <row r="185" spans="1:17" x14ac:dyDescent="0.35">
      <c r="A185" s="6"/>
      <c r="B185" s="81"/>
      <c r="C185" s="83"/>
      <c r="D185" s="8"/>
      <c r="E185" s="8"/>
      <c r="F185" s="8"/>
      <c r="G185" s="8"/>
      <c r="H185" s="8"/>
      <c r="I185" s="8"/>
      <c r="J185" s="8"/>
      <c r="K185" s="8"/>
      <c r="L185" s="8"/>
      <c r="M185" s="8"/>
      <c r="N185" s="8"/>
      <c r="O185" s="8"/>
      <c r="P185" s="8"/>
      <c r="Q185" s="1"/>
    </row>
    <row r="186" spans="1:17" x14ac:dyDescent="0.35">
      <c r="A186" s="6"/>
      <c r="B186" s="81"/>
      <c r="C186" s="83"/>
      <c r="D186" s="8"/>
      <c r="E186" s="8"/>
      <c r="F186" s="8"/>
      <c r="G186" s="8"/>
      <c r="H186" s="8"/>
      <c r="I186" s="8"/>
      <c r="J186" s="8"/>
      <c r="K186" s="8"/>
      <c r="L186" s="8"/>
      <c r="M186" s="8"/>
      <c r="N186" s="8"/>
      <c r="O186" s="8"/>
      <c r="P186" s="8"/>
      <c r="Q186" s="1"/>
    </row>
    <row r="187" spans="1:17" x14ac:dyDescent="0.35">
      <c r="A187" s="6"/>
      <c r="B187" s="81"/>
      <c r="C187" s="83"/>
      <c r="D187" s="8"/>
      <c r="E187" s="8"/>
      <c r="F187" s="8"/>
      <c r="G187" s="8"/>
      <c r="H187" s="8"/>
      <c r="I187" s="8"/>
      <c r="J187" s="8"/>
      <c r="K187" s="8"/>
      <c r="L187" s="8"/>
      <c r="M187" s="8"/>
      <c r="N187" s="8"/>
      <c r="O187" s="8"/>
      <c r="P187" s="8"/>
      <c r="Q187" s="1"/>
    </row>
    <row r="188" spans="1:17" x14ac:dyDescent="0.35">
      <c r="A188" s="6"/>
      <c r="B188" s="81"/>
      <c r="C188" s="83"/>
      <c r="D188" s="8"/>
      <c r="E188" s="8"/>
      <c r="F188" s="8"/>
      <c r="G188" s="8"/>
      <c r="H188" s="8"/>
      <c r="I188" s="8"/>
      <c r="J188" s="8"/>
      <c r="K188" s="8"/>
      <c r="L188" s="8"/>
      <c r="M188" s="8"/>
      <c r="N188" s="8"/>
      <c r="O188" s="8"/>
      <c r="P188" s="8"/>
      <c r="Q188" s="1"/>
    </row>
    <row r="189" spans="1:17" x14ac:dyDescent="0.35">
      <c r="A189" s="6"/>
      <c r="B189" s="81"/>
      <c r="C189" s="83"/>
      <c r="D189" s="8"/>
      <c r="E189" s="8"/>
      <c r="F189" s="8"/>
      <c r="G189" s="8"/>
      <c r="H189" s="8"/>
      <c r="I189" s="8"/>
      <c r="J189" s="8"/>
      <c r="K189" s="8"/>
      <c r="L189" s="8"/>
      <c r="M189" s="8"/>
      <c r="N189" s="8"/>
      <c r="O189" s="8"/>
      <c r="P189" s="8"/>
      <c r="Q189" s="1"/>
    </row>
    <row r="190" spans="1:17" x14ac:dyDescent="0.35">
      <c r="A190" s="6"/>
      <c r="B190" s="81"/>
      <c r="C190" s="83"/>
      <c r="D190" s="8"/>
      <c r="E190" s="8"/>
      <c r="F190" s="8"/>
      <c r="G190" s="8"/>
      <c r="H190" s="8"/>
      <c r="I190" s="8"/>
      <c r="J190" s="8"/>
      <c r="K190" s="8"/>
      <c r="L190" s="8"/>
      <c r="M190" s="8"/>
      <c r="N190" s="8"/>
      <c r="O190" s="8"/>
      <c r="P190" s="8"/>
      <c r="Q190" s="1"/>
    </row>
    <row r="191" spans="1:17" x14ac:dyDescent="0.35">
      <c r="A191" s="6"/>
      <c r="B191" s="81"/>
      <c r="C191" s="83"/>
      <c r="D191" s="8"/>
      <c r="E191" s="8"/>
      <c r="F191" s="8"/>
      <c r="G191" s="8"/>
      <c r="H191" s="8"/>
      <c r="I191" s="8"/>
      <c r="J191" s="8"/>
      <c r="K191" s="8"/>
      <c r="L191" s="8"/>
      <c r="M191" s="8"/>
      <c r="N191" s="8"/>
      <c r="O191" s="8"/>
      <c r="P191" s="8"/>
      <c r="Q191" s="1"/>
    </row>
    <row r="192" spans="1:17" x14ac:dyDescent="0.35">
      <c r="A192" s="6"/>
      <c r="B192" s="81"/>
      <c r="C192" s="83"/>
      <c r="D192" s="8"/>
      <c r="E192" s="8"/>
      <c r="F192" s="8"/>
      <c r="G192" s="8"/>
      <c r="H192" s="8"/>
      <c r="I192" s="8"/>
      <c r="J192" s="8"/>
      <c r="K192" s="8"/>
      <c r="L192" s="8"/>
      <c r="M192" s="8"/>
      <c r="N192" s="8"/>
      <c r="O192" s="8"/>
      <c r="P192" s="8"/>
      <c r="Q192" s="1"/>
    </row>
    <row r="193" spans="1:17" x14ac:dyDescent="0.35">
      <c r="A193" s="6"/>
      <c r="B193" s="81"/>
      <c r="C193" s="83"/>
      <c r="D193" s="8"/>
      <c r="E193" s="8"/>
      <c r="F193" s="8"/>
      <c r="G193" s="8"/>
      <c r="H193" s="8"/>
      <c r="I193" s="8"/>
      <c r="J193" s="8"/>
      <c r="K193" s="8"/>
      <c r="L193" s="8"/>
      <c r="M193" s="8"/>
      <c r="N193" s="8"/>
      <c r="O193" s="8"/>
      <c r="P193" s="8"/>
      <c r="Q193" s="1"/>
    </row>
    <row r="194" spans="1:17" x14ac:dyDescent="0.35">
      <c r="A194" s="6"/>
      <c r="B194" s="81"/>
      <c r="C194" s="83"/>
      <c r="D194" s="8"/>
      <c r="E194" s="8"/>
      <c r="F194" s="8"/>
      <c r="G194" s="8"/>
      <c r="H194" s="8"/>
      <c r="I194" s="8"/>
      <c r="J194" s="8"/>
      <c r="K194" s="8"/>
      <c r="L194" s="8"/>
      <c r="M194" s="8"/>
      <c r="N194" s="8"/>
      <c r="O194" s="8"/>
      <c r="P194" s="8"/>
      <c r="Q194" s="1"/>
    </row>
    <row r="195" spans="1:17" x14ac:dyDescent="0.35">
      <c r="A195" s="6"/>
      <c r="B195" s="81"/>
      <c r="C195" s="83"/>
      <c r="D195" s="8"/>
      <c r="E195" s="8"/>
      <c r="F195" s="8"/>
      <c r="G195" s="8"/>
      <c r="H195" s="8"/>
      <c r="I195" s="8"/>
      <c r="J195" s="8"/>
      <c r="K195" s="8"/>
      <c r="L195" s="8"/>
      <c r="M195" s="8"/>
      <c r="N195" s="8"/>
      <c r="O195" s="8"/>
      <c r="P195" s="8"/>
      <c r="Q195" s="1"/>
    </row>
    <row r="196" spans="1:17" x14ac:dyDescent="0.35">
      <c r="A196" s="6"/>
      <c r="B196" s="81"/>
      <c r="C196" s="83"/>
      <c r="D196" s="8"/>
      <c r="E196" s="8"/>
      <c r="F196" s="8"/>
      <c r="G196" s="8"/>
      <c r="H196" s="8"/>
      <c r="I196" s="8"/>
      <c r="J196" s="8"/>
      <c r="K196" s="8"/>
      <c r="L196" s="8"/>
      <c r="M196" s="8"/>
      <c r="N196" s="8"/>
      <c r="O196" s="8"/>
      <c r="P196" s="8"/>
      <c r="Q196" s="1"/>
    </row>
    <row r="197" spans="1:17" x14ac:dyDescent="0.35">
      <c r="A197" s="6"/>
      <c r="B197" s="81"/>
      <c r="C197" s="83"/>
      <c r="D197" s="8"/>
      <c r="E197" s="8"/>
      <c r="F197" s="8"/>
      <c r="G197" s="8"/>
      <c r="H197" s="8"/>
      <c r="I197" s="8"/>
      <c r="J197" s="8"/>
      <c r="K197" s="8"/>
      <c r="L197" s="8"/>
      <c r="M197" s="8"/>
      <c r="N197" s="8"/>
      <c r="O197" s="8"/>
      <c r="P197" s="8"/>
      <c r="Q197" s="1"/>
    </row>
    <row r="198" spans="1:17" x14ac:dyDescent="0.35">
      <c r="A198" s="6"/>
      <c r="B198" s="81"/>
      <c r="C198" s="83"/>
      <c r="D198" s="8"/>
      <c r="E198" s="8"/>
      <c r="F198" s="8"/>
      <c r="G198" s="8"/>
      <c r="H198" s="8"/>
      <c r="I198" s="8"/>
      <c r="J198" s="8"/>
      <c r="K198" s="8"/>
      <c r="L198" s="8"/>
      <c r="M198" s="8"/>
      <c r="N198" s="8"/>
      <c r="O198" s="8"/>
      <c r="P198" s="8"/>
      <c r="Q198" s="1"/>
    </row>
    <row r="199" spans="1:17" x14ac:dyDescent="0.35">
      <c r="A199" s="6"/>
      <c r="B199" s="81"/>
      <c r="C199" s="83"/>
      <c r="D199" s="8"/>
      <c r="E199" s="8"/>
      <c r="F199" s="8"/>
      <c r="G199" s="8"/>
      <c r="H199" s="8"/>
      <c r="I199" s="8"/>
      <c r="J199" s="8"/>
      <c r="K199" s="8"/>
      <c r="L199" s="8"/>
      <c r="M199" s="8"/>
      <c r="N199" s="8"/>
      <c r="O199" s="8"/>
      <c r="P199" s="8"/>
      <c r="Q199" s="1"/>
    </row>
    <row r="200" spans="1:17" x14ac:dyDescent="0.35">
      <c r="A200" s="6"/>
      <c r="B200" s="81"/>
      <c r="C200" s="83"/>
      <c r="D200" s="8"/>
      <c r="E200" s="8"/>
      <c r="F200" s="8"/>
      <c r="G200" s="8"/>
      <c r="H200" s="8"/>
      <c r="I200" s="8"/>
      <c r="J200" s="8"/>
      <c r="K200" s="8"/>
      <c r="L200" s="8"/>
      <c r="M200" s="8"/>
      <c r="N200" s="8"/>
      <c r="O200" s="8"/>
      <c r="P200" s="8"/>
      <c r="Q200" s="1"/>
    </row>
    <row r="201" spans="1:17" x14ac:dyDescent="0.35">
      <c r="A201" s="6"/>
      <c r="B201" s="81"/>
      <c r="C201" s="83"/>
      <c r="D201" s="8"/>
      <c r="E201" s="8"/>
      <c r="F201" s="8"/>
      <c r="G201" s="8"/>
      <c r="H201" s="8"/>
      <c r="I201" s="8"/>
      <c r="J201" s="8"/>
      <c r="K201" s="8"/>
      <c r="L201" s="8"/>
      <c r="M201" s="8"/>
      <c r="N201" s="8"/>
      <c r="O201" s="8"/>
      <c r="P201" s="8"/>
      <c r="Q201" s="1"/>
    </row>
    <row r="202" spans="1:17" x14ac:dyDescent="0.35">
      <c r="A202" s="6"/>
      <c r="B202" s="81"/>
      <c r="C202" s="83"/>
      <c r="D202" s="8"/>
      <c r="E202" s="8"/>
      <c r="F202" s="8"/>
      <c r="G202" s="8"/>
      <c r="H202" s="8"/>
      <c r="I202" s="8"/>
      <c r="J202" s="8"/>
      <c r="K202" s="8"/>
      <c r="L202" s="8"/>
      <c r="M202" s="8"/>
      <c r="N202" s="8"/>
      <c r="O202" s="8"/>
      <c r="P202" s="8"/>
      <c r="Q202" s="1"/>
    </row>
    <row r="203" spans="1:17" x14ac:dyDescent="0.35">
      <c r="A203" s="6"/>
      <c r="B203" s="81"/>
      <c r="C203" s="83"/>
      <c r="D203" s="8"/>
      <c r="E203" s="8"/>
      <c r="F203" s="8"/>
      <c r="G203" s="8"/>
      <c r="H203" s="8"/>
      <c r="I203" s="8"/>
      <c r="J203" s="8"/>
      <c r="K203" s="8"/>
      <c r="L203" s="8"/>
      <c r="M203" s="8"/>
      <c r="N203" s="8"/>
      <c r="O203" s="8"/>
      <c r="P203" s="8"/>
      <c r="Q203" s="1"/>
    </row>
    <row r="204" spans="1:17" x14ac:dyDescent="0.35">
      <c r="A204" s="6"/>
      <c r="B204" s="81"/>
      <c r="C204" s="83"/>
      <c r="D204" s="8"/>
      <c r="E204" s="8"/>
      <c r="F204" s="8"/>
      <c r="G204" s="8"/>
      <c r="H204" s="8"/>
      <c r="I204" s="8"/>
      <c r="J204" s="8"/>
      <c r="K204" s="8"/>
      <c r="L204" s="8"/>
      <c r="M204" s="8"/>
      <c r="N204" s="8"/>
      <c r="O204" s="8"/>
      <c r="P204" s="8"/>
      <c r="Q204" s="1"/>
    </row>
    <row r="205" spans="1:17" x14ac:dyDescent="0.35">
      <c r="A205" s="6"/>
      <c r="B205" s="81"/>
      <c r="C205" s="83"/>
      <c r="D205" s="8"/>
      <c r="E205" s="8"/>
      <c r="F205" s="8"/>
      <c r="G205" s="8"/>
      <c r="H205" s="8"/>
      <c r="I205" s="8"/>
      <c r="J205" s="8"/>
      <c r="K205" s="8"/>
      <c r="L205" s="8"/>
      <c r="M205" s="8"/>
      <c r="N205" s="8"/>
      <c r="O205" s="8"/>
      <c r="P205" s="8"/>
      <c r="Q205" s="1"/>
    </row>
    <row r="206" spans="1:17" x14ac:dyDescent="0.35">
      <c r="A206" s="6"/>
      <c r="B206" s="81"/>
      <c r="C206" s="83"/>
      <c r="D206" s="8"/>
      <c r="E206" s="8"/>
      <c r="F206" s="8"/>
      <c r="G206" s="8"/>
      <c r="H206" s="8"/>
      <c r="I206" s="8"/>
      <c r="J206" s="8"/>
      <c r="K206" s="8"/>
      <c r="L206" s="8"/>
      <c r="M206" s="8"/>
      <c r="N206" s="8"/>
      <c r="O206" s="8"/>
      <c r="P206" s="8"/>
      <c r="Q206" s="1"/>
    </row>
    <row r="207" spans="1:17" x14ac:dyDescent="0.35">
      <c r="A207" s="6"/>
      <c r="B207" s="81"/>
      <c r="C207" s="83"/>
      <c r="D207" s="8"/>
      <c r="E207" s="8"/>
      <c r="F207" s="8"/>
      <c r="G207" s="8"/>
      <c r="H207" s="8"/>
      <c r="I207" s="8"/>
      <c r="J207" s="8"/>
      <c r="K207" s="8"/>
      <c r="L207" s="8"/>
      <c r="M207" s="8"/>
      <c r="N207" s="8"/>
      <c r="O207" s="8"/>
      <c r="P207" s="8"/>
      <c r="Q207" s="1"/>
    </row>
    <row r="208" spans="1:17" x14ac:dyDescent="0.35">
      <c r="A208" s="6"/>
      <c r="B208" s="81"/>
      <c r="C208" s="83"/>
      <c r="D208" s="8"/>
      <c r="E208" s="8"/>
      <c r="F208" s="8"/>
      <c r="G208" s="8"/>
      <c r="H208" s="8"/>
      <c r="I208" s="8"/>
      <c r="J208" s="8"/>
      <c r="K208" s="8"/>
      <c r="L208" s="8"/>
      <c r="M208" s="8"/>
      <c r="N208" s="8"/>
      <c r="O208" s="8"/>
      <c r="P208" s="8"/>
      <c r="Q208" s="1"/>
    </row>
    <row r="209" spans="1:17" x14ac:dyDescent="0.35">
      <c r="A209" s="6"/>
      <c r="B209" s="81"/>
      <c r="C209" s="83"/>
      <c r="D209" s="8"/>
      <c r="E209" s="8"/>
      <c r="F209" s="8"/>
      <c r="G209" s="8"/>
      <c r="H209" s="8"/>
      <c r="I209" s="8"/>
      <c r="J209" s="8"/>
      <c r="K209" s="8"/>
      <c r="L209" s="8"/>
      <c r="M209" s="8"/>
      <c r="N209" s="8"/>
      <c r="O209" s="8"/>
      <c r="P209" s="8"/>
      <c r="Q209" s="1"/>
    </row>
    <row r="210" spans="1:17" x14ac:dyDescent="0.35">
      <c r="A210" s="6"/>
      <c r="B210" s="81"/>
      <c r="C210" s="83"/>
      <c r="D210" s="8"/>
      <c r="E210" s="8"/>
      <c r="F210" s="8"/>
      <c r="G210" s="8"/>
      <c r="H210" s="8"/>
      <c r="I210" s="8"/>
      <c r="J210" s="8"/>
      <c r="K210" s="8"/>
      <c r="L210" s="8"/>
      <c r="M210" s="8"/>
      <c r="N210" s="8"/>
      <c r="O210" s="8"/>
      <c r="P210" s="8"/>
      <c r="Q210" s="1"/>
    </row>
    <row r="211" spans="1:17" x14ac:dyDescent="0.35">
      <c r="A211" s="6"/>
      <c r="B211" s="81"/>
      <c r="C211" s="83"/>
      <c r="D211" s="8"/>
      <c r="E211" s="8"/>
      <c r="F211" s="8"/>
      <c r="G211" s="8"/>
      <c r="H211" s="8"/>
      <c r="I211" s="8"/>
      <c r="J211" s="8"/>
      <c r="K211" s="8"/>
      <c r="L211" s="8"/>
      <c r="M211" s="8"/>
      <c r="N211" s="8"/>
      <c r="O211" s="8"/>
      <c r="P211" s="8"/>
      <c r="Q211" s="1"/>
    </row>
    <row r="212" spans="1:17" x14ac:dyDescent="0.35">
      <c r="A212" s="6"/>
      <c r="B212" s="81"/>
      <c r="C212" s="83"/>
      <c r="D212" s="8"/>
      <c r="E212" s="8"/>
      <c r="F212" s="8"/>
      <c r="G212" s="8"/>
      <c r="H212" s="8"/>
      <c r="I212" s="8"/>
      <c r="J212" s="8"/>
      <c r="K212" s="8"/>
      <c r="L212" s="8"/>
      <c r="M212" s="8"/>
      <c r="N212" s="8"/>
      <c r="O212" s="8"/>
      <c r="P212" s="8"/>
      <c r="Q212" s="1"/>
    </row>
    <row r="213" spans="1:17" x14ac:dyDescent="0.35">
      <c r="A213" s="6"/>
      <c r="B213" s="81"/>
      <c r="C213" s="83"/>
      <c r="D213" s="8"/>
      <c r="E213" s="8"/>
      <c r="F213" s="8"/>
      <c r="G213" s="8"/>
      <c r="H213" s="8"/>
      <c r="I213" s="8"/>
      <c r="J213" s="8"/>
      <c r="K213" s="8"/>
      <c r="L213" s="8"/>
      <c r="M213" s="8"/>
      <c r="N213" s="8"/>
      <c r="O213" s="8"/>
      <c r="P213" s="8"/>
      <c r="Q213" s="1"/>
    </row>
    <row r="214" spans="1:17" x14ac:dyDescent="0.35">
      <c r="A214" s="6"/>
      <c r="B214" s="81"/>
      <c r="C214" s="83"/>
      <c r="D214" s="8"/>
      <c r="E214" s="8"/>
      <c r="F214" s="8"/>
      <c r="G214" s="8"/>
      <c r="H214" s="8"/>
      <c r="I214" s="8"/>
      <c r="J214" s="8"/>
      <c r="K214" s="8"/>
      <c r="L214" s="8"/>
      <c r="M214" s="8"/>
      <c r="N214" s="8"/>
      <c r="O214" s="8"/>
      <c r="P214" s="8"/>
      <c r="Q214" s="1"/>
    </row>
    <row r="215" spans="1:17" x14ac:dyDescent="0.35">
      <c r="A215" s="6"/>
      <c r="B215" s="81"/>
      <c r="C215" s="83"/>
      <c r="D215" s="8"/>
      <c r="E215" s="8"/>
      <c r="F215" s="8"/>
      <c r="G215" s="8"/>
      <c r="H215" s="8"/>
      <c r="I215" s="8"/>
      <c r="J215" s="8"/>
      <c r="K215" s="8"/>
      <c r="L215" s="8"/>
      <c r="M215" s="8"/>
      <c r="N215" s="8"/>
      <c r="O215" s="8"/>
      <c r="P215" s="8"/>
      <c r="Q215" s="1"/>
    </row>
    <row r="216" spans="1:17" x14ac:dyDescent="0.35">
      <c r="A216" s="6"/>
      <c r="B216" s="81"/>
      <c r="C216" s="83"/>
      <c r="D216" s="8"/>
      <c r="E216" s="8"/>
      <c r="F216" s="8"/>
      <c r="G216" s="8"/>
      <c r="H216" s="8"/>
      <c r="I216" s="8"/>
      <c r="J216" s="8"/>
      <c r="K216" s="8"/>
      <c r="L216" s="8"/>
      <c r="M216" s="8"/>
      <c r="N216" s="8"/>
      <c r="O216" s="8"/>
      <c r="P216" s="8"/>
      <c r="Q216" s="1"/>
    </row>
    <row r="217" spans="1:17" x14ac:dyDescent="0.35">
      <c r="A217" s="6"/>
      <c r="B217" s="81"/>
      <c r="C217" s="83"/>
      <c r="D217" s="8"/>
      <c r="E217" s="8"/>
      <c r="F217" s="8"/>
      <c r="G217" s="8"/>
      <c r="H217" s="8"/>
      <c r="I217" s="8"/>
      <c r="J217" s="8"/>
      <c r="K217" s="8"/>
      <c r="L217" s="8"/>
      <c r="M217" s="8"/>
      <c r="N217" s="8"/>
      <c r="O217" s="8"/>
      <c r="P217" s="8"/>
      <c r="Q217" s="1"/>
    </row>
    <row r="218" spans="1:17" x14ac:dyDescent="0.35">
      <c r="A218" s="6"/>
      <c r="B218" s="81"/>
      <c r="C218" s="83"/>
      <c r="D218" s="8"/>
      <c r="E218" s="8"/>
      <c r="F218" s="8"/>
      <c r="G218" s="8"/>
      <c r="H218" s="8"/>
      <c r="I218" s="8"/>
      <c r="J218" s="8"/>
      <c r="K218" s="8"/>
      <c r="L218" s="8"/>
      <c r="M218" s="8"/>
      <c r="N218" s="8"/>
      <c r="O218" s="8"/>
      <c r="P218" s="8"/>
      <c r="Q218" s="1"/>
    </row>
    <row r="219" spans="1:17" x14ac:dyDescent="0.35">
      <c r="A219" s="6"/>
      <c r="B219" s="81"/>
      <c r="C219" s="83"/>
      <c r="D219" s="8"/>
      <c r="E219" s="8"/>
      <c r="F219" s="8"/>
      <c r="G219" s="8"/>
      <c r="H219" s="8"/>
      <c r="I219" s="8"/>
      <c r="J219" s="8"/>
      <c r="K219" s="8"/>
      <c r="L219" s="8"/>
      <c r="M219" s="8"/>
      <c r="N219" s="8"/>
      <c r="O219" s="8"/>
      <c r="P219" s="8"/>
      <c r="Q219" s="1"/>
    </row>
    <row r="220" spans="1:17" x14ac:dyDescent="0.35">
      <c r="A220" s="6"/>
      <c r="B220" s="81"/>
      <c r="C220" s="83"/>
      <c r="D220" s="8"/>
      <c r="E220" s="8"/>
      <c r="F220" s="8"/>
      <c r="G220" s="8"/>
      <c r="H220" s="8"/>
      <c r="I220" s="8"/>
      <c r="J220" s="8"/>
      <c r="K220" s="8"/>
      <c r="L220" s="8"/>
      <c r="M220" s="8"/>
      <c r="N220" s="8"/>
      <c r="O220" s="8"/>
      <c r="P220" s="8"/>
      <c r="Q220" s="1"/>
    </row>
    <row r="221" spans="1:17" x14ac:dyDescent="0.35">
      <c r="A221" s="6"/>
      <c r="B221" s="81"/>
      <c r="C221" s="83"/>
      <c r="D221" s="8"/>
      <c r="E221" s="8"/>
      <c r="F221" s="8"/>
      <c r="G221" s="8"/>
      <c r="H221" s="8"/>
      <c r="I221" s="8"/>
      <c r="J221" s="8"/>
      <c r="K221" s="8"/>
      <c r="L221" s="8"/>
      <c r="M221" s="8"/>
      <c r="N221" s="8"/>
      <c r="O221" s="8"/>
      <c r="P221" s="8"/>
      <c r="Q221" s="1"/>
    </row>
    <row r="222" spans="1:17" x14ac:dyDescent="0.35">
      <c r="A222" s="6"/>
      <c r="B222" s="81"/>
      <c r="C222" s="83"/>
      <c r="D222" s="8"/>
      <c r="E222" s="8"/>
      <c r="F222" s="8"/>
      <c r="G222" s="8"/>
      <c r="H222" s="8"/>
      <c r="I222" s="8"/>
      <c r="J222" s="8"/>
      <c r="K222" s="8"/>
      <c r="L222" s="8"/>
      <c r="M222" s="8"/>
      <c r="N222" s="8"/>
      <c r="O222" s="8"/>
      <c r="P222" s="8"/>
      <c r="Q222" s="1"/>
    </row>
    <row r="223" spans="1:17" x14ac:dyDescent="0.35">
      <c r="A223" s="6"/>
      <c r="B223" s="81"/>
      <c r="C223" s="83"/>
      <c r="D223" s="8"/>
      <c r="E223" s="8"/>
      <c r="F223" s="8"/>
      <c r="G223" s="8"/>
      <c r="H223" s="8"/>
      <c r="I223" s="8"/>
      <c r="J223" s="8"/>
      <c r="K223" s="8"/>
      <c r="L223" s="8"/>
      <c r="M223" s="8"/>
      <c r="N223" s="8"/>
      <c r="O223" s="8"/>
      <c r="P223" s="8"/>
      <c r="Q223" s="1"/>
    </row>
    <row r="224" spans="1:17" x14ac:dyDescent="0.35">
      <c r="A224" s="6"/>
      <c r="B224" s="81"/>
      <c r="C224" s="83"/>
      <c r="D224" s="8"/>
      <c r="E224" s="8"/>
      <c r="F224" s="8"/>
      <c r="G224" s="8"/>
      <c r="H224" s="8"/>
      <c r="I224" s="8"/>
      <c r="J224" s="8"/>
      <c r="K224" s="8"/>
      <c r="L224" s="8"/>
      <c r="M224" s="8"/>
      <c r="N224" s="8"/>
      <c r="O224" s="8"/>
      <c r="P224" s="8"/>
      <c r="Q224" s="1"/>
    </row>
    <row r="225" spans="1:17" x14ac:dyDescent="0.35">
      <c r="A225" s="6"/>
      <c r="B225" s="81"/>
      <c r="C225" s="83"/>
      <c r="D225" s="8"/>
      <c r="E225" s="8"/>
      <c r="F225" s="8"/>
      <c r="G225" s="8"/>
      <c r="H225" s="8"/>
      <c r="I225" s="8"/>
      <c r="J225" s="8"/>
      <c r="K225" s="8"/>
      <c r="L225" s="8"/>
      <c r="M225" s="8"/>
      <c r="N225" s="8"/>
      <c r="O225" s="8"/>
      <c r="P225" s="8"/>
      <c r="Q225" s="1"/>
    </row>
    <row r="226" spans="1:17" x14ac:dyDescent="0.35">
      <c r="A226" s="6"/>
      <c r="B226" s="81"/>
      <c r="C226" s="83"/>
      <c r="D226" s="8"/>
      <c r="E226" s="8"/>
      <c r="F226" s="8"/>
      <c r="G226" s="8"/>
      <c r="H226" s="8"/>
      <c r="I226" s="8"/>
      <c r="J226" s="8"/>
      <c r="K226" s="8"/>
      <c r="L226" s="8"/>
      <c r="M226" s="8"/>
      <c r="N226" s="8"/>
      <c r="O226" s="8"/>
      <c r="P226" s="8"/>
      <c r="Q226" s="1"/>
    </row>
    <row r="227" spans="1:17" x14ac:dyDescent="0.35">
      <c r="A227" s="6"/>
      <c r="B227" s="81"/>
      <c r="C227" s="83"/>
      <c r="D227" s="8"/>
      <c r="E227" s="8"/>
      <c r="F227" s="8"/>
      <c r="G227" s="8"/>
      <c r="H227" s="8"/>
      <c r="I227" s="8"/>
      <c r="J227" s="8"/>
      <c r="K227" s="8"/>
      <c r="L227" s="8"/>
      <c r="M227" s="8"/>
      <c r="N227" s="8"/>
      <c r="O227" s="8"/>
      <c r="P227" s="8"/>
      <c r="Q227" s="1"/>
    </row>
    <row r="228" spans="1:17" x14ac:dyDescent="0.35">
      <c r="A228" s="6"/>
      <c r="B228" s="81"/>
      <c r="C228" s="83"/>
      <c r="D228" s="8"/>
      <c r="E228" s="8"/>
      <c r="F228" s="8"/>
      <c r="G228" s="8"/>
      <c r="H228" s="8"/>
      <c r="I228" s="8"/>
      <c r="J228" s="8"/>
      <c r="K228" s="8"/>
      <c r="L228" s="8"/>
      <c r="M228" s="8"/>
      <c r="N228" s="8"/>
      <c r="O228" s="8"/>
      <c r="P228" s="8"/>
      <c r="Q228" s="1"/>
    </row>
    <row r="229" spans="1:17" x14ac:dyDescent="0.35">
      <c r="A229" s="6"/>
      <c r="B229" s="81"/>
      <c r="C229" s="83"/>
      <c r="D229" s="8"/>
      <c r="E229" s="8"/>
      <c r="F229" s="8"/>
      <c r="G229" s="8"/>
      <c r="H229" s="8"/>
      <c r="I229" s="8"/>
      <c r="J229" s="8"/>
      <c r="K229" s="8"/>
      <c r="L229" s="8"/>
      <c r="M229" s="8"/>
      <c r="N229" s="8"/>
      <c r="O229" s="8"/>
      <c r="P229" s="8"/>
      <c r="Q229" s="1"/>
    </row>
    <row r="230" spans="1:17" x14ac:dyDescent="0.35">
      <c r="A230" s="6"/>
      <c r="B230" s="81"/>
      <c r="C230" s="83"/>
      <c r="D230" s="8"/>
      <c r="E230" s="8"/>
      <c r="F230" s="8"/>
      <c r="G230" s="8"/>
      <c r="H230" s="8"/>
      <c r="I230" s="8"/>
      <c r="J230" s="8"/>
      <c r="K230" s="8"/>
      <c r="L230" s="8"/>
      <c r="M230" s="8"/>
      <c r="N230" s="8"/>
      <c r="O230" s="8"/>
      <c r="P230" s="8"/>
      <c r="Q230" s="1"/>
    </row>
    <row r="231" spans="1:17" x14ac:dyDescent="0.35">
      <c r="A231" s="6"/>
      <c r="B231" s="81"/>
      <c r="C231" s="83"/>
      <c r="D231" s="8"/>
      <c r="E231" s="8"/>
      <c r="F231" s="8"/>
      <c r="G231" s="8"/>
      <c r="H231" s="8"/>
      <c r="I231" s="8"/>
      <c r="J231" s="8"/>
      <c r="K231" s="8"/>
      <c r="L231" s="8"/>
      <c r="M231" s="8"/>
      <c r="N231" s="8"/>
      <c r="O231" s="8"/>
      <c r="P231" s="8"/>
      <c r="Q231" s="1"/>
    </row>
    <row r="232" spans="1:17" x14ac:dyDescent="0.35">
      <c r="A232" s="6"/>
      <c r="B232" s="81"/>
      <c r="C232" s="83"/>
      <c r="D232" s="8"/>
      <c r="E232" s="8"/>
      <c r="F232" s="8"/>
      <c r="G232" s="8"/>
      <c r="H232" s="8"/>
      <c r="I232" s="8"/>
      <c r="J232" s="8"/>
      <c r="K232" s="8"/>
      <c r="L232" s="8"/>
      <c r="M232" s="8"/>
      <c r="N232" s="8"/>
      <c r="O232" s="8"/>
      <c r="P232" s="8"/>
      <c r="Q232" s="1"/>
    </row>
    <row r="233" spans="1:17" x14ac:dyDescent="0.35">
      <c r="A233" s="6"/>
      <c r="B233" s="81"/>
      <c r="C233" s="83"/>
      <c r="D233" s="8"/>
      <c r="E233" s="8"/>
      <c r="F233" s="8"/>
      <c r="G233" s="8"/>
      <c r="H233" s="8"/>
      <c r="I233" s="8"/>
      <c r="J233" s="8"/>
      <c r="K233" s="8"/>
      <c r="L233" s="8"/>
      <c r="M233" s="8"/>
      <c r="N233" s="8"/>
      <c r="O233" s="8"/>
      <c r="P233" s="8"/>
      <c r="Q233" s="1"/>
    </row>
    <row r="234" spans="1:17" x14ac:dyDescent="0.35">
      <c r="A234" s="6"/>
      <c r="B234" s="81"/>
      <c r="C234" s="83"/>
      <c r="D234" s="8"/>
      <c r="E234" s="8"/>
      <c r="F234" s="8"/>
      <c r="G234" s="8"/>
      <c r="H234" s="8"/>
      <c r="I234" s="8"/>
      <c r="J234" s="8"/>
      <c r="K234" s="8"/>
      <c r="L234" s="8"/>
      <c r="M234" s="8"/>
      <c r="N234" s="8"/>
      <c r="O234" s="8"/>
      <c r="P234" s="8"/>
      <c r="Q234" s="1"/>
    </row>
    <row r="235" spans="1:17" x14ac:dyDescent="0.35">
      <c r="A235" s="6"/>
      <c r="B235" s="81"/>
      <c r="C235" s="83"/>
      <c r="D235" s="8"/>
      <c r="E235" s="8"/>
      <c r="F235" s="8"/>
      <c r="G235" s="8"/>
      <c r="H235" s="8"/>
      <c r="I235" s="8"/>
      <c r="J235" s="8"/>
      <c r="K235" s="8"/>
      <c r="L235" s="8"/>
      <c r="M235" s="8"/>
      <c r="N235" s="8"/>
      <c r="O235" s="8"/>
      <c r="P235" s="8"/>
      <c r="Q235" s="1"/>
    </row>
    <row r="236" spans="1:17" x14ac:dyDescent="0.35">
      <c r="A236" s="6"/>
      <c r="B236" s="81"/>
      <c r="C236" s="83"/>
      <c r="D236" s="8"/>
      <c r="E236" s="8"/>
      <c r="F236" s="8"/>
      <c r="G236" s="8"/>
      <c r="H236" s="8"/>
      <c r="I236" s="8"/>
      <c r="J236" s="8"/>
      <c r="K236" s="8"/>
      <c r="L236" s="8"/>
      <c r="M236" s="8"/>
      <c r="N236" s="8"/>
      <c r="O236" s="8"/>
      <c r="P236" s="8"/>
      <c r="Q236" s="1"/>
    </row>
    <row r="237" spans="1:17" x14ac:dyDescent="0.35">
      <c r="A237" s="6"/>
      <c r="B237" s="81"/>
      <c r="C237" s="83"/>
      <c r="D237" s="8"/>
      <c r="E237" s="8"/>
      <c r="F237" s="8"/>
      <c r="G237" s="8"/>
      <c r="H237" s="8"/>
      <c r="I237" s="8"/>
      <c r="J237" s="8"/>
      <c r="K237" s="8"/>
      <c r="L237" s="8"/>
      <c r="M237" s="8"/>
      <c r="N237" s="8"/>
      <c r="O237" s="8"/>
      <c r="P237" s="8"/>
      <c r="Q237" s="1"/>
    </row>
    <row r="238" spans="1:17" x14ac:dyDescent="0.35">
      <c r="A238" s="6"/>
      <c r="B238" s="81"/>
      <c r="C238" s="83"/>
      <c r="D238" s="8"/>
      <c r="E238" s="8"/>
      <c r="F238" s="8"/>
      <c r="G238" s="8"/>
      <c r="H238" s="8"/>
      <c r="I238" s="8"/>
      <c r="J238" s="8"/>
      <c r="K238" s="8"/>
      <c r="L238" s="8"/>
      <c r="M238" s="8"/>
      <c r="N238" s="8"/>
      <c r="O238" s="8"/>
      <c r="P238" s="8"/>
      <c r="Q238" s="1"/>
    </row>
    <row r="239" spans="1:17" x14ac:dyDescent="0.35">
      <c r="A239" s="6"/>
      <c r="B239" s="81"/>
      <c r="C239" s="83"/>
      <c r="D239" s="8"/>
      <c r="E239" s="8"/>
      <c r="F239" s="8"/>
      <c r="G239" s="8"/>
      <c r="H239" s="8"/>
      <c r="I239" s="8"/>
      <c r="J239" s="8"/>
      <c r="K239" s="8"/>
      <c r="L239" s="8"/>
      <c r="M239" s="8"/>
      <c r="N239" s="8"/>
      <c r="O239" s="8"/>
      <c r="P239" s="8"/>
      <c r="Q239" s="1"/>
    </row>
    <row r="240" spans="1:17" x14ac:dyDescent="0.35">
      <c r="A240" s="6"/>
      <c r="B240" s="81"/>
      <c r="C240" s="83"/>
      <c r="D240" s="8"/>
      <c r="E240" s="8"/>
      <c r="F240" s="8"/>
      <c r="G240" s="8"/>
      <c r="H240" s="8"/>
      <c r="I240" s="8"/>
      <c r="J240" s="8"/>
      <c r="K240" s="8"/>
      <c r="L240" s="8"/>
      <c r="M240" s="8"/>
      <c r="N240" s="8"/>
      <c r="O240" s="8"/>
      <c r="P240" s="8"/>
      <c r="Q240" s="1"/>
    </row>
    <row r="241" spans="1:17" x14ac:dyDescent="0.35">
      <c r="A241" s="6"/>
      <c r="B241" s="81"/>
      <c r="C241" s="83"/>
      <c r="D241" s="8"/>
      <c r="E241" s="8"/>
      <c r="F241" s="8"/>
      <c r="G241" s="8"/>
      <c r="H241" s="8"/>
      <c r="I241" s="8"/>
      <c r="J241" s="8"/>
      <c r="K241" s="8"/>
      <c r="L241" s="8"/>
      <c r="M241" s="8"/>
      <c r="N241" s="8"/>
      <c r="O241" s="8"/>
      <c r="P241" s="8"/>
      <c r="Q241" s="1"/>
    </row>
    <row r="242" spans="1:17" x14ac:dyDescent="0.35">
      <c r="A242" s="6"/>
      <c r="B242" s="81"/>
      <c r="C242" s="83"/>
      <c r="D242" s="8"/>
      <c r="E242" s="8"/>
      <c r="F242" s="8"/>
      <c r="G242" s="8"/>
      <c r="H242" s="8"/>
      <c r="I242" s="8"/>
      <c r="J242" s="8"/>
      <c r="K242" s="8"/>
      <c r="L242" s="8"/>
      <c r="M242" s="8"/>
      <c r="N242" s="8"/>
      <c r="O242" s="8"/>
      <c r="P242" s="8"/>
      <c r="Q242" s="1"/>
    </row>
    <row r="243" spans="1:17" x14ac:dyDescent="0.35">
      <c r="A243" s="6"/>
      <c r="B243" s="81"/>
      <c r="C243" s="83"/>
      <c r="D243" s="8"/>
      <c r="E243" s="8"/>
      <c r="F243" s="8"/>
      <c r="G243" s="8"/>
      <c r="H243" s="8"/>
      <c r="I243" s="8"/>
      <c r="J243" s="8"/>
      <c r="K243" s="8"/>
      <c r="L243" s="8"/>
      <c r="M243" s="8"/>
      <c r="N243" s="8"/>
      <c r="O243" s="8"/>
      <c r="P243" s="8"/>
      <c r="Q243" s="1"/>
    </row>
    <row r="244" spans="1:17" x14ac:dyDescent="0.35">
      <c r="A244" s="6"/>
      <c r="B244" s="81"/>
      <c r="C244" s="83"/>
      <c r="D244" s="8"/>
      <c r="E244" s="8"/>
      <c r="F244" s="8"/>
      <c r="G244" s="8"/>
      <c r="H244" s="8"/>
      <c r="I244" s="8"/>
      <c r="J244" s="8"/>
      <c r="K244" s="8"/>
      <c r="L244" s="8"/>
      <c r="M244" s="8"/>
      <c r="N244" s="8"/>
      <c r="O244" s="8"/>
      <c r="P244" s="8"/>
      <c r="Q244" s="1"/>
    </row>
    <row r="245" spans="1:17" x14ac:dyDescent="0.35">
      <c r="A245" s="6"/>
      <c r="B245" s="81"/>
      <c r="C245" s="83"/>
      <c r="D245" s="8"/>
      <c r="E245" s="8"/>
      <c r="F245" s="8"/>
      <c r="G245" s="8"/>
      <c r="H245" s="8"/>
      <c r="I245" s="8"/>
      <c r="J245" s="8"/>
      <c r="K245" s="8"/>
      <c r="L245" s="8"/>
      <c r="M245" s="8"/>
      <c r="N245" s="8"/>
      <c r="O245" s="8"/>
      <c r="P245" s="8"/>
      <c r="Q245" s="1"/>
    </row>
    <row r="246" spans="1:17" x14ac:dyDescent="0.35">
      <c r="A246" s="6"/>
      <c r="B246" s="81"/>
      <c r="C246" s="83"/>
      <c r="D246" s="8"/>
      <c r="E246" s="8"/>
      <c r="F246" s="8"/>
      <c r="G246" s="8"/>
      <c r="H246" s="8"/>
      <c r="I246" s="8"/>
      <c r="J246" s="8"/>
      <c r="K246" s="8"/>
      <c r="L246" s="8"/>
      <c r="M246" s="8"/>
      <c r="N246" s="8"/>
      <c r="O246" s="8"/>
      <c r="P246" s="8"/>
      <c r="Q246" s="1"/>
    </row>
    <row r="247" spans="1:17" x14ac:dyDescent="0.35">
      <c r="A247" s="6"/>
      <c r="B247" s="81"/>
      <c r="C247" s="83"/>
      <c r="D247" s="8"/>
      <c r="E247" s="8"/>
      <c r="F247" s="8"/>
      <c r="G247" s="8"/>
      <c r="H247" s="8"/>
      <c r="I247" s="8"/>
      <c r="J247" s="8"/>
      <c r="K247" s="8"/>
      <c r="L247" s="8"/>
      <c r="M247" s="8"/>
      <c r="N247" s="8"/>
      <c r="O247" s="8"/>
      <c r="P247" s="8"/>
      <c r="Q247" s="1"/>
    </row>
    <row r="248" spans="1:17" x14ac:dyDescent="0.35">
      <c r="A248" s="6"/>
      <c r="B248" s="81"/>
      <c r="C248" s="83"/>
      <c r="D248" s="8"/>
      <c r="E248" s="8"/>
      <c r="F248" s="8"/>
      <c r="G248" s="8"/>
      <c r="H248" s="8"/>
      <c r="I248" s="8"/>
      <c r="J248" s="8"/>
      <c r="K248" s="8"/>
      <c r="L248" s="8"/>
      <c r="M248" s="8"/>
      <c r="N248" s="8"/>
      <c r="O248" s="8"/>
      <c r="P248" s="8"/>
      <c r="Q248" s="1"/>
    </row>
    <row r="249" spans="1:17" x14ac:dyDescent="0.35">
      <c r="A249" s="6"/>
      <c r="B249" s="81"/>
      <c r="C249" s="83"/>
      <c r="D249" s="8"/>
      <c r="E249" s="8"/>
      <c r="F249" s="8"/>
      <c r="G249" s="8"/>
      <c r="H249" s="8"/>
      <c r="I249" s="8"/>
      <c r="J249" s="8"/>
      <c r="K249" s="8"/>
      <c r="L249" s="8"/>
      <c r="M249" s="8"/>
      <c r="N249" s="8"/>
      <c r="O249" s="8"/>
      <c r="P249" s="8"/>
      <c r="Q249" s="1"/>
    </row>
    <row r="250" spans="1:17" x14ac:dyDescent="0.35">
      <c r="A250" s="6"/>
      <c r="B250" s="81"/>
      <c r="C250" s="83"/>
      <c r="D250" s="8"/>
      <c r="E250" s="8"/>
      <c r="F250" s="8"/>
      <c r="G250" s="8"/>
      <c r="H250" s="8"/>
      <c r="I250" s="8"/>
      <c r="J250" s="8"/>
      <c r="K250" s="8"/>
      <c r="L250" s="8"/>
      <c r="M250" s="8"/>
      <c r="N250" s="8"/>
      <c r="O250" s="8"/>
      <c r="P250" s="8"/>
      <c r="Q250" s="1"/>
    </row>
    <row r="251" spans="1:17" x14ac:dyDescent="0.35">
      <c r="A251" s="6"/>
      <c r="B251" s="81"/>
      <c r="C251" s="83"/>
      <c r="D251" s="8"/>
      <c r="E251" s="8"/>
      <c r="F251" s="8"/>
      <c r="G251" s="8"/>
      <c r="H251" s="8"/>
      <c r="I251" s="8"/>
      <c r="J251" s="8"/>
      <c r="K251" s="8"/>
      <c r="L251" s="8"/>
      <c r="M251" s="8"/>
      <c r="N251" s="8"/>
      <c r="O251" s="8"/>
      <c r="P251" s="8"/>
      <c r="Q251" s="1"/>
    </row>
    <row r="252" spans="1:17" x14ac:dyDescent="0.35">
      <c r="A252" s="6"/>
      <c r="B252" s="81"/>
      <c r="C252" s="83"/>
      <c r="D252" s="8"/>
      <c r="E252" s="8"/>
      <c r="F252" s="8"/>
      <c r="G252" s="8"/>
      <c r="H252" s="8"/>
      <c r="I252" s="8"/>
      <c r="J252" s="8"/>
      <c r="K252" s="8"/>
      <c r="L252" s="8"/>
      <c r="M252" s="8"/>
      <c r="N252" s="8"/>
      <c r="O252" s="8"/>
      <c r="P252" s="8"/>
      <c r="Q252" s="1"/>
    </row>
    <row r="253" spans="1:17" x14ac:dyDescent="0.35">
      <c r="A253" s="6"/>
      <c r="B253" s="81"/>
      <c r="C253" s="83"/>
      <c r="D253" s="8"/>
      <c r="E253" s="8"/>
      <c r="F253" s="8"/>
      <c r="G253" s="8"/>
      <c r="H253" s="8"/>
      <c r="I253" s="8"/>
      <c r="J253" s="8"/>
      <c r="K253" s="8"/>
      <c r="L253" s="8"/>
      <c r="M253" s="8"/>
      <c r="N253" s="8"/>
      <c r="O253" s="8"/>
      <c r="P253" s="8"/>
      <c r="Q253" s="1"/>
    </row>
    <row r="254" spans="1:17" x14ac:dyDescent="0.35">
      <c r="A254" s="6"/>
      <c r="B254" s="81"/>
      <c r="C254" s="83"/>
      <c r="D254" s="8"/>
      <c r="E254" s="8"/>
      <c r="F254" s="8"/>
      <c r="G254" s="8"/>
      <c r="H254" s="8"/>
      <c r="I254" s="8"/>
      <c r="J254" s="8"/>
      <c r="K254" s="8"/>
      <c r="L254" s="8"/>
      <c r="M254" s="8"/>
      <c r="N254" s="8"/>
      <c r="O254" s="8"/>
      <c r="P254" s="8"/>
      <c r="Q254" s="1"/>
    </row>
    <row r="255" spans="1:17" x14ac:dyDescent="0.35">
      <c r="A255" s="6"/>
      <c r="B255" s="81"/>
      <c r="C255" s="83"/>
      <c r="D255" s="8"/>
      <c r="E255" s="8"/>
      <c r="F255" s="8"/>
      <c r="G255" s="8"/>
      <c r="H255" s="8"/>
      <c r="I255" s="8"/>
      <c r="J255" s="8"/>
      <c r="K255" s="8"/>
      <c r="L255" s="8"/>
      <c r="M255" s="8"/>
      <c r="N255" s="8"/>
      <c r="O255" s="8"/>
      <c r="P255" s="8"/>
      <c r="Q255" s="1"/>
    </row>
    <row r="256" spans="1:17" x14ac:dyDescent="0.35">
      <c r="A256" s="6"/>
      <c r="B256" s="81"/>
      <c r="C256" s="83"/>
      <c r="D256" s="8"/>
      <c r="E256" s="8"/>
      <c r="F256" s="8"/>
      <c r="G256" s="8"/>
      <c r="H256" s="8"/>
      <c r="I256" s="8"/>
      <c r="J256" s="8"/>
      <c r="K256" s="8"/>
      <c r="L256" s="8"/>
      <c r="M256" s="8"/>
      <c r="N256" s="8"/>
      <c r="O256" s="8"/>
      <c r="P256" s="8"/>
      <c r="Q256" s="1"/>
    </row>
    <row r="257" spans="1:17" x14ac:dyDescent="0.35">
      <c r="A257" s="6"/>
      <c r="B257" s="81"/>
      <c r="C257" s="83"/>
      <c r="D257" s="8"/>
      <c r="E257" s="8"/>
      <c r="F257" s="8"/>
      <c r="G257" s="8"/>
      <c r="H257" s="8"/>
      <c r="I257" s="8"/>
      <c r="J257" s="8"/>
      <c r="K257" s="8"/>
      <c r="L257" s="8"/>
      <c r="M257" s="8"/>
      <c r="N257" s="8"/>
      <c r="O257" s="8"/>
      <c r="P257" s="8"/>
      <c r="Q257" s="1"/>
    </row>
    <row r="258" spans="1:17" x14ac:dyDescent="0.35">
      <c r="A258" s="6"/>
      <c r="B258" s="81"/>
      <c r="C258" s="83"/>
      <c r="D258" s="8"/>
      <c r="E258" s="8"/>
      <c r="F258" s="8"/>
      <c r="G258" s="8"/>
      <c r="H258" s="8"/>
      <c r="I258" s="8"/>
      <c r="J258" s="8"/>
      <c r="K258" s="8"/>
      <c r="L258" s="8"/>
      <c r="M258" s="8"/>
      <c r="N258" s="8"/>
      <c r="O258" s="8"/>
      <c r="P258" s="8"/>
      <c r="Q258" s="1"/>
    </row>
    <row r="259" spans="1:17" x14ac:dyDescent="0.35">
      <c r="A259" s="6"/>
      <c r="B259" s="81"/>
      <c r="C259" s="83"/>
      <c r="D259" s="8"/>
      <c r="E259" s="8"/>
      <c r="F259" s="8"/>
      <c r="G259" s="8"/>
      <c r="H259" s="8"/>
      <c r="I259" s="8"/>
      <c r="J259" s="8"/>
      <c r="K259" s="8"/>
      <c r="L259" s="8"/>
      <c r="M259" s="8"/>
      <c r="N259" s="8"/>
      <c r="O259" s="8"/>
      <c r="P259" s="8"/>
      <c r="Q259" s="1"/>
    </row>
    <row r="260" spans="1:17" x14ac:dyDescent="0.35">
      <c r="A260" s="6"/>
      <c r="B260" s="81"/>
      <c r="C260" s="83"/>
      <c r="D260" s="8"/>
      <c r="E260" s="8"/>
      <c r="F260" s="8"/>
      <c r="G260" s="8"/>
      <c r="H260" s="8"/>
      <c r="I260" s="8"/>
      <c r="J260" s="8"/>
      <c r="K260" s="8"/>
      <c r="L260" s="8"/>
      <c r="M260" s="8"/>
      <c r="N260" s="8"/>
      <c r="O260" s="8"/>
      <c r="P260" s="8"/>
      <c r="Q260" s="1"/>
    </row>
    <row r="261" spans="1:17" x14ac:dyDescent="0.35">
      <c r="A261" s="6"/>
      <c r="B261" s="81"/>
      <c r="C261" s="83"/>
      <c r="D261" s="8"/>
      <c r="E261" s="8"/>
      <c r="F261" s="8"/>
      <c r="G261" s="8"/>
      <c r="H261" s="8"/>
      <c r="I261" s="8"/>
      <c r="J261" s="8"/>
      <c r="K261" s="8"/>
      <c r="L261" s="8"/>
      <c r="M261" s="8"/>
      <c r="N261" s="8"/>
      <c r="O261" s="8"/>
      <c r="P261" s="8"/>
      <c r="Q261" s="1"/>
    </row>
    <row r="262" spans="1:17" x14ac:dyDescent="0.35">
      <c r="A262" s="6"/>
      <c r="B262" s="81"/>
      <c r="C262" s="83"/>
      <c r="D262" s="8"/>
      <c r="E262" s="8"/>
      <c r="F262" s="8"/>
      <c r="G262" s="8"/>
      <c r="H262" s="8"/>
      <c r="I262" s="8"/>
      <c r="J262" s="8"/>
      <c r="K262" s="8"/>
      <c r="L262" s="8"/>
      <c r="M262" s="8"/>
      <c r="N262" s="8"/>
      <c r="O262" s="8"/>
      <c r="P262" s="8"/>
      <c r="Q262" s="1"/>
    </row>
    <row r="263" spans="1:17" x14ac:dyDescent="0.35">
      <c r="A263" s="6"/>
      <c r="B263" s="81"/>
      <c r="C263" s="83"/>
      <c r="D263" s="8"/>
      <c r="E263" s="8"/>
      <c r="F263" s="8"/>
      <c r="G263" s="8"/>
      <c r="H263" s="8"/>
      <c r="I263" s="8"/>
      <c r="J263" s="8"/>
      <c r="K263" s="8"/>
      <c r="L263" s="8"/>
      <c r="M263" s="8"/>
      <c r="N263" s="8"/>
      <c r="O263" s="8"/>
      <c r="P263" s="8"/>
      <c r="Q263" s="1"/>
    </row>
    <row r="264" spans="1:17" x14ac:dyDescent="0.35">
      <c r="A264" s="6"/>
      <c r="B264" s="81"/>
      <c r="C264" s="83"/>
      <c r="D264" s="8"/>
      <c r="E264" s="8"/>
      <c r="F264" s="8"/>
      <c r="G264" s="8"/>
      <c r="H264" s="8"/>
      <c r="I264" s="8"/>
      <c r="J264" s="8"/>
      <c r="K264" s="8"/>
      <c r="L264" s="8"/>
      <c r="M264" s="8"/>
      <c r="N264" s="8"/>
      <c r="O264" s="8"/>
      <c r="P264" s="8"/>
      <c r="Q264" s="1"/>
    </row>
    <row r="265" spans="1:17" x14ac:dyDescent="0.35">
      <c r="A265" s="6"/>
      <c r="B265" s="81"/>
      <c r="C265" s="83"/>
      <c r="D265" s="8"/>
      <c r="E265" s="8"/>
      <c r="F265" s="8"/>
      <c r="G265" s="8"/>
      <c r="H265" s="8"/>
      <c r="I265" s="8"/>
      <c r="J265" s="8"/>
      <c r="K265" s="8"/>
      <c r="L265" s="8"/>
      <c r="M265" s="8"/>
      <c r="N265" s="8"/>
      <c r="O265" s="8"/>
      <c r="P265" s="8"/>
      <c r="Q265" s="1"/>
    </row>
    <row r="266" spans="1:17" x14ac:dyDescent="0.35">
      <c r="A266" s="6"/>
      <c r="B266" s="81"/>
      <c r="C266" s="83"/>
      <c r="D266" s="8"/>
      <c r="E266" s="8"/>
      <c r="F266" s="8"/>
      <c r="G266" s="8"/>
      <c r="H266" s="8"/>
      <c r="I266" s="8"/>
      <c r="J266" s="8"/>
      <c r="K266" s="8"/>
      <c r="L266" s="8"/>
      <c r="M266" s="8"/>
      <c r="N266" s="8"/>
      <c r="O266" s="8"/>
      <c r="P266" s="8"/>
      <c r="Q266" s="1"/>
    </row>
    <row r="267" spans="1:17" x14ac:dyDescent="0.35">
      <c r="A267" s="6"/>
      <c r="B267" s="81"/>
      <c r="C267" s="83"/>
      <c r="D267" s="8"/>
      <c r="E267" s="8"/>
      <c r="F267" s="8"/>
      <c r="G267" s="8"/>
      <c r="H267" s="8"/>
      <c r="I267" s="8"/>
      <c r="J267" s="8"/>
      <c r="K267" s="8"/>
      <c r="L267" s="8"/>
      <c r="M267" s="8"/>
      <c r="N267" s="8"/>
      <c r="O267" s="8"/>
      <c r="P267" s="8"/>
      <c r="Q267" s="1"/>
    </row>
    <row r="268" spans="1:17" x14ac:dyDescent="0.35">
      <c r="A268" s="6"/>
      <c r="B268" s="81"/>
      <c r="C268" s="83"/>
      <c r="D268" s="8"/>
      <c r="E268" s="8"/>
      <c r="F268" s="8"/>
      <c r="G268" s="8"/>
      <c r="H268" s="8"/>
      <c r="I268" s="8"/>
      <c r="J268" s="8"/>
      <c r="K268" s="8"/>
      <c r="L268" s="8"/>
      <c r="M268" s="8"/>
      <c r="N268" s="8"/>
      <c r="O268" s="8"/>
      <c r="P268" s="8"/>
      <c r="Q268" s="1"/>
    </row>
    <row r="269" spans="1:17" x14ac:dyDescent="0.35">
      <c r="A269" s="6"/>
      <c r="B269" s="81"/>
      <c r="C269" s="83"/>
      <c r="D269" s="8"/>
      <c r="E269" s="8"/>
      <c r="F269" s="8"/>
      <c r="G269" s="8"/>
      <c r="H269" s="8"/>
      <c r="I269" s="8"/>
      <c r="J269" s="8"/>
      <c r="K269" s="8"/>
      <c r="L269" s="8"/>
      <c r="M269" s="8"/>
      <c r="N269" s="8"/>
      <c r="O269" s="8"/>
      <c r="P269" s="8"/>
      <c r="Q269" s="1"/>
    </row>
    <row r="270" spans="1:17" x14ac:dyDescent="0.35">
      <c r="A270" s="6"/>
      <c r="B270" s="81"/>
      <c r="C270" s="83"/>
      <c r="D270" s="8"/>
      <c r="E270" s="8"/>
      <c r="F270" s="8"/>
      <c r="G270" s="8"/>
      <c r="H270" s="8"/>
      <c r="I270" s="8"/>
      <c r="J270" s="8"/>
      <c r="K270" s="8"/>
      <c r="L270" s="8"/>
      <c r="M270" s="8"/>
      <c r="N270" s="8"/>
      <c r="O270" s="8"/>
      <c r="P270" s="8"/>
      <c r="Q270" s="1"/>
    </row>
    <row r="271" spans="1:17" x14ac:dyDescent="0.35">
      <c r="A271" s="6"/>
      <c r="B271" s="81"/>
      <c r="C271" s="83"/>
      <c r="D271" s="8"/>
      <c r="E271" s="8"/>
      <c r="F271" s="8"/>
      <c r="G271" s="8"/>
      <c r="H271" s="8"/>
      <c r="I271" s="8"/>
      <c r="J271" s="8"/>
      <c r="K271" s="8"/>
      <c r="L271" s="8"/>
      <c r="M271" s="8"/>
      <c r="N271" s="8"/>
      <c r="O271" s="8"/>
      <c r="P271" s="8"/>
      <c r="Q271" s="1"/>
    </row>
    <row r="272" spans="1:17" x14ac:dyDescent="0.35">
      <c r="A272" s="6"/>
      <c r="B272" s="81"/>
      <c r="C272" s="83"/>
      <c r="D272" s="8"/>
      <c r="E272" s="8"/>
      <c r="F272" s="8"/>
      <c r="G272" s="8"/>
      <c r="H272" s="8"/>
      <c r="I272" s="8"/>
      <c r="J272" s="8"/>
      <c r="K272" s="8"/>
      <c r="L272" s="8"/>
      <c r="M272" s="8"/>
      <c r="N272" s="8"/>
      <c r="O272" s="8"/>
      <c r="P272" s="8"/>
      <c r="Q272" s="1"/>
    </row>
    <row r="273" spans="1:17" x14ac:dyDescent="0.35">
      <c r="A273" s="6"/>
      <c r="B273" s="81"/>
      <c r="C273" s="83"/>
      <c r="D273" s="8"/>
      <c r="E273" s="8"/>
      <c r="F273" s="8"/>
      <c r="G273" s="8"/>
      <c r="H273" s="8"/>
      <c r="I273" s="8"/>
      <c r="J273" s="8"/>
      <c r="K273" s="8"/>
      <c r="L273" s="8"/>
      <c r="M273" s="8"/>
      <c r="N273" s="8"/>
      <c r="O273" s="8"/>
      <c r="P273" s="8"/>
      <c r="Q273" s="1"/>
    </row>
    <row r="274" spans="1:17" x14ac:dyDescent="0.35">
      <c r="A274" s="6"/>
      <c r="B274" s="81"/>
      <c r="C274" s="83"/>
      <c r="D274" s="8"/>
      <c r="E274" s="8"/>
      <c r="F274" s="8"/>
      <c r="G274" s="8"/>
      <c r="H274" s="8"/>
      <c r="I274" s="8"/>
      <c r="J274" s="8"/>
      <c r="K274" s="8"/>
      <c r="L274" s="8"/>
      <c r="M274" s="8"/>
      <c r="N274" s="8"/>
      <c r="O274" s="8"/>
      <c r="P274" s="8"/>
      <c r="Q274" s="1"/>
    </row>
    <row r="275" spans="1:17" x14ac:dyDescent="0.35">
      <c r="A275" s="6"/>
      <c r="B275" s="81"/>
      <c r="C275" s="83"/>
      <c r="D275" s="8"/>
      <c r="E275" s="8"/>
      <c r="F275" s="8"/>
      <c r="G275" s="8"/>
      <c r="H275" s="8"/>
      <c r="I275" s="8"/>
      <c r="J275" s="8"/>
      <c r="K275" s="8"/>
      <c r="L275" s="8"/>
      <c r="M275" s="8"/>
      <c r="N275" s="8"/>
      <c r="O275" s="8"/>
      <c r="P275" s="8"/>
      <c r="Q275" s="1"/>
    </row>
    <row r="276" spans="1:17" x14ac:dyDescent="0.35">
      <c r="A276" s="6"/>
      <c r="B276" s="81"/>
      <c r="C276" s="83"/>
      <c r="D276" s="8"/>
      <c r="E276" s="8"/>
      <c r="F276" s="8"/>
      <c r="G276" s="8"/>
      <c r="H276" s="8"/>
      <c r="I276" s="8"/>
      <c r="J276" s="8"/>
      <c r="K276" s="8"/>
      <c r="L276" s="8"/>
      <c r="M276" s="8"/>
      <c r="N276" s="8"/>
      <c r="O276" s="8"/>
      <c r="P276" s="8"/>
      <c r="Q276" s="1"/>
    </row>
    <row r="277" spans="1:17" x14ac:dyDescent="0.35">
      <c r="A277" s="6"/>
      <c r="B277" s="81"/>
      <c r="C277" s="83"/>
      <c r="D277" s="8"/>
      <c r="E277" s="8"/>
      <c r="F277" s="8"/>
      <c r="G277" s="8"/>
      <c r="H277" s="8"/>
      <c r="I277" s="8"/>
      <c r="J277" s="8"/>
      <c r="K277" s="8"/>
      <c r="L277" s="8"/>
      <c r="M277" s="8"/>
      <c r="N277" s="8"/>
      <c r="O277" s="8"/>
      <c r="P277" s="8"/>
      <c r="Q277" s="1"/>
    </row>
    <row r="278" spans="1:17" x14ac:dyDescent="0.35">
      <c r="A278" s="6"/>
      <c r="B278" s="81"/>
      <c r="C278" s="83"/>
      <c r="D278" s="8"/>
      <c r="E278" s="8"/>
      <c r="F278" s="8"/>
      <c r="G278" s="8"/>
      <c r="H278" s="8"/>
      <c r="I278" s="8"/>
      <c r="J278" s="8"/>
      <c r="K278" s="8"/>
      <c r="L278" s="8"/>
      <c r="M278" s="8"/>
      <c r="N278" s="8"/>
      <c r="O278" s="8"/>
      <c r="P278" s="8"/>
      <c r="Q278" s="1"/>
    </row>
    <row r="279" spans="1:17" x14ac:dyDescent="0.35">
      <c r="A279" s="6"/>
      <c r="B279" s="81"/>
      <c r="C279" s="83"/>
      <c r="D279" s="8"/>
      <c r="E279" s="8"/>
      <c r="F279" s="8"/>
      <c r="G279" s="8"/>
      <c r="H279" s="8"/>
      <c r="I279" s="8"/>
      <c r="J279" s="8"/>
      <c r="K279" s="8"/>
      <c r="L279" s="8"/>
      <c r="M279" s="8"/>
      <c r="N279" s="8"/>
      <c r="O279" s="8"/>
      <c r="P279" s="8"/>
      <c r="Q279" s="1"/>
    </row>
    <row r="280" spans="1:17" x14ac:dyDescent="0.35">
      <c r="A280" s="6"/>
      <c r="B280" s="81"/>
      <c r="C280" s="83"/>
      <c r="D280" s="8"/>
      <c r="E280" s="8"/>
      <c r="F280" s="8"/>
      <c r="G280" s="8"/>
      <c r="H280" s="8"/>
      <c r="I280" s="8"/>
      <c r="J280" s="8"/>
      <c r="K280" s="8"/>
      <c r="L280" s="8"/>
      <c r="M280" s="8"/>
      <c r="N280" s="8"/>
      <c r="O280" s="8"/>
      <c r="P280" s="8"/>
      <c r="Q280" s="1"/>
    </row>
    <row r="281" spans="1:17" x14ac:dyDescent="0.35">
      <c r="A281" s="6"/>
      <c r="B281" s="81"/>
      <c r="C281" s="83"/>
      <c r="D281" s="8"/>
      <c r="E281" s="8"/>
      <c r="F281" s="8"/>
      <c r="G281" s="8"/>
      <c r="H281" s="8"/>
      <c r="I281" s="8"/>
      <c r="J281" s="8"/>
      <c r="K281" s="8"/>
      <c r="L281" s="8"/>
      <c r="M281" s="8"/>
      <c r="N281" s="8"/>
      <c r="O281" s="8"/>
      <c r="P281" s="8"/>
      <c r="Q281" s="1"/>
    </row>
    <row r="282" spans="1:17" x14ac:dyDescent="0.35">
      <c r="A282" s="6"/>
      <c r="B282" s="81"/>
      <c r="C282" s="83"/>
      <c r="D282" s="8"/>
      <c r="E282" s="8"/>
      <c r="F282" s="8"/>
      <c r="G282" s="8"/>
      <c r="H282" s="8"/>
      <c r="I282" s="8"/>
      <c r="J282" s="8"/>
      <c r="K282" s="8"/>
      <c r="L282" s="8"/>
      <c r="M282" s="8"/>
      <c r="N282" s="8"/>
      <c r="O282" s="8"/>
      <c r="P282" s="8"/>
      <c r="Q282" s="1"/>
    </row>
    <row r="283" spans="1:17" x14ac:dyDescent="0.35">
      <c r="A283" s="6"/>
      <c r="B283" s="81"/>
      <c r="C283" s="83"/>
      <c r="D283" s="8"/>
      <c r="E283" s="8"/>
      <c r="F283" s="8"/>
      <c r="G283" s="8"/>
      <c r="H283" s="8"/>
      <c r="I283" s="8"/>
      <c r="J283" s="8"/>
      <c r="K283" s="8"/>
      <c r="L283" s="8"/>
      <c r="M283" s="8"/>
      <c r="N283" s="8"/>
      <c r="O283" s="8"/>
      <c r="P283" s="8"/>
      <c r="Q283" s="1"/>
    </row>
    <row r="284" spans="1:17" x14ac:dyDescent="0.35">
      <c r="A284" s="6"/>
      <c r="B284" s="81"/>
      <c r="C284" s="83"/>
      <c r="D284" s="8"/>
      <c r="E284" s="8"/>
      <c r="F284" s="8"/>
      <c r="G284" s="8"/>
      <c r="H284" s="8"/>
      <c r="I284" s="8"/>
      <c r="J284" s="8"/>
      <c r="K284" s="8"/>
      <c r="L284" s="8"/>
      <c r="M284" s="8"/>
      <c r="N284" s="8"/>
      <c r="O284" s="8"/>
      <c r="P284" s="8"/>
      <c r="Q284" s="1"/>
    </row>
    <row r="285" spans="1:17" x14ac:dyDescent="0.35">
      <c r="A285" s="6"/>
      <c r="B285" s="81"/>
      <c r="C285" s="83"/>
      <c r="D285" s="8"/>
      <c r="E285" s="8"/>
      <c r="F285" s="8"/>
      <c r="G285" s="8"/>
      <c r="H285" s="8"/>
      <c r="I285" s="8"/>
      <c r="J285" s="8"/>
      <c r="K285" s="8"/>
      <c r="L285" s="8"/>
      <c r="M285" s="8"/>
      <c r="N285" s="8"/>
      <c r="O285" s="8"/>
      <c r="P285" s="8"/>
      <c r="Q285" s="1"/>
    </row>
    <row r="286" spans="1:17" x14ac:dyDescent="0.35">
      <c r="A286" s="6"/>
      <c r="B286" s="81"/>
      <c r="C286" s="83"/>
      <c r="D286" s="8"/>
      <c r="E286" s="8"/>
      <c r="F286" s="8"/>
      <c r="G286" s="8"/>
      <c r="H286" s="8"/>
      <c r="I286" s="8"/>
      <c r="J286" s="8"/>
      <c r="K286" s="8"/>
      <c r="L286" s="8"/>
      <c r="M286" s="8"/>
      <c r="N286" s="8"/>
      <c r="O286" s="8"/>
      <c r="P286" s="8"/>
      <c r="Q286" s="1"/>
    </row>
    <row r="287" spans="1:17" x14ac:dyDescent="0.35">
      <c r="A287" s="6"/>
      <c r="B287" s="81"/>
      <c r="C287" s="83"/>
      <c r="D287" s="8"/>
      <c r="E287" s="8"/>
      <c r="F287" s="8"/>
      <c r="G287" s="8"/>
      <c r="H287" s="8"/>
      <c r="I287" s="8"/>
      <c r="J287" s="8"/>
      <c r="K287" s="8"/>
      <c r="L287" s="8"/>
      <c r="M287" s="8"/>
      <c r="N287" s="8"/>
      <c r="O287" s="8"/>
      <c r="P287" s="8"/>
      <c r="Q287" s="1"/>
    </row>
    <row r="288" spans="1:17" x14ac:dyDescent="0.35">
      <c r="A288" s="6"/>
      <c r="B288" s="81"/>
      <c r="C288" s="83"/>
      <c r="D288" s="8"/>
      <c r="E288" s="8"/>
      <c r="F288" s="8"/>
      <c r="G288" s="8"/>
      <c r="H288" s="8"/>
      <c r="I288" s="8"/>
      <c r="J288" s="8"/>
      <c r="K288" s="8"/>
      <c r="L288" s="8"/>
      <c r="M288" s="8"/>
      <c r="N288" s="8"/>
      <c r="O288" s="8"/>
      <c r="P288" s="8"/>
      <c r="Q288" s="1"/>
    </row>
    <row r="289" spans="1:17" x14ac:dyDescent="0.35">
      <c r="A289" s="6"/>
      <c r="B289" s="81"/>
      <c r="C289" s="83"/>
      <c r="D289" s="8"/>
      <c r="E289" s="8"/>
      <c r="F289" s="8"/>
      <c r="G289" s="8"/>
      <c r="H289" s="8"/>
      <c r="I289" s="8"/>
      <c r="J289" s="8"/>
      <c r="K289" s="8"/>
      <c r="L289" s="8"/>
      <c r="M289" s="8"/>
      <c r="N289" s="8"/>
      <c r="O289" s="8"/>
      <c r="P289" s="8"/>
      <c r="Q289" s="1"/>
    </row>
    <row r="290" spans="1:17" x14ac:dyDescent="0.35">
      <c r="A290" s="6"/>
      <c r="B290" s="81"/>
      <c r="C290" s="83"/>
      <c r="D290" s="8"/>
      <c r="E290" s="8"/>
      <c r="F290" s="8"/>
      <c r="G290" s="8"/>
      <c r="H290" s="8"/>
      <c r="I290" s="8"/>
      <c r="J290" s="8"/>
      <c r="K290" s="8"/>
      <c r="L290" s="8"/>
      <c r="M290" s="8"/>
      <c r="N290" s="8"/>
      <c r="O290" s="8"/>
      <c r="P290" s="8"/>
      <c r="Q290" s="1"/>
    </row>
    <row r="291" spans="1:17" x14ac:dyDescent="0.35">
      <c r="A291" s="6"/>
      <c r="B291" s="81"/>
      <c r="C291" s="83"/>
      <c r="D291" s="8"/>
      <c r="E291" s="8"/>
      <c r="F291" s="8"/>
      <c r="G291" s="8"/>
      <c r="H291" s="8"/>
      <c r="I291" s="8"/>
      <c r="J291" s="8"/>
      <c r="K291" s="8"/>
      <c r="L291" s="8"/>
      <c r="M291" s="8"/>
      <c r="N291" s="8"/>
      <c r="O291" s="8"/>
      <c r="P291" s="8"/>
      <c r="Q291" s="1"/>
    </row>
    <row r="292" spans="1:17" x14ac:dyDescent="0.35">
      <c r="A292" s="6"/>
      <c r="B292" s="81"/>
      <c r="C292" s="83"/>
      <c r="D292" s="8"/>
      <c r="E292" s="8"/>
      <c r="F292" s="8"/>
      <c r="G292" s="8"/>
      <c r="H292" s="8"/>
      <c r="I292" s="8"/>
      <c r="J292" s="8"/>
      <c r="K292" s="8"/>
      <c r="L292" s="8"/>
      <c r="M292" s="8"/>
      <c r="N292" s="8"/>
      <c r="O292" s="8"/>
      <c r="P292" s="8"/>
      <c r="Q292" s="1"/>
    </row>
    <row r="293" spans="1:17" x14ac:dyDescent="0.35">
      <c r="A293" s="6"/>
      <c r="B293" s="81"/>
      <c r="C293" s="83"/>
      <c r="D293" s="8"/>
      <c r="E293" s="8"/>
      <c r="F293" s="8"/>
      <c r="G293" s="8"/>
      <c r="H293" s="8"/>
      <c r="I293" s="8"/>
      <c r="J293" s="8"/>
      <c r="K293" s="8"/>
      <c r="L293" s="8"/>
      <c r="M293" s="8"/>
      <c r="N293" s="8"/>
      <c r="O293" s="8"/>
      <c r="P293" s="8"/>
      <c r="Q293" s="1"/>
    </row>
    <row r="294" spans="1:17" x14ac:dyDescent="0.35">
      <c r="A294" s="6"/>
      <c r="B294" s="81"/>
      <c r="C294" s="83"/>
      <c r="D294" s="8"/>
      <c r="E294" s="8"/>
      <c r="F294" s="8"/>
      <c r="G294" s="8"/>
      <c r="H294" s="8"/>
      <c r="I294" s="8"/>
      <c r="J294" s="8"/>
      <c r="K294" s="8"/>
      <c r="L294" s="8"/>
      <c r="M294" s="8"/>
      <c r="N294" s="8"/>
      <c r="O294" s="8"/>
      <c r="P294" s="8"/>
      <c r="Q294" s="1"/>
    </row>
    <row r="295" spans="1:17" x14ac:dyDescent="0.35">
      <c r="A295" s="6"/>
      <c r="B295" s="81"/>
      <c r="C295" s="83"/>
      <c r="D295" s="8"/>
      <c r="E295" s="8"/>
      <c r="F295" s="8"/>
      <c r="G295" s="8"/>
      <c r="H295" s="8"/>
      <c r="I295" s="8"/>
      <c r="J295" s="8"/>
      <c r="K295" s="8"/>
      <c r="L295" s="8"/>
      <c r="M295" s="8"/>
      <c r="N295" s="8"/>
      <c r="O295" s="8"/>
      <c r="P295" s="8"/>
      <c r="Q295" s="1"/>
    </row>
    <row r="296" spans="1:17" x14ac:dyDescent="0.35">
      <c r="A296" s="6"/>
      <c r="B296" s="81"/>
      <c r="C296" s="83"/>
      <c r="D296" s="8"/>
      <c r="E296" s="8"/>
      <c r="F296" s="8"/>
      <c r="G296" s="8"/>
      <c r="H296" s="8"/>
      <c r="I296" s="8"/>
      <c r="J296" s="8"/>
      <c r="K296" s="8"/>
      <c r="L296" s="8"/>
      <c r="M296" s="8"/>
      <c r="N296" s="8"/>
      <c r="O296" s="8"/>
      <c r="P296" s="8"/>
      <c r="Q296" s="1"/>
    </row>
    <row r="297" spans="1:17" x14ac:dyDescent="0.35">
      <c r="A297" s="6"/>
      <c r="B297" s="81"/>
      <c r="C297" s="83"/>
      <c r="D297" s="8"/>
      <c r="E297" s="8"/>
      <c r="F297" s="8"/>
      <c r="G297" s="8"/>
      <c r="H297" s="8"/>
      <c r="I297" s="8"/>
      <c r="J297" s="8"/>
      <c r="K297" s="8"/>
      <c r="L297" s="8"/>
      <c r="M297" s="8"/>
      <c r="N297" s="8"/>
      <c r="O297" s="8"/>
      <c r="P297" s="8"/>
      <c r="Q297" s="1"/>
    </row>
    <row r="298" spans="1:17" x14ac:dyDescent="0.35">
      <c r="A298" s="6"/>
      <c r="B298" s="81"/>
      <c r="C298" s="83"/>
      <c r="D298" s="8"/>
      <c r="E298" s="8"/>
      <c r="F298" s="8"/>
      <c r="G298" s="8"/>
      <c r="H298" s="8"/>
      <c r="I298" s="8"/>
      <c r="J298" s="8"/>
      <c r="K298" s="8"/>
      <c r="L298" s="8"/>
      <c r="M298" s="8"/>
      <c r="N298" s="8"/>
      <c r="O298" s="8"/>
      <c r="P298" s="8"/>
      <c r="Q298" s="1"/>
    </row>
    <row r="299" spans="1:17" x14ac:dyDescent="0.35">
      <c r="A299" s="6"/>
      <c r="B299" s="81"/>
      <c r="C299" s="83"/>
      <c r="D299" s="8"/>
      <c r="E299" s="8"/>
      <c r="F299" s="8"/>
      <c r="G299" s="8"/>
      <c r="H299" s="8"/>
      <c r="I299" s="8"/>
      <c r="J299" s="8"/>
      <c r="K299" s="8"/>
      <c r="L299" s="8"/>
      <c r="M299" s="8"/>
      <c r="N299" s="8"/>
      <c r="O299" s="8"/>
      <c r="P299" s="8"/>
      <c r="Q299" s="1"/>
    </row>
    <row r="300" spans="1:17" x14ac:dyDescent="0.35">
      <c r="A300" s="6"/>
      <c r="B300" s="81"/>
      <c r="C300" s="83"/>
      <c r="D300" s="8"/>
      <c r="E300" s="8"/>
      <c r="F300" s="8"/>
      <c r="G300" s="8"/>
      <c r="H300" s="8"/>
      <c r="I300" s="8"/>
      <c r="J300" s="8"/>
      <c r="K300" s="8"/>
      <c r="L300" s="8"/>
      <c r="M300" s="8"/>
      <c r="N300" s="8"/>
      <c r="O300" s="8"/>
      <c r="P300" s="8"/>
      <c r="Q300" s="1"/>
    </row>
    <row r="301" spans="1:17" x14ac:dyDescent="0.35">
      <c r="A301" s="6"/>
      <c r="B301" s="81"/>
      <c r="C301" s="83"/>
      <c r="D301" s="8"/>
      <c r="E301" s="8"/>
      <c r="F301" s="8"/>
      <c r="G301" s="8"/>
      <c r="H301" s="8"/>
      <c r="I301" s="8"/>
      <c r="J301" s="8"/>
      <c r="K301" s="8"/>
      <c r="L301" s="8"/>
      <c r="M301" s="8"/>
      <c r="N301" s="8"/>
      <c r="O301" s="8"/>
      <c r="P301" s="8"/>
      <c r="Q301" s="1"/>
    </row>
    <row r="302" spans="1:17" x14ac:dyDescent="0.35">
      <c r="A302" s="6"/>
      <c r="B302" s="81"/>
      <c r="C302" s="83"/>
      <c r="D302" s="8"/>
      <c r="E302" s="8"/>
      <c r="F302" s="8"/>
      <c r="G302" s="8"/>
      <c r="H302" s="8"/>
      <c r="I302" s="8"/>
      <c r="J302" s="8"/>
      <c r="K302" s="8"/>
      <c r="L302" s="8"/>
      <c r="M302" s="8"/>
      <c r="N302" s="8"/>
      <c r="O302" s="8"/>
      <c r="P302" s="8"/>
      <c r="Q302" s="1"/>
    </row>
    <row r="303" spans="1:17" x14ac:dyDescent="0.35">
      <c r="A303" s="6"/>
      <c r="B303" s="81"/>
      <c r="C303" s="83"/>
      <c r="D303" s="8"/>
      <c r="E303" s="8"/>
      <c r="F303" s="8"/>
      <c r="G303" s="8"/>
      <c r="H303" s="8"/>
      <c r="I303" s="8"/>
      <c r="J303" s="8"/>
      <c r="K303" s="8"/>
      <c r="L303" s="8"/>
      <c r="M303" s="8"/>
      <c r="N303" s="8"/>
      <c r="O303" s="8"/>
      <c r="P303" s="8"/>
      <c r="Q303" s="1"/>
    </row>
    <row r="304" spans="1:17" x14ac:dyDescent="0.35">
      <c r="A304" s="6"/>
      <c r="B304" s="81"/>
      <c r="C304" s="83"/>
      <c r="D304" s="8"/>
      <c r="E304" s="8"/>
      <c r="F304" s="8"/>
      <c r="G304" s="8"/>
      <c r="H304" s="8"/>
      <c r="I304" s="8"/>
      <c r="J304" s="8"/>
      <c r="K304" s="8"/>
      <c r="L304" s="8"/>
      <c r="M304" s="8"/>
      <c r="N304" s="8"/>
      <c r="O304" s="8"/>
      <c r="P304" s="8"/>
      <c r="Q304" s="1"/>
    </row>
    <row r="305" spans="1:17" x14ac:dyDescent="0.35">
      <c r="A305" s="6"/>
      <c r="B305" s="81"/>
      <c r="C305" s="83"/>
      <c r="D305" s="8"/>
      <c r="E305" s="8"/>
      <c r="F305" s="8"/>
      <c r="G305" s="8"/>
      <c r="H305" s="8"/>
      <c r="I305" s="8"/>
      <c r="J305" s="8"/>
      <c r="K305" s="8"/>
      <c r="L305" s="8"/>
      <c r="M305" s="8"/>
      <c r="N305" s="8"/>
      <c r="O305" s="8"/>
      <c r="P305" s="8"/>
      <c r="Q305" s="1"/>
    </row>
    <row r="306" spans="1:17" x14ac:dyDescent="0.35">
      <c r="A306" s="6"/>
      <c r="B306" s="81"/>
      <c r="C306" s="83"/>
      <c r="D306" s="8"/>
      <c r="E306" s="8"/>
      <c r="F306" s="8"/>
      <c r="G306" s="8"/>
      <c r="H306" s="8"/>
      <c r="I306" s="8"/>
      <c r="J306" s="8"/>
      <c r="K306" s="8"/>
      <c r="L306" s="8"/>
      <c r="M306" s="8"/>
      <c r="N306" s="8"/>
      <c r="O306" s="8"/>
      <c r="P306" s="8"/>
      <c r="Q306" s="1"/>
    </row>
    <row r="307" spans="1:17" x14ac:dyDescent="0.35">
      <c r="A307" s="6"/>
      <c r="B307" s="81"/>
      <c r="C307" s="83"/>
      <c r="D307" s="8"/>
      <c r="E307" s="8"/>
      <c r="F307" s="8"/>
      <c r="G307" s="8"/>
      <c r="H307" s="8"/>
      <c r="I307" s="8"/>
      <c r="J307" s="8"/>
      <c r="K307" s="8"/>
      <c r="L307" s="8"/>
      <c r="M307" s="8"/>
      <c r="N307" s="8"/>
      <c r="O307" s="8"/>
      <c r="P307" s="8"/>
      <c r="Q307" s="1"/>
    </row>
    <row r="308" spans="1:17" x14ac:dyDescent="0.35">
      <c r="A308" s="6"/>
      <c r="B308" s="81"/>
      <c r="C308" s="83"/>
      <c r="D308" s="8"/>
      <c r="E308" s="8"/>
      <c r="F308" s="8"/>
      <c r="G308" s="8"/>
      <c r="H308" s="8"/>
      <c r="I308" s="8"/>
      <c r="J308" s="8"/>
      <c r="K308" s="8"/>
      <c r="L308" s="8"/>
      <c r="M308" s="8"/>
      <c r="N308" s="8"/>
      <c r="O308" s="8"/>
      <c r="P308" s="8"/>
      <c r="Q308" s="1"/>
    </row>
    <row r="309" spans="1:17" x14ac:dyDescent="0.35">
      <c r="A309" s="6"/>
      <c r="B309" s="81"/>
      <c r="C309" s="83"/>
      <c r="D309" s="8"/>
      <c r="E309" s="8"/>
      <c r="F309" s="8"/>
      <c r="G309" s="8"/>
      <c r="H309" s="8"/>
      <c r="I309" s="8"/>
      <c r="J309" s="8"/>
      <c r="K309" s="8"/>
      <c r="L309" s="8"/>
      <c r="M309" s="8"/>
      <c r="N309" s="8"/>
      <c r="O309" s="8"/>
      <c r="P309" s="8"/>
      <c r="Q309" s="1"/>
    </row>
    <row r="310" spans="1:17" x14ac:dyDescent="0.35">
      <c r="A310" s="6"/>
      <c r="B310" s="81"/>
      <c r="C310" s="83"/>
      <c r="D310" s="8"/>
      <c r="E310" s="8"/>
      <c r="F310" s="8"/>
      <c r="G310" s="8"/>
      <c r="H310" s="8"/>
      <c r="I310" s="8"/>
      <c r="J310" s="8"/>
      <c r="K310" s="8"/>
      <c r="L310" s="8"/>
      <c r="M310" s="8"/>
      <c r="N310" s="8"/>
      <c r="O310" s="8"/>
      <c r="P310" s="8"/>
      <c r="Q310" s="1"/>
    </row>
    <row r="311" spans="1:17" x14ac:dyDescent="0.35">
      <c r="A311" s="6"/>
      <c r="B311" s="81"/>
      <c r="C311" s="83"/>
      <c r="D311" s="8"/>
      <c r="E311" s="8"/>
      <c r="F311" s="8"/>
      <c r="G311" s="8"/>
      <c r="H311" s="8"/>
      <c r="I311" s="8"/>
      <c r="J311" s="8"/>
      <c r="K311" s="8"/>
      <c r="L311" s="8"/>
      <c r="M311" s="8"/>
      <c r="N311" s="8"/>
      <c r="O311" s="8"/>
      <c r="P311" s="8"/>
      <c r="Q311" s="1"/>
    </row>
    <row r="312" spans="1:17" x14ac:dyDescent="0.35">
      <c r="A312" s="6"/>
      <c r="B312" s="81"/>
      <c r="C312" s="83"/>
      <c r="D312" s="8"/>
      <c r="E312" s="8"/>
      <c r="F312" s="8"/>
      <c r="G312" s="8"/>
      <c r="H312" s="8"/>
      <c r="I312" s="8"/>
      <c r="J312" s="8"/>
      <c r="K312" s="8"/>
      <c r="L312" s="8"/>
      <c r="M312" s="8"/>
      <c r="N312" s="8"/>
      <c r="O312" s="8"/>
      <c r="P312" s="8"/>
      <c r="Q312" s="1"/>
    </row>
    <row r="313" spans="1:17" x14ac:dyDescent="0.35">
      <c r="A313" s="6"/>
      <c r="B313" s="81"/>
      <c r="C313" s="83"/>
      <c r="D313" s="8"/>
      <c r="E313" s="8"/>
      <c r="F313" s="8"/>
      <c r="G313" s="8"/>
      <c r="H313" s="8"/>
      <c r="I313" s="8"/>
      <c r="J313" s="8"/>
      <c r="K313" s="8"/>
      <c r="L313" s="8"/>
      <c r="M313" s="8"/>
      <c r="N313" s="8"/>
      <c r="O313" s="8"/>
      <c r="P313" s="8"/>
      <c r="Q313" s="1"/>
    </row>
    <row r="314" spans="1:17" x14ac:dyDescent="0.35">
      <c r="A314" s="6"/>
      <c r="B314" s="81"/>
      <c r="C314" s="83"/>
      <c r="D314" s="8"/>
      <c r="E314" s="8"/>
      <c r="F314" s="8"/>
      <c r="G314" s="8"/>
      <c r="H314" s="8"/>
      <c r="I314" s="8"/>
      <c r="J314" s="8"/>
      <c r="K314" s="8"/>
      <c r="L314" s="8"/>
      <c r="M314" s="8"/>
      <c r="N314" s="8"/>
      <c r="O314" s="8"/>
      <c r="P314" s="8"/>
      <c r="Q314" s="1"/>
    </row>
    <row r="315" spans="1:17" x14ac:dyDescent="0.35">
      <c r="A315" s="6"/>
      <c r="B315" s="81"/>
      <c r="C315" s="83"/>
      <c r="D315" s="8"/>
      <c r="E315" s="8"/>
      <c r="F315" s="8"/>
      <c r="G315" s="8"/>
      <c r="H315" s="8"/>
      <c r="I315" s="8"/>
      <c r="J315" s="8"/>
      <c r="K315" s="8"/>
      <c r="L315" s="8"/>
      <c r="M315" s="8"/>
      <c r="N315" s="8"/>
      <c r="O315" s="8"/>
      <c r="P315" s="8"/>
      <c r="Q315" s="1"/>
    </row>
    <row r="316" spans="1:17" x14ac:dyDescent="0.35">
      <c r="A316" s="6"/>
      <c r="B316" s="81"/>
      <c r="C316" s="83"/>
      <c r="D316" s="8"/>
      <c r="E316" s="8"/>
      <c r="F316" s="8"/>
      <c r="G316" s="8"/>
      <c r="H316" s="8"/>
      <c r="I316" s="8"/>
      <c r="J316" s="8"/>
      <c r="K316" s="8"/>
      <c r="L316" s="8"/>
      <c r="M316" s="8"/>
      <c r="N316" s="8"/>
      <c r="O316" s="8"/>
      <c r="P316" s="8"/>
      <c r="Q316" s="1"/>
    </row>
    <row r="317" spans="1:17" x14ac:dyDescent="0.35">
      <c r="A317" s="6"/>
      <c r="B317" s="81"/>
      <c r="C317" s="83"/>
      <c r="D317" s="8"/>
      <c r="E317" s="8"/>
      <c r="F317" s="8"/>
      <c r="G317" s="8"/>
      <c r="H317" s="8"/>
      <c r="I317" s="8"/>
      <c r="J317" s="8"/>
      <c r="K317" s="8"/>
      <c r="L317" s="8"/>
      <c r="M317" s="8"/>
      <c r="N317" s="8"/>
      <c r="O317" s="8"/>
      <c r="P317" s="8"/>
      <c r="Q317" s="1"/>
    </row>
    <row r="318" spans="1:17" x14ac:dyDescent="0.35">
      <c r="A318" s="6"/>
      <c r="B318" s="81"/>
      <c r="C318" s="83"/>
      <c r="D318" s="8"/>
      <c r="E318" s="8"/>
      <c r="F318" s="8"/>
      <c r="G318" s="8"/>
      <c r="H318" s="8"/>
      <c r="I318" s="8"/>
      <c r="J318" s="8"/>
      <c r="K318" s="8"/>
      <c r="L318" s="8"/>
      <c r="M318" s="8"/>
      <c r="N318" s="8"/>
      <c r="O318" s="8"/>
      <c r="P318" s="8"/>
      <c r="Q318" s="1"/>
    </row>
    <row r="319" spans="1:17" x14ac:dyDescent="0.35">
      <c r="A319" s="6"/>
      <c r="B319" s="81"/>
      <c r="C319" s="83"/>
      <c r="D319" s="8"/>
      <c r="E319" s="8"/>
      <c r="F319" s="8"/>
      <c r="G319" s="8"/>
      <c r="H319" s="8"/>
      <c r="I319" s="8"/>
      <c r="J319" s="8"/>
      <c r="K319" s="8"/>
      <c r="L319" s="8"/>
      <c r="M319" s="8"/>
      <c r="N319" s="8"/>
      <c r="O319" s="8"/>
      <c r="P319" s="8"/>
      <c r="Q319" s="1"/>
    </row>
    <row r="320" spans="1:17" x14ac:dyDescent="0.35">
      <c r="A320" s="6"/>
      <c r="B320" s="81"/>
      <c r="C320" s="83"/>
      <c r="D320" s="8"/>
      <c r="E320" s="8"/>
      <c r="F320" s="8"/>
      <c r="G320" s="8"/>
      <c r="H320" s="8"/>
      <c r="I320" s="8"/>
      <c r="J320" s="8"/>
      <c r="K320" s="8"/>
      <c r="L320" s="8"/>
      <c r="M320" s="8"/>
      <c r="N320" s="8"/>
      <c r="O320" s="8"/>
      <c r="P320" s="8"/>
      <c r="Q320" s="1"/>
    </row>
    <row r="321" spans="1:17" x14ac:dyDescent="0.35">
      <c r="A321" s="6"/>
      <c r="B321" s="81"/>
      <c r="C321" s="83"/>
      <c r="D321" s="8"/>
      <c r="E321" s="8"/>
      <c r="F321" s="8"/>
      <c r="G321" s="8"/>
      <c r="H321" s="8"/>
      <c r="I321" s="8"/>
      <c r="J321" s="8"/>
      <c r="K321" s="8"/>
      <c r="L321" s="8"/>
      <c r="M321" s="8"/>
      <c r="N321" s="8"/>
      <c r="O321" s="8"/>
      <c r="P321" s="8"/>
      <c r="Q321" s="1"/>
    </row>
    <row r="322" spans="1:17" x14ac:dyDescent="0.35">
      <c r="A322" s="6"/>
      <c r="B322" s="81"/>
      <c r="C322" s="83"/>
      <c r="D322" s="8"/>
      <c r="E322" s="8"/>
      <c r="F322" s="8"/>
      <c r="G322" s="8"/>
      <c r="H322" s="8"/>
      <c r="I322" s="8"/>
      <c r="J322" s="8"/>
      <c r="K322" s="8"/>
      <c r="L322" s="8"/>
      <c r="M322" s="8"/>
      <c r="N322" s="8"/>
      <c r="O322" s="8"/>
      <c r="P322" s="8"/>
      <c r="Q322" s="1"/>
    </row>
    <row r="323" spans="1:17" x14ac:dyDescent="0.35">
      <c r="A323" s="6"/>
      <c r="B323" s="81"/>
      <c r="C323" s="83"/>
      <c r="D323" s="8"/>
      <c r="E323" s="8"/>
      <c r="F323" s="8"/>
      <c r="G323" s="8"/>
      <c r="H323" s="8"/>
      <c r="I323" s="8"/>
      <c r="J323" s="8"/>
      <c r="K323" s="8"/>
      <c r="L323" s="8"/>
      <c r="M323" s="8"/>
      <c r="N323" s="8"/>
      <c r="O323" s="8"/>
      <c r="P323" s="8"/>
      <c r="Q323" s="1"/>
    </row>
    <row r="324" spans="1:17" x14ac:dyDescent="0.35">
      <c r="A324" s="6"/>
      <c r="B324" s="81"/>
      <c r="C324" s="83"/>
      <c r="D324" s="8"/>
      <c r="E324" s="8"/>
      <c r="F324" s="8"/>
      <c r="G324" s="8"/>
      <c r="H324" s="8"/>
      <c r="I324" s="8"/>
      <c r="J324" s="8"/>
      <c r="K324" s="8"/>
      <c r="L324" s="8"/>
      <c r="M324" s="8"/>
      <c r="N324" s="8"/>
      <c r="O324" s="8"/>
      <c r="P324" s="8"/>
      <c r="Q324" s="1"/>
    </row>
    <row r="325" spans="1:17" x14ac:dyDescent="0.35">
      <c r="A325" s="6"/>
      <c r="B325" s="81"/>
      <c r="C325" s="83"/>
      <c r="D325" s="8"/>
      <c r="E325" s="8"/>
      <c r="F325" s="8"/>
      <c r="G325" s="8"/>
      <c r="H325" s="8"/>
      <c r="I325" s="8"/>
      <c r="J325" s="8"/>
      <c r="K325" s="8"/>
      <c r="L325" s="8"/>
      <c r="M325" s="8"/>
      <c r="N325" s="8"/>
      <c r="O325" s="8"/>
      <c r="P325" s="8"/>
      <c r="Q325" s="1"/>
    </row>
    <row r="326" spans="1:17" x14ac:dyDescent="0.35">
      <c r="A326" s="6"/>
      <c r="B326" s="81"/>
      <c r="C326" s="83"/>
      <c r="D326" s="8"/>
      <c r="E326" s="8"/>
      <c r="F326" s="8"/>
      <c r="G326" s="8"/>
      <c r="H326" s="8"/>
      <c r="I326" s="8"/>
      <c r="J326" s="8"/>
      <c r="K326" s="8"/>
      <c r="L326" s="8"/>
      <c r="M326" s="8"/>
      <c r="N326" s="8"/>
      <c r="O326" s="8"/>
      <c r="P326" s="8"/>
      <c r="Q326" s="1"/>
    </row>
    <row r="327" spans="1:17" x14ac:dyDescent="0.35">
      <c r="A327" s="6"/>
      <c r="B327" s="81"/>
      <c r="C327" s="83"/>
      <c r="D327" s="8"/>
      <c r="E327" s="8"/>
      <c r="F327" s="8"/>
      <c r="G327" s="8"/>
      <c r="H327" s="8"/>
      <c r="I327" s="8"/>
      <c r="J327" s="8"/>
      <c r="K327" s="8"/>
      <c r="L327" s="8"/>
      <c r="M327" s="8"/>
      <c r="N327" s="8"/>
      <c r="O327" s="8"/>
      <c r="P327" s="8"/>
      <c r="Q327" s="1"/>
    </row>
    <row r="328" spans="1:17" x14ac:dyDescent="0.35">
      <c r="A328" s="6"/>
      <c r="B328" s="81"/>
      <c r="C328" s="83"/>
      <c r="D328" s="8"/>
      <c r="E328" s="8"/>
      <c r="F328" s="8"/>
      <c r="G328" s="8"/>
      <c r="H328" s="8"/>
      <c r="I328" s="8"/>
      <c r="J328" s="8"/>
      <c r="K328" s="8"/>
      <c r="L328" s="8"/>
      <c r="M328" s="8"/>
      <c r="N328" s="8"/>
      <c r="O328" s="8"/>
      <c r="P328" s="8"/>
      <c r="Q328" s="1"/>
    </row>
    <row r="329" spans="1:17" x14ac:dyDescent="0.35">
      <c r="A329" s="6"/>
      <c r="B329" s="81"/>
      <c r="C329" s="83"/>
      <c r="D329" s="8"/>
      <c r="E329" s="8"/>
      <c r="F329" s="8"/>
      <c r="G329" s="8"/>
      <c r="H329" s="8"/>
      <c r="I329" s="8"/>
      <c r="J329" s="8"/>
      <c r="K329" s="8"/>
      <c r="L329" s="8"/>
      <c r="M329" s="8"/>
      <c r="N329" s="8"/>
      <c r="O329" s="8"/>
      <c r="P329" s="8"/>
      <c r="Q329" s="1"/>
    </row>
    <row r="330" spans="1:17" x14ac:dyDescent="0.35">
      <c r="A330" s="6"/>
      <c r="B330" s="81"/>
      <c r="C330" s="83"/>
      <c r="D330" s="8"/>
      <c r="E330" s="8"/>
      <c r="F330" s="8"/>
      <c r="G330" s="8"/>
      <c r="H330" s="8"/>
      <c r="I330" s="8"/>
      <c r="J330" s="8"/>
      <c r="K330" s="8"/>
      <c r="L330" s="8"/>
      <c r="M330" s="8"/>
      <c r="N330" s="8"/>
      <c r="O330" s="8"/>
      <c r="P330" s="8"/>
      <c r="Q330" s="1"/>
    </row>
    <row r="331" spans="1:17" x14ac:dyDescent="0.35">
      <c r="A331" s="6"/>
      <c r="B331" s="81"/>
      <c r="C331" s="83"/>
      <c r="D331" s="8"/>
      <c r="E331" s="8"/>
      <c r="F331" s="8"/>
      <c r="G331" s="8"/>
      <c r="H331" s="8"/>
      <c r="I331" s="8"/>
      <c r="J331" s="8"/>
      <c r="K331" s="8"/>
      <c r="L331" s="8"/>
      <c r="M331" s="8"/>
      <c r="N331" s="8"/>
      <c r="O331" s="8"/>
      <c r="P331" s="8"/>
      <c r="Q331" s="1"/>
    </row>
    <row r="332" spans="1:17" x14ac:dyDescent="0.35">
      <c r="A332" s="6"/>
      <c r="B332" s="81"/>
      <c r="C332" s="83"/>
      <c r="D332" s="8"/>
      <c r="E332" s="8"/>
      <c r="F332" s="8"/>
      <c r="G332" s="8"/>
      <c r="H332" s="8"/>
      <c r="I332" s="8"/>
      <c r="J332" s="8"/>
      <c r="K332" s="8"/>
      <c r="L332" s="8"/>
      <c r="M332" s="8"/>
      <c r="N332" s="8"/>
      <c r="O332" s="8"/>
      <c r="P332" s="8"/>
      <c r="Q332" s="1"/>
    </row>
    <row r="333" spans="1:17" x14ac:dyDescent="0.35">
      <c r="A333" s="6"/>
      <c r="B333" s="81"/>
      <c r="C333" s="83"/>
      <c r="D333" s="8"/>
      <c r="E333" s="8"/>
      <c r="F333" s="8"/>
      <c r="G333" s="8"/>
      <c r="H333" s="8"/>
      <c r="I333" s="8"/>
      <c r="J333" s="8"/>
      <c r="K333" s="8"/>
      <c r="L333" s="8"/>
      <c r="M333" s="8"/>
      <c r="N333" s="8"/>
      <c r="O333" s="8"/>
      <c r="P333" s="8"/>
      <c r="Q333" s="1"/>
    </row>
    <row r="334" spans="1:17" x14ac:dyDescent="0.35">
      <c r="A334" s="6"/>
      <c r="B334" s="81"/>
      <c r="C334" s="83"/>
      <c r="D334" s="8"/>
      <c r="E334" s="8"/>
      <c r="F334" s="8"/>
      <c r="G334" s="8"/>
      <c r="H334" s="8"/>
      <c r="I334" s="8"/>
      <c r="J334" s="8"/>
      <c r="K334" s="8"/>
      <c r="L334" s="8"/>
      <c r="M334" s="8"/>
      <c r="N334" s="8"/>
      <c r="O334" s="8"/>
      <c r="P334" s="8"/>
      <c r="Q334" s="1"/>
    </row>
    <row r="335" spans="1:17" x14ac:dyDescent="0.35">
      <c r="A335" s="6"/>
      <c r="B335" s="81"/>
      <c r="C335" s="83"/>
      <c r="D335" s="8"/>
      <c r="E335" s="8"/>
      <c r="F335" s="8"/>
      <c r="G335" s="8"/>
      <c r="H335" s="8"/>
      <c r="I335" s="8"/>
      <c r="J335" s="8"/>
      <c r="K335" s="8"/>
      <c r="L335" s="8"/>
      <c r="M335" s="8"/>
      <c r="N335" s="8"/>
      <c r="O335" s="8"/>
      <c r="P335" s="8"/>
      <c r="Q335" s="1"/>
    </row>
    <row r="336" spans="1:17" x14ac:dyDescent="0.35">
      <c r="A336" s="6"/>
      <c r="B336" s="81"/>
      <c r="C336" s="83"/>
      <c r="D336" s="8"/>
      <c r="E336" s="8"/>
      <c r="F336" s="8"/>
      <c r="G336" s="8"/>
      <c r="H336" s="8"/>
      <c r="I336" s="8"/>
      <c r="J336" s="8"/>
      <c r="K336" s="8"/>
      <c r="L336" s="8"/>
      <c r="M336" s="8"/>
      <c r="N336" s="8"/>
      <c r="O336" s="8"/>
      <c r="P336" s="8"/>
      <c r="Q336" s="1"/>
    </row>
    <row r="337" spans="1:17" x14ac:dyDescent="0.35">
      <c r="A337" s="6"/>
      <c r="B337" s="81"/>
      <c r="C337" s="83"/>
      <c r="D337" s="8"/>
      <c r="E337" s="8"/>
      <c r="F337" s="8"/>
      <c r="G337" s="8"/>
      <c r="H337" s="8"/>
      <c r="I337" s="8"/>
      <c r="J337" s="8"/>
      <c r="K337" s="8"/>
      <c r="L337" s="8"/>
      <c r="M337" s="8"/>
      <c r="N337" s="8"/>
      <c r="O337" s="8"/>
      <c r="P337" s="8"/>
      <c r="Q337" s="1"/>
    </row>
    <row r="338" spans="1:17" x14ac:dyDescent="0.35">
      <c r="A338" s="6"/>
      <c r="B338" s="81"/>
      <c r="C338" s="83"/>
      <c r="D338" s="8"/>
      <c r="E338" s="8"/>
      <c r="F338" s="8"/>
      <c r="G338" s="8"/>
      <c r="H338" s="8"/>
      <c r="I338" s="8"/>
      <c r="J338" s="8"/>
      <c r="K338" s="8"/>
      <c r="L338" s="8"/>
      <c r="M338" s="8"/>
      <c r="N338" s="8"/>
      <c r="O338" s="8"/>
      <c r="P338" s="8"/>
      <c r="Q338" s="1"/>
    </row>
    <row r="339" spans="1:17" x14ac:dyDescent="0.35">
      <c r="A339" s="6"/>
      <c r="B339" s="81"/>
      <c r="C339" s="83"/>
      <c r="D339" s="8"/>
      <c r="E339" s="8"/>
      <c r="F339" s="8"/>
      <c r="G339" s="8"/>
      <c r="H339" s="8"/>
      <c r="I339" s="8"/>
      <c r="J339" s="8"/>
      <c r="K339" s="8"/>
      <c r="L339" s="8"/>
      <c r="M339" s="8"/>
      <c r="N339" s="8"/>
      <c r="O339" s="8"/>
      <c r="P339" s="8"/>
      <c r="Q339" s="1"/>
    </row>
    <row r="340" spans="1:17" x14ac:dyDescent="0.35">
      <c r="A340" s="6"/>
      <c r="B340" s="81"/>
      <c r="C340" s="83"/>
      <c r="D340" s="8"/>
      <c r="E340" s="8"/>
      <c r="F340" s="8"/>
      <c r="G340" s="8"/>
      <c r="H340" s="8"/>
      <c r="I340" s="8"/>
      <c r="J340" s="8"/>
      <c r="K340" s="8"/>
      <c r="L340" s="8"/>
      <c r="M340" s="8"/>
      <c r="N340" s="8"/>
      <c r="O340" s="8"/>
      <c r="P340" s="8"/>
      <c r="Q340" s="1"/>
    </row>
    <row r="341" spans="1:17" x14ac:dyDescent="0.35">
      <c r="A341" s="6"/>
      <c r="B341" s="81"/>
      <c r="C341" s="83"/>
      <c r="D341" s="8"/>
      <c r="E341" s="8"/>
      <c r="F341" s="8"/>
      <c r="G341" s="8"/>
      <c r="H341" s="8"/>
      <c r="I341" s="8"/>
      <c r="J341" s="8"/>
      <c r="K341" s="8"/>
      <c r="L341" s="8"/>
      <c r="M341" s="8"/>
      <c r="N341" s="8"/>
      <c r="O341" s="8"/>
      <c r="P341" s="8"/>
      <c r="Q341" s="1"/>
    </row>
    <row r="342" spans="1:17" x14ac:dyDescent="0.35">
      <c r="A342" s="6"/>
      <c r="B342" s="81"/>
      <c r="C342" s="83"/>
      <c r="D342" s="8"/>
      <c r="E342" s="8"/>
      <c r="F342" s="8"/>
      <c r="G342" s="8"/>
      <c r="H342" s="8"/>
      <c r="I342" s="8"/>
      <c r="J342" s="8"/>
      <c r="K342" s="8"/>
      <c r="L342" s="8"/>
      <c r="M342" s="8"/>
      <c r="N342" s="8"/>
      <c r="O342" s="8"/>
      <c r="P342" s="8"/>
      <c r="Q342" s="1"/>
    </row>
    <row r="343" spans="1:17" x14ac:dyDescent="0.35">
      <c r="A343" s="6"/>
      <c r="B343" s="81"/>
      <c r="C343" s="83"/>
      <c r="D343" s="8"/>
      <c r="E343" s="8"/>
      <c r="F343" s="8"/>
      <c r="G343" s="8"/>
      <c r="H343" s="8"/>
      <c r="I343" s="8"/>
      <c r="J343" s="8"/>
      <c r="K343" s="8"/>
      <c r="L343" s="8"/>
      <c r="M343" s="8"/>
      <c r="N343" s="8"/>
      <c r="O343" s="8"/>
      <c r="P343" s="8"/>
      <c r="Q343" s="1"/>
    </row>
    <row r="344" spans="1:17" x14ac:dyDescent="0.35">
      <c r="A344" s="6"/>
      <c r="B344" s="81"/>
      <c r="C344" s="83"/>
      <c r="D344" s="8"/>
      <c r="E344" s="8"/>
      <c r="F344" s="8"/>
      <c r="G344" s="8"/>
      <c r="H344" s="8"/>
      <c r="I344" s="8"/>
      <c r="J344" s="8"/>
      <c r="K344" s="8"/>
      <c r="L344" s="8"/>
      <c r="M344" s="8"/>
      <c r="N344" s="8"/>
      <c r="O344" s="8"/>
      <c r="P344" s="8"/>
      <c r="Q344" s="1"/>
    </row>
    <row r="345" spans="1:17" x14ac:dyDescent="0.35">
      <c r="A345" s="6"/>
      <c r="B345" s="81"/>
      <c r="C345" s="83"/>
      <c r="D345" s="8"/>
      <c r="E345" s="8"/>
      <c r="F345" s="8"/>
      <c r="G345" s="8"/>
      <c r="H345" s="8"/>
      <c r="I345" s="8"/>
      <c r="J345" s="8"/>
      <c r="K345" s="8"/>
      <c r="L345" s="8"/>
      <c r="M345" s="8"/>
      <c r="N345" s="8"/>
      <c r="O345" s="8"/>
      <c r="P345" s="8"/>
      <c r="Q345" s="1"/>
    </row>
    <row r="346" spans="1:17" x14ac:dyDescent="0.35">
      <c r="A346" s="6"/>
      <c r="B346" s="81"/>
      <c r="C346" s="83"/>
      <c r="D346" s="8"/>
      <c r="E346" s="8"/>
      <c r="F346" s="8"/>
      <c r="G346" s="8"/>
      <c r="H346" s="8"/>
      <c r="I346" s="8"/>
      <c r="J346" s="8"/>
      <c r="K346" s="8"/>
      <c r="L346" s="8"/>
      <c r="M346" s="8"/>
      <c r="N346" s="8"/>
      <c r="O346" s="8"/>
      <c r="P346" s="8"/>
      <c r="Q346" s="1"/>
    </row>
    <row r="347" spans="1:17" x14ac:dyDescent="0.35">
      <c r="A347" s="6"/>
      <c r="B347" s="81"/>
      <c r="C347" s="83"/>
      <c r="D347" s="8"/>
      <c r="E347" s="8"/>
      <c r="F347" s="8"/>
      <c r="G347" s="8"/>
      <c r="H347" s="8"/>
      <c r="I347" s="8"/>
      <c r="J347" s="8"/>
      <c r="K347" s="8"/>
      <c r="L347" s="8"/>
      <c r="M347" s="8"/>
      <c r="N347" s="8"/>
      <c r="O347" s="8"/>
      <c r="P347" s="8"/>
      <c r="Q347" s="1"/>
    </row>
    <row r="348" spans="1:17" x14ac:dyDescent="0.35">
      <c r="A348" s="6"/>
      <c r="B348" s="81"/>
      <c r="C348" s="83"/>
      <c r="D348" s="8"/>
      <c r="E348" s="8"/>
      <c r="F348" s="8"/>
      <c r="G348" s="8"/>
      <c r="H348" s="8"/>
      <c r="I348" s="8"/>
      <c r="J348" s="8"/>
      <c r="K348" s="8"/>
      <c r="L348" s="8"/>
      <c r="M348" s="8"/>
      <c r="N348" s="8"/>
      <c r="O348" s="8"/>
      <c r="P348" s="8"/>
      <c r="Q348" s="1"/>
    </row>
    <row r="349" spans="1:17" x14ac:dyDescent="0.35">
      <c r="A349" s="6"/>
      <c r="B349" s="81"/>
      <c r="C349" s="83"/>
      <c r="D349" s="8"/>
      <c r="E349" s="8"/>
      <c r="F349" s="8"/>
      <c r="G349" s="8"/>
      <c r="H349" s="8"/>
      <c r="I349" s="8"/>
      <c r="J349" s="8"/>
      <c r="K349" s="8"/>
      <c r="L349" s="8"/>
      <c r="M349" s="8"/>
      <c r="N349" s="8"/>
      <c r="O349" s="8"/>
      <c r="P349" s="8"/>
      <c r="Q349" s="1"/>
    </row>
    <row r="350" spans="1:17" x14ac:dyDescent="0.35">
      <c r="A350" s="6"/>
      <c r="B350" s="81"/>
      <c r="C350" s="83"/>
      <c r="D350" s="8"/>
      <c r="E350" s="8"/>
      <c r="F350" s="8"/>
      <c r="G350" s="8"/>
      <c r="H350" s="8"/>
      <c r="I350" s="8"/>
      <c r="J350" s="8"/>
      <c r="K350" s="8"/>
      <c r="L350" s="8"/>
      <c r="M350" s="8"/>
      <c r="N350" s="8"/>
      <c r="O350" s="8"/>
      <c r="P350" s="8"/>
      <c r="Q350" s="1"/>
    </row>
    <row r="351" spans="1:17" x14ac:dyDescent="0.35">
      <c r="A351" s="6"/>
      <c r="B351" s="81"/>
      <c r="C351" s="83"/>
      <c r="D351" s="8"/>
      <c r="E351" s="8"/>
      <c r="F351" s="8"/>
      <c r="G351" s="8"/>
      <c r="H351" s="8"/>
      <c r="I351" s="8"/>
      <c r="J351" s="8"/>
      <c r="K351" s="8"/>
      <c r="L351" s="8"/>
      <c r="M351" s="8"/>
      <c r="N351" s="8"/>
      <c r="O351" s="8"/>
      <c r="P351" s="8"/>
      <c r="Q351" s="1"/>
    </row>
    <row r="352" spans="1:17" x14ac:dyDescent="0.35">
      <c r="A352" s="6"/>
      <c r="B352" s="81"/>
      <c r="C352" s="83"/>
      <c r="D352" s="8"/>
      <c r="E352" s="8"/>
      <c r="F352" s="8"/>
      <c r="G352" s="8"/>
      <c r="H352" s="8"/>
      <c r="I352" s="8"/>
      <c r="J352" s="8"/>
      <c r="K352" s="8"/>
      <c r="L352" s="8"/>
      <c r="M352" s="8"/>
      <c r="N352" s="8"/>
      <c r="O352" s="8"/>
      <c r="P352" s="8"/>
      <c r="Q352" s="1"/>
    </row>
    <row r="353" spans="1:17" x14ac:dyDescent="0.35">
      <c r="A353" s="6"/>
      <c r="B353" s="81"/>
      <c r="C353" s="83"/>
      <c r="D353" s="8"/>
      <c r="E353" s="8"/>
      <c r="F353" s="8"/>
      <c r="G353" s="8"/>
      <c r="H353" s="8"/>
      <c r="I353" s="8"/>
      <c r="J353" s="8"/>
      <c r="K353" s="8"/>
      <c r="L353" s="8"/>
      <c r="M353" s="8"/>
      <c r="N353" s="8"/>
      <c r="O353" s="8"/>
      <c r="P353" s="8"/>
      <c r="Q353" s="1"/>
    </row>
    <row r="354" spans="1:17" x14ac:dyDescent="0.35">
      <c r="A354" s="6"/>
      <c r="B354" s="81"/>
      <c r="C354" s="83"/>
      <c r="D354" s="8"/>
      <c r="E354" s="8"/>
      <c r="F354" s="8"/>
      <c r="G354" s="8"/>
      <c r="H354" s="8"/>
      <c r="I354" s="8"/>
      <c r="J354" s="8"/>
      <c r="K354" s="8"/>
      <c r="L354" s="8"/>
      <c r="M354" s="8"/>
      <c r="N354" s="8"/>
      <c r="O354" s="8"/>
      <c r="P354" s="8"/>
      <c r="Q354" s="1"/>
    </row>
    <row r="355" spans="1:17" x14ac:dyDescent="0.35">
      <c r="A355" s="6"/>
      <c r="B355" s="81"/>
      <c r="C355" s="83"/>
      <c r="D355" s="8"/>
      <c r="E355" s="8"/>
      <c r="F355" s="8"/>
      <c r="G355" s="8"/>
      <c r="H355" s="8"/>
      <c r="I355" s="8"/>
      <c r="J355" s="8"/>
      <c r="K355" s="8"/>
      <c r="L355" s="8"/>
      <c r="M355" s="8"/>
      <c r="N355" s="8"/>
      <c r="O355" s="8"/>
      <c r="P355" s="8"/>
      <c r="Q355" s="1"/>
    </row>
    <row r="356" spans="1:17" x14ac:dyDescent="0.35">
      <c r="A356" s="6"/>
      <c r="B356" s="81"/>
      <c r="C356" s="83"/>
      <c r="D356" s="8"/>
      <c r="E356" s="8"/>
      <c r="F356" s="8"/>
      <c r="G356" s="8"/>
      <c r="H356" s="8"/>
      <c r="I356" s="8"/>
      <c r="J356" s="8"/>
      <c r="K356" s="8"/>
      <c r="L356" s="8"/>
      <c r="M356" s="8"/>
      <c r="N356" s="8"/>
      <c r="O356" s="8"/>
      <c r="P356" s="8"/>
      <c r="Q356" s="1"/>
    </row>
    <row r="357" spans="1:17" x14ac:dyDescent="0.35">
      <c r="A357" s="6"/>
      <c r="B357" s="81"/>
      <c r="C357" s="83"/>
      <c r="D357" s="8"/>
      <c r="E357" s="8"/>
      <c r="F357" s="8"/>
      <c r="G357" s="8"/>
      <c r="H357" s="8"/>
      <c r="I357" s="8"/>
      <c r="J357" s="8"/>
      <c r="K357" s="8"/>
      <c r="L357" s="8"/>
      <c r="M357" s="8"/>
      <c r="N357" s="8"/>
      <c r="O357" s="8"/>
      <c r="P357" s="8"/>
      <c r="Q357" s="1"/>
    </row>
    <row r="358" spans="1:17" x14ac:dyDescent="0.35">
      <c r="A358" s="6"/>
      <c r="B358" s="81"/>
      <c r="C358" s="83"/>
      <c r="D358" s="8"/>
      <c r="E358" s="8"/>
      <c r="F358" s="8"/>
      <c r="G358" s="8"/>
      <c r="H358" s="8"/>
      <c r="I358" s="8"/>
      <c r="J358" s="8"/>
      <c r="K358" s="8"/>
      <c r="L358" s="8"/>
      <c r="M358" s="8"/>
      <c r="N358" s="8"/>
      <c r="O358" s="8"/>
      <c r="P358" s="8"/>
      <c r="Q358" s="1"/>
    </row>
    <row r="359" spans="1:17" x14ac:dyDescent="0.35">
      <c r="A359" s="6"/>
      <c r="B359" s="81"/>
      <c r="C359" s="83"/>
      <c r="D359" s="8"/>
      <c r="E359" s="8"/>
      <c r="F359" s="8"/>
      <c r="G359" s="8"/>
      <c r="H359" s="8"/>
      <c r="I359" s="8"/>
      <c r="J359" s="8"/>
      <c r="K359" s="8"/>
      <c r="L359" s="8"/>
      <c r="M359" s="8"/>
      <c r="N359" s="8"/>
      <c r="O359" s="8"/>
      <c r="P359" s="8"/>
      <c r="Q359" s="1"/>
    </row>
    <row r="360" spans="1:17" x14ac:dyDescent="0.35">
      <c r="A360" s="6"/>
      <c r="B360" s="81"/>
      <c r="C360" s="83"/>
      <c r="D360" s="8"/>
      <c r="E360" s="8"/>
      <c r="F360" s="8"/>
      <c r="G360" s="8"/>
      <c r="H360" s="8"/>
      <c r="I360" s="8"/>
      <c r="J360" s="8"/>
      <c r="K360" s="8"/>
      <c r="L360" s="8"/>
      <c r="M360" s="8"/>
      <c r="N360" s="8"/>
      <c r="O360" s="8"/>
      <c r="P360" s="8"/>
      <c r="Q360" s="1"/>
    </row>
    <row r="361" spans="1:17" x14ac:dyDescent="0.35">
      <c r="A361" s="6"/>
      <c r="B361" s="81"/>
      <c r="C361" s="83"/>
      <c r="D361" s="8"/>
      <c r="E361" s="8"/>
      <c r="F361" s="8"/>
      <c r="G361" s="8"/>
      <c r="H361" s="8"/>
      <c r="I361" s="8"/>
      <c r="J361" s="8"/>
      <c r="K361" s="8"/>
      <c r="L361" s="8"/>
      <c r="M361" s="8"/>
      <c r="N361" s="8"/>
      <c r="O361" s="8"/>
      <c r="P361" s="8"/>
      <c r="Q361" s="1"/>
    </row>
    <row r="362" spans="1:17" x14ac:dyDescent="0.35">
      <c r="A362" s="6"/>
      <c r="B362" s="81"/>
      <c r="C362" s="83"/>
      <c r="D362" s="8"/>
      <c r="E362" s="8"/>
      <c r="F362" s="8"/>
      <c r="G362" s="8"/>
      <c r="H362" s="8"/>
      <c r="I362" s="8"/>
      <c r="J362" s="8"/>
      <c r="K362" s="8"/>
      <c r="L362" s="8"/>
      <c r="M362" s="8"/>
      <c r="N362" s="8"/>
      <c r="O362" s="8"/>
      <c r="P362" s="8"/>
      <c r="Q362" s="1"/>
    </row>
    <row r="363" spans="1:17" x14ac:dyDescent="0.35">
      <c r="A363" s="6"/>
      <c r="B363" s="81"/>
      <c r="C363" s="83"/>
      <c r="D363" s="8"/>
      <c r="E363" s="8"/>
      <c r="F363" s="8"/>
      <c r="G363" s="8"/>
      <c r="H363" s="8"/>
      <c r="I363" s="8"/>
      <c r="J363" s="8"/>
      <c r="K363" s="8"/>
      <c r="L363" s="8"/>
      <c r="M363" s="8"/>
      <c r="N363" s="8"/>
      <c r="O363" s="8"/>
      <c r="P363" s="8"/>
      <c r="Q363" s="1"/>
    </row>
    <row r="364" spans="1:17" x14ac:dyDescent="0.35">
      <c r="A364" s="6"/>
      <c r="B364" s="81"/>
      <c r="C364" s="83"/>
      <c r="D364" s="8"/>
      <c r="E364" s="8"/>
      <c r="F364" s="8"/>
      <c r="G364" s="8"/>
      <c r="H364" s="8"/>
      <c r="I364" s="8"/>
      <c r="J364" s="8"/>
      <c r="K364" s="8"/>
      <c r="L364" s="8"/>
      <c r="M364" s="8"/>
      <c r="N364" s="8"/>
      <c r="O364" s="8"/>
      <c r="P364" s="8"/>
      <c r="Q364" s="1"/>
    </row>
    <row r="365" spans="1:17" x14ac:dyDescent="0.35">
      <c r="A365" s="6"/>
      <c r="B365" s="81"/>
      <c r="C365" s="83"/>
      <c r="D365" s="8"/>
      <c r="E365" s="8"/>
      <c r="F365" s="8"/>
      <c r="G365" s="8"/>
      <c r="H365" s="8"/>
      <c r="I365" s="8"/>
      <c r="J365" s="8"/>
      <c r="K365" s="8"/>
      <c r="L365" s="8"/>
      <c r="M365" s="8"/>
      <c r="N365" s="8"/>
      <c r="O365" s="8"/>
      <c r="P365" s="8"/>
      <c r="Q365" s="1"/>
    </row>
    <row r="366" spans="1:17" x14ac:dyDescent="0.35">
      <c r="A366" s="6"/>
      <c r="B366" s="81"/>
      <c r="C366" s="83"/>
      <c r="D366" s="8"/>
      <c r="E366" s="8"/>
      <c r="F366" s="8"/>
      <c r="G366" s="8"/>
      <c r="H366" s="8"/>
      <c r="I366" s="8"/>
      <c r="J366" s="8"/>
      <c r="K366" s="8"/>
      <c r="L366" s="8"/>
      <c r="M366" s="8"/>
      <c r="N366" s="8"/>
      <c r="O366" s="8"/>
      <c r="P366" s="8"/>
      <c r="Q366" s="1"/>
    </row>
    <row r="367" spans="1:17" x14ac:dyDescent="0.35">
      <c r="A367" s="6"/>
      <c r="B367" s="81"/>
      <c r="C367" s="83"/>
      <c r="D367" s="8"/>
      <c r="E367" s="8"/>
      <c r="F367" s="8"/>
      <c r="G367" s="8"/>
      <c r="H367" s="8"/>
      <c r="I367" s="8"/>
      <c r="J367" s="8"/>
      <c r="K367" s="8"/>
      <c r="L367" s="8"/>
      <c r="M367" s="8"/>
      <c r="N367" s="8"/>
      <c r="O367" s="8"/>
      <c r="P367" s="8"/>
      <c r="Q367" s="1"/>
    </row>
    <row r="368" spans="1:17" x14ac:dyDescent="0.35">
      <c r="A368" s="6"/>
      <c r="B368" s="81"/>
      <c r="C368" s="83"/>
      <c r="D368" s="8"/>
      <c r="E368" s="8"/>
      <c r="F368" s="8"/>
      <c r="G368" s="8"/>
      <c r="H368" s="8"/>
      <c r="I368" s="8"/>
      <c r="J368" s="8"/>
      <c r="K368" s="8"/>
      <c r="L368" s="8"/>
      <c r="M368" s="8"/>
      <c r="N368" s="8"/>
      <c r="O368" s="8"/>
      <c r="P368" s="8"/>
      <c r="Q368" s="1"/>
    </row>
    <row r="369" spans="1:17" x14ac:dyDescent="0.35">
      <c r="A369" s="6"/>
      <c r="B369" s="81"/>
      <c r="C369" s="83"/>
      <c r="D369" s="8"/>
      <c r="E369" s="8"/>
      <c r="F369" s="8"/>
      <c r="G369" s="8"/>
      <c r="H369" s="8"/>
      <c r="I369" s="8"/>
      <c r="J369" s="8"/>
      <c r="K369" s="8"/>
      <c r="L369" s="8"/>
      <c r="M369" s="8"/>
      <c r="N369" s="8"/>
      <c r="O369" s="8"/>
      <c r="P369" s="8"/>
      <c r="Q369" s="1"/>
    </row>
    <row r="370" spans="1:17" x14ac:dyDescent="0.35">
      <c r="A370" s="6"/>
      <c r="B370" s="81"/>
      <c r="C370" s="83"/>
      <c r="D370" s="8"/>
      <c r="E370" s="8"/>
      <c r="F370" s="8"/>
      <c r="G370" s="8"/>
      <c r="H370" s="8"/>
      <c r="I370" s="8"/>
      <c r="J370" s="8"/>
      <c r="K370" s="8"/>
      <c r="L370" s="8"/>
      <c r="M370" s="8"/>
      <c r="N370" s="8"/>
      <c r="O370" s="8"/>
      <c r="P370" s="8"/>
      <c r="Q370" s="1"/>
    </row>
    <row r="371" spans="1:17" x14ac:dyDescent="0.35">
      <c r="A371" s="6"/>
      <c r="B371" s="81"/>
      <c r="C371" s="83"/>
      <c r="D371" s="8"/>
      <c r="E371" s="8"/>
      <c r="F371" s="8"/>
      <c r="G371" s="8"/>
      <c r="H371" s="8"/>
      <c r="I371" s="8"/>
      <c r="J371" s="8"/>
      <c r="K371" s="8"/>
      <c r="L371" s="8"/>
      <c r="M371" s="8"/>
      <c r="N371" s="8"/>
      <c r="O371" s="8"/>
      <c r="P371" s="8"/>
      <c r="Q371" s="1"/>
    </row>
    <row r="372" spans="1:17" x14ac:dyDescent="0.35">
      <c r="A372" s="6"/>
      <c r="B372" s="81"/>
      <c r="C372" s="83"/>
      <c r="D372" s="8"/>
      <c r="E372" s="8"/>
      <c r="F372" s="8"/>
      <c r="G372" s="8"/>
      <c r="H372" s="8"/>
      <c r="I372" s="8"/>
      <c r="J372" s="8"/>
      <c r="K372" s="8"/>
      <c r="L372" s="8"/>
      <c r="M372" s="8"/>
      <c r="N372" s="8"/>
      <c r="O372" s="8"/>
      <c r="P372" s="8"/>
      <c r="Q372" s="1"/>
    </row>
    <row r="373" spans="1:17" x14ac:dyDescent="0.35">
      <c r="A373" s="6"/>
      <c r="B373" s="81"/>
      <c r="C373" s="83"/>
      <c r="D373" s="8"/>
      <c r="E373" s="8"/>
      <c r="F373" s="8"/>
      <c r="G373" s="8"/>
      <c r="H373" s="8"/>
      <c r="I373" s="8"/>
      <c r="J373" s="8"/>
      <c r="K373" s="8"/>
      <c r="L373" s="8"/>
      <c r="M373" s="8"/>
      <c r="N373" s="8"/>
      <c r="O373" s="8"/>
      <c r="P373" s="8"/>
      <c r="Q373" s="1"/>
    </row>
    <row r="374" spans="1:17" x14ac:dyDescent="0.35">
      <c r="A374" s="6"/>
      <c r="B374" s="81"/>
      <c r="C374" s="83"/>
      <c r="D374" s="8"/>
      <c r="E374" s="8"/>
      <c r="F374" s="8"/>
      <c r="G374" s="8"/>
      <c r="H374" s="8"/>
      <c r="I374" s="8"/>
      <c r="J374" s="8"/>
      <c r="K374" s="8"/>
      <c r="L374" s="8"/>
      <c r="M374" s="8"/>
      <c r="N374" s="8"/>
      <c r="O374" s="8"/>
      <c r="P374" s="8"/>
      <c r="Q374" s="1"/>
    </row>
    <row r="375" spans="1:17" x14ac:dyDescent="0.35">
      <c r="A375" s="6"/>
      <c r="B375" s="81"/>
      <c r="C375" s="83"/>
      <c r="D375" s="8"/>
      <c r="E375" s="8"/>
      <c r="F375" s="8"/>
      <c r="G375" s="8"/>
      <c r="H375" s="8"/>
      <c r="I375" s="8"/>
      <c r="J375" s="8"/>
      <c r="K375" s="8"/>
      <c r="L375" s="8"/>
      <c r="M375" s="8"/>
      <c r="N375" s="8"/>
      <c r="O375" s="8"/>
      <c r="P375" s="8"/>
      <c r="Q375" s="1"/>
    </row>
    <row r="376" spans="1:17" x14ac:dyDescent="0.35">
      <c r="A376" s="6"/>
      <c r="B376" s="81"/>
      <c r="C376" s="83"/>
      <c r="D376" s="8"/>
      <c r="E376" s="8"/>
      <c r="F376" s="8"/>
      <c r="G376" s="8"/>
      <c r="H376" s="8"/>
      <c r="I376" s="8"/>
      <c r="J376" s="8"/>
      <c r="K376" s="8"/>
      <c r="L376" s="8"/>
      <c r="M376" s="8"/>
      <c r="N376" s="8"/>
      <c r="O376" s="8"/>
      <c r="P376" s="8"/>
      <c r="Q376" s="1"/>
    </row>
    <row r="377" spans="1:17" x14ac:dyDescent="0.35">
      <c r="A377" s="6"/>
      <c r="B377" s="81"/>
      <c r="C377" s="83"/>
      <c r="D377" s="8"/>
      <c r="E377" s="8"/>
      <c r="F377" s="8"/>
      <c r="G377" s="8"/>
      <c r="H377" s="8"/>
      <c r="I377" s="8"/>
      <c r="J377" s="8"/>
      <c r="K377" s="8"/>
      <c r="L377" s="8"/>
      <c r="M377" s="8"/>
      <c r="N377" s="8"/>
      <c r="O377" s="8"/>
      <c r="P377" s="8"/>
      <c r="Q377" s="1"/>
    </row>
    <row r="378" spans="1:17" x14ac:dyDescent="0.35">
      <c r="A378" s="6"/>
      <c r="B378" s="81"/>
      <c r="C378" s="83"/>
      <c r="D378" s="8"/>
      <c r="E378" s="8"/>
      <c r="F378" s="8"/>
      <c r="G378" s="8"/>
      <c r="H378" s="8"/>
      <c r="I378" s="8"/>
      <c r="J378" s="8"/>
      <c r="K378" s="8"/>
      <c r="L378" s="8"/>
      <c r="M378" s="8"/>
      <c r="N378" s="8"/>
      <c r="O378" s="8"/>
      <c r="P378" s="8"/>
      <c r="Q378" s="1"/>
    </row>
    <row r="379" spans="1:17" x14ac:dyDescent="0.35">
      <c r="A379" s="6"/>
      <c r="B379" s="81"/>
      <c r="C379" s="83"/>
      <c r="D379" s="8"/>
      <c r="E379" s="8"/>
      <c r="F379" s="8"/>
      <c r="G379" s="8"/>
      <c r="H379" s="8"/>
      <c r="I379" s="8"/>
      <c r="J379" s="8"/>
      <c r="K379" s="8"/>
      <c r="L379" s="8"/>
      <c r="M379" s="8"/>
      <c r="N379" s="8"/>
      <c r="O379" s="8"/>
      <c r="P379" s="8"/>
      <c r="Q379" s="1"/>
    </row>
    <row r="380" spans="1:17" x14ac:dyDescent="0.35">
      <c r="A380" s="6"/>
      <c r="B380" s="81"/>
      <c r="C380" s="83"/>
      <c r="D380" s="8"/>
      <c r="E380" s="8"/>
      <c r="F380" s="8"/>
      <c r="G380" s="8"/>
      <c r="H380" s="8"/>
      <c r="I380" s="8"/>
      <c r="J380" s="8"/>
      <c r="K380" s="8"/>
      <c r="L380" s="8"/>
      <c r="M380" s="8"/>
      <c r="N380" s="8"/>
      <c r="O380" s="8"/>
      <c r="P380" s="8"/>
      <c r="Q380" s="1"/>
    </row>
    <row r="381" spans="1:17" x14ac:dyDescent="0.35">
      <c r="A381" s="6"/>
      <c r="B381" s="81"/>
      <c r="C381" s="83"/>
      <c r="D381" s="8"/>
      <c r="E381" s="8"/>
      <c r="F381" s="8"/>
      <c r="G381" s="8"/>
      <c r="H381" s="8"/>
      <c r="I381" s="8"/>
      <c r="J381" s="8"/>
      <c r="K381" s="8"/>
      <c r="L381" s="8"/>
      <c r="M381" s="8"/>
      <c r="N381" s="8"/>
      <c r="O381" s="8"/>
      <c r="P381" s="8"/>
      <c r="Q381" s="1"/>
    </row>
    <row r="382" spans="1:17" x14ac:dyDescent="0.35">
      <c r="A382" s="6"/>
      <c r="B382" s="81"/>
      <c r="C382" s="83"/>
      <c r="D382" s="8"/>
      <c r="E382" s="8"/>
      <c r="F382" s="8"/>
      <c r="G382" s="8"/>
      <c r="H382" s="8"/>
      <c r="I382" s="8"/>
      <c r="J382" s="8"/>
      <c r="K382" s="8"/>
      <c r="L382" s="8"/>
      <c r="M382" s="8"/>
      <c r="N382" s="8"/>
      <c r="O382" s="8"/>
      <c r="P382" s="8"/>
      <c r="Q382" s="1"/>
    </row>
    <row r="383" spans="1:17" x14ac:dyDescent="0.35">
      <c r="A383" s="6"/>
      <c r="B383" s="81"/>
      <c r="C383" s="83"/>
      <c r="D383" s="8"/>
      <c r="E383" s="8"/>
      <c r="F383" s="8"/>
      <c r="G383" s="8"/>
      <c r="H383" s="8"/>
      <c r="I383" s="8"/>
      <c r="J383" s="8"/>
      <c r="K383" s="8"/>
      <c r="L383" s="8"/>
      <c r="M383" s="8"/>
      <c r="N383" s="8"/>
      <c r="O383" s="8"/>
      <c r="P383" s="8"/>
      <c r="Q383" s="1"/>
    </row>
    <row r="384" spans="1:17" x14ac:dyDescent="0.35">
      <c r="A384" s="6"/>
      <c r="B384" s="81"/>
      <c r="C384" s="83"/>
      <c r="D384" s="8"/>
      <c r="E384" s="8"/>
      <c r="F384" s="8"/>
      <c r="G384" s="8"/>
      <c r="H384" s="8"/>
      <c r="I384" s="8"/>
      <c r="J384" s="8"/>
      <c r="K384" s="8"/>
      <c r="L384" s="8"/>
      <c r="M384" s="8"/>
      <c r="N384" s="8"/>
      <c r="O384" s="8"/>
      <c r="P384" s="8"/>
      <c r="Q384" s="1"/>
    </row>
    <row r="385" spans="1:17" x14ac:dyDescent="0.35">
      <c r="A385" s="6"/>
      <c r="B385" s="81"/>
      <c r="C385" s="83"/>
      <c r="D385" s="8"/>
      <c r="E385" s="8"/>
      <c r="F385" s="8"/>
      <c r="G385" s="8"/>
      <c r="H385" s="8"/>
      <c r="I385" s="8"/>
      <c r="J385" s="8"/>
      <c r="K385" s="8"/>
      <c r="L385" s="8"/>
      <c r="M385" s="8"/>
      <c r="N385" s="8"/>
      <c r="O385" s="8"/>
      <c r="P385" s="8"/>
      <c r="Q385" s="1"/>
    </row>
    <row r="386" spans="1:17" x14ac:dyDescent="0.35">
      <c r="A386" s="6"/>
      <c r="B386" s="81"/>
      <c r="C386" s="83"/>
      <c r="D386" s="8"/>
      <c r="E386" s="8"/>
      <c r="F386" s="8"/>
      <c r="G386" s="8"/>
      <c r="H386" s="8"/>
      <c r="I386" s="8"/>
      <c r="J386" s="8"/>
      <c r="K386" s="8"/>
      <c r="L386" s="8"/>
      <c r="M386" s="8"/>
      <c r="N386" s="8"/>
      <c r="O386" s="8"/>
      <c r="P386" s="8"/>
      <c r="Q386" s="1"/>
    </row>
    <row r="387" spans="1:17" x14ac:dyDescent="0.35">
      <c r="A387" s="6"/>
      <c r="B387" s="81"/>
      <c r="C387" s="83"/>
      <c r="D387" s="8"/>
      <c r="E387" s="8"/>
      <c r="F387" s="8"/>
      <c r="G387" s="8"/>
      <c r="H387" s="8"/>
      <c r="I387" s="8"/>
      <c r="J387" s="8"/>
      <c r="K387" s="8"/>
      <c r="L387" s="8"/>
      <c r="M387" s="8"/>
      <c r="N387" s="8"/>
      <c r="O387" s="8"/>
      <c r="P387" s="8"/>
      <c r="Q387" s="1"/>
    </row>
    <row r="388" spans="1:17" x14ac:dyDescent="0.35">
      <c r="A388" s="6"/>
      <c r="B388" s="81"/>
      <c r="C388" s="83"/>
      <c r="D388" s="8"/>
      <c r="E388" s="8"/>
      <c r="F388" s="8"/>
      <c r="G388" s="8"/>
      <c r="H388" s="8"/>
      <c r="I388" s="8"/>
      <c r="J388" s="8"/>
      <c r="K388" s="8"/>
      <c r="L388" s="8"/>
      <c r="M388" s="8"/>
      <c r="N388" s="8"/>
      <c r="O388" s="8"/>
      <c r="P388" s="8"/>
      <c r="Q388" s="1"/>
    </row>
    <row r="389" spans="1:17" x14ac:dyDescent="0.35">
      <c r="A389" s="6"/>
      <c r="B389" s="81"/>
      <c r="C389" s="83"/>
      <c r="D389" s="8"/>
      <c r="E389" s="8"/>
      <c r="F389" s="8"/>
      <c r="G389" s="8"/>
      <c r="H389" s="8"/>
      <c r="I389" s="8"/>
      <c r="J389" s="8"/>
      <c r="K389" s="8"/>
      <c r="L389" s="8"/>
      <c r="M389" s="8"/>
      <c r="N389" s="8"/>
      <c r="O389" s="8"/>
      <c r="P389" s="8"/>
      <c r="Q389" s="1"/>
    </row>
    <row r="390" spans="1:17" x14ac:dyDescent="0.35">
      <c r="A390" s="6"/>
      <c r="B390" s="81"/>
      <c r="C390" s="83"/>
      <c r="D390" s="8"/>
      <c r="E390" s="8"/>
      <c r="F390" s="8"/>
      <c r="G390" s="8"/>
      <c r="H390" s="8"/>
      <c r="I390" s="8"/>
      <c r="J390" s="8"/>
      <c r="K390" s="8"/>
      <c r="L390" s="8"/>
      <c r="M390" s="8"/>
      <c r="N390" s="8"/>
      <c r="O390" s="8"/>
      <c r="P390" s="8"/>
      <c r="Q390" s="1"/>
    </row>
    <row r="391" spans="1:17" x14ac:dyDescent="0.35">
      <c r="A391" s="6"/>
      <c r="B391" s="81"/>
      <c r="C391" s="83"/>
      <c r="D391" s="8"/>
      <c r="E391" s="8"/>
      <c r="F391" s="8"/>
      <c r="G391" s="8"/>
      <c r="H391" s="8"/>
      <c r="I391" s="8"/>
      <c r="J391" s="8"/>
      <c r="K391" s="8"/>
      <c r="L391" s="8"/>
      <c r="M391" s="8"/>
      <c r="N391" s="8"/>
      <c r="O391" s="8"/>
      <c r="P391" s="8"/>
      <c r="Q391" s="1"/>
    </row>
    <row r="392" spans="1:17" x14ac:dyDescent="0.35">
      <c r="A392" s="6"/>
      <c r="B392" s="81"/>
      <c r="C392" s="83"/>
      <c r="D392" s="8"/>
      <c r="E392" s="8"/>
      <c r="F392" s="8"/>
      <c r="G392" s="8"/>
      <c r="H392" s="8"/>
      <c r="I392" s="8"/>
      <c r="J392" s="8"/>
      <c r="K392" s="8"/>
      <c r="L392" s="8"/>
      <c r="M392" s="8"/>
      <c r="N392" s="8"/>
      <c r="O392" s="8"/>
      <c r="P392" s="8"/>
      <c r="Q392" s="1"/>
    </row>
    <row r="393" spans="1:17" x14ac:dyDescent="0.35">
      <c r="A393" s="6"/>
      <c r="B393" s="81"/>
      <c r="C393" s="83"/>
      <c r="D393" s="8"/>
      <c r="E393" s="8"/>
      <c r="F393" s="8"/>
      <c r="G393" s="8"/>
      <c r="H393" s="8"/>
      <c r="I393" s="8"/>
      <c r="J393" s="8"/>
      <c r="K393" s="8"/>
      <c r="L393" s="8"/>
      <c r="M393" s="8"/>
      <c r="N393" s="8"/>
      <c r="O393" s="8"/>
      <c r="P393" s="8"/>
      <c r="Q393" s="1"/>
    </row>
    <row r="394" spans="1:17" x14ac:dyDescent="0.35">
      <c r="A394" s="6"/>
      <c r="B394" s="81"/>
      <c r="C394" s="83"/>
      <c r="D394" s="8"/>
      <c r="E394" s="8"/>
      <c r="F394" s="8"/>
      <c r="G394" s="8"/>
      <c r="H394" s="8"/>
      <c r="I394" s="8"/>
      <c r="J394" s="8"/>
      <c r="K394" s="8"/>
      <c r="L394" s="8"/>
      <c r="M394" s="8"/>
      <c r="N394" s="8"/>
      <c r="O394" s="8"/>
      <c r="P394" s="8"/>
      <c r="Q394" s="1"/>
    </row>
    <row r="395" spans="1:17" x14ac:dyDescent="0.35">
      <c r="A395" s="6"/>
      <c r="B395" s="81"/>
      <c r="C395" s="83"/>
      <c r="D395" s="8"/>
      <c r="E395" s="8"/>
      <c r="F395" s="8"/>
      <c r="G395" s="8"/>
      <c r="H395" s="8"/>
      <c r="I395" s="8"/>
      <c r="J395" s="8"/>
      <c r="K395" s="8"/>
      <c r="L395" s="8"/>
      <c r="M395" s="8"/>
      <c r="N395" s="8"/>
      <c r="O395" s="8"/>
      <c r="P395" s="8"/>
      <c r="Q395" s="1"/>
    </row>
    <row r="396" spans="1:17" x14ac:dyDescent="0.35">
      <c r="A396" s="6"/>
      <c r="B396" s="81"/>
      <c r="C396" s="83"/>
      <c r="D396" s="8"/>
      <c r="E396" s="8"/>
      <c r="F396" s="8"/>
      <c r="G396" s="8"/>
      <c r="H396" s="8"/>
      <c r="I396" s="8"/>
      <c r="J396" s="8"/>
      <c r="K396" s="8"/>
      <c r="L396" s="8"/>
      <c r="M396" s="8"/>
      <c r="N396" s="8"/>
      <c r="O396" s="8"/>
      <c r="P396" s="8"/>
      <c r="Q396" s="1"/>
    </row>
    <row r="397" spans="1:17" x14ac:dyDescent="0.35">
      <c r="A397" s="6"/>
      <c r="B397" s="81"/>
      <c r="C397" s="83"/>
      <c r="D397" s="8"/>
      <c r="E397" s="8"/>
      <c r="F397" s="8"/>
      <c r="G397" s="8"/>
      <c r="H397" s="8"/>
      <c r="I397" s="8"/>
      <c r="J397" s="8"/>
      <c r="K397" s="8"/>
      <c r="L397" s="8"/>
      <c r="M397" s="8"/>
      <c r="N397" s="8"/>
      <c r="O397" s="8"/>
      <c r="P397" s="8"/>
      <c r="Q397" s="1"/>
    </row>
    <row r="398" spans="1:17" x14ac:dyDescent="0.35">
      <c r="A398" s="6"/>
      <c r="B398" s="81"/>
      <c r="C398" s="83"/>
      <c r="D398" s="8"/>
      <c r="E398" s="8"/>
      <c r="F398" s="8"/>
      <c r="G398" s="8"/>
      <c r="H398" s="8"/>
      <c r="I398" s="8"/>
      <c r="J398" s="8"/>
      <c r="K398" s="8"/>
      <c r="L398" s="8"/>
      <c r="M398" s="8"/>
      <c r="N398" s="8"/>
      <c r="O398" s="8"/>
      <c r="P398" s="8"/>
      <c r="Q398" s="1"/>
    </row>
    <row r="399" spans="1:17" x14ac:dyDescent="0.35">
      <c r="A399" s="6"/>
      <c r="B399" s="81"/>
      <c r="C399" s="83"/>
      <c r="D399" s="8"/>
      <c r="E399" s="8"/>
      <c r="F399" s="8"/>
      <c r="G399" s="8"/>
      <c r="H399" s="8"/>
      <c r="I399" s="8"/>
      <c r="J399" s="8"/>
      <c r="K399" s="8"/>
      <c r="L399" s="8"/>
      <c r="M399" s="8"/>
      <c r="N399" s="8"/>
      <c r="O399" s="8"/>
      <c r="P399" s="8"/>
      <c r="Q399" s="1"/>
    </row>
    <row r="400" spans="1:17" x14ac:dyDescent="0.35">
      <c r="A400" s="6"/>
      <c r="B400" s="81"/>
      <c r="C400" s="83"/>
      <c r="D400" s="8"/>
      <c r="E400" s="8"/>
      <c r="F400" s="8"/>
      <c r="G400" s="8"/>
      <c r="H400" s="8"/>
      <c r="I400" s="8"/>
      <c r="J400" s="8"/>
      <c r="K400" s="8"/>
      <c r="L400" s="8"/>
      <c r="M400" s="8"/>
      <c r="N400" s="8"/>
      <c r="O400" s="8"/>
      <c r="P400" s="8"/>
      <c r="Q400" s="1"/>
    </row>
    <row r="401" spans="1:17" x14ac:dyDescent="0.35">
      <c r="A401" s="6"/>
      <c r="B401" s="81"/>
      <c r="C401" s="83"/>
      <c r="D401" s="8"/>
      <c r="E401" s="8"/>
      <c r="F401" s="8"/>
      <c r="G401" s="8"/>
      <c r="H401" s="8"/>
      <c r="I401" s="8"/>
      <c r="J401" s="8"/>
      <c r="K401" s="8"/>
      <c r="L401" s="8"/>
      <c r="M401" s="8"/>
      <c r="N401" s="8"/>
      <c r="O401" s="8"/>
      <c r="P401" s="8"/>
      <c r="Q401" s="1"/>
    </row>
    <row r="402" spans="1:17" x14ac:dyDescent="0.35">
      <c r="A402" s="6"/>
      <c r="B402" s="81"/>
      <c r="C402" s="83"/>
      <c r="D402" s="8"/>
      <c r="E402" s="8"/>
      <c r="F402" s="8"/>
      <c r="G402" s="8"/>
      <c r="H402" s="8"/>
      <c r="I402" s="8"/>
      <c r="J402" s="8"/>
      <c r="K402" s="8"/>
      <c r="L402" s="8"/>
      <c r="M402" s="8"/>
      <c r="N402" s="8"/>
      <c r="O402" s="8"/>
      <c r="P402" s="8"/>
      <c r="Q402" s="1"/>
    </row>
    <row r="403" spans="1:17" x14ac:dyDescent="0.35">
      <c r="A403" s="6"/>
      <c r="B403" s="81"/>
      <c r="C403" s="83"/>
      <c r="D403" s="8"/>
      <c r="E403" s="8"/>
      <c r="F403" s="8"/>
      <c r="G403" s="8"/>
      <c r="H403" s="8"/>
      <c r="I403" s="8"/>
      <c r="J403" s="8"/>
      <c r="K403" s="8"/>
      <c r="L403" s="8"/>
      <c r="M403" s="8"/>
      <c r="N403" s="8"/>
      <c r="O403" s="8"/>
      <c r="P403" s="8"/>
      <c r="Q403" s="1"/>
    </row>
    <row r="404" spans="1:17" x14ac:dyDescent="0.35">
      <c r="A404" s="6"/>
      <c r="B404" s="81"/>
      <c r="C404" s="83"/>
      <c r="D404" s="8"/>
      <c r="E404" s="8"/>
      <c r="F404" s="8"/>
      <c r="G404" s="8"/>
      <c r="H404" s="8"/>
      <c r="I404" s="8"/>
      <c r="J404" s="8"/>
      <c r="K404" s="8"/>
      <c r="L404" s="8"/>
      <c r="M404" s="8"/>
      <c r="N404" s="8"/>
      <c r="O404" s="8"/>
      <c r="P404" s="8"/>
      <c r="Q404" s="1"/>
    </row>
    <row r="405" spans="1:17" x14ac:dyDescent="0.35">
      <c r="A405" s="6"/>
      <c r="B405" s="81"/>
      <c r="C405" s="83"/>
      <c r="D405" s="8"/>
      <c r="E405" s="8"/>
      <c r="F405" s="8"/>
      <c r="G405" s="8"/>
      <c r="H405" s="8"/>
      <c r="I405" s="8"/>
      <c r="J405" s="8"/>
      <c r="K405" s="8"/>
      <c r="L405" s="8"/>
      <c r="M405" s="8"/>
      <c r="N405" s="8"/>
      <c r="O405" s="8"/>
      <c r="P405" s="8"/>
      <c r="Q405" s="1"/>
    </row>
    <row r="406" spans="1:17" x14ac:dyDescent="0.35">
      <c r="A406" s="6"/>
      <c r="B406" s="81"/>
      <c r="C406" s="83"/>
      <c r="D406" s="8"/>
      <c r="E406" s="8"/>
      <c r="F406" s="8"/>
      <c r="G406" s="8"/>
      <c r="H406" s="8"/>
      <c r="I406" s="8"/>
      <c r="J406" s="8"/>
      <c r="K406" s="8"/>
      <c r="L406" s="8"/>
      <c r="M406" s="8"/>
      <c r="N406" s="8"/>
      <c r="O406" s="8"/>
      <c r="P406" s="8"/>
      <c r="Q406" s="1"/>
    </row>
    <row r="407" spans="1:17" x14ac:dyDescent="0.35">
      <c r="A407" s="6"/>
      <c r="B407" s="81"/>
      <c r="C407" s="83"/>
      <c r="D407" s="8"/>
      <c r="E407" s="8"/>
      <c r="F407" s="8"/>
      <c r="G407" s="8"/>
      <c r="H407" s="8"/>
      <c r="I407" s="8"/>
      <c r="J407" s="8"/>
      <c r="K407" s="8"/>
      <c r="L407" s="8"/>
      <c r="M407" s="8"/>
      <c r="N407" s="8"/>
      <c r="O407" s="8"/>
      <c r="P407" s="8"/>
      <c r="Q407" s="1"/>
    </row>
    <row r="408" spans="1:17" x14ac:dyDescent="0.35">
      <c r="A408" s="6"/>
      <c r="B408" s="81"/>
      <c r="C408" s="83"/>
      <c r="D408" s="8"/>
      <c r="E408" s="8"/>
      <c r="F408" s="8"/>
      <c r="G408" s="8"/>
      <c r="H408" s="8"/>
      <c r="I408" s="8"/>
      <c r="J408" s="8"/>
      <c r="K408" s="8"/>
      <c r="L408" s="8"/>
      <c r="M408" s="8"/>
      <c r="N408" s="8"/>
      <c r="O408" s="8"/>
      <c r="P408" s="8"/>
      <c r="Q408" s="1"/>
    </row>
    <row r="409" spans="1:17" x14ac:dyDescent="0.35">
      <c r="A409" s="6"/>
      <c r="B409" s="81"/>
      <c r="C409" s="83"/>
      <c r="D409" s="8"/>
      <c r="E409" s="8"/>
      <c r="F409" s="8"/>
      <c r="G409" s="8"/>
      <c r="H409" s="8"/>
      <c r="I409" s="8"/>
      <c r="J409" s="8"/>
      <c r="K409" s="8"/>
      <c r="L409" s="8"/>
      <c r="M409" s="8"/>
      <c r="N409" s="8"/>
      <c r="O409" s="8"/>
      <c r="P409" s="8"/>
      <c r="Q409" s="1"/>
    </row>
    <row r="410" spans="1:17" x14ac:dyDescent="0.35">
      <c r="A410" s="6"/>
      <c r="B410" s="81"/>
      <c r="C410" s="83"/>
      <c r="D410" s="8"/>
      <c r="E410" s="8"/>
      <c r="F410" s="8"/>
      <c r="G410" s="8"/>
      <c r="H410" s="8"/>
      <c r="I410" s="8"/>
      <c r="J410" s="8"/>
      <c r="K410" s="8"/>
      <c r="L410" s="8"/>
      <c r="M410" s="8"/>
      <c r="N410" s="8"/>
      <c r="O410" s="8"/>
      <c r="P410" s="8"/>
      <c r="Q410" s="1"/>
    </row>
    <row r="411" spans="1:17" x14ac:dyDescent="0.35">
      <c r="A411" s="6"/>
      <c r="B411" s="81"/>
      <c r="C411" s="83"/>
      <c r="D411" s="8"/>
      <c r="E411" s="8"/>
      <c r="F411" s="8"/>
      <c r="G411" s="8"/>
      <c r="H411" s="8"/>
      <c r="I411" s="8"/>
      <c r="J411" s="8"/>
      <c r="K411" s="8"/>
      <c r="L411" s="8"/>
      <c r="M411" s="8"/>
      <c r="N411" s="8"/>
      <c r="O411" s="8"/>
      <c r="P411" s="8"/>
      <c r="Q411" s="1"/>
    </row>
    <row r="412" spans="1:17" x14ac:dyDescent="0.35">
      <c r="A412" s="6"/>
      <c r="B412" s="81"/>
      <c r="C412" s="83"/>
      <c r="D412" s="8"/>
      <c r="E412" s="8"/>
      <c r="F412" s="8"/>
      <c r="G412" s="8"/>
      <c r="H412" s="8"/>
      <c r="I412" s="8"/>
      <c r="J412" s="8"/>
      <c r="K412" s="8"/>
      <c r="L412" s="8"/>
      <c r="M412" s="8"/>
      <c r="N412" s="8"/>
      <c r="O412" s="8"/>
      <c r="P412" s="8"/>
      <c r="Q412" s="1"/>
    </row>
    <row r="413" spans="1:17" x14ac:dyDescent="0.35">
      <c r="A413" s="6"/>
      <c r="B413" s="81"/>
      <c r="C413" s="83"/>
      <c r="D413" s="8"/>
      <c r="E413" s="8"/>
      <c r="F413" s="8"/>
      <c r="G413" s="8"/>
      <c r="H413" s="8"/>
      <c r="I413" s="8"/>
      <c r="J413" s="8"/>
      <c r="K413" s="8"/>
      <c r="L413" s="8"/>
      <c r="M413" s="8"/>
      <c r="N413" s="8"/>
      <c r="O413" s="8"/>
      <c r="P413" s="8"/>
      <c r="Q413" s="1"/>
    </row>
    <row r="414" spans="1:17" x14ac:dyDescent="0.35">
      <c r="A414" s="6"/>
      <c r="B414" s="81"/>
      <c r="C414" s="83"/>
      <c r="D414" s="8"/>
      <c r="E414" s="8"/>
      <c r="F414" s="8"/>
      <c r="G414" s="8"/>
      <c r="H414" s="8"/>
      <c r="I414" s="8"/>
      <c r="J414" s="8"/>
      <c r="K414" s="8"/>
      <c r="L414" s="8"/>
      <c r="M414" s="8"/>
      <c r="N414" s="8"/>
      <c r="O414" s="8"/>
      <c r="P414" s="8"/>
      <c r="Q414" s="1"/>
    </row>
    <row r="415" spans="1:17" x14ac:dyDescent="0.35">
      <c r="A415" s="6"/>
      <c r="B415" s="81"/>
      <c r="C415" s="83"/>
      <c r="D415" s="8"/>
      <c r="E415" s="8"/>
      <c r="F415" s="8"/>
      <c r="G415" s="8"/>
      <c r="H415" s="8"/>
      <c r="I415" s="8"/>
      <c r="J415" s="8"/>
      <c r="K415" s="8"/>
      <c r="L415" s="8"/>
      <c r="M415" s="8"/>
      <c r="N415" s="8"/>
      <c r="O415" s="8"/>
      <c r="P415" s="8"/>
      <c r="Q415" s="1"/>
    </row>
    <row r="416" spans="1:17" x14ac:dyDescent="0.35">
      <c r="A416" s="6"/>
      <c r="B416" s="81"/>
      <c r="C416" s="83"/>
      <c r="D416" s="8"/>
      <c r="E416" s="8"/>
      <c r="F416" s="8"/>
      <c r="G416" s="8"/>
      <c r="H416" s="8"/>
      <c r="I416" s="8"/>
      <c r="J416" s="8"/>
      <c r="K416" s="8"/>
      <c r="L416" s="8"/>
      <c r="M416" s="8"/>
      <c r="N416" s="8"/>
      <c r="O416" s="8"/>
      <c r="P416" s="8"/>
      <c r="Q416" s="1"/>
    </row>
    <row r="417" spans="1:17" x14ac:dyDescent="0.35">
      <c r="A417" s="6"/>
      <c r="B417" s="81"/>
      <c r="C417" s="83"/>
      <c r="D417" s="8"/>
      <c r="E417" s="8"/>
      <c r="F417" s="8"/>
      <c r="G417" s="8"/>
      <c r="H417" s="8"/>
      <c r="I417" s="8"/>
      <c r="J417" s="8"/>
      <c r="K417" s="8"/>
      <c r="L417" s="8"/>
      <c r="M417" s="8"/>
      <c r="N417" s="8"/>
      <c r="O417" s="8"/>
      <c r="P417" s="8"/>
      <c r="Q417" s="1"/>
    </row>
    <row r="418" spans="1:17" x14ac:dyDescent="0.35">
      <c r="A418" s="6"/>
      <c r="B418" s="81"/>
      <c r="C418" s="83"/>
      <c r="D418" s="8"/>
      <c r="E418" s="8"/>
      <c r="F418" s="8"/>
      <c r="G418" s="8"/>
      <c r="H418" s="8"/>
      <c r="I418" s="8"/>
      <c r="J418" s="8"/>
      <c r="K418" s="8"/>
      <c r="L418" s="8"/>
      <c r="M418" s="8"/>
      <c r="N418" s="8"/>
      <c r="O418" s="8"/>
      <c r="P418" s="8"/>
      <c r="Q418" s="1"/>
    </row>
    <row r="419" spans="1:17" x14ac:dyDescent="0.35">
      <c r="A419" s="6"/>
      <c r="B419" s="81"/>
      <c r="C419" s="83"/>
      <c r="D419" s="8"/>
      <c r="E419" s="8"/>
      <c r="F419" s="8"/>
      <c r="G419" s="8"/>
      <c r="H419" s="8"/>
      <c r="I419" s="8"/>
      <c r="J419" s="8"/>
      <c r="K419" s="8"/>
      <c r="L419" s="8"/>
      <c r="M419" s="8"/>
      <c r="N419" s="8"/>
      <c r="O419" s="8"/>
      <c r="P419" s="8"/>
      <c r="Q419" s="1"/>
    </row>
    <row r="420" spans="1:17" x14ac:dyDescent="0.35">
      <c r="A420" s="6"/>
      <c r="B420" s="81"/>
      <c r="C420" s="83"/>
      <c r="D420" s="8"/>
      <c r="E420" s="8"/>
      <c r="F420" s="8"/>
      <c r="G420" s="8"/>
      <c r="H420" s="8"/>
      <c r="I420" s="8"/>
      <c r="J420" s="8"/>
      <c r="K420" s="8"/>
      <c r="L420" s="8"/>
      <c r="M420" s="8"/>
      <c r="N420" s="8"/>
      <c r="O420" s="8"/>
      <c r="P420" s="8"/>
      <c r="Q420" s="1"/>
    </row>
    <row r="421" spans="1:17" x14ac:dyDescent="0.35">
      <c r="A421" s="6"/>
      <c r="B421" s="81"/>
      <c r="C421" s="83"/>
      <c r="D421" s="8"/>
      <c r="E421" s="8"/>
      <c r="F421" s="8"/>
      <c r="G421" s="8"/>
      <c r="H421" s="8"/>
      <c r="I421" s="8"/>
      <c r="J421" s="8"/>
      <c r="K421" s="8"/>
      <c r="L421" s="8"/>
      <c r="M421" s="8"/>
      <c r="N421" s="8"/>
      <c r="O421" s="8"/>
      <c r="P421" s="8"/>
      <c r="Q421" s="1"/>
    </row>
    <row r="422" spans="1:17" x14ac:dyDescent="0.35">
      <c r="A422" s="6"/>
      <c r="B422" s="81"/>
      <c r="C422" s="83"/>
      <c r="D422" s="8"/>
      <c r="E422" s="8"/>
      <c r="F422" s="8"/>
      <c r="G422" s="8"/>
      <c r="H422" s="8"/>
      <c r="I422" s="8"/>
      <c r="J422" s="8"/>
      <c r="K422" s="8"/>
      <c r="L422" s="8"/>
      <c r="M422" s="8"/>
      <c r="N422" s="8"/>
      <c r="O422" s="8"/>
      <c r="P422" s="8"/>
      <c r="Q422" s="1"/>
    </row>
    <row r="423" spans="1:17" x14ac:dyDescent="0.35">
      <c r="A423" s="6"/>
      <c r="B423" s="81"/>
      <c r="C423" s="83"/>
      <c r="D423" s="8"/>
      <c r="E423" s="8"/>
      <c r="F423" s="8"/>
      <c r="G423" s="8"/>
      <c r="H423" s="8"/>
      <c r="I423" s="8"/>
      <c r="J423" s="8"/>
      <c r="K423" s="8"/>
      <c r="L423" s="8"/>
      <c r="M423" s="8"/>
      <c r="N423" s="8"/>
      <c r="O423" s="8"/>
      <c r="P423" s="8"/>
      <c r="Q423" s="1"/>
    </row>
    <row r="424" spans="1:17" x14ac:dyDescent="0.35">
      <c r="A424" s="6"/>
      <c r="B424" s="81"/>
      <c r="C424" s="83"/>
      <c r="D424" s="8"/>
      <c r="E424" s="8"/>
      <c r="F424" s="8"/>
      <c r="G424" s="8"/>
      <c r="H424" s="8"/>
      <c r="I424" s="8"/>
      <c r="J424" s="8"/>
      <c r="K424" s="8"/>
      <c r="L424" s="8"/>
      <c r="M424" s="8"/>
      <c r="N424" s="8"/>
      <c r="O424" s="8"/>
      <c r="P424" s="8"/>
      <c r="Q424" s="1"/>
    </row>
    <row r="425" spans="1:17" x14ac:dyDescent="0.35">
      <c r="A425" s="6"/>
      <c r="B425" s="81"/>
      <c r="C425" s="83"/>
      <c r="D425" s="8"/>
      <c r="E425" s="8"/>
      <c r="F425" s="8"/>
      <c r="G425" s="8"/>
      <c r="H425" s="8"/>
      <c r="I425" s="8"/>
      <c r="J425" s="8"/>
      <c r="K425" s="8"/>
      <c r="L425" s="8"/>
      <c r="M425" s="8"/>
      <c r="N425" s="8"/>
      <c r="O425" s="8"/>
      <c r="P425" s="8"/>
      <c r="Q425" s="1"/>
    </row>
    <row r="426" spans="1:17" x14ac:dyDescent="0.35">
      <c r="A426" s="6"/>
      <c r="B426" s="81"/>
      <c r="C426" s="83"/>
      <c r="D426" s="8"/>
      <c r="E426" s="8"/>
      <c r="F426" s="8"/>
      <c r="G426" s="8"/>
      <c r="H426" s="8"/>
      <c r="I426" s="8"/>
      <c r="J426" s="8"/>
      <c r="K426" s="8"/>
      <c r="L426" s="8"/>
      <c r="M426" s="8"/>
      <c r="N426" s="8"/>
      <c r="O426" s="8"/>
      <c r="P426" s="8"/>
      <c r="Q426" s="1"/>
    </row>
    <row r="427" spans="1:17" x14ac:dyDescent="0.35">
      <c r="A427" s="6"/>
      <c r="B427" s="81"/>
      <c r="C427" s="83"/>
      <c r="D427" s="8"/>
      <c r="E427" s="8"/>
      <c r="F427" s="8"/>
      <c r="G427" s="8"/>
      <c r="H427" s="8"/>
      <c r="I427" s="8"/>
      <c r="J427" s="8"/>
      <c r="K427" s="8"/>
      <c r="L427" s="8"/>
      <c r="M427" s="8"/>
      <c r="N427" s="8"/>
      <c r="O427" s="8"/>
      <c r="P427" s="8"/>
      <c r="Q427" s="1"/>
    </row>
    <row r="428" spans="1:17" x14ac:dyDescent="0.35">
      <c r="A428" s="6"/>
      <c r="B428" s="81"/>
      <c r="C428" s="83"/>
      <c r="D428" s="8"/>
      <c r="E428" s="8"/>
      <c r="F428" s="8"/>
      <c r="G428" s="8"/>
      <c r="H428" s="8"/>
      <c r="I428" s="8"/>
      <c r="J428" s="8"/>
      <c r="K428" s="8"/>
      <c r="L428" s="8"/>
      <c r="M428" s="8"/>
      <c r="N428" s="8"/>
      <c r="O428" s="8"/>
      <c r="P428" s="8"/>
      <c r="Q428" s="1"/>
    </row>
    <row r="429" spans="1:17" x14ac:dyDescent="0.35">
      <c r="A429" s="6"/>
      <c r="B429" s="81"/>
      <c r="C429" s="83"/>
      <c r="D429" s="8"/>
      <c r="E429" s="8"/>
      <c r="F429" s="8"/>
      <c r="G429" s="8"/>
      <c r="H429" s="8"/>
      <c r="I429" s="8"/>
      <c r="J429" s="8"/>
      <c r="K429" s="8"/>
      <c r="L429" s="8"/>
      <c r="M429" s="8"/>
      <c r="N429" s="8"/>
      <c r="O429" s="8"/>
      <c r="P429" s="8"/>
      <c r="Q429" s="1"/>
    </row>
    <row r="430" spans="1:17" x14ac:dyDescent="0.35">
      <c r="A430" s="6"/>
      <c r="B430" s="81"/>
      <c r="C430" s="83"/>
      <c r="D430" s="8"/>
      <c r="E430" s="8"/>
      <c r="F430" s="8"/>
      <c r="G430" s="8"/>
      <c r="H430" s="8"/>
      <c r="I430" s="8"/>
      <c r="J430" s="8"/>
      <c r="K430" s="8"/>
      <c r="L430" s="8"/>
      <c r="M430" s="8"/>
      <c r="N430" s="8"/>
      <c r="O430" s="8"/>
      <c r="P430" s="8"/>
      <c r="Q430" s="1"/>
    </row>
    <row r="431" spans="1:17" x14ac:dyDescent="0.35">
      <c r="A431" s="6"/>
      <c r="B431" s="81"/>
      <c r="C431" s="83"/>
      <c r="D431" s="8"/>
      <c r="E431" s="8"/>
      <c r="F431" s="8"/>
      <c r="G431" s="8"/>
      <c r="H431" s="8"/>
      <c r="I431" s="8"/>
      <c r="J431" s="8"/>
      <c r="K431" s="8"/>
      <c r="L431" s="8"/>
      <c r="M431" s="8"/>
      <c r="N431" s="8"/>
      <c r="O431" s="8"/>
      <c r="P431" s="8"/>
      <c r="Q431" s="1"/>
    </row>
    <row r="432" spans="1:17" x14ac:dyDescent="0.35">
      <c r="A432" s="6"/>
      <c r="B432" s="81"/>
      <c r="C432" s="83"/>
      <c r="D432" s="8"/>
      <c r="E432" s="8"/>
      <c r="F432" s="8"/>
      <c r="G432" s="8"/>
      <c r="H432" s="8"/>
      <c r="I432" s="8"/>
      <c r="J432" s="8"/>
      <c r="K432" s="8"/>
      <c r="L432" s="8"/>
      <c r="M432" s="8"/>
      <c r="N432" s="8"/>
      <c r="O432" s="8"/>
      <c r="P432" s="8"/>
      <c r="Q432" s="1"/>
    </row>
    <row r="433" spans="1:17" x14ac:dyDescent="0.35">
      <c r="A433" s="6"/>
      <c r="B433" s="81"/>
      <c r="C433" s="83"/>
      <c r="D433" s="8"/>
      <c r="E433" s="8"/>
      <c r="F433" s="8"/>
      <c r="G433" s="8"/>
      <c r="H433" s="8"/>
      <c r="I433" s="8"/>
      <c r="J433" s="8"/>
      <c r="K433" s="8"/>
      <c r="L433" s="8"/>
      <c r="M433" s="8"/>
      <c r="N433" s="8"/>
      <c r="O433" s="8"/>
      <c r="P433" s="8"/>
      <c r="Q433" s="1"/>
    </row>
    <row r="434" spans="1:17" x14ac:dyDescent="0.35">
      <c r="A434" s="6"/>
      <c r="B434" s="81"/>
      <c r="C434" s="83"/>
      <c r="D434" s="8"/>
      <c r="E434" s="8"/>
      <c r="F434" s="8"/>
      <c r="G434" s="8"/>
      <c r="H434" s="8"/>
      <c r="I434" s="8"/>
      <c r="J434" s="8"/>
      <c r="K434" s="8"/>
      <c r="L434" s="8"/>
      <c r="M434" s="8"/>
      <c r="N434" s="8"/>
      <c r="O434" s="8"/>
      <c r="P434" s="8"/>
      <c r="Q434" s="1"/>
    </row>
    <row r="435" spans="1:17" x14ac:dyDescent="0.35">
      <c r="A435" s="6"/>
      <c r="B435" s="81"/>
      <c r="C435" s="83"/>
      <c r="D435" s="8"/>
      <c r="E435" s="8"/>
      <c r="F435" s="8"/>
      <c r="G435" s="8"/>
      <c r="H435" s="8"/>
      <c r="I435" s="8"/>
      <c r="J435" s="8"/>
      <c r="K435" s="8"/>
      <c r="L435" s="8"/>
      <c r="M435" s="8"/>
      <c r="N435" s="8"/>
      <c r="O435" s="8"/>
      <c r="P435" s="8"/>
      <c r="Q435" s="1"/>
    </row>
    <row r="436" spans="1:17" x14ac:dyDescent="0.35">
      <c r="A436" s="6"/>
      <c r="B436" s="81"/>
      <c r="C436" s="83"/>
      <c r="D436" s="8"/>
      <c r="E436" s="8"/>
      <c r="F436" s="8"/>
      <c r="G436" s="8"/>
      <c r="H436" s="8"/>
      <c r="I436" s="8"/>
      <c r="J436" s="8"/>
      <c r="K436" s="8"/>
      <c r="L436" s="8"/>
      <c r="M436" s="8"/>
      <c r="N436" s="8"/>
      <c r="O436" s="8"/>
      <c r="P436" s="8"/>
      <c r="Q436" s="1"/>
    </row>
    <row r="437" spans="1:17" x14ac:dyDescent="0.35">
      <c r="A437" s="6"/>
      <c r="B437" s="81"/>
      <c r="C437" s="83"/>
      <c r="D437" s="8"/>
      <c r="E437" s="8"/>
      <c r="F437" s="8"/>
      <c r="G437" s="8"/>
      <c r="H437" s="8"/>
      <c r="I437" s="8"/>
      <c r="J437" s="8"/>
      <c r="K437" s="8"/>
      <c r="L437" s="8"/>
      <c r="M437" s="8"/>
      <c r="N437" s="8"/>
      <c r="O437" s="8"/>
      <c r="P437" s="8"/>
      <c r="Q437" s="1"/>
    </row>
    <row r="438" spans="1:17" x14ac:dyDescent="0.35">
      <c r="A438" s="6"/>
      <c r="B438" s="81"/>
      <c r="C438" s="83"/>
      <c r="D438" s="8"/>
      <c r="E438" s="8"/>
      <c r="F438" s="8"/>
      <c r="G438" s="8"/>
      <c r="H438" s="8"/>
      <c r="I438" s="8"/>
      <c r="J438" s="8"/>
      <c r="K438" s="8"/>
      <c r="L438" s="8"/>
      <c r="M438" s="8"/>
      <c r="N438" s="8"/>
      <c r="O438" s="8"/>
      <c r="P438" s="8"/>
      <c r="Q438" s="1"/>
    </row>
    <row r="439" spans="1:17" x14ac:dyDescent="0.35">
      <c r="A439" s="6"/>
      <c r="B439" s="81"/>
      <c r="C439" s="83"/>
      <c r="D439" s="8"/>
      <c r="E439" s="8"/>
      <c r="F439" s="8"/>
      <c r="G439" s="8"/>
      <c r="H439" s="8"/>
      <c r="I439" s="8"/>
      <c r="J439" s="8"/>
      <c r="K439" s="8"/>
      <c r="L439" s="8"/>
      <c r="M439" s="8"/>
      <c r="N439" s="8"/>
      <c r="O439" s="8"/>
      <c r="P439" s="8"/>
      <c r="Q439" s="1"/>
    </row>
    <row r="440" spans="1:17" x14ac:dyDescent="0.35">
      <c r="A440" s="6"/>
      <c r="B440" s="81"/>
      <c r="C440" s="83"/>
      <c r="D440" s="8"/>
      <c r="E440" s="8"/>
      <c r="F440" s="8"/>
      <c r="G440" s="8"/>
      <c r="H440" s="8"/>
      <c r="I440" s="8"/>
      <c r="J440" s="8"/>
      <c r="K440" s="8"/>
      <c r="L440" s="8"/>
      <c r="M440" s="8"/>
      <c r="N440" s="8"/>
      <c r="O440" s="8"/>
      <c r="P440" s="8"/>
      <c r="Q440" s="1"/>
    </row>
    <row r="441" spans="1:17" x14ac:dyDescent="0.35">
      <c r="A441" s="6"/>
      <c r="B441" s="81"/>
      <c r="C441" s="83"/>
      <c r="D441" s="8"/>
      <c r="E441" s="8"/>
      <c r="F441" s="8"/>
      <c r="G441" s="8"/>
      <c r="H441" s="8"/>
      <c r="I441" s="8"/>
      <c r="J441" s="8"/>
      <c r="K441" s="8"/>
      <c r="L441" s="8"/>
      <c r="M441" s="8"/>
      <c r="N441" s="8"/>
      <c r="O441" s="8"/>
      <c r="P441" s="8"/>
      <c r="Q441" s="1"/>
    </row>
    <row r="442" spans="1:17" x14ac:dyDescent="0.35">
      <c r="A442" s="6"/>
      <c r="B442" s="81"/>
      <c r="C442" s="83"/>
      <c r="D442" s="8"/>
      <c r="E442" s="8"/>
      <c r="F442" s="8"/>
      <c r="G442" s="8"/>
      <c r="H442" s="8"/>
      <c r="I442" s="8"/>
      <c r="J442" s="8"/>
      <c r="K442" s="8"/>
      <c r="L442" s="8"/>
      <c r="M442" s="8"/>
      <c r="N442" s="8"/>
      <c r="O442" s="8"/>
      <c r="P442" s="8"/>
      <c r="Q442" s="1"/>
    </row>
    <row r="443" spans="1:17" x14ac:dyDescent="0.35">
      <c r="A443" s="6"/>
      <c r="B443" s="81"/>
      <c r="C443" s="83"/>
      <c r="D443" s="8"/>
      <c r="E443" s="8"/>
      <c r="F443" s="8"/>
      <c r="G443" s="8"/>
      <c r="H443" s="8"/>
      <c r="I443" s="8"/>
      <c r="J443" s="8"/>
      <c r="K443" s="8"/>
      <c r="L443" s="8"/>
      <c r="M443" s="8"/>
      <c r="N443" s="8"/>
      <c r="O443" s="8"/>
      <c r="P443" s="8"/>
      <c r="Q443" s="1"/>
    </row>
    <row r="444" spans="1:17" x14ac:dyDescent="0.35">
      <c r="A444" s="6"/>
      <c r="B444" s="81"/>
      <c r="C444" s="83"/>
      <c r="D444" s="8"/>
      <c r="E444" s="8"/>
      <c r="F444" s="8"/>
      <c r="G444" s="8"/>
      <c r="H444" s="8"/>
      <c r="I444" s="8"/>
      <c r="J444" s="8"/>
      <c r="K444" s="8"/>
      <c r="L444" s="8"/>
      <c r="M444" s="8"/>
      <c r="N444" s="8"/>
      <c r="O444" s="8"/>
      <c r="P444" s="8"/>
      <c r="Q444" s="1"/>
    </row>
    <row r="445" spans="1:17" x14ac:dyDescent="0.35">
      <c r="A445" s="6"/>
      <c r="B445" s="81"/>
      <c r="C445" s="83"/>
      <c r="D445" s="8"/>
      <c r="E445" s="8"/>
      <c r="F445" s="8"/>
      <c r="G445" s="8"/>
      <c r="H445" s="8"/>
      <c r="I445" s="8"/>
      <c r="J445" s="8"/>
      <c r="K445" s="8"/>
      <c r="L445" s="8"/>
      <c r="M445" s="8"/>
      <c r="N445" s="8"/>
      <c r="O445" s="8"/>
      <c r="P445" s="8"/>
      <c r="Q445" s="1"/>
    </row>
    <row r="446" spans="1:17" x14ac:dyDescent="0.35">
      <c r="A446" s="6"/>
      <c r="B446" s="81"/>
      <c r="C446" s="83"/>
      <c r="D446" s="8"/>
      <c r="E446" s="8"/>
      <c r="F446" s="8"/>
      <c r="G446" s="8"/>
      <c r="H446" s="8"/>
      <c r="I446" s="8"/>
      <c r="J446" s="8"/>
      <c r="K446" s="8"/>
      <c r="L446" s="8"/>
      <c r="M446" s="8"/>
      <c r="N446" s="8"/>
      <c r="O446" s="8"/>
      <c r="P446" s="8"/>
      <c r="Q446" s="1"/>
    </row>
    <row r="447" spans="1:17" x14ac:dyDescent="0.35">
      <c r="A447" s="6"/>
      <c r="B447" s="81"/>
      <c r="C447" s="83"/>
      <c r="D447" s="8"/>
      <c r="E447" s="8"/>
      <c r="F447" s="8"/>
      <c r="G447" s="8"/>
      <c r="H447" s="8"/>
      <c r="I447" s="8"/>
      <c r="J447" s="8"/>
      <c r="K447" s="8"/>
      <c r="L447" s="8"/>
      <c r="M447" s="8"/>
      <c r="N447" s="8"/>
      <c r="O447" s="8"/>
      <c r="P447" s="8"/>
      <c r="Q447" s="1"/>
    </row>
    <row r="448" spans="1:17" x14ac:dyDescent="0.35">
      <c r="A448" s="6"/>
      <c r="B448" s="81"/>
      <c r="C448" s="83"/>
      <c r="D448" s="8"/>
      <c r="E448" s="8"/>
      <c r="F448" s="8"/>
      <c r="G448" s="8"/>
      <c r="H448" s="8"/>
      <c r="I448" s="8"/>
      <c r="J448" s="8"/>
      <c r="K448" s="8"/>
      <c r="L448" s="8"/>
      <c r="M448" s="8"/>
      <c r="N448" s="8"/>
      <c r="O448" s="8"/>
      <c r="P448" s="8"/>
      <c r="Q448" s="1"/>
    </row>
    <row r="449" spans="1:17" x14ac:dyDescent="0.35">
      <c r="A449" s="6"/>
      <c r="B449" s="81"/>
      <c r="C449" s="83"/>
      <c r="D449" s="8"/>
      <c r="E449" s="8"/>
      <c r="F449" s="8"/>
      <c r="G449" s="8"/>
      <c r="H449" s="8"/>
      <c r="I449" s="8"/>
      <c r="J449" s="8"/>
      <c r="K449" s="8"/>
      <c r="L449" s="8"/>
      <c r="M449" s="8"/>
      <c r="N449" s="8"/>
      <c r="O449" s="8"/>
      <c r="P449" s="8"/>
      <c r="Q449" s="1"/>
    </row>
    <row r="450" spans="1:17" x14ac:dyDescent="0.35">
      <c r="A450" s="6"/>
      <c r="B450" s="81"/>
      <c r="C450" s="83"/>
      <c r="D450" s="8"/>
      <c r="E450" s="8"/>
      <c r="F450" s="8"/>
      <c r="G450" s="8"/>
      <c r="H450" s="8"/>
      <c r="I450" s="8"/>
      <c r="J450" s="8"/>
      <c r="K450" s="8"/>
      <c r="L450" s="8"/>
      <c r="M450" s="8"/>
      <c r="N450" s="8"/>
      <c r="O450" s="8"/>
      <c r="P450" s="8"/>
      <c r="Q450" s="1"/>
    </row>
    <row r="451" spans="1:17" x14ac:dyDescent="0.35">
      <c r="A451" s="6"/>
      <c r="B451" s="81"/>
      <c r="C451" s="83"/>
      <c r="D451" s="8"/>
      <c r="E451" s="8"/>
      <c r="F451" s="8"/>
      <c r="G451" s="8"/>
      <c r="H451" s="8"/>
      <c r="I451" s="8"/>
      <c r="J451" s="8"/>
      <c r="K451" s="8"/>
      <c r="L451" s="8"/>
      <c r="M451" s="8"/>
      <c r="N451" s="8"/>
      <c r="O451" s="8"/>
      <c r="P451" s="8"/>
      <c r="Q451" s="1"/>
    </row>
    <row r="452" spans="1:17" x14ac:dyDescent="0.35">
      <c r="A452" s="6"/>
      <c r="B452" s="81"/>
      <c r="C452" s="83"/>
      <c r="D452" s="8"/>
      <c r="E452" s="8"/>
      <c r="F452" s="8"/>
      <c r="G452" s="8"/>
      <c r="H452" s="8"/>
      <c r="I452" s="8"/>
      <c r="J452" s="8"/>
      <c r="K452" s="8"/>
      <c r="L452" s="8"/>
      <c r="M452" s="8"/>
      <c r="N452" s="8"/>
      <c r="O452" s="8"/>
      <c r="P452" s="8"/>
      <c r="Q452" s="1"/>
    </row>
    <row r="453" spans="1:17" x14ac:dyDescent="0.35">
      <c r="A453" s="6"/>
      <c r="B453" s="81"/>
      <c r="C453" s="83"/>
      <c r="D453" s="8"/>
      <c r="E453" s="8"/>
      <c r="F453" s="8"/>
      <c r="G453" s="8"/>
      <c r="H453" s="8"/>
      <c r="I453" s="8"/>
      <c r="J453" s="8"/>
      <c r="K453" s="8"/>
      <c r="L453" s="8"/>
      <c r="M453" s="8"/>
      <c r="N453" s="8"/>
      <c r="O453" s="8"/>
      <c r="P453" s="8"/>
      <c r="Q453" s="1"/>
    </row>
    <row r="454" spans="1:17" x14ac:dyDescent="0.35">
      <c r="A454" s="6"/>
      <c r="B454" s="81"/>
      <c r="C454" s="83"/>
      <c r="D454" s="8"/>
      <c r="E454" s="8"/>
      <c r="F454" s="8"/>
      <c r="G454" s="8"/>
      <c r="H454" s="8"/>
      <c r="I454" s="8"/>
      <c r="J454" s="8"/>
      <c r="K454" s="8"/>
      <c r="L454" s="8"/>
      <c r="M454" s="8"/>
      <c r="N454" s="8"/>
      <c r="O454" s="8"/>
      <c r="P454" s="8"/>
      <c r="Q454" s="1"/>
    </row>
    <row r="455" spans="1:17" x14ac:dyDescent="0.35">
      <c r="A455" s="6"/>
      <c r="B455" s="81"/>
      <c r="C455" s="83"/>
      <c r="D455" s="8"/>
      <c r="E455" s="8"/>
      <c r="F455" s="8"/>
      <c r="G455" s="8"/>
      <c r="H455" s="8"/>
      <c r="I455" s="8"/>
      <c r="J455" s="8"/>
      <c r="K455" s="8"/>
      <c r="L455" s="8"/>
      <c r="M455" s="8"/>
      <c r="N455" s="8"/>
      <c r="O455" s="8"/>
      <c r="P455" s="8"/>
      <c r="Q455" s="1"/>
    </row>
    <row r="456" spans="1:17" x14ac:dyDescent="0.35">
      <c r="A456" s="6"/>
      <c r="B456" s="81"/>
      <c r="C456" s="83"/>
      <c r="D456" s="8"/>
      <c r="E456" s="8"/>
      <c r="F456" s="8"/>
      <c r="G456" s="8"/>
      <c r="H456" s="8"/>
      <c r="I456" s="8"/>
      <c r="J456" s="8"/>
      <c r="K456" s="8"/>
      <c r="L456" s="8"/>
      <c r="M456" s="8"/>
      <c r="N456" s="8"/>
      <c r="O456" s="8"/>
      <c r="P456" s="8"/>
      <c r="Q456" s="1"/>
    </row>
    <row r="457" spans="1:17" x14ac:dyDescent="0.35">
      <c r="A457" s="6"/>
      <c r="B457" s="81"/>
      <c r="C457" s="83"/>
      <c r="D457" s="8"/>
      <c r="E457" s="8"/>
      <c r="F457" s="8"/>
      <c r="G457" s="8"/>
      <c r="H457" s="8"/>
      <c r="I457" s="8"/>
      <c r="J457" s="8"/>
      <c r="K457" s="8"/>
      <c r="L457" s="8"/>
      <c r="M457" s="8"/>
      <c r="N457" s="8"/>
      <c r="O457" s="8"/>
      <c r="P457" s="8"/>
      <c r="Q457" s="1"/>
    </row>
    <row r="458" spans="1:17" x14ac:dyDescent="0.35">
      <c r="A458" s="6"/>
      <c r="B458" s="81"/>
      <c r="C458" s="83"/>
      <c r="D458" s="8"/>
      <c r="E458" s="8"/>
      <c r="F458" s="8"/>
      <c r="G458" s="8"/>
      <c r="H458" s="8"/>
      <c r="I458" s="8"/>
      <c r="J458" s="8"/>
      <c r="K458" s="8"/>
      <c r="L458" s="8"/>
      <c r="M458" s="8"/>
      <c r="N458" s="8"/>
      <c r="O458" s="8"/>
      <c r="P458" s="8"/>
      <c r="Q458" s="1"/>
    </row>
    <row r="459" spans="1:17" x14ac:dyDescent="0.35">
      <c r="A459" s="6"/>
      <c r="B459" s="81"/>
      <c r="C459" s="83"/>
      <c r="D459" s="8"/>
      <c r="E459" s="8"/>
      <c r="F459" s="8"/>
      <c r="G459" s="8"/>
      <c r="H459" s="8"/>
      <c r="I459" s="8"/>
      <c r="J459" s="8"/>
      <c r="K459" s="8"/>
      <c r="L459" s="8"/>
      <c r="M459" s="8"/>
      <c r="N459" s="8"/>
      <c r="O459" s="8"/>
      <c r="P459" s="8"/>
      <c r="Q459" s="1"/>
    </row>
    <row r="460" spans="1:17" x14ac:dyDescent="0.35">
      <c r="A460" s="6"/>
      <c r="B460" s="81"/>
      <c r="C460" s="83"/>
      <c r="D460" s="8"/>
      <c r="E460" s="8"/>
      <c r="F460" s="8"/>
      <c r="G460" s="8"/>
      <c r="H460" s="8"/>
      <c r="I460" s="8"/>
      <c r="J460" s="8"/>
      <c r="K460" s="8"/>
      <c r="L460" s="8"/>
      <c r="M460" s="8"/>
      <c r="N460" s="8"/>
      <c r="O460" s="8"/>
      <c r="P460" s="8"/>
      <c r="Q460" s="1"/>
    </row>
    <row r="461" spans="1:17" x14ac:dyDescent="0.35">
      <c r="A461" s="6"/>
      <c r="B461" s="81"/>
      <c r="C461" s="83"/>
      <c r="D461" s="8"/>
      <c r="E461" s="8"/>
      <c r="F461" s="8"/>
      <c r="G461" s="8"/>
      <c r="H461" s="8"/>
      <c r="I461" s="8"/>
      <c r="J461" s="8"/>
      <c r="K461" s="8"/>
      <c r="L461" s="8"/>
      <c r="M461" s="8"/>
      <c r="N461" s="8"/>
      <c r="O461" s="8"/>
      <c r="P461" s="8"/>
      <c r="Q461" s="1"/>
    </row>
    <row r="462" spans="1:17" x14ac:dyDescent="0.35">
      <c r="A462" s="6"/>
      <c r="B462" s="81"/>
      <c r="C462" s="83"/>
      <c r="D462" s="8"/>
      <c r="E462" s="8"/>
      <c r="F462" s="8"/>
      <c r="G462" s="8"/>
      <c r="H462" s="8"/>
      <c r="I462" s="8"/>
      <c r="J462" s="8"/>
      <c r="K462" s="8"/>
      <c r="L462" s="8"/>
      <c r="M462" s="8"/>
      <c r="N462" s="8"/>
      <c r="O462" s="8"/>
      <c r="P462" s="8"/>
      <c r="Q462" s="1"/>
    </row>
    <row r="463" spans="1:17" x14ac:dyDescent="0.35">
      <c r="A463" s="6"/>
      <c r="B463" s="81"/>
      <c r="C463" s="83"/>
      <c r="D463" s="8"/>
      <c r="E463" s="8"/>
      <c r="F463" s="8"/>
      <c r="G463" s="8"/>
      <c r="H463" s="8"/>
      <c r="I463" s="8"/>
      <c r="J463" s="8"/>
      <c r="K463" s="8"/>
      <c r="L463" s="8"/>
      <c r="M463" s="8"/>
      <c r="N463" s="8"/>
      <c r="O463" s="8"/>
      <c r="P463" s="8"/>
      <c r="Q463" s="1"/>
    </row>
    <row r="464" spans="1:17" x14ac:dyDescent="0.35">
      <c r="A464" s="6"/>
      <c r="B464" s="81"/>
      <c r="C464" s="83"/>
      <c r="D464" s="8"/>
      <c r="E464" s="8"/>
      <c r="F464" s="8"/>
      <c r="G464" s="8"/>
      <c r="H464" s="8"/>
      <c r="I464" s="8"/>
      <c r="J464" s="8"/>
      <c r="K464" s="8"/>
      <c r="L464" s="8"/>
      <c r="M464" s="8"/>
      <c r="N464" s="8"/>
      <c r="O464" s="8"/>
      <c r="P464" s="8"/>
      <c r="Q464" s="1"/>
    </row>
    <row r="465" spans="1:17" x14ac:dyDescent="0.35">
      <c r="A465" s="6"/>
      <c r="B465" s="81"/>
      <c r="C465" s="83"/>
      <c r="D465" s="8"/>
      <c r="E465" s="8"/>
      <c r="F465" s="8"/>
      <c r="G465" s="8"/>
      <c r="H465" s="8"/>
      <c r="I465" s="8"/>
      <c r="J465" s="8"/>
      <c r="K465" s="8"/>
      <c r="L465" s="8"/>
      <c r="M465" s="8"/>
      <c r="N465" s="8"/>
      <c r="O465" s="8"/>
      <c r="P465" s="8"/>
      <c r="Q465" s="1"/>
    </row>
    <row r="466" spans="1:17" x14ac:dyDescent="0.35">
      <c r="A466" s="6"/>
      <c r="B466" s="81"/>
      <c r="C466" s="83"/>
      <c r="D466" s="8"/>
      <c r="E466" s="8"/>
      <c r="F466" s="8"/>
      <c r="G466" s="8"/>
      <c r="H466" s="8"/>
      <c r="I466" s="8"/>
      <c r="J466" s="8"/>
      <c r="K466" s="8"/>
      <c r="L466" s="8"/>
      <c r="M466" s="8"/>
      <c r="N466" s="8"/>
      <c r="O466" s="8"/>
      <c r="P466" s="8"/>
      <c r="Q466" s="1"/>
    </row>
    <row r="467" spans="1:17" x14ac:dyDescent="0.35">
      <c r="A467" s="6"/>
      <c r="B467" s="81"/>
      <c r="C467" s="83"/>
      <c r="D467" s="8"/>
      <c r="E467" s="8"/>
      <c r="F467" s="8"/>
      <c r="G467" s="8"/>
      <c r="H467" s="8"/>
      <c r="I467" s="8"/>
      <c r="J467" s="8"/>
      <c r="K467" s="8"/>
      <c r="L467" s="8"/>
      <c r="M467" s="8"/>
      <c r="N467" s="8"/>
      <c r="O467" s="8"/>
      <c r="P467" s="8"/>
      <c r="Q467" s="1"/>
    </row>
    <row r="468" spans="1:17" x14ac:dyDescent="0.35">
      <c r="A468" s="6"/>
      <c r="B468" s="81"/>
      <c r="C468" s="83"/>
      <c r="D468" s="8"/>
      <c r="E468" s="8"/>
      <c r="F468" s="8"/>
      <c r="G468" s="8"/>
      <c r="H468" s="8"/>
      <c r="I468" s="8"/>
      <c r="J468" s="8"/>
      <c r="K468" s="8"/>
      <c r="L468" s="8"/>
      <c r="M468" s="8"/>
      <c r="N468" s="8"/>
      <c r="O468" s="8"/>
      <c r="P468" s="8"/>
      <c r="Q468" s="1"/>
    </row>
    <row r="469" spans="1:17" x14ac:dyDescent="0.35">
      <c r="A469" s="6"/>
      <c r="B469" s="81"/>
      <c r="C469" s="83"/>
      <c r="D469" s="8"/>
      <c r="E469" s="8"/>
      <c r="F469" s="8"/>
      <c r="G469" s="8"/>
      <c r="H469" s="8"/>
      <c r="I469" s="8"/>
      <c r="J469" s="8"/>
      <c r="K469" s="8"/>
      <c r="L469" s="8"/>
      <c r="M469" s="8"/>
      <c r="N469" s="8"/>
      <c r="O469" s="8"/>
      <c r="P469" s="8"/>
      <c r="Q469" s="1"/>
    </row>
    <row r="470" spans="1:17" x14ac:dyDescent="0.35">
      <c r="A470" s="6"/>
      <c r="B470" s="81"/>
      <c r="C470" s="83"/>
      <c r="D470" s="8"/>
      <c r="E470" s="8"/>
      <c r="F470" s="8"/>
      <c r="G470" s="8"/>
      <c r="H470" s="8"/>
      <c r="I470" s="8"/>
      <c r="J470" s="8"/>
      <c r="K470" s="8"/>
      <c r="L470" s="8"/>
      <c r="M470" s="8"/>
      <c r="N470" s="8"/>
      <c r="O470" s="8"/>
      <c r="P470" s="8"/>
      <c r="Q470" s="1"/>
    </row>
    <row r="471" spans="1:17" x14ac:dyDescent="0.35">
      <c r="A471" s="6"/>
      <c r="B471" s="81"/>
      <c r="C471" s="83"/>
      <c r="D471" s="8"/>
      <c r="E471" s="8"/>
      <c r="F471" s="8"/>
      <c r="G471" s="8"/>
      <c r="H471" s="8"/>
      <c r="I471" s="8"/>
      <c r="J471" s="8"/>
      <c r="K471" s="8"/>
      <c r="L471" s="8"/>
      <c r="M471" s="8"/>
      <c r="N471" s="8"/>
      <c r="O471" s="8"/>
      <c r="P471" s="8"/>
      <c r="Q471" s="1"/>
    </row>
    <row r="472" spans="1:17" x14ac:dyDescent="0.35">
      <c r="A472" s="6"/>
      <c r="B472" s="81"/>
      <c r="C472" s="83"/>
      <c r="D472" s="8"/>
      <c r="E472" s="8"/>
      <c r="F472" s="8"/>
      <c r="G472" s="8"/>
      <c r="H472" s="8"/>
      <c r="I472" s="8"/>
      <c r="J472" s="8"/>
      <c r="K472" s="8"/>
      <c r="L472" s="8"/>
      <c r="M472" s="8"/>
      <c r="N472" s="8"/>
      <c r="O472" s="8"/>
      <c r="P472" s="8"/>
      <c r="Q472" s="1"/>
    </row>
    <row r="473" spans="1:17" x14ac:dyDescent="0.35">
      <c r="A473" s="6"/>
      <c r="B473" s="81"/>
      <c r="C473" s="83"/>
      <c r="D473" s="8"/>
      <c r="E473" s="8"/>
      <c r="F473" s="8"/>
      <c r="G473" s="8"/>
      <c r="H473" s="8"/>
      <c r="I473" s="8"/>
      <c r="J473" s="8"/>
      <c r="K473" s="8"/>
      <c r="L473" s="8"/>
      <c r="M473" s="8"/>
      <c r="N473" s="8"/>
      <c r="O473" s="8"/>
      <c r="P473" s="8"/>
      <c r="Q473" s="1"/>
    </row>
    <row r="474" spans="1:17" x14ac:dyDescent="0.35">
      <c r="A474" s="6"/>
      <c r="B474" s="81"/>
      <c r="C474" s="83"/>
      <c r="D474" s="8"/>
      <c r="E474" s="8"/>
      <c r="F474" s="8"/>
      <c r="G474" s="8"/>
      <c r="H474" s="8"/>
      <c r="I474" s="8"/>
      <c r="J474" s="8"/>
      <c r="K474" s="8"/>
      <c r="L474" s="8"/>
      <c r="M474" s="8"/>
      <c r="N474" s="8"/>
      <c r="O474" s="8"/>
      <c r="P474" s="8"/>
      <c r="Q474" s="1"/>
    </row>
    <row r="475" spans="1:17" x14ac:dyDescent="0.35">
      <c r="A475" s="6"/>
      <c r="B475" s="81"/>
      <c r="C475" s="83"/>
      <c r="D475" s="8"/>
      <c r="E475" s="8"/>
      <c r="F475" s="8"/>
      <c r="G475" s="8"/>
      <c r="H475" s="8"/>
      <c r="I475" s="8"/>
      <c r="J475" s="8"/>
      <c r="K475" s="8"/>
      <c r="L475" s="8"/>
      <c r="M475" s="8"/>
      <c r="N475" s="8"/>
      <c r="O475" s="8"/>
      <c r="P475" s="8"/>
      <c r="Q475" s="1"/>
    </row>
    <row r="476" spans="1:17" x14ac:dyDescent="0.35">
      <c r="A476" s="6"/>
      <c r="B476" s="81"/>
      <c r="C476" s="83"/>
      <c r="D476" s="8"/>
      <c r="E476" s="8"/>
      <c r="F476" s="8"/>
      <c r="G476" s="8"/>
      <c r="H476" s="8"/>
      <c r="I476" s="8"/>
      <c r="J476" s="8"/>
      <c r="K476" s="8"/>
      <c r="L476" s="8"/>
      <c r="M476" s="8"/>
      <c r="N476" s="8"/>
      <c r="O476" s="8"/>
      <c r="P476" s="8"/>
      <c r="Q476" s="1"/>
    </row>
    <row r="477" spans="1:17" x14ac:dyDescent="0.35">
      <c r="A477" s="6"/>
      <c r="B477" s="81"/>
      <c r="C477" s="83"/>
      <c r="D477" s="8"/>
      <c r="E477" s="8"/>
      <c r="F477" s="8"/>
      <c r="G477" s="8"/>
      <c r="H477" s="8"/>
      <c r="I477" s="8"/>
      <c r="J477" s="8"/>
      <c r="K477" s="8"/>
      <c r="L477" s="8"/>
      <c r="M477" s="8"/>
      <c r="N477" s="8"/>
      <c r="O477" s="8"/>
      <c r="P477" s="8"/>
      <c r="Q477" s="1"/>
    </row>
    <row r="478" spans="1:17" x14ac:dyDescent="0.35">
      <c r="A478" s="6"/>
      <c r="B478" s="81"/>
      <c r="C478" s="83"/>
      <c r="D478" s="8"/>
      <c r="E478" s="8"/>
      <c r="F478" s="8"/>
      <c r="G478" s="8"/>
      <c r="H478" s="8"/>
      <c r="I478" s="8"/>
      <c r="J478" s="8"/>
      <c r="K478" s="8"/>
      <c r="L478" s="8"/>
      <c r="M478" s="8"/>
      <c r="N478" s="8"/>
      <c r="O478" s="8"/>
      <c r="P478" s="8"/>
      <c r="Q478" s="1"/>
    </row>
    <row r="479" spans="1:17" x14ac:dyDescent="0.35">
      <c r="A479" s="6"/>
      <c r="B479" s="81"/>
      <c r="C479" s="83"/>
      <c r="D479" s="8"/>
      <c r="E479" s="8"/>
      <c r="F479" s="8"/>
      <c r="G479" s="8"/>
      <c r="H479" s="8"/>
      <c r="I479" s="8"/>
      <c r="J479" s="8"/>
      <c r="K479" s="8"/>
      <c r="L479" s="8"/>
      <c r="M479" s="8"/>
      <c r="N479" s="8"/>
      <c r="O479" s="8"/>
      <c r="P479" s="8"/>
      <c r="Q479" s="1"/>
    </row>
    <row r="480" spans="1:17" x14ac:dyDescent="0.35">
      <c r="A480" s="6"/>
      <c r="B480" s="81"/>
      <c r="C480" s="83"/>
      <c r="D480" s="8"/>
      <c r="E480" s="8"/>
      <c r="F480" s="8"/>
      <c r="G480" s="8"/>
      <c r="H480" s="8"/>
      <c r="I480" s="8"/>
      <c r="J480" s="8"/>
      <c r="K480" s="8"/>
      <c r="L480" s="8"/>
      <c r="M480" s="8"/>
      <c r="N480" s="8"/>
      <c r="O480" s="8"/>
      <c r="P480" s="8"/>
      <c r="Q480" s="1"/>
    </row>
    <row r="481" spans="1:17" x14ac:dyDescent="0.35">
      <c r="A481" s="6"/>
      <c r="B481" s="81"/>
      <c r="C481" s="83"/>
      <c r="D481" s="8"/>
      <c r="E481" s="8"/>
      <c r="F481" s="8"/>
      <c r="G481" s="8"/>
      <c r="H481" s="8"/>
      <c r="I481" s="8"/>
      <c r="J481" s="8"/>
      <c r="K481" s="8"/>
      <c r="L481" s="8"/>
      <c r="M481" s="8"/>
      <c r="N481" s="8"/>
      <c r="O481" s="8"/>
      <c r="P481" s="8"/>
      <c r="Q481" s="1"/>
    </row>
    <row r="482" spans="1:17" x14ac:dyDescent="0.35">
      <c r="A482" s="6"/>
      <c r="B482" s="81"/>
      <c r="C482" s="83"/>
      <c r="D482" s="8"/>
      <c r="E482" s="8"/>
      <c r="F482" s="8"/>
      <c r="G482" s="8"/>
      <c r="H482" s="8"/>
      <c r="I482" s="8"/>
      <c r="J482" s="8"/>
      <c r="K482" s="8"/>
      <c r="L482" s="8"/>
      <c r="M482" s="8"/>
      <c r="N482" s="8"/>
      <c r="O482" s="8"/>
      <c r="P482" s="8"/>
      <c r="Q482" s="1"/>
    </row>
    <row r="483" spans="1:17" x14ac:dyDescent="0.35">
      <c r="A483" s="6"/>
      <c r="B483" s="81"/>
      <c r="C483" s="83"/>
      <c r="D483" s="8"/>
      <c r="E483" s="8"/>
      <c r="F483" s="8"/>
      <c r="G483" s="8"/>
      <c r="H483" s="8"/>
      <c r="I483" s="8"/>
      <c r="J483" s="8"/>
      <c r="K483" s="8"/>
      <c r="L483" s="8"/>
      <c r="M483" s="8"/>
      <c r="N483" s="8"/>
      <c r="O483" s="8"/>
      <c r="P483" s="8"/>
      <c r="Q483" s="1"/>
    </row>
    <row r="484" spans="1:17" x14ac:dyDescent="0.35">
      <c r="A484" s="6"/>
      <c r="B484" s="81"/>
      <c r="C484" s="83"/>
      <c r="D484" s="8"/>
      <c r="E484" s="8"/>
      <c r="F484" s="8"/>
      <c r="G484" s="8"/>
      <c r="H484" s="8"/>
      <c r="I484" s="8"/>
      <c r="J484" s="8"/>
      <c r="K484" s="8"/>
      <c r="L484" s="8"/>
      <c r="M484" s="8"/>
      <c r="N484" s="8"/>
      <c r="O484" s="8"/>
      <c r="P484" s="8"/>
      <c r="Q484" s="1"/>
    </row>
    <row r="485" spans="1:17" x14ac:dyDescent="0.35">
      <c r="A485" s="6"/>
      <c r="B485" s="81"/>
      <c r="C485" s="83"/>
      <c r="D485" s="8"/>
      <c r="E485" s="8"/>
      <c r="F485" s="8"/>
      <c r="G485" s="8"/>
      <c r="H485" s="8"/>
      <c r="I485" s="8"/>
      <c r="J485" s="8"/>
      <c r="K485" s="8"/>
      <c r="L485" s="8"/>
      <c r="M485" s="8"/>
      <c r="N485" s="8"/>
      <c r="O485" s="8"/>
      <c r="P485" s="8"/>
      <c r="Q485" s="1"/>
    </row>
    <row r="486" spans="1:17" x14ac:dyDescent="0.35">
      <c r="A486" s="6"/>
      <c r="B486" s="81"/>
      <c r="C486" s="83"/>
      <c r="D486" s="8"/>
      <c r="E486" s="8"/>
      <c r="F486" s="8"/>
      <c r="G486" s="8"/>
      <c r="H486" s="8"/>
      <c r="I486" s="8"/>
      <c r="J486" s="8"/>
      <c r="K486" s="8"/>
      <c r="L486" s="8"/>
      <c r="M486" s="8"/>
      <c r="N486" s="8"/>
      <c r="O486" s="8"/>
      <c r="P486" s="8"/>
      <c r="Q486" s="1"/>
    </row>
    <row r="487" spans="1:17" x14ac:dyDescent="0.35">
      <c r="A487" s="6"/>
      <c r="B487" s="81"/>
      <c r="C487" s="83"/>
      <c r="D487" s="8"/>
      <c r="E487" s="8"/>
      <c r="F487" s="8"/>
      <c r="G487" s="8"/>
      <c r="H487" s="8"/>
      <c r="I487" s="8"/>
      <c r="J487" s="8"/>
      <c r="K487" s="8"/>
      <c r="L487" s="8"/>
      <c r="M487" s="8"/>
      <c r="N487" s="8"/>
      <c r="O487" s="8"/>
      <c r="P487" s="8"/>
      <c r="Q487" s="1"/>
    </row>
    <row r="488" spans="1:17" x14ac:dyDescent="0.35">
      <c r="A488" s="6"/>
      <c r="B488" s="81"/>
      <c r="C488" s="83"/>
      <c r="D488" s="8"/>
      <c r="E488" s="8"/>
      <c r="F488" s="8"/>
      <c r="G488" s="8"/>
      <c r="H488" s="8"/>
      <c r="I488" s="8"/>
      <c r="J488" s="8"/>
      <c r="K488" s="8"/>
      <c r="L488" s="8"/>
      <c r="M488" s="8"/>
      <c r="N488" s="8"/>
      <c r="O488" s="8"/>
      <c r="P488" s="8"/>
      <c r="Q488" s="1"/>
    </row>
    <row r="489" spans="1:17" x14ac:dyDescent="0.35">
      <c r="A489" s="6"/>
      <c r="B489" s="81"/>
      <c r="C489" s="83"/>
      <c r="D489" s="8"/>
      <c r="E489" s="8"/>
      <c r="F489" s="8"/>
      <c r="G489" s="8"/>
      <c r="H489" s="8"/>
      <c r="I489" s="8"/>
      <c r="J489" s="8"/>
      <c r="K489" s="8"/>
      <c r="L489" s="8"/>
      <c r="M489" s="8"/>
      <c r="N489" s="8"/>
      <c r="O489" s="8"/>
      <c r="P489" s="8"/>
      <c r="Q489" s="1"/>
    </row>
    <row r="490" spans="1:17" x14ac:dyDescent="0.35">
      <c r="A490" s="6"/>
      <c r="B490" s="81"/>
      <c r="C490" s="83"/>
      <c r="D490" s="8"/>
      <c r="E490" s="8"/>
      <c r="F490" s="8"/>
      <c r="G490" s="8"/>
      <c r="H490" s="8"/>
      <c r="I490" s="8"/>
      <c r="J490" s="8"/>
      <c r="K490" s="8"/>
      <c r="L490" s="8"/>
      <c r="M490" s="8"/>
      <c r="N490" s="8"/>
      <c r="O490" s="8"/>
      <c r="P490" s="8"/>
      <c r="Q490" s="1"/>
    </row>
    <row r="491" spans="1:17" x14ac:dyDescent="0.35">
      <c r="A491" s="6"/>
      <c r="B491" s="81"/>
      <c r="C491" s="83"/>
      <c r="D491" s="8"/>
      <c r="E491" s="8"/>
      <c r="F491" s="8"/>
      <c r="G491" s="8"/>
      <c r="H491" s="8"/>
      <c r="I491" s="8"/>
      <c r="J491" s="8"/>
      <c r="K491" s="8"/>
      <c r="L491" s="8"/>
      <c r="M491" s="8"/>
      <c r="N491" s="8"/>
      <c r="O491" s="8"/>
      <c r="P491" s="8"/>
      <c r="Q491" s="1"/>
    </row>
    <row r="492" spans="1:17" x14ac:dyDescent="0.35">
      <c r="A492" s="6"/>
      <c r="B492" s="81"/>
      <c r="C492" s="83"/>
      <c r="D492" s="8"/>
      <c r="E492" s="8"/>
      <c r="F492" s="8"/>
      <c r="G492" s="8"/>
      <c r="H492" s="8"/>
      <c r="I492" s="8"/>
      <c r="J492" s="8"/>
      <c r="K492" s="8"/>
      <c r="L492" s="8"/>
      <c r="M492" s="8"/>
      <c r="N492" s="8"/>
      <c r="O492" s="8"/>
      <c r="P492" s="8"/>
      <c r="Q492" s="1"/>
    </row>
    <row r="493" spans="1:17" x14ac:dyDescent="0.35">
      <c r="A493" s="6"/>
      <c r="B493" s="81"/>
      <c r="C493" s="83"/>
      <c r="D493" s="8"/>
      <c r="E493" s="8"/>
      <c r="F493" s="8"/>
      <c r="G493" s="8"/>
      <c r="H493" s="8"/>
      <c r="I493" s="8"/>
      <c r="J493" s="8"/>
      <c r="K493" s="8"/>
      <c r="L493" s="8"/>
      <c r="M493" s="8"/>
      <c r="N493" s="8"/>
      <c r="O493" s="8"/>
      <c r="P493" s="8"/>
      <c r="Q493" s="1"/>
    </row>
    <row r="494" spans="1:17" x14ac:dyDescent="0.35">
      <c r="A494" s="6"/>
      <c r="B494" s="81"/>
      <c r="C494" s="83"/>
      <c r="D494" s="8"/>
      <c r="E494" s="8"/>
      <c r="F494" s="8"/>
      <c r="G494" s="8"/>
      <c r="H494" s="8"/>
      <c r="I494" s="8"/>
      <c r="J494" s="8"/>
      <c r="K494" s="8"/>
      <c r="L494" s="8"/>
      <c r="M494" s="8"/>
      <c r="N494" s="8"/>
      <c r="O494" s="8"/>
      <c r="P494" s="8"/>
      <c r="Q494" s="1"/>
    </row>
    <row r="495" spans="1:17" x14ac:dyDescent="0.35">
      <c r="A495" s="6"/>
      <c r="B495" s="81"/>
      <c r="C495" s="83"/>
      <c r="D495" s="8"/>
      <c r="E495" s="8"/>
      <c r="F495" s="8"/>
      <c r="G495" s="8"/>
      <c r="H495" s="8"/>
      <c r="I495" s="8"/>
      <c r="J495" s="8"/>
      <c r="K495" s="8"/>
      <c r="L495" s="8"/>
      <c r="M495" s="8"/>
      <c r="N495" s="8"/>
      <c r="O495" s="8"/>
      <c r="P495" s="8"/>
      <c r="Q495" s="1"/>
    </row>
    <row r="496" spans="1:17" x14ac:dyDescent="0.35">
      <c r="A496" s="6"/>
      <c r="B496" s="81"/>
      <c r="C496" s="83"/>
      <c r="D496" s="8"/>
      <c r="E496" s="8"/>
      <c r="F496" s="8"/>
      <c r="G496" s="8"/>
      <c r="H496" s="8"/>
      <c r="I496" s="8"/>
      <c r="J496" s="8"/>
      <c r="K496" s="8"/>
      <c r="L496" s="8"/>
      <c r="M496" s="8"/>
      <c r="N496" s="8"/>
      <c r="O496" s="8"/>
      <c r="P496" s="8"/>
      <c r="Q496" s="1"/>
    </row>
    <row r="497" spans="1:17" x14ac:dyDescent="0.35">
      <c r="A497" s="6"/>
      <c r="B497" s="81"/>
      <c r="C497" s="83"/>
      <c r="D497" s="8"/>
      <c r="E497" s="8"/>
      <c r="F497" s="8"/>
      <c r="G497" s="8"/>
      <c r="H497" s="8"/>
      <c r="I497" s="8"/>
      <c r="J497" s="8"/>
      <c r="K497" s="8"/>
      <c r="L497" s="8"/>
      <c r="M497" s="8"/>
      <c r="N497" s="8"/>
      <c r="O497" s="8"/>
      <c r="P497" s="8"/>
      <c r="Q497" s="1"/>
    </row>
    <row r="498" spans="1:17" x14ac:dyDescent="0.35">
      <c r="A498" s="6"/>
      <c r="B498" s="81"/>
      <c r="C498" s="83"/>
      <c r="D498" s="8"/>
      <c r="E498" s="8"/>
      <c r="F498" s="8"/>
      <c r="G498" s="8"/>
      <c r="H498" s="8"/>
      <c r="I498" s="8"/>
      <c r="J498" s="8"/>
      <c r="K498" s="8"/>
      <c r="L498" s="8"/>
      <c r="M498" s="8"/>
      <c r="N498" s="8"/>
      <c r="O498" s="8"/>
      <c r="P498" s="8"/>
      <c r="Q498" s="1"/>
    </row>
    <row r="499" spans="1:17" x14ac:dyDescent="0.35">
      <c r="A499" s="6"/>
      <c r="B499" s="81"/>
      <c r="C499" s="83"/>
      <c r="D499" s="8"/>
      <c r="E499" s="8"/>
      <c r="F499" s="8"/>
      <c r="G499" s="8"/>
      <c r="H499" s="8"/>
      <c r="I499" s="8"/>
      <c r="J499" s="8"/>
      <c r="K499" s="8"/>
      <c r="L499" s="8"/>
      <c r="M499" s="8"/>
      <c r="N499" s="8"/>
      <c r="O499" s="8"/>
      <c r="P499" s="8"/>
      <c r="Q499" s="1"/>
    </row>
    <row r="500" spans="1:17" x14ac:dyDescent="0.35">
      <c r="A500" s="6"/>
      <c r="B500" s="81"/>
      <c r="C500" s="83"/>
      <c r="D500" s="8"/>
      <c r="E500" s="8"/>
      <c r="F500" s="8"/>
      <c r="G500" s="8"/>
      <c r="H500" s="8"/>
      <c r="I500" s="8"/>
      <c r="J500" s="8"/>
      <c r="K500" s="8"/>
      <c r="L500" s="8"/>
      <c r="M500" s="8"/>
      <c r="N500" s="8"/>
      <c r="O500" s="8"/>
      <c r="P500" s="8"/>
      <c r="Q500" s="1"/>
    </row>
    <row r="501" spans="1:17" x14ac:dyDescent="0.35">
      <c r="A501" s="6"/>
      <c r="B501" s="81"/>
      <c r="C501" s="83"/>
      <c r="D501" s="8"/>
      <c r="E501" s="8"/>
      <c r="F501" s="8"/>
      <c r="G501" s="8"/>
      <c r="H501" s="8"/>
      <c r="I501" s="8"/>
      <c r="J501" s="8"/>
      <c r="K501" s="8"/>
      <c r="L501" s="8"/>
      <c r="M501" s="8"/>
      <c r="N501" s="8"/>
      <c r="O501" s="8"/>
      <c r="P501" s="8"/>
      <c r="Q501" s="1"/>
    </row>
    <row r="502" spans="1:17" x14ac:dyDescent="0.35">
      <c r="A502" s="6"/>
      <c r="B502" s="81"/>
      <c r="C502" s="83"/>
      <c r="D502" s="8"/>
      <c r="E502" s="8"/>
      <c r="F502" s="8"/>
      <c r="G502" s="8"/>
      <c r="H502" s="8"/>
      <c r="I502" s="8"/>
      <c r="J502" s="8"/>
      <c r="K502" s="8"/>
      <c r="L502" s="8"/>
      <c r="M502" s="8"/>
      <c r="N502" s="8"/>
      <c r="O502" s="8"/>
      <c r="P502" s="8"/>
      <c r="Q502" s="1"/>
    </row>
    <row r="503" spans="1:17" x14ac:dyDescent="0.35">
      <c r="A503" s="6"/>
      <c r="B503" s="81"/>
      <c r="C503" s="83"/>
      <c r="D503" s="8"/>
      <c r="E503" s="8"/>
      <c r="F503" s="8"/>
      <c r="G503" s="8"/>
      <c r="H503" s="8"/>
      <c r="I503" s="8"/>
      <c r="J503" s="8"/>
      <c r="K503" s="8"/>
      <c r="L503" s="8"/>
      <c r="M503" s="8"/>
      <c r="N503" s="8"/>
      <c r="O503" s="8"/>
      <c r="P503" s="8"/>
      <c r="Q503" s="1"/>
    </row>
    <row r="504" spans="1:17" x14ac:dyDescent="0.35">
      <c r="A504" s="6"/>
      <c r="B504" s="81"/>
      <c r="C504" s="83"/>
      <c r="D504" s="8"/>
      <c r="E504" s="8"/>
      <c r="F504" s="8"/>
      <c r="G504" s="8"/>
      <c r="H504" s="8"/>
      <c r="I504" s="8"/>
      <c r="J504" s="8"/>
      <c r="K504" s="8"/>
      <c r="L504" s="8"/>
      <c r="M504" s="8"/>
      <c r="N504" s="8"/>
      <c r="O504" s="8"/>
      <c r="P504" s="8"/>
      <c r="Q504" s="1"/>
    </row>
    <row r="505" spans="1:17" x14ac:dyDescent="0.35">
      <c r="A505" s="6"/>
      <c r="B505" s="81"/>
      <c r="C505" s="83"/>
      <c r="D505" s="8"/>
      <c r="E505" s="8"/>
      <c r="F505" s="8"/>
      <c r="G505" s="8"/>
      <c r="H505" s="8"/>
      <c r="I505" s="8"/>
      <c r="J505" s="8"/>
      <c r="K505" s="8"/>
      <c r="L505" s="8"/>
      <c r="M505" s="8"/>
      <c r="N505" s="8"/>
      <c r="O505" s="8"/>
      <c r="P505" s="8"/>
      <c r="Q505" s="1"/>
    </row>
    <row r="506" spans="1:17" x14ac:dyDescent="0.35">
      <c r="A506" s="6"/>
      <c r="B506" s="81"/>
      <c r="C506" s="83"/>
      <c r="D506" s="8"/>
      <c r="E506" s="8"/>
      <c r="F506" s="8"/>
      <c r="G506" s="8"/>
      <c r="H506" s="8"/>
      <c r="I506" s="8"/>
      <c r="J506" s="8"/>
      <c r="K506" s="8"/>
      <c r="L506" s="8"/>
      <c r="M506" s="8"/>
      <c r="N506" s="8"/>
      <c r="O506" s="8"/>
      <c r="P506" s="8"/>
      <c r="Q506" s="1"/>
    </row>
    <row r="507" spans="1:17" x14ac:dyDescent="0.35">
      <c r="A507" s="6"/>
      <c r="B507" s="81"/>
      <c r="C507" s="83"/>
      <c r="D507" s="8"/>
      <c r="E507" s="8"/>
      <c r="F507" s="8"/>
      <c r="G507" s="8"/>
      <c r="H507" s="8"/>
      <c r="I507" s="8"/>
      <c r="J507" s="8"/>
      <c r="K507" s="8"/>
      <c r="L507" s="8"/>
      <c r="M507" s="8"/>
      <c r="N507" s="8"/>
      <c r="O507" s="8"/>
      <c r="P507" s="8"/>
      <c r="Q507" s="1"/>
    </row>
    <row r="508" spans="1:17" x14ac:dyDescent="0.35">
      <c r="A508" s="6"/>
      <c r="B508" s="81"/>
      <c r="C508" s="83"/>
      <c r="D508" s="8"/>
      <c r="E508" s="8"/>
      <c r="F508" s="8"/>
      <c r="G508" s="8"/>
      <c r="H508" s="8"/>
      <c r="I508" s="8"/>
      <c r="J508" s="8"/>
      <c r="K508" s="8"/>
      <c r="L508" s="8"/>
      <c r="M508" s="8"/>
      <c r="N508" s="8"/>
      <c r="O508" s="8"/>
      <c r="P508" s="8"/>
      <c r="Q508" s="1"/>
    </row>
    <row r="509" spans="1:17" x14ac:dyDescent="0.35">
      <c r="A509" s="6"/>
      <c r="B509" s="81"/>
      <c r="C509" s="83"/>
      <c r="D509" s="8"/>
      <c r="E509" s="8"/>
      <c r="F509" s="8"/>
      <c r="G509" s="8"/>
      <c r="H509" s="8"/>
      <c r="I509" s="8"/>
      <c r="J509" s="8"/>
      <c r="K509" s="8"/>
      <c r="L509" s="8"/>
      <c r="M509" s="8"/>
      <c r="N509" s="8"/>
      <c r="O509" s="8"/>
      <c r="P509" s="8"/>
      <c r="Q509" s="1"/>
    </row>
    <row r="510" spans="1:17" x14ac:dyDescent="0.35">
      <c r="A510" s="6"/>
      <c r="B510" s="81"/>
      <c r="C510" s="83"/>
      <c r="D510" s="8"/>
      <c r="E510" s="8"/>
      <c r="F510" s="8"/>
      <c r="G510" s="8"/>
      <c r="H510" s="8"/>
      <c r="I510" s="8"/>
      <c r="J510" s="8"/>
      <c r="K510" s="8"/>
      <c r="L510" s="8"/>
      <c r="M510" s="8"/>
      <c r="N510" s="8"/>
      <c r="O510" s="8"/>
      <c r="P510" s="8"/>
      <c r="Q510" s="1"/>
    </row>
    <row r="511" spans="1:17" x14ac:dyDescent="0.35">
      <c r="A511" s="6"/>
      <c r="B511" s="81"/>
      <c r="C511" s="83"/>
      <c r="D511" s="8"/>
      <c r="E511" s="8"/>
      <c r="F511" s="8"/>
      <c r="G511" s="8"/>
      <c r="H511" s="8"/>
      <c r="I511" s="8"/>
      <c r="J511" s="8"/>
      <c r="K511" s="8"/>
      <c r="L511" s="8"/>
      <c r="M511" s="8"/>
      <c r="N511" s="8"/>
      <c r="O511" s="8"/>
      <c r="P511" s="8"/>
      <c r="Q511" s="1"/>
    </row>
    <row r="512" spans="1:17" x14ac:dyDescent="0.35">
      <c r="A512" s="6"/>
      <c r="B512" s="81"/>
      <c r="C512" s="83"/>
      <c r="D512" s="8"/>
      <c r="E512" s="8"/>
      <c r="F512" s="8"/>
      <c r="G512" s="8"/>
      <c r="H512" s="8"/>
      <c r="I512" s="8"/>
      <c r="J512" s="8"/>
      <c r="K512" s="8"/>
      <c r="L512" s="8"/>
      <c r="M512" s="8"/>
      <c r="N512" s="8"/>
      <c r="O512" s="8"/>
      <c r="P512" s="8"/>
      <c r="Q512" s="1"/>
    </row>
    <row r="513" spans="1:17" x14ac:dyDescent="0.35">
      <c r="A513" s="6"/>
      <c r="B513" s="81"/>
      <c r="C513" s="83"/>
      <c r="D513" s="8"/>
      <c r="E513" s="8"/>
      <c r="F513" s="8"/>
      <c r="G513" s="8"/>
      <c r="H513" s="8"/>
      <c r="I513" s="8"/>
      <c r="J513" s="8"/>
      <c r="K513" s="8"/>
      <c r="L513" s="8"/>
      <c r="M513" s="8"/>
      <c r="N513" s="8"/>
      <c r="O513" s="8"/>
      <c r="P513" s="8"/>
      <c r="Q513" s="1"/>
    </row>
    <row r="514" spans="1:17" x14ac:dyDescent="0.35">
      <c r="A514" s="6"/>
      <c r="B514" s="81"/>
      <c r="C514" s="83"/>
      <c r="D514" s="8"/>
      <c r="E514" s="8"/>
      <c r="F514" s="8"/>
      <c r="G514" s="8"/>
      <c r="H514" s="8"/>
      <c r="I514" s="8"/>
      <c r="J514" s="8"/>
      <c r="K514" s="8"/>
      <c r="L514" s="8"/>
      <c r="M514" s="8"/>
      <c r="N514" s="8"/>
      <c r="O514" s="8"/>
      <c r="P514" s="8"/>
      <c r="Q514" s="1"/>
    </row>
    <row r="515" spans="1:17" x14ac:dyDescent="0.35">
      <c r="A515" s="6"/>
      <c r="B515" s="81"/>
      <c r="C515" s="83"/>
      <c r="D515" s="8"/>
      <c r="E515" s="8"/>
      <c r="F515" s="8"/>
      <c r="G515" s="8"/>
      <c r="H515" s="8"/>
      <c r="I515" s="8"/>
      <c r="J515" s="8"/>
      <c r="K515" s="8"/>
      <c r="L515" s="8"/>
      <c r="M515" s="8"/>
      <c r="N515" s="8"/>
      <c r="O515" s="8"/>
      <c r="P515" s="8"/>
      <c r="Q515" s="1"/>
    </row>
    <row r="516" spans="1:17" x14ac:dyDescent="0.35">
      <c r="A516" s="6"/>
      <c r="B516" s="81"/>
      <c r="C516" s="83"/>
      <c r="D516" s="8"/>
      <c r="E516" s="8"/>
      <c r="F516" s="8"/>
      <c r="G516" s="8"/>
      <c r="H516" s="8"/>
      <c r="I516" s="8"/>
      <c r="J516" s="8"/>
      <c r="K516" s="8"/>
      <c r="L516" s="8"/>
      <c r="M516" s="8"/>
      <c r="N516" s="8"/>
      <c r="O516" s="8"/>
      <c r="P516" s="8"/>
      <c r="Q516" s="1"/>
    </row>
    <row r="517" spans="1:17" x14ac:dyDescent="0.35">
      <c r="A517" s="6"/>
      <c r="B517" s="81"/>
      <c r="C517" s="83"/>
      <c r="D517" s="8"/>
      <c r="E517" s="8"/>
      <c r="F517" s="8"/>
      <c r="G517" s="8"/>
      <c r="H517" s="8"/>
      <c r="I517" s="8"/>
      <c r="J517" s="8"/>
      <c r="K517" s="8"/>
      <c r="L517" s="8"/>
      <c r="M517" s="8"/>
      <c r="N517" s="8"/>
      <c r="O517" s="8"/>
      <c r="P517" s="8"/>
      <c r="Q517" s="1"/>
    </row>
    <row r="518" spans="1:17" x14ac:dyDescent="0.35">
      <c r="A518" s="6"/>
      <c r="B518" s="81"/>
      <c r="C518" s="83"/>
      <c r="D518" s="8"/>
      <c r="E518" s="8"/>
      <c r="F518" s="8"/>
      <c r="G518" s="8"/>
      <c r="H518" s="8"/>
      <c r="I518" s="8"/>
      <c r="J518" s="8"/>
      <c r="K518" s="8"/>
      <c r="L518" s="8"/>
      <c r="M518" s="8"/>
      <c r="N518" s="8"/>
      <c r="O518" s="8"/>
      <c r="P518" s="8"/>
      <c r="Q518" s="1"/>
    </row>
    <row r="519" spans="1:17" x14ac:dyDescent="0.35">
      <c r="A519" s="6"/>
      <c r="B519" s="81"/>
      <c r="C519" s="83"/>
      <c r="D519" s="8"/>
      <c r="E519" s="8"/>
      <c r="F519" s="8"/>
      <c r="G519" s="8"/>
      <c r="H519" s="8"/>
      <c r="I519" s="8"/>
      <c r="J519" s="8"/>
      <c r="K519" s="8"/>
      <c r="L519" s="8"/>
      <c r="M519" s="8"/>
      <c r="N519" s="8"/>
      <c r="O519" s="8"/>
      <c r="P519" s="8"/>
      <c r="Q519" s="1"/>
    </row>
    <row r="520" spans="1:17" x14ac:dyDescent="0.35">
      <c r="A520" s="6"/>
      <c r="B520" s="81"/>
      <c r="C520" s="83"/>
      <c r="D520" s="8"/>
      <c r="E520" s="8"/>
      <c r="F520" s="8"/>
      <c r="G520" s="8"/>
      <c r="H520" s="8"/>
      <c r="I520" s="8"/>
      <c r="J520" s="8"/>
      <c r="K520" s="8"/>
      <c r="L520" s="8"/>
      <c r="M520" s="8"/>
      <c r="N520" s="8"/>
      <c r="O520" s="8"/>
      <c r="P520" s="8"/>
      <c r="Q520" s="1"/>
    </row>
    <row r="521" spans="1:17" x14ac:dyDescent="0.35">
      <c r="A521" s="6"/>
      <c r="B521" s="81"/>
      <c r="C521" s="83"/>
      <c r="D521" s="8"/>
      <c r="E521" s="8"/>
      <c r="F521" s="8"/>
      <c r="G521" s="8"/>
      <c r="H521" s="8"/>
      <c r="I521" s="8"/>
      <c r="J521" s="8"/>
      <c r="K521" s="8"/>
      <c r="L521" s="8"/>
      <c r="M521" s="8"/>
      <c r="N521" s="8"/>
      <c r="O521" s="8"/>
      <c r="P521" s="8"/>
      <c r="Q521" s="1"/>
    </row>
    <row r="522" spans="1:17" x14ac:dyDescent="0.35">
      <c r="A522" s="6"/>
      <c r="B522" s="81"/>
      <c r="C522" s="83"/>
      <c r="D522" s="8"/>
      <c r="E522" s="8"/>
      <c r="F522" s="8"/>
      <c r="G522" s="8"/>
      <c r="H522" s="8"/>
      <c r="I522" s="8"/>
      <c r="J522" s="8"/>
      <c r="K522" s="8"/>
      <c r="L522" s="8"/>
      <c r="M522" s="8"/>
      <c r="N522" s="8"/>
      <c r="O522" s="8"/>
      <c r="P522" s="8"/>
      <c r="Q522" s="1"/>
    </row>
    <row r="523" spans="1:17" x14ac:dyDescent="0.35">
      <c r="A523" s="6"/>
      <c r="B523" s="81"/>
      <c r="C523" s="83"/>
      <c r="D523" s="8"/>
      <c r="E523" s="8"/>
      <c r="F523" s="8"/>
      <c r="G523" s="8"/>
      <c r="H523" s="8"/>
      <c r="I523" s="8"/>
      <c r="J523" s="8"/>
      <c r="K523" s="8"/>
      <c r="L523" s="8"/>
      <c r="M523" s="8"/>
      <c r="N523" s="8"/>
      <c r="O523" s="8"/>
      <c r="P523" s="8"/>
      <c r="Q523" s="1"/>
    </row>
    <row r="524" spans="1:17" x14ac:dyDescent="0.35">
      <c r="A524" s="6"/>
      <c r="B524" s="81"/>
      <c r="C524" s="83"/>
      <c r="D524" s="8"/>
      <c r="E524" s="8"/>
      <c r="F524" s="8"/>
      <c r="G524" s="8"/>
      <c r="H524" s="8"/>
      <c r="I524" s="8"/>
      <c r="J524" s="8"/>
      <c r="K524" s="8"/>
      <c r="L524" s="8"/>
      <c r="M524" s="8"/>
      <c r="N524" s="8"/>
      <c r="O524" s="8"/>
      <c r="P524" s="8"/>
      <c r="Q524" s="1"/>
    </row>
    <row r="525" spans="1:17" x14ac:dyDescent="0.35">
      <c r="A525" s="6"/>
      <c r="B525" s="81"/>
      <c r="C525" s="83"/>
      <c r="D525" s="8"/>
      <c r="E525" s="8"/>
      <c r="F525" s="8"/>
      <c r="G525" s="8"/>
      <c r="H525" s="8"/>
      <c r="I525" s="8"/>
      <c r="J525" s="8"/>
      <c r="K525" s="8"/>
      <c r="L525" s="8"/>
      <c r="M525" s="8"/>
      <c r="N525" s="8"/>
      <c r="O525" s="8"/>
      <c r="P525" s="8"/>
      <c r="Q525" s="1"/>
    </row>
    <row r="526" spans="1:17" x14ac:dyDescent="0.35">
      <c r="A526" s="6"/>
      <c r="B526" s="81"/>
      <c r="C526" s="83"/>
      <c r="D526" s="8"/>
      <c r="E526" s="8"/>
      <c r="F526" s="8"/>
      <c r="G526" s="8"/>
      <c r="H526" s="8"/>
      <c r="I526" s="8"/>
      <c r="J526" s="8"/>
      <c r="K526" s="8"/>
      <c r="L526" s="8"/>
      <c r="M526" s="8"/>
      <c r="N526" s="8"/>
      <c r="O526" s="8"/>
      <c r="P526" s="8"/>
      <c r="Q526" s="1"/>
    </row>
    <row r="527" spans="1:17" x14ac:dyDescent="0.35">
      <c r="A527" s="6"/>
      <c r="B527" s="81"/>
      <c r="C527" s="83"/>
      <c r="D527" s="8"/>
      <c r="E527" s="8"/>
      <c r="F527" s="8"/>
      <c r="G527" s="8"/>
      <c r="H527" s="8"/>
      <c r="I527" s="8"/>
      <c r="J527" s="8"/>
      <c r="K527" s="8"/>
      <c r="L527" s="8"/>
      <c r="M527" s="8"/>
      <c r="N527" s="8"/>
      <c r="O527" s="8"/>
      <c r="P527" s="8"/>
      <c r="Q527" s="1"/>
    </row>
    <row r="528" spans="1:17" x14ac:dyDescent="0.35">
      <c r="A528" s="6"/>
      <c r="B528" s="81"/>
      <c r="C528" s="83"/>
      <c r="D528" s="8"/>
      <c r="E528" s="8"/>
      <c r="F528" s="8"/>
      <c r="G528" s="8"/>
      <c r="H528" s="8"/>
      <c r="I528" s="8"/>
      <c r="J528" s="8"/>
      <c r="K528" s="8"/>
      <c r="L528" s="8"/>
      <c r="M528" s="8"/>
      <c r="N528" s="8"/>
      <c r="O528" s="8"/>
      <c r="P528" s="8"/>
      <c r="Q528" s="1"/>
    </row>
    <row r="529" spans="1:17" x14ac:dyDescent="0.35">
      <c r="A529" s="6"/>
      <c r="B529" s="81"/>
      <c r="C529" s="83"/>
      <c r="D529" s="8"/>
      <c r="E529" s="8"/>
      <c r="F529" s="8"/>
      <c r="G529" s="8"/>
      <c r="H529" s="8"/>
      <c r="I529" s="8"/>
      <c r="J529" s="8"/>
      <c r="K529" s="8"/>
      <c r="L529" s="8"/>
      <c r="M529" s="8"/>
      <c r="N529" s="8"/>
      <c r="O529" s="8"/>
      <c r="P529" s="8"/>
      <c r="Q529" s="1"/>
    </row>
    <row r="530" spans="1:17" x14ac:dyDescent="0.35">
      <c r="A530" s="6"/>
      <c r="B530" s="81"/>
      <c r="C530" s="83"/>
      <c r="D530" s="8"/>
      <c r="E530" s="8"/>
      <c r="F530" s="8"/>
      <c r="G530" s="8"/>
      <c r="H530" s="8"/>
      <c r="I530" s="8"/>
      <c r="J530" s="8"/>
      <c r="K530" s="8"/>
      <c r="L530" s="8"/>
      <c r="M530" s="8"/>
      <c r="N530" s="8"/>
      <c r="O530" s="8"/>
      <c r="P530" s="8"/>
      <c r="Q530" s="1"/>
    </row>
    <row r="531" spans="1:17" x14ac:dyDescent="0.35">
      <c r="A531" s="6"/>
      <c r="B531" s="81"/>
      <c r="C531" s="83"/>
      <c r="D531" s="8"/>
      <c r="E531" s="8"/>
      <c r="F531" s="8"/>
      <c r="G531" s="8"/>
      <c r="H531" s="8"/>
      <c r="I531" s="8"/>
      <c r="J531" s="8"/>
      <c r="K531" s="8"/>
      <c r="L531" s="8"/>
      <c r="M531" s="8"/>
      <c r="N531" s="8"/>
      <c r="O531" s="8"/>
      <c r="P531" s="8"/>
      <c r="Q531" s="1"/>
    </row>
    <row r="532" spans="1:17" x14ac:dyDescent="0.35">
      <c r="A532" s="6"/>
      <c r="B532" s="81"/>
      <c r="C532" s="83"/>
      <c r="D532" s="8"/>
      <c r="E532" s="8"/>
      <c r="F532" s="8"/>
      <c r="G532" s="8"/>
      <c r="H532" s="8"/>
      <c r="I532" s="8"/>
      <c r="J532" s="8"/>
      <c r="K532" s="8"/>
      <c r="L532" s="8"/>
      <c r="M532" s="8"/>
      <c r="N532" s="8"/>
      <c r="O532" s="8"/>
      <c r="P532" s="8"/>
      <c r="Q532" s="1"/>
    </row>
    <row r="533" spans="1:17" x14ac:dyDescent="0.35">
      <c r="A533" s="6"/>
      <c r="B533" s="81"/>
      <c r="C533" s="83"/>
      <c r="D533" s="8"/>
      <c r="E533" s="8"/>
      <c r="F533" s="8"/>
      <c r="G533" s="8"/>
      <c r="H533" s="8"/>
      <c r="I533" s="8"/>
      <c r="J533" s="8"/>
      <c r="K533" s="8"/>
      <c r="L533" s="8"/>
      <c r="M533" s="8"/>
      <c r="N533" s="8"/>
      <c r="O533" s="8"/>
      <c r="P533" s="8"/>
      <c r="Q533" s="1"/>
    </row>
    <row r="534" spans="1:17" x14ac:dyDescent="0.35">
      <c r="A534" s="6"/>
      <c r="B534" s="81"/>
      <c r="C534" s="83"/>
      <c r="D534" s="8"/>
      <c r="E534" s="8"/>
      <c r="F534" s="8"/>
      <c r="G534" s="8"/>
      <c r="H534" s="8"/>
      <c r="I534" s="8"/>
      <c r="J534" s="8"/>
      <c r="K534" s="8"/>
      <c r="L534" s="8"/>
      <c r="M534" s="8"/>
      <c r="N534" s="8"/>
      <c r="O534" s="8"/>
      <c r="P534" s="8"/>
      <c r="Q534" s="1"/>
    </row>
    <row r="535" spans="1:17" x14ac:dyDescent="0.35">
      <c r="A535" s="6"/>
      <c r="B535" s="81"/>
      <c r="C535" s="83"/>
      <c r="D535" s="8"/>
      <c r="E535" s="8"/>
      <c r="F535" s="8"/>
      <c r="G535" s="8"/>
      <c r="H535" s="8"/>
      <c r="I535" s="8"/>
      <c r="J535" s="8"/>
      <c r="K535" s="8"/>
      <c r="L535" s="8"/>
      <c r="M535" s="8"/>
      <c r="N535" s="8"/>
      <c r="O535" s="8"/>
      <c r="P535" s="8"/>
      <c r="Q535" s="1"/>
    </row>
    <row r="536" spans="1:17" x14ac:dyDescent="0.35">
      <c r="A536" s="6"/>
      <c r="B536" s="81"/>
      <c r="C536" s="83"/>
      <c r="D536" s="8"/>
      <c r="E536" s="8"/>
      <c r="F536" s="8"/>
      <c r="G536" s="8"/>
      <c r="H536" s="8"/>
      <c r="I536" s="8"/>
      <c r="J536" s="8"/>
      <c r="K536" s="8"/>
      <c r="L536" s="8"/>
      <c r="M536" s="8"/>
      <c r="N536" s="8"/>
      <c r="O536" s="8"/>
      <c r="P536" s="8"/>
      <c r="Q536" s="1"/>
    </row>
    <row r="537" spans="1:17" x14ac:dyDescent="0.35">
      <c r="A537" s="6"/>
      <c r="B537" s="81"/>
      <c r="C537" s="83"/>
      <c r="D537" s="8"/>
      <c r="E537" s="8"/>
      <c r="F537" s="8"/>
      <c r="G537" s="8"/>
      <c r="H537" s="8"/>
      <c r="I537" s="8"/>
      <c r="J537" s="8"/>
      <c r="K537" s="8"/>
      <c r="L537" s="8"/>
      <c r="M537" s="8"/>
      <c r="N537" s="8"/>
      <c r="O537" s="8"/>
      <c r="P537" s="8"/>
      <c r="Q537" s="1"/>
    </row>
    <row r="538" spans="1:17" x14ac:dyDescent="0.35">
      <c r="A538" s="6"/>
      <c r="B538" s="81"/>
      <c r="C538" s="83"/>
      <c r="D538" s="8"/>
      <c r="E538" s="8"/>
      <c r="F538" s="8"/>
      <c r="G538" s="8"/>
      <c r="H538" s="8"/>
      <c r="I538" s="8"/>
      <c r="J538" s="8"/>
      <c r="K538" s="8"/>
      <c r="L538" s="8"/>
      <c r="M538" s="8"/>
      <c r="N538" s="8"/>
      <c r="O538" s="8"/>
      <c r="P538" s="8"/>
      <c r="Q538" s="1"/>
    </row>
    <row r="539" spans="1:17" x14ac:dyDescent="0.35">
      <c r="A539" s="6"/>
      <c r="B539" s="81"/>
      <c r="C539" s="83"/>
      <c r="D539" s="8"/>
      <c r="E539" s="8"/>
      <c r="F539" s="8"/>
      <c r="G539" s="8"/>
      <c r="H539" s="8"/>
      <c r="I539" s="8"/>
      <c r="J539" s="8"/>
      <c r="K539" s="8"/>
      <c r="L539" s="8"/>
      <c r="M539" s="8"/>
      <c r="N539" s="8"/>
      <c r="O539" s="8"/>
      <c r="P539" s="8"/>
      <c r="Q539" s="1"/>
    </row>
    <row r="540" spans="1:17" x14ac:dyDescent="0.35">
      <c r="A540" s="6"/>
      <c r="B540" s="81"/>
      <c r="C540" s="83"/>
      <c r="D540" s="8"/>
      <c r="E540" s="8"/>
      <c r="F540" s="8"/>
      <c r="G540" s="8"/>
      <c r="H540" s="8"/>
      <c r="I540" s="8"/>
      <c r="J540" s="8"/>
      <c r="K540" s="8"/>
      <c r="L540" s="8"/>
      <c r="M540" s="8"/>
      <c r="N540" s="8"/>
      <c r="O540" s="8"/>
      <c r="P540" s="8"/>
      <c r="Q540" s="1"/>
    </row>
    <row r="541" spans="1:17" x14ac:dyDescent="0.35">
      <c r="A541" s="6"/>
      <c r="B541" s="81"/>
      <c r="C541" s="83"/>
      <c r="D541" s="8"/>
      <c r="E541" s="8"/>
      <c r="F541" s="8"/>
      <c r="G541" s="8"/>
      <c r="H541" s="8"/>
      <c r="I541" s="8"/>
      <c r="J541" s="8"/>
      <c r="K541" s="8"/>
      <c r="L541" s="8"/>
      <c r="M541" s="8"/>
      <c r="N541" s="8"/>
      <c r="O541" s="8"/>
      <c r="P541" s="8"/>
      <c r="Q541" s="1"/>
    </row>
    <row r="542" spans="1:17" x14ac:dyDescent="0.35">
      <c r="A542" s="6"/>
      <c r="B542" s="81"/>
      <c r="C542" s="83"/>
      <c r="D542" s="8"/>
      <c r="E542" s="8"/>
      <c r="F542" s="8"/>
      <c r="G542" s="8"/>
      <c r="H542" s="8"/>
      <c r="I542" s="8"/>
      <c r="J542" s="8"/>
      <c r="K542" s="8"/>
      <c r="L542" s="8"/>
      <c r="M542" s="8"/>
      <c r="N542" s="8"/>
      <c r="O542" s="8"/>
      <c r="P542" s="8"/>
      <c r="Q542" s="1"/>
    </row>
    <row r="543" spans="1:17" x14ac:dyDescent="0.35">
      <c r="A543" s="6"/>
      <c r="B543" s="81"/>
      <c r="C543" s="83"/>
      <c r="D543" s="8"/>
      <c r="E543" s="8"/>
      <c r="F543" s="8"/>
      <c r="G543" s="8"/>
      <c r="H543" s="8"/>
      <c r="I543" s="8"/>
      <c r="J543" s="8"/>
      <c r="K543" s="8"/>
      <c r="L543" s="8"/>
      <c r="M543" s="8"/>
      <c r="N543" s="8"/>
      <c r="O543" s="8"/>
      <c r="P543" s="8"/>
      <c r="Q543" s="1"/>
    </row>
    <row r="544" spans="1:17" x14ac:dyDescent="0.35">
      <c r="A544" s="6"/>
      <c r="B544" s="81"/>
      <c r="C544" s="83"/>
      <c r="D544" s="8"/>
      <c r="E544" s="8"/>
      <c r="F544" s="8"/>
      <c r="G544" s="8"/>
      <c r="H544" s="8"/>
      <c r="I544" s="8"/>
      <c r="J544" s="8"/>
      <c r="K544" s="8"/>
      <c r="L544" s="8"/>
      <c r="M544" s="8"/>
      <c r="N544" s="8"/>
      <c r="O544" s="8"/>
      <c r="P544" s="8"/>
      <c r="Q544" s="1"/>
    </row>
    <row r="545" spans="1:17" x14ac:dyDescent="0.35">
      <c r="A545" s="6"/>
      <c r="B545" s="81"/>
      <c r="C545" s="83"/>
      <c r="D545" s="8"/>
      <c r="E545" s="8"/>
      <c r="F545" s="8"/>
      <c r="G545" s="8"/>
      <c r="H545" s="8"/>
      <c r="I545" s="8"/>
      <c r="J545" s="8"/>
      <c r="K545" s="8"/>
      <c r="L545" s="8"/>
      <c r="M545" s="8"/>
      <c r="N545" s="8"/>
      <c r="O545" s="8"/>
      <c r="P545" s="8"/>
      <c r="Q545" s="1"/>
    </row>
    <row r="546" spans="1:17" x14ac:dyDescent="0.35">
      <c r="A546" s="6"/>
      <c r="B546" s="81"/>
      <c r="C546" s="83"/>
      <c r="D546" s="8"/>
      <c r="E546" s="8"/>
      <c r="F546" s="8"/>
      <c r="G546" s="8"/>
      <c r="H546" s="8"/>
      <c r="I546" s="8"/>
      <c r="J546" s="8"/>
      <c r="K546" s="8"/>
      <c r="L546" s="8"/>
      <c r="M546" s="8"/>
      <c r="N546" s="8"/>
      <c r="O546" s="8"/>
      <c r="P546" s="8"/>
      <c r="Q546" s="1"/>
    </row>
    <row r="547" spans="1:17" x14ac:dyDescent="0.35">
      <c r="A547" s="6"/>
      <c r="B547" s="81"/>
      <c r="C547" s="83"/>
      <c r="D547" s="8"/>
      <c r="E547" s="8"/>
      <c r="F547" s="8"/>
      <c r="G547" s="8"/>
      <c r="H547" s="8"/>
      <c r="I547" s="8"/>
      <c r="J547" s="8"/>
      <c r="K547" s="8"/>
      <c r="L547" s="8"/>
      <c r="M547" s="8"/>
      <c r="N547" s="8"/>
      <c r="O547" s="8"/>
      <c r="P547" s="8"/>
      <c r="Q547" s="1"/>
    </row>
    <row r="548" spans="1:17" x14ac:dyDescent="0.35">
      <c r="A548" s="6"/>
      <c r="B548" s="81"/>
      <c r="C548" s="83"/>
      <c r="D548" s="8"/>
      <c r="E548" s="8"/>
      <c r="F548" s="8"/>
      <c r="G548" s="8"/>
      <c r="H548" s="8"/>
      <c r="I548" s="8"/>
      <c r="J548" s="8"/>
      <c r="K548" s="8"/>
      <c r="L548" s="8"/>
      <c r="M548" s="8"/>
      <c r="N548" s="8"/>
      <c r="O548" s="8"/>
      <c r="P548" s="8"/>
      <c r="Q548" s="1"/>
    </row>
    <row r="549" spans="1:17" x14ac:dyDescent="0.35">
      <c r="A549" s="6"/>
      <c r="B549" s="81"/>
      <c r="C549" s="83"/>
      <c r="D549" s="8"/>
      <c r="E549" s="8"/>
      <c r="F549" s="8"/>
      <c r="G549" s="8"/>
      <c r="H549" s="8"/>
      <c r="I549" s="8"/>
      <c r="J549" s="8"/>
      <c r="K549" s="8"/>
      <c r="L549" s="8"/>
      <c r="M549" s="8"/>
      <c r="N549" s="8"/>
      <c r="O549" s="8"/>
      <c r="P549" s="8"/>
      <c r="Q549" s="1"/>
    </row>
    <row r="550" spans="1:17" x14ac:dyDescent="0.35">
      <c r="A550" s="6"/>
      <c r="B550" s="81"/>
      <c r="C550" s="83"/>
      <c r="D550" s="8"/>
      <c r="E550" s="8"/>
      <c r="F550" s="8"/>
      <c r="G550" s="8"/>
      <c r="H550" s="8"/>
      <c r="I550" s="8"/>
      <c r="J550" s="8"/>
      <c r="K550" s="8"/>
      <c r="L550" s="8"/>
      <c r="M550" s="8"/>
      <c r="N550" s="8"/>
      <c r="O550" s="8"/>
      <c r="P550" s="8"/>
      <c r="Q550" s="1"/>
    </row>
    <row r="551" spans="1:17" x14ac:dyDescent="0.35">
      <c r="A551" s="6"/>
      <c r="B551" s="81"/>
      <c r="C551" s="83"/>
      <c r="D551" s="8"/>
      <c r="E551" s="8"/>
      <c r="F551" s="8"/>
      <c r="G551" s="8"/>
      <c r="H551" s="8"/>
      <c r="I551" s="8"/>
      <c r="J551" s="8"/>
      <c r="K551" s="8"/>
      <c r="L551" s="8"/>
      <c r="M551" s="8"/>
      <c r="N551" s="8"/>
      <c r="O551" s="8"/>
      <c r="P551" s="8"/>
      <c r="Q551" s="1"/>
    </row>
    <row r="552" spans="1:17" x14ac:dyDescent="0.35">
      <c r="A552" s="6"/>
      <c r="B552" s="81"/>
      <c r="C552" s="83"/>
      <c r="D552" s="8"/>
      <c r="E552" s="8"/>
      <c r="F552" s="8"/>
      <c r="G552" s="8"/>
      <c r="H552" s="8"/>
      <c r="I552" s="8"/>
      <c r="J552" s="8"/>
      <c r="K552" s="8"/>
      <c r="L552" s="8"/>
      <c r="M552" s="8"/>
      <c r="N552" s="8"/>
      <c r="O552" s="8"/>
      <c r="P552" s="8"/>
      <c r="Q552" s="1"/>
    </row>
    <row r="553" spans="1:17" x14ac:dyDescent="0.35">
      <c r="A553" s="6"/>
      <c r="B553" s="81"/>
      <c r="C553" s="83"/>
      <c r="D553" s="8"/>
      <c r="E553" s="8"/>
      <c r="F553" s="8"/>
      <c r="G553" s="8"/>
      <c r="H553" s="8"/>
      <c r="I553" s="8"/>
      <c r="J553" s="8"/>
      <c r="K553" s="8"/>
      <c r="L553" s="8"/>
      <c r="M553" s="8"/>
      <c r="N553" s="8"/>
      <c r="O553" s="8"/>
      <c r="P553" s="8"/>
      <c r="Q553" s="1"/>
    </row>
    <row r="554" spans="1:17" x14ac:dyDescent="0.35">
      <c r="A554" s="6"/>
      <c r="B554" s="81"/>
      <c r="C554" s="83"/>
      <c r="D554" s="8"/>
      <c r="E554" s="8"/>
      <c r="F554" s="8"/>
      <c r="G554" s="8"/>
      <c r="H554" s="8"/>
      <c r="I554" s="8"/>
      <c r="J554" s="8"/>
      <c r="K554" s="8"/>
      <c r="L554" s="8"/>
      <c r="M554" s="8"/>
      <c r="N554" s="8"/>
      <c r="O554" s="8"/>
      <c r="P554" s="8"/>
      <c r="Q554" s="1"/>
    </row>
    <row r="555" spans="1:17" x14ac:dyDescent="0.35">
      <c r="A555" s="6"/>
      <c r="B555" s="81"/>
      <c r="C555" s="83"/>
      <c r="D555" s="8"/>
      <c r="E555" s="8"/>
      <c r="F555" s="8"/>
      <c r="G555" s="8"/>
      <c r="H555" s="8"/>
      <c r="I555" s="8"/>
      <c r="J555" s="8"/>
      <c r="K555" s="8"/>
      <c r="L555" s="8"/>
      <c r="M555" s="8"/>
      <c r="N555" s="8"/>
      <c r="O555" s="8"/>
      <c r="P555" s="8"/>
      <c r="Q555" s="1"/>
    </row>
    <row r="556" spans="1:17" x14ac:dyDescent="0.35">
      <c r="A556" s="6"/>
      <c r="B556" s="81"/>
      <c r="C556" s="83"/>
      <c r="D556" s="8"/>
      <c r="E556" s="8"/>
      <c r="F556" s="8"/>
      <c r="G556" s="8"/>
      <c r="H556" s="8"/>
      <c r="I556" s="8"/>
      <c r="J556" s="8"/>
      <c r="K556" s="8"/>
      <c r="L556" s="8"/>
      <c r="M556" s="8"/>
      <c r="N556" s="8"/>
      <c r="O556" s="8"/>
      <c r="P556" s="8"/>
      <c r="Q556" s="1"/>
    </row>
    <row r="557" spans="1:17" x14ac:dyDescent="0.35">
      <c r="A557" s="6"/>
      <c r="B557" s="81"/>
      <c r="C557" s="83"/>
      <c r="D557" s="8"/>
      <c r="E557" s="8"/>
      <c r="F557" s="8"/>
      <c r="G557" s="8"/>
      <c r="H557" s="8"/>
      <c r="I557" s="8"/>
      <c r="J557" s="8"/>
      <c r="K557" s="8"/>
      <c r="L557" s="8"/>
      <c r="M557" s="8"/>
      <c r="N557" s="8"/>
      <c r="O557" s="8"/>
      <c r="P557" s="8"/>
      <c r="Q557" s="1"/>
    </row>
    <row r="558" spans="1:17" x14ac:dyDescent="0.35">
      <c r="A558" s="6"/>
      <c r="B558" s="81"/>
      <c r="C558" s="83"/>
      <c r="D558" s="8"/>
      <c r="E558" s="8"/>
      <c r="F558" s="8"/>
      <c r="G558" s="8"/>
      <c r="H558" s="8"/>
      <c r="I558" s="8"/>
      <c r="J558" s="8"/>
      <c r="K558" s="8"/>
      <c r="L558" s="8"/>
      <c r="M558" s="8"/>
      <c r="N558" s="8"/>
      <c r="O558" s="8"/>
      <c r="P558" s="8"/>
      <c r="Q558" s="1"/>
    </row>
    <row r="559" spans="1:17" x14ac:dyDescent="0.35">
      <c r="A559" s="6"/>
      <c r="B559" s="81"/>
      <c r="C559" s="83"/>
      <c r="D559" s="8"/>
      <c r="E559" s="8"/>
      <c r="F559" s="8"/>
      <c r="G559" s="8"/>
      <c r="H559" s="8"/>
      <c r="I559" s="8"/>
      <c r="J559" s="8"/>
      <c r="K559" s="8"/>
      <c r="L559" s="8"/>
      <c r="M559" s="8"/>
      <c r="N559" s="8"/>
      <c r="O559" s="8"/>
      <c r="P559" s="8"/>
      <c r="Q559" s="1"/>
    </row>
    <row r="560" spans="1:17" x14ac:dyDescent="0.35">
      <c r="A560" s="6"/>
      <c r="B560" s="81"/>
      <c r="C560" s="83"/>
      <c r="D560" s="8"/>
      <c r="E560" s="8"/>
      <c r="F560" s="8"/>
      <c r="G560" s="8"/>
      <c r="H560" s="8"/>
      <c r="I560" s="8"/>
      <c r="J560" s="8"/>
      <c r="K560" s="8"/>
      <c r="L560" s="8"/>
      <c r="M560" s="8"/>
      <c r="N560" s="8"/>
      <c r="O560" s="8"/>
      <c r="P560" s="8"/>
      <c r="Q560" s="1"/>
    </row>
    <row r="561" spans="1:17" x14ac:dyDescent="0.35">
      <c r="A561" s="6"/>
      <c r="B561" s="81"/>
      <c r="C561" s="83"/>
      <c r="D561" s="8"/>
      <c r="E561" s="8"/>
      <c r="F561" s="8"/>
      <c r="G561" s="8"/>
      <c r="H561" s="8"/>
      <c r="I561" s="8"/>
      <c r="J561" s="8"/>
      <c r="K561" s="8"/>
      <c r="L561" s="8"/>
      <c r="M561" s="8"/>
      <c r="N561" s="8"/>
      <c r="O561" s="8"/>
      <c r="P561" s="8"/>
      <c r="Q561" s="1"/>
    </row>
    <row r="562" spans="1:17" x14ac:dyDescent="0.35">
      <c r="A562" s="6"/>
      <c r="B562" s="81"/>
      <c r="C562" s="83"/>
      <c r="D562" s="8"/>
      <c r="E562" s="8"/>
      <c r="F562" s="8"/>
      <c r="G562" s="8"/>
      <c r="H562" s="8"/>
      <c r="I562" s="8"/>
      <c r="J562" s="8"/>
      <c r="K562" s="8"/>
      <c r="L562" s="8"/>
      <c r="M562" s="8"/>
      <c r="N562" s="8"/>
      <c r="O562" s="8"/>
      <c r="P562" s="8"/>
      <c r="Q562" s="1"/>
    </row>
    <row r="563" spans="1:17" x14ac:dyDescent="0.35">
      <c r="A563" s="6"/>
      <c r="B563" s="81"/>
      <c r="C563" s="83"/>
      <c r="D563" s="8"/>
      <c r="E563" s="8"/>
      <c r="F563" s="8"/>
      <c r="G563" s="8"/>
      <c r="H563" s="8"/>
      <c r="I563" s="8"/>
      <c r="J563" s="8"/>
      <c r="K563" s="8"/>
      <c r="L563" s="8"/>
      <c r="M563" s="8"/>
      <c r="N563" s="8"/>
      <c r="O563" s="8"/>
      <c r="P563" s="8"/>
      <c r="Q563" s="1"/>
    </row>
    <row r="564" spans="1:17" x14ac:dyDescent="0.35">
      <c r="A564" s="6"/>
      <c r="B564" s="81"/>
      <c r="C564" s="83"/>
      <c r="D564" s="8"/>
      <c r="E564" s="8"/>
      <c r="F564" s="8"/>
      <c r="G564" s="8"/>
      <c r="H564" s="8"/>
      <c r="I564" s="8"/>
      <c r="J564" s="8"/>
      <c r="K564" s="8"/>
      <c r="L564" s="8"/>
      <c r="M564" s="8"/>
      <c r="N564" s="8"/>
      <c r="O564" s="8"/>
      <c r="P564" s="8"/>
      <c r="Q564" s="1"/>
    </row>
    <row r="565" spans="1:17" x14ac:dyDescent="0.35">
      <c r="A565" s="6"/>
      <c r="B565" s="81"/>
      <c r="C565" s="83"/>
      <c r="D565" s="8"/>
      <c r="E565" s="8"/>
      <c r="F565" s="8"/>
      <c r="G565" s="8"/>
      <c r="H565" s="8"/>
      <c r="I565" s="8"/>
      <c r="J565" s="8"/>
      <c r="K565" s="8"/>
      <c r="L565" s="8"/>
      <c r="M565" s="8"/>
      <c r="N565" s="8"/>
      <c r="O565" s="8"/>
      <c r="P565" s="8"/>
      <c r="Q565" s="1"/>
    </row>
    <row r="566" spans="1:17" x14ac:dyDescent="0.35">
      <c r="A566" s="6"/>
      <c r="B566" s="81"/>
      <c r="C566" s="83"/>
      <c r="D566" s="8"/>
      <c r="E566" s="8"/>
      <c r="F566" s="8"/>
      <c r="G566" s="8"/>
      <c r="H566" s="8"/>
      <c r="I566" s="8"/>
      <c r="J566" s="8"/>
      <c r="K566" s="8"/>
      <c r="L566" s="8"/>
      <c r="M566" s="8"/>
      <c r="N566" s="8"/>
      <c r="O566" s="8"/>
      <c r="P566" s="8"/>
      <c r="Q566" s="1"/>
    </row>
    <row r="567" spans="1:17" x14ac:dyDescent="0.35">
      <c r="A567" s="6"/>
      <c r="B567" s="81"/>
      <c r="C567" s="83"/>
      <c r="D567" s="8"/>
      <c r="E567" s="8"/>
      <c r="F567" s="8"/>
      <c r="G567" s="8"/>
      <c r="H567" s="8"/>
      <c r="I567" s="8"/>
      <c r="J567" s="8"/>
      <c r="K567" s="8"/>
      <c r="L567" s="8"/>
      <c r="M567" s="8"/>
      <c r="N567" s="8"/>
      <c r="O567" s="8"/>
      <c r="P567" s="8"/>
      <c r="Q567" s="1"/>
    </row>
    <row r="568" spans="1:17" x14ac:dyDescent="0.35">
      <c r="A568" s="6"/>
      <c r="B568" s="81"/>
      <c r="C568" s="83"/>
      <c r="D568" s="8"/>
      <c r="E568" s="8"/>
      <c r="F568" s="8"/>
      <c r="G568" s="8"/>
      <c r="H568" s="8"/>
      <c r="I568" s="8"/>
      <c r="J568" s="8"/>
      <c r="K568" s="8"/>
      <c r="L568" s="8"/>
      <c r="M568" s="8"/>
      <c r="N568" s="8"/>
      <c r="O568" s="8"/>
      <c r="P568" s="8"/>
      <c r="Q568" s="1"/>
    </row>
    <row r="569" spans="1:17" x14ac:dyDescent="0.35">
      <c r="A569" s="6"/>
      <c r="B569" s="81"/>
      <c r="C569" s="83"/>
      <c r="D569" s="8"/>
      <c r="E569" s="8"/>
      <c r="F569" s="8"/>
      <c r="G569" s="8"/>
      <c r="H569" s="8"/>
      <c r="I569" s="8"/>
      <c r="J569" s="8"/>
      <c r="K569" s="8"/>
      <c r="L569" s="8"/>
      <c r="M569" s="8"/>
      <c r="N569" s="8"/>
      <c r="O569" s="8"/>
      <c r="P569" s="8"/>
      <c r="Q569" s="1"/>
    </row>
    <row r="570" spans="1:17" x14ac:dyDescent="0.35">
      <c r="A570" s="6"/>
      <c r="B570" s="81"/>
      <c r="C570" s="83"/>
      <c r="D570" s="8"/>
      <c r="E570" s="8"/>
      <c r="F570" s="8"/>
      <c r="G570" s="8"/>
      <c r="H570" s="8"/>
      <c r="I570" s="8"/>
      <c r="J570" s="8"/>
      <c r="K570" s="8"/>
      <c r="L570" s="8"/>
      <c r="M570" s="8"/>
      <c r="N570" s="8"/>
      <c r="O570" s="8"/>
      <c r="P570" s="8"/>
      <c r="Q570" s="1"/>
    </row>
    <row r="571" spans="1:17" x14ac:dyDescent="0.35">
      <c r="A571" s="6"/>
      <c r="B571" s="81"/>
      <c r="C571" s="83"/>
      <c r="D571" s="8"/>
      <c r="E571" s="8"/>
      <c r="F571" s="8"/>
      <c r="G571" s="8"/>
      <c r="H571" s="8"/>
      <c r="I571" s="8"/>
      <c r="J571" s="8"/>
      <c r="K571" s="8"/>
      <c r="L571" s="8"/>
      <c r="M571" s="8"/>
      <c r="N571" s="8"/>
      <c r="O571" s="8"/>
      <c r="P571" s="8"/>
      <c r="Q571" s="1"/>
    </row>
    <row r="572" spans="1:17" x14ac:dyDescent="0.35">
      <c r="A572" s="6"/>
      <c r="B572" s="81"/>
      <c r="C572" s="83"/>
      <c r="D572" s="8"/>
      <c r="E572" s="8"/>
      <c r="F572" s="8"/>
      <c r="G572" s="8"/>
      <c r="H572" s="8"/>
      <c r="I572" s="8"/>
      <c r="J572" s="8"/>
      <c r="K572" s="8"/>
      <c r="L572" s="8"/>
      <c r="M572" s="8"/>
      <c r="N572" s="8"/>
      <c r="O572" s="8"/>
      <c r="P572" s="8"/>
      <c r="Q572" s="1"/>
    </row>
    <row r="573" spans="1:17" x14ac:dyDescent="0.35">
      <c r="A573" s="6"/>
      <c r="B573" s="81"/>
      <c r="C573" s="83"/>
      <c r="D573" s="8"/>
      <c r="E573" s="8"/>
      <c r="F573" s="8"/>
      <c r="G573" s="8"/>
      <c r="H573" s="8"/>
      <c r="I573" s="8"/>
      <c r="J573" s="8"/>
      <c r="K573" s="8"/>
      <c r="L573" s="8"/>
      <c r="M573" s="8"/>
      <c r="N573" s="8"/>
      <c r="O573" s="8"/>
      <c r="P573" s="8"/>
      <c r="Q573" s="1"/>
    </row>
    <row r="574" spans="1:17" x14ac:dyDescent="0.35">
      <c r="A574" s="6"/>
      <c r="B574" s="81"/>
      <c r="C574" s="83"/>
      <c r="D574" s="8"/>
      <c r="E574" s="8"/>
      <c r="F574" s="8"/>
      <c r="G574" s="8"/>
      <c r="H574" s="8"/>
      <c r="I574" s="8"/>
      <c r="J574" s="8"/>
      <c r="K574" s="8"/>
      <c r="L574" s="8"/>
      <c r="M574" s="8"/>
      <c r="N574" s="8"/>
      <c r="O574" s="8"/>
      <c r="P574" s="8"/>
      <c r="Q574" s="1"/>
    </row>
    <row r="575" spans="1:17" x14ac:dyDescent="0.35">
      <c r="A575" s="6"/>
      <c r="B575" s="81"/>
      <c r="C575" s="83"/>
      <c r="D575" s="8"/>
      <c r="E575" s="8"/>
      <c r="F575" s="8"/>
      <c r="G575" s="8"/>
      <c r="H575" s="8"/>
      <c r="I575" s="8"/>
      <c r="J575" s="8"/>
      <c r="K575" s="8"/>
      <c r="L575" s="8"/>
      <c r="M575" s="8"/>
      <c r="N575" s="8"/>
      <c r="O575" s="8"/>
      <c r="P575" s="8"/>
      <c r="Q575" s="1"/>
    </row>
    <row r="576" spans="1:17" x14ac:dyDescent="0.35">
      <c r="A576" s="6"/>
      <c r="B576" s="81"/>
      <c r="C576" s="83"/>
      <c r="D576" s="8"/>
      <c r="E576" s="8"/>
      <c r="F576" s="8"/>
      <c r="G576" s="8"/>
      <c r="H576" s="8"/>
      <c r="I576" s="8"/>
      <c r="J576" s="8"/>
      <c r="K576" s="8"/>
      <c r="L576" s="8"/>
      <c r="M576" s="8"/>
      <c r="N576" s="8"/>
      <c r="O576" s="8"/>
      <c r="P576" s="8"/>
      <c r="Q576" s="1"/>
    </row>
    <row r="577" spans="1:17" x14ac:dyDescent="0.35">
      <c r="A577" s="6"/>
      <c r="B577" s="81"/>
      <c r="C577" s="83"/>
      <c r="D577" s="8"/>
      <c r="E577" s="8"/>
      <c r="F577" s="8"/>
      <c r="G577" s="8"/>
      <c r="H577" s="8"/>
      <c r="I577" s="8"/>
      <c r="J577" s="8"/>
      <c r="K577" s="8"/>
      <c r="L577" s="8"/>
      <c r="M577" s="8"/>
      <c r="N577" s="8"/>
      <c r="O577" s="8"/>
      <c r="P577" s="8"/>
      <c r="Q577" s="1"/>
    </row>
    <row r="578" spans="1:17" x14ac:dyDescent="0.35">
      <c r="A578" s="6"/>
      <c r="B578" s="81"/>
      <c r="C578" s="83"/>
      <c r="D578" s="8"/>
      <c r="E578" s="8"/>
      <c r="F578" s="8"/>
      <c r="G578" s="8"/>
      <c r="H578" s="8"/>
      <c r="I578" s="8"/>
      <c r="J578" s="8"/>
      <c r="K578" s="8"/>
      <c r="L578" s="8"/>
      <c r="M578" s="8"/>
      <c r="N578" s="8"/>
      <c r="O578" s="8"/>
      <c r="P578" s="8"/>
      <c r="Q578" s="1"/>
    </row>
    <row r="579" spans="1:17" x14ac:dyDescent="0.35">
      <c r="A579" s="6"/>
      <c r="B579" s="81"/>
      <c r="C579" s="83"/>
      <c r="D579" s="8"/>
      <c r="E579" s="8"/>
      <c r="F579" s="8"/>
      <c r="G579" s="8"/>
      <c r="H579" s="8"/>
      <c r="I579" s="8"/>
      <c r="J579" s="8"/>
      <c r="K579" s="8"/>
      <c r="L579" s="8"/>
      <c r="M579" s="8"/>
      <c r="N579" s="8"/>
      <c r="O579" s="8"/>
      <c r="P579" s="8"/>
      <c r="Q579" s="1"/>
    </row>
    <row r="580" spans="1:17" x14ac:dyDescent="0.35">
      <c r="A580" s="6"/>
      <c r="B580" s="81"/>
      <c r="C580" s="83"/>
      <c r="D580" s="8"/>
      <c r="E580" s="8"/>
      <c r="F580" s="8"/>
      <c r="G580" s="8"/>
      <c r="H580" s="8"/>
      <c r="I580" s="8"/>
      <c r="J580" s="8"/>
      <c r="K580" s="8"/>
      <c r="L580" s="8"/>
      <c r="M580" s="8"/>
      <c r="N580" s="8"/>
      <c r="O580" s="8"/>
      <c r="P580" s="8"/>
      <c r="Q580" s="1"/>
    </row>
    <row r="581" spans="1:17" x14ac:dyDescent="0.35">
      <c r="A581" s="6"/>
      <c r="B581" s="81"/>
      <c r="C581" s="83"/>
      <c r="D581" s="8"/>
      <c r="E581" s="8"/>
      <c r="F581" s="8"/>
      <c r="G581" s="8"/>
      <c r="H581" s="8"/>
      <c r="I581" s="8"/>
      <c r="J581" s="8"/>
      <c r="K581" s="8"/>
      <c r="L581" s="8"/>
      <c r="M581" s="8"/>
      <c r="N581" s="8"/>
      <c r="O581" s="8"/>
      <c r="P581" s="8"/>
      <c r="Q581" s="1"/>
    </row>
    <row r="582" spans="1:17" x14ac:dyDescent="0.35">
      <c r="A582" s="6"/>
      <c r="B582" s="81"/>
      <c r="C582" s="83"/>
      <c r="D582" s="8"/>
      <c r="E582" s="8"/>
      <c r="F582" s="8"/>
      <c r="G582" s="8"/>
      <c r="H582" s="8"/>
      <c r="I582" s="8"/>
      <c r="J582" s="8"/>
      <c r="K582" s="8"/>
      <c r="L582" s="8"/>
      <c r="M582" s="8"/>
      <c r="N582" s="8"/>
      <c r="O582" s="8"/>
      <c r="P582" s="8"/>
      <c r="Q582" s="1"/>
    </row>
    <row r="583" spans="1:17" x14ac:dyDescent="0.35">
      <c r="A583" s="6"/>
      <c r="B583" s="81"/>
      <c r="C583" s="83"/>
      <c r="D583" s="8"/>
      <c r="E583" s="8"/>
      <c r="F583" s="8"/>
      <c r="G583" s="8"/>
      <c r="H583" s="8"/>
      <c r="I583" s="8"/>
      <c r="J583" s="8"/>
      <c r="K583" s="8"/>
      <c r="L583" s="8"/>
      <c r="M583" s="8"/>
      <c r="N583" s="8"/>
      <c r="O583" s="8"/>
      <c r="P583" s="8"/>
      <c r="Q583" s="1"/>
    </row>
    <row r="584" spans="1:17" x14ac:dyDescent="0.35">
      <c r="A584" s="6"/>
      <c r="B584" s="81"/>
      <c r="C584" s="83"/>
      <c r="D584" s="8"/>
      <c r="E584" s="8"/>
      <c r="F584" s="8"/>
      <c r="G584" s="8"/>
      <c r="H584" s="8"/>
      <c r="I584" s="8"/>
      <c r="J584" s="8"/>
      <c r="K584" s="8"/>
      <c r="L584" s="8"/>
      <c r="M584" s="8"/>
      <c r="N584" s="8"/>
      <c r="O584" s="8"/>
      <c r="P584" s="8"/>
      <c r="Q584" s="1"/>
    </row>
    <row r="585" spans="1:17" x14ac:dyDescent="0.35">
      <c r="A585" s="6"/>
      <c r="B585" s="81"/>
      <c r="C585" s="83"/>
      <c r="D585" s="8"/>
      <c r="E585" s="8"/>
      <c r="F585" s="8"/>
      <c r="G585" s="8"/>
      <c r="H585" s="8"/>
      <c r="I585" s="8"/>
      <c r="J585" s="8"/>
      <c r="K585" s="8"/>
      <c r="L585" s="8"/>
      <c r="M585" s="8"/>
      <c r="N585" s="8"/>
      <c r="O585" s="8"/>
      <c r="P585" s="8"/>
      <c r="Q585" s="1"/>
    </row>
    <row r="586" spans="1:17" x14ac:dyDescent="0.35">
      <c r="A586" s="6"/>
      <c r="B586" s="81"/>
      <c r="C586" s="83"/>
      <c r="D586" s="8"/>
      <c r="E586" s="8"/>
      <c r="F586" s="8"/>
      <c r="G586" s="8"/>
      <c r="H586" s="8"/>
      <c r="I586" s="8"/>
      <c r="J586" s="8"/>
      <c r="K586" s="8"/>
      <c r="L586" s="8"/>
      <c r="M586" s="8"/>
      <c r="N586" s="8"/>
      <c r="O586" s="8"/>
      <c r="P586" s="8"/>
      <c r="Q586" s="1"/>
    </row>
    <row r="587" spans="1:17" x14ac:dyDescent="0.35">
      <c r="A587" s="6"/>
      <c r="B587" s="81"/>
      <c r="C587" s="83"/>
      <c r="D587" s="8"/>
      <c r="E587" s="8"/>
      <c r="F587" s="8"/>
      <c r="G587" s="8"/>
      <c r="H587" s="8"/>
      <c r="I587" s="8"/>
      <c r="J587" s="8"/>
      <c r="K587" s="8"/>
      <c r="L587" s="8"/>
      <c r="M587" s="8"/>
      <c r="N587" s="8"/>
      <c r="O587" s="8"/>
      <c r="P587" s="8"/>
      <c r="Q587" s="1"/>
    </row>
    <row r="588" spans="1:17" x14ac:dyDescent="0.35">
      <c r="A588" s="6"/>
      <c r="B588" s="81"/>
      <c r="C588" s="83"/>
      <c r="D588" s="8"/>
      <c r="E588" s="8"/>
      <c r="F588" s="8"/>
      <c r="G588" s="8"/>
      <c r="H588" s="8"/>
      <c r="I588" s="8"/>
      <c r="J588" s="8"/>
      <c r="K588" s="8"/>
      <c r="L588" s="8"/>
      <c r="M588" s="8"/>
      <c r="N588" s="8"/>
      <c r="O588" s="8"/>
      <c r="P588" s="8"/>
      <c r="Q588" s="1"/>
    </row>
    <row r="589" spans="1:17" x14ac:dyDescent="0.35">
      <c r="A589" s="6"/>
      <c r="B589" s="81"/>
      <c r="C589" s="83"/>
      <c r="D589" s="8"/>
      <c r="E589" s="8"/>
      <c r="F589" s="8"/>
      <c r="G589" s="8"/>
      <c r="H589" s="8"/>
      <c r="I589" s="8"/>
      <c r="J589" s="8"/>
      <c r="K589" s="8"/>
      <c r="L589" s="8"/>
      <c r="M589" s="8"/>
      <c r="N589" s="8"/>
      <c r="O589" s="8"/>
      <c r="P589" s="8"/>
      <c r="Q589" s="1"/>
    </row>
    <row r="590" spans="1:17" x14ac:dyDescent="0.35">
      <c r="A590" s="6"/>
      <c r="B590" s="81"/>
      <c r="C590" s="83"/>
      <c r="D590" s="8"/>
      <c r="E590" s="8"/>
      <c r="F590" s="8"/>
      <c r="G590" s="8"/>
      <c r="H590" s="8"/>
      <c r="I590" s="8"/>
      <c r="J590" s="8"/>
      <c r="K590" s="8"/>
      <c r="L590" s="8"/>
      <c r="M590" s="8"/>
      <c r="N590" s="8"/>
      <c r="O590" s="8"/>
      <c r="P590" s="8"/>
      <c r="Q590" s="1"/>
    </row>
    <row r="591" spans="1:17" x14ac:dyDescent="0.35">
      <c r="A591" s="6"/>
      <c r="B591" s="81"/>
      <c r="C591" s="83"/>
      <c r="D591" s="8"/>
      <c r="E591" s="8"/>
      <c r="F591" s="8"/>
      <c r="G591" s="8"/>
      <c r="H591" s="8"/>
      <c r="I591" s="8"/>
      <c r="J591" s="8"/>
      <c r="K591" s="8"/>
      <c r="L591" s="8"/>
      <c r="M591" s="8"/>
      <c r="N591" s="8"/>
      <c r="O591" s="8"/>
      <c r="P591" s="8"/>
      <c r="Q591" s="1"/>
    </row>
    <row r="592" spans="1:17" x14ac:dyDescent="0.35">
      <c r="A592" s="6"/>
      <c r="B592" s="81"/>
      <c r="C592" s="83"/>
      <c r="D592" s="8"/>
      <c r="E592" s="8"/>
      <c r="F592" s="8"/>
      <c r="G592" s="8"/>
      <c r="H592" s="8"/>
      <c r="I592" s="8"/>
      <c r="J592" s="8"/>
      <c r="K592" s="8"/>
      <c r="L592" s="8"/>
      <c r="M592" s="8"/>
      <c r="N592" s="8"/>
      <c r="O592" s="8"/>
      <c r="P592" s="8"/>
      <c r="Q592" s="1"/>
    </row>
    <row r="593" spans="1:17" x14ac:dyDescent="0.35">
      <c r="A593" s="6"/>
      <c r="B593" s="81"/>
      <c r="C593" s="83"/>
      <c r="D593" s="8"/>
      <c r="E593" s="8"/>
      <c r="F593" s="8"/>
      <c r="G593" s="8"/>
      <c r="H593" s="8"/>
      <c r="I593" s="8"/>
      <c r="J593" s="8"/>
      <c r="K593" s="8"/>
      <c r="L593" s="8"/>
      <c r="M593" s="8"/>
      <c r="N593" s="8"/>
      <c r="O593" s="8"/>
      <c r="P593" s="8"/>
      <c r="Q593" s="1"/>
    </row>
    <row r="594" spans="1:17" x14ac:dyDescent="0.35">
      <c r="A594" s="6"/>
      <c r="B594" s="81"/>
      <c r="C594" s="83"/>
      <c r="D594" s="8"/>
      <c r="E594" s="8"/>
      <c r="F594" s="8"/>
      <c r="G594" s="8"/>
      <c r="H594" s="8"/>
      <c r="I594" s="8"/>
      <c r="J594" s="8"/>
      <c r="K594" s="8"/>
      <c r="L594" s="8"/>
      <c r="M594" s="8"/>
      <c r="N594" s="8"/>
      <c r="O594" s="8"/>
      <c r="P594" s="8"/>
      <c r="Q594" s="1"/>
    </row>
    <row r="595" spans="1:17" x14ac:dyDescent="0.35">
      <c r="A595" s="6"/>
      <c r="B595" s="81"/>
      <c r="C595" s="83"/>
      <c r="D595" s="8"/>
      <c r="E595" s="8"/>
      <c r="F595" s="8"/>
      <c r="G595" s="8"/>
      <c r="H595" s="8"/>
      <c r="I595" s="8"/>
      <c r="J595" s="8"/>
      <c r="K595" s="8"/>
      <c r="L595" s="8"/>
      <c r="M595" s="8"/>
      <c r="N595" s="8"/>
      <c r="O595" s="8"/>
      <c r="P595" s="8"/>
      <c r="Q595" s="1"/>
    </row>
    <row r="596" spans="1:17" x14ac:dyDescent="0.35">
      <c r="A596" s="6"/>
      <c r="B596" s="81"/>
      <c r="C596" s="83"/>
      <c r="D596" s="8"/>
      <c r="E596" s="8"/>
      <c r="F596" s="8"/>
      <c r="G596" s="8"/>
      <c r="H596" s="8"/>
      <c r="I596" s="8"/>
      <c r="J596" s="8"/>
      <c r="K596" s="8"/>
      <c r="L596" s="8"/>
      <c r="M596" s="8"/>
      <c r="N596" s="8"/>
      <c r="O596" s="8"/>
      <c r="P596" s="8"/>
      <c r="Q596" s="1"/>
    </row>
    <row r="597" spans="1:17" x14ac:dyDescent="0.35">
      <c r="A597" s="6"/>
      <c r="B597" s="81"/>
      <c r="C597" s="83"/>
      <c r="D597" s="8"/>
      <c r="E597" s="8"/>
      <c r="F597" s="8"/>
      <c r="G597" s="8"/>
      <c r="H597" s="8"/>
      <c r="I597" s="8"/>
      <c r="J597" s="8"/>
      <c r="K597" s="8"/>
      <c r="L597" s="8"/>
      <c r="M597" s="8"/>
      <c r="N597" s="8"/>
      <c r="O597" s="8"/>
      <c r="P597" s="8"/>
      <c r="Q597" s="1"/>
    </row>
    <row r="598" spans="1:17" x14ac:dyDescent="0.35">
      <c r="A598" s="6"/>
      <c r="B598" s="81"/>
      <c r="C598" s="83"/>
      <c r="D598" s="8"/>
      <c r="E598" s="8"/>
      <c r="F598" s="8"/>
      <c r="G598" s="8"/>
      <c r="H598" s="8"/>
      <c r="I598" s="8"/>
      <c r="J598" s="8"/>
      <c r="K598" s="8"/>
      <c r="L598" s="8"/>
      <c r="M598" s="8"/>
      <c r="N598" s="8"/>
      <c r="O598" s="8"/>
      <c r="P598" s="8"/>
      <c r="Q598" s="1"/>
    </row>
    <row r="599" spans="1:17" x14ac:dyDescent="0.35">
      <c r="A599" s="6"/>
      <c r="B599" s="81"/>
      <c r="C599" s="83"/>
      <c r="D599" s="8"/>
      <c r="E599" s="8"/>
      <c r="F599" s="8"/>
      <c r="G599" s="8"/>
      <c r="H599" s="8"/>
      <c r="I599" s="8"/>
      <c r="J599" s="8"/>
      <c r="K599" s="8"/>
      <c r="L599" s="8"/>
      <c r="M599" s="8"/>
      <c r="N599" s="8"/>
      <c r="O599" s="8"/>
      <c r="P599" s="8"/>
      <c r="Q599" s="1"/>
    </row>
    <row r="600" spans="1:17" x14ac:dyDescent="0.35">
      <c r="A600" s="6"/>
      <c r="B600" s="81"/>
      <c r="C600" s="83"/>
      <c r="D600" s="8"/>
      <c r="E600" s="8"/>
      <c r="F600" s="8"/>
      <c r="G600" s="8"/>
      <c r="H600" s="8"/>
      <c r="I600" s="8"/>
      <c r="J600" s="8"/>
      <c r="K600" s="8"/>
      <c r="L600" s="8"/>
      <c r="M600" s="8"/>
      <c r="N600" s="8"/>
      <c r="O600" s="8"/>
      <c r="P600" s="8"/>
      <c r="Q600" s="1"/>
    </row>
    <row r="601" spans="1:17" x14ac:dyDescent="0.35">
      <c r="A601" s="6"/>
      <c r="B601" s="81"/>
      <c r="C601" s="83"/>
      <c r="D601" s="8"/>
      <c r="E601" s="8"/>
      <c r="F601" s="8"/>
      <c r="G601" s="8"/>
      <c r="H601" s="8"/>
      <c r="I601" s="8"/>
      <c r="J601" s="8"/>
      <c r="K601" s="8"/>
      <c r="L601" s="8"/>
      <c r="M601" s="8"/>
      <c r="N601" s="8"/>
      <c r="O601" s="8"/>
      <c r="P601" s="8"/>
      <c r="Q601" s="1"/>
    </row>
    <row r="602" spans="1:17" x14ac:dyDescent="0.35">
      <c r="A602" s="6"/>
      <c r="B602" s="81"/>
      <c r="C602" s="83"/>
      <c r="D602" s="8"/>
      <c r="E602" s="8"/>
      <c r="F602" s="8"/>
      <c r="G602" s="8"/>
      <c r="H602" s="8"/>
      <c r="I602" s="8"/>
      <c r="J602" s="8"/>
      <c r="K602" s="8"/>
      <c r="L602" s="8"/>
      <c r="M602" s="8"/>
      <c r="N602" s="8"/>
      <c r="O602" s="8"/>
      <c r="P602" s="8"/>
      <c r="Q602" s="1"/>
    </row>
    <row r="603" spans="1:17" x14ac:dyDescent="0.35">
      <c r="A603" s="6"/>
      <c r="B603" s="81"/>
      <c r="C603" s="83"/>
      <c r="D603" s="8"/>
      <c r="E603" s="8"/>
      <c r="F603" s="8"/>
      <c r="G603" s="8"/>
      <c r="H603" s="8"/>
      <c r="I603" s="8"/>
      <c r="J603" s="8"/>
      <c r="K603" s="8"/>
      <c r="L603" s="8"/>
      <c r="M603" s="8"/>
      <c r="N603" s="8"/>
      <c r="O603" s="8"/>
      <c r="P603" s="8"/>
      <c r="Q603" s="1"/>
    </row>
    <row r="604" spans="1:17" x14ac:dyDescent="0.35">
      <c r="A604" s="6"/>
      <c r="B604" s="81"/>
      <c r="C604" s="83"/>
      <c r="D604" s="8"/>
      <c r="E604" s="8"/>
      <c r="F604" s="8"/>
      <c r="G604" s="8"/>
      <c r="H604" s="8"/>
      <c r="I604" s="8"/>
      <c r="J604" s="8"/>
      <c r="K604" s="8"/>
      <c r="L604" s="8"/>
      <c r="M604" s="8"/>
      <c r="N604" s="8"/>
      <c r="O604" s="8"/>
      <c r="P604" s="8"/>
      <c r="Q604" s="1"/>
    </row>
    <row r="605" spans="1:17" x14ac:dyDescent="0.35">
      <c r="A605" s="6"/>
      <c r="B605" s="81"/>
      <c r="C605" s="83"/>
      <c r="D605" s="8"/>
      <c r="E605" s="8"/>
      <c r="F605" s="8"/>
      <c r="G605" s="8"/>
      <c r="H605" s="8"/>
      <c r="I605" s="8"/>
      <c r="J605" s="8"/>
      <c r="K605" s="8"/>
      <c r="L605" s="8"/>
      <c r="M605" s="8"/>
      <c r="N605" s="8"/>
      <c r="O605" s="8"/>
      <c r="P605" s="8"/>
      <c r="Q605" s="1"/>
    </row>
    <row r="606" spans="1:17" x14ac:dyDescent="0.35">
      <c r="A606" s="6"/>
      <c r="B606" s="81"/>
      <c r="C606" s="83"/>
      <c r="D606" s="8"/>
      <c r="E606" s="8"/>
      <c r="F606" s="8"/>
      <c r="G606" s="8"/>
      <c r="H606" s="8"/>
      <c r="I606" s="8"/>
      <c r="J606" s="8"/>
      <c r="K606" s="8"/>
      <c r="L606" s="8"/>
      <c r="M606" s="8"/>
      <c r="N606" s="8"/>
      <c r="O606" s="8"/>
      <c r="P606" s="8"/>
      <c r="Q606" s="1"/>
    </row>
    <row r="607" spans="1:17" x14ac:dyDescent="0.35">
      <c r="A607" s="6"/>
      <c r="B607" s="81"/>
      <c r="C607" s="83"/>
      <c r="D607" s="8"/>
      <c r="E607" s="8"/>
      <c r="F607" s="8"/>
      <c r="G607" s="8"/>
      <c r="H607" s="8"/>
      <c r="I607" s="8"/>
      <c r="J607" s="8"/>
      <c r="K607" s="8"/>
      <c r="L607" s="8"/>
      <c r="M607" s="8"/>
      <c r="N607" s="8"/>
      <c r="O607" s="8"/>
      <c r="P607" s="8"/>
      <c r="Q607" s="1"/>
    </row>
    <row r="608" spans="1:17" x14ac:dyDescent="0.35">
      <c r="A608" s="6"/>
      <c r="B608" s="81"/>
      <c r="C608" s="83"/>
      <c r="D608" s="8"/>
      <c r="E608" s="8"/>
      <c r="F608" s="8"/>
      <c r="G608" s="8"/>
      <c r="H608" s="8"/>
      <c r="I608" s="8"/>
      <c r="J608" s="8"/>
      <c r="K608" s="8"/>
      <c r="L608" s="8"/>
      <c r="M608" s="8"/>
      <c r="N608" s="8"/>
      <c r="O608" s="8"/>
      <c r="P608" s="8"/>
      <c r="Q608" s="1"/>
    </row>
    <row r="609" spans="1:17" x14ac:dyDescent="0.35">
      <c r="A609" s="6"/>
      <c r="B609" s="81"/>
      <c r="C609" s="83"/>
      <c r="D609" s="8"/>
      <c r="E609" s="8"/>
      <c r="F609" s="8"/>
      <c r="G609" s="8"/>
      <c r="H609" s="8"/>
      <c r="I609" s="8"/>
      <c r="J609" s="8"/>
      <c r="K609" s="8"/>
      <c r="L609" s="8"/>
      <c r="M609" s="8"/>
      <c r="N609" s="8"/>
      <c r="O609" s="8"/>
      <c r="P609" s="8"/>
      <c r="Q609" s="1"/>
    </row>
    <row r="610" spans="1:17" x14ac:dyDescent="0.35">
      <c r="A610" s="6"/>
      <c r="B610" s="81"/>
      <c r="C610" s="83"/>
      <c r="D610" s="8"/>
      <c r="E610" s="8"/>
      <c r="F610" s="8"/>
      <c r="G610" s="8"/>
      <c r="H610" s="8"/>
      <c r="I610" s="8"/>
      <c r="J610" s="8"/>
      <c r="K610" s="8"/>
      <c r="L610" s="8"/>
      <c r="M610" s="8"/>
      <c r="N610" s="8"/>
      <c r="O610" s="8"/>
      <c r="P610" s="8"/>
      <c r="Q610" s="1"/>
    </row>
    <row r="611" spans="1:17" x14ac:dyDescent="0.35">
      <c r="A611" s="6"/>
      <c r="B611" s="81"/>
      <c r="C611" s="83"/>
      <c r="D611" s="8"/>
      <c r="E611" s="8"/>
      <c r="F611" s="8"/>
      <c r="G611" s="8"/>
      <c r="H611" s="8"/>
      <c r="I611" s="8"/>
      <c r="J611" s="8"/>
      <c r="K611" s="8"/>
      <c r="L611" s="8"/>
      <c r="M611" s="8"/>
      <c r="N611" s="8"/>
      <c r="O611" s="8"/>
      <c r="P611" s="8"/>
      <c r="Q611" s="1"/>
    </row>
    <row r="612" spans="1:17" x14ac:dyDescent="0.35">
      <c r="A612" s="6"/>
      <c r="B612" s="81"/>
      <c r="C612" s="83"/>
      <c r="D612" s="8"/>
      <c r="E612" s="8"/>
      <c r="F612" s="8"/>
      <c r="G612" s="8"/>
      <c r="H612" s="8"/>
      <c r="I612" s="8"/>
      <c r="J612" s="8"/>
      <c r="K612" s="8"/>
      <c r="L612" s="8"/>
      <c r="M612" s="8"/>
      <c r="N612" s="8"/>
      <c r="O612" s="8"/>
      <c r="P612" s="8"/>
      <c r="Q612" s="1"/>
    </row>
    <row r="613" spans="1:17" x14ac:dyDescent="0.35">
      <c r="A613" s="6"/>
      <c r="B613" s="81"/>
      <c r="C613" s="83"/>
      <c r="D613" s="8"/>
      <c r="E613" s="8"/>
      <c r="F613" s="8"/>
      <c r="G613" s="8"/>
      <c r="H613" s="8"/>
      <c r="I613" s="8"/>
      <c r="J613" s="8"/>
      <c r="K613" s="8"/>
      <c r="L613" s="8"/>
      <c r="M613" s="8"/>
      <c r="N613" s="8"/>
      <c r="O613" s="8"/>
      <c r="P613" s="8"/>
      <c r="Q613" s="1"/>
    </row>
    <row r="614" spans="1:17" x14ac:dyDescent="0.35">
      <c r="A614" s="6"/>
      <c r="B614" s="81"/>
      <c r="C614" s="83"/>
      <c r="D614" s="8"/>
      <c r="E614" s="8"/>
      <c r="F614" s="8"/>
      <c r="G614" s="8"/>
      <c r="H614" s="8"/>
      <c r="I614" s="8"/>
      <c r="J614" s="8"/>
      <c r="K614" s="8"/>
      <c r="L614" s="8"/>
      <c r="M614" s="8"/>
      <c r="N614" s="8"/>
      <c r="O614" s="8"/>
      <c r="P614" s="8"/>
      <c r="Q614" s="1"/>
    </row>
    <row r="615" spans="1:17" x14ac:dyDescent="0.35">
      <c r="A615" s="6"/>
      <c r="B615" s="81"/>
      <c r="C615" s="83"/>
      <c r="D615" s="8"/>
      <c r="E615" s="8"/>
      <c r="F615" s="8"/>
      <c r="G615" s="8"/>
      <c r="H615" s="8"/>
      <c r="I615" s="8"/>
      <c r="J615" s="8"/>
      <c r="K615" s="8"/>
      <c r="L615" s="8"/>
      <c r="M615" s="8"/>
      <c r="N615" s="8"/>
      <c r="O615" s="8"/>
      <c r="P615" s="8"/>
      <c r="Q615" s="1"/>
    </row>
    <row r="616" spans="1:17" x14ac:dyDescent="0.35">
      <c r="A616" s="6"/>
      <c r="B616" s="81"/>
      <c r="C616" s="83"/>
      <c r="D616" s="8"/>
      <c r="E616" s="8"/>
      <c r="F616" s="8"/>
      <c r="G616" s="8"/>
      <c r="H616" s="8"/>
      <c r="I616" s="8"/>
      <c r="J616" s="8"/>
      <c r="K616" s="8"/>
      <c r="L616" s="8"/>
      <c r="M616" s="8"/>
      <c r="N616" s="8"/>
      <c r="O616" s="8"/>
      <c r="P616" s="8"/>
      <c r="Q616" s="1"/>
    </row>
    <row r="617" spans="1:17" x14ac:dyDescent="0.35">
      <c r="A617" s="6"/>
      <c r="B617" s="81"/>
      <c r="C617" s="83"/>
      <c r="D617" s="8"/>
      <c r="E617" s="8"/>
      <c r="F617" s="8"/>
      <c r="G617" s="8"/>
      <c r="H617" s="8"/>
      <c r="I617" s="8"/>
      <c r="J617" s="8"/>
      <c r="K617" s="8"/>
      <c r="L617" s="8"/>
      <c r="M617" s="8"/>
      <c r="N617" s="8"/>
      <c r="O617" s="8"/>
      <c r="P617" s="8"/>
      <c r="Q617" s="1"/>
    </row>
    <row r="618" spans="1:17" x14ac:dyDescent="0.35">
      <c r="A618" s="6"/>
      <c r="B618" s="81"/>
      <c r="C618" s="83"/>
      <c r="D618" s="8"/>
      <c r="E618" s="8"/>
      <c r="F618" s="8"/>
      <c r="G618" s="8"/>
      <c r="H618" s="8"/>
      <c r="I618" s="8"/>
      <c r="J618" s="8"/>
      <c r="K618" s="8"/>
      <c r="L618" s="8"/>
      <c r="M618" s="8"/>
      <c r="N618" s="8"/>
      <c r="O618" s="8"/>
      <c r="P618" s="8"/>
      <c r="Q618" s="1"/>
    </row>
    <row r="619" spans="1:17" x14ac:dyDescent="0.35">
      <c r="A619" s="6"/>
      <c r="B619" s="81"/>
      <c r="C619" s="83"/>
      <c r="D619" s="8"/>
      <c r="E619" s="8"/>
      <c r="F619" s="8"/>
      <c r="G619" s="8"/>
      <c r="H619" s="8"/>
      <c r="I619" s="8"/>
      <c r="J619" s="8"/>
      <c r="K619" s="8"/>
      <c r="L619" s="8"/>
      <c r="M619" s="8"/>
      <c r="N619" s="8"/>
      <c r="O619" s="8"/>
      <c r="P619" s="8"/>
      <c r="Q619" s="1"/>
    </row>
    <row r="620" spans="1:17" x14ac:dyDescent="0.35">
      <c r="A620" s="6"/>
      <c r="B620" s="81"/>
      <c r="C620" s="83"/>
      <c r="D620" s="8"/>
      <c r="E620" s="8"/>
      <c r="F620" s="8"/>
      <c r="G620" s="8"/>
      <c r="H620" s="8"/>
      <c r="I620" s="8"/>
      <c r="J620" s="8"/>
      <c r="K620" s="8"/>
      <c r="L620" s="8"/>
      <c r="M620" s="8"/>
      <c r="N620" s="8"/>
      <c r="O620" s="8"/>
      <c r="P620" s="8"/>
      <c r="Q620" s="1"/>
    </row>
    <row r="621" spans="1:17" x14ac:dyDescent="0.35">
      <c r="A621" s="6"/>
      <c r="B621" s="81"/>
      <c r="C621" s="83"/>
      <c r="D621" s="8"/>
      <c r="E621" s="8"/>
      <c r="F621" s="8"/>
      <c r="G621" s="8"/>
      <c r="H621" s="8"/>
      <c r="I621" s="8"/>
      <c r="J621" s="8"/>
      <c r="K621" s="8"/>
      <c r="L621" s="8"/>
      <c r="M621" s="8"/>
      <c r="N621" s="8"/>
      <c r="O621" s="8"/>
      <c r="P621" s="8"/>
      <c r="Q621" s="1"/>
    </row>
    <row r="622" spans="1:17" x14ac:dyDescent="0.35">
      <c r="A622" s="6"/>
      <c r="B622" s="81"/>
      <c r="C622" s="83"/>
      <c r="D622" s="8"/>
      <c r="E622" s="8"/>
      <c r="F622" s="8"/>
      <c r="G622" s="8"/>
      <c r="H622" s="8"/>
      <c r="I622" s="8"/>
      <c r="J622" s="8"/>
      <c r="K622" s="8"/>
      <c r="L622" s="8"/>
      <c r="M622" s="8"/>
      <c r="N622" s="8"/>
      <c r="O622" s="8"/>
      <c r="P622" s="8"/>
      <c r="Q622" s="1"/>
    </row>
    <row r="623" spans="1:17" x14ac:dyDescent="0.35">
      <c r="A623" s="6"/>
      <c r="B623" s="81"/>
      <c r="C623" s="83"/>
      <c r="D623" s="8"/>
      <c r="E623" s="8"/>
      <c r="F623" s="8"/>
      <c r="G623" s="8"/>
      <c r="H623" s="8"/>
      <c r="I623" s="8"/>
      <c r="J623" s="8"/>
      <c r="K623" s="8"/>
      <c r="L623" s="8"/>
      <c r="M623" s="8"/>
      <c r="N623" s="8"/>
      <c r="O623" s="8"/>
      <c r="P623" s="8"/>
      <c r="Q623" s="1"/>
    </row>
    <row r="624" spans="1:17" x14ac:dyDescent="0.35">
      <c r="A624" s="6"/>
      <c r="B624" s="81"/>
      <c r="C624" s="83"/>
      <c r="D624" s="8"/>
      <c r="E624" s="8"/>
      <c r="F624" s="8"/>
      <c r="G624" s="8"/>
      <c r="H624" s="8"/>
      <c r="I624" s="8"/>
      <c r="J624" s="8"/>
      <c r="K624" s="8"/>
      <c r="L624" s="8"/>
      <c r="M624" s="8"/>
      <c r="N624" s="8"/>
      <c r="O624" s="8"/>
      <c r="P624" s="8"/>
      <c r="Q624" s="1"/>
    </row>
    <row r="625" spans="1:17" x14ac:dyDescent="0.35">
      <c r="A625" s="6"/>
      <c r="B625" s="81"/>
      <c r="C625" s="83"/>
      <c r="D625" s="8"/>
      <c r="E625" s="8"/>
      <c r="F625" s="8"/>
      <c r="G625" s="8"/>
      <c r="H625" s="8"/>
      <c r="I625" s="8"/>
      <c r="J625" s="8"/>
      <c r="K625" s="8"/>
      <c r="L625" s="8"/>
      <c r="M625" s="8"/>
      <c r="N625" s="8"/>
      <c r="O625" s="8"/>
      <c r="P625" s="8"/>
      <c r="Q625" s="1"/>
    </row>
    <row r="626" spans="1:17" x14ac:dyDescent="0.35">
      <c r="A626" s="6"/>
      <c r="B626" s="81"/>
      <c r="C626" s="83"/>
      <c r="D626" s="8"/>
      <c r="E626" s="8"/>
      <c r="F626" s="8"/>
      <c r="G626" s="8"/>
      <c r="H626" s="8"/>
      <c r="I626" s="8"/>
      <c r="J626" s="8"/>
      <c r="K626" s="8"/>
      <c r="L626" s="8"/>
      <c r="M626" s="8"/>
      <c r="N626" s="8"/>
      <c r="O626" s="8"/>
      <c r="P626" s="8"/>
      <c r="Q626" s="1"/>
    </row>
    <row r="627" spans="1:17" x14ac:dyDescent="0.35">
      <c r="A627" s="6"/>
      <c r="B627" s="81"/>
      <c r="C627" s="83"/>
      <c r="D627" s="8"/>
      <c r="E627" s="8"/>
      <c r="F627" s="8"/>
      <c r="G627" s="8"/>
      <c r="H627" s="8"/>
      <c r="I627" s="8"/>
      <c r="J627" s="8"/>
      <c r="K627" s="8"/>
      <c r="L627" s="8"/>
      <c r="M627" s="8"/>
      <c r="N627" s="8"/>
      <c r="O627" s="8"/>
      <c r="P627" s="8"/>
      <c r="Q627" s="1"/>
    </row>
    <row r="628" spans="1:17" x14ac:dyDescent="0.35">
      <c r="A628" s="6"/>
      <c r="B628" s="81"/>
      <c r="C628" s="83"/>
      <c r="D628" s="8"/>
      <c r="E628" s="8"/>
      <c r="F628" s="8"/>
      <c r="G628" s="8"/>
      <c r="H628" s="8"/>
      <c r="I628" s="8"/>
      <c r="J628" s="8"/>
      <c r="K628" s="8"/>
      <c r="L628" s="8"/>
      <c r="M628" s="8"/>
      <c r="N628" s="8"/>
      <c r="O628" s="8"/>
      <c r="P628" s="8"/>
      <c r="Q628" s="1"/>
    </row>
    <row r="629" spans="1:17" x14ac:dyDescent="0.35">
      <c r="A629" s="6"/>
      <c r="B629" s="81"/>
      <c r="C629" s="83"/>
      <c r="D629" s="8"/>
      <c r="E629" s="8"/>
      <c r="F629" s="8"/>
      <c r="G629" s="8"/>
      <c r="H629" s="8"/>
      <c r="I629" s="8"/>
      <c r="J629" s="8"/>
      <c r="K629" s="8"/>
      <c r="L629" s="8"/>
      <c r="M629" s="8"/>
      <c r="N629" s="8"/>
      <c r="O629" s="8"/>
      <c r="P629" s="8"/>
      <c r="Q629" s="1"/>
    </row>
    <row r="630" spans="1:17" x14ac:dyDescent="0.35">
      <c r="A630" s="6"/>
      <c r="B630" s="81"/>
      <c r="C630" s="83"/>
      <c r="D630" s="8"/>
      <c r="E630" s="8"/>
      <c r="F630" s="8"/>
      <c r="G630" s="8"/>
      <c r="H630" s="8"/>
      <c r="I630" s="8"/>
      <c r="J630" s="8"/>
      <c r="K630" s="8"/>
      <c r="L630" s="8"/>
      <c r="M630" s="8"/>
      <c r="N630" s="8"/>
      <c r="O630" s="8"/>
      <c r="P630" s="8"/>
      <c r="Q630" s="1"/>
    </row>
    <row r="631" spans="1:17" x14ac:dyDescent="0.35">
      <c r="A631" s="6"/>
      <c r="B631" s="81"/>
      <c r="C631" s="83"/>
      <c r="D631" s="8"/>
      <c r="E631" s="8"/>
      <c r="F631" s="8"/>
      <c r="G631" s="8"/>
      <c r="H631" s="8"/>
      <c r="I631" s="8"/>
      <c r="J631" s="8"/>
      <c r="K631" s="8"/>
      <c r="L631" s="8"/>
      <c r="M631" s="8"/>
      <c r="N631" s="8"/>
      <c r="O631" s="8"/>
      <c r="P631" s="8"/>
      <c r="Q631" s="1"/>
    </row>
    <row r="632" spans="1:17" x14ac:dyDescent="0.35">
      <c r="A632" s="6"/>
      <c r="B632" s="81"/>
      <c r="C632" s="83"/>
      <c r="D632" s="8"/>
      <c r="E632" s="8"/>
      <c r="F632" s="8"/>
      <c r="G632" s="8"/>
      <c r="H632" s="8"/>
      <c r="I632" s="8"/>
      <c r="J632" s="8"/>
      <c r="K632" s="8"/>
      <c r="L632" s="8"/>
      <c r="M632" s="8"/>
      <c r="N632" s="8"/>
      <c r="O632" s="8"/>
      <c r="P632" s="8"/>
      <c r="Q632" s="1"/>
    </row>
    <row r="633" spans="1:17" x14ac:dyDescent="0.35">
      <c r="A633" s="6"/>
      <c r="B633" s="81"/>
      <c r="C633" s="83"/>
      <c r="D633" s="8"/>
      <c r="E633" s="8"/>
      <c r="F633" s="8"/>
      <c r="G633" s="8"/>
      <c r="H633" s="8"/>
      <c r="I633" s="8"/>
      <c r="J633" s="8"/>
      <c r="K633" s="8"/>
      <c r="L633" s="8"/>
      <c r="M633" s="8"/>
      <c r="N633" s="8"/>
      <c r="O633" s="8"/>
      <c r="P633" s="8"/>
      <c r="Q633" s="1"/>
    </row>
    <row r="634" spans="1:17" x14ac:dyDescent="0.35">
      <c r="A634" s="6"/>
      <c r="B634" s="81"/>
      <c r="C634" s="83"/>
      <c r="D634" s="8"/>
      <c r="E634" s="8"/>
      <c r="F634" s="8"/>
      <c r="G634" s="8"/>
      <c r="H634" s="8"/>
      <c r="I634" s="8"/>
      <c r="J634" s="8"/>
      <c r="K634" s="8"/>
      <c r="L634" s="8"/>
      <c r="M634" s="8"/>
      <c r="N634" s="8"/>
      <c r="O634" s="8"/>
      <c r="P634" s="8"/>
      <c r="Q634" s="1"/>
    </row>
    <row r="635" spans="1:17" x14ac:dyDescent="0.35">
      <c r="A635" s="6"/>
      <c r="B635" s="81"/>
      <c r="C635" s="83"/>
      <c r="D635" s="8"/>
      <c r="E635" s="8"/>
      <c r="F635" s="8"/>
      <c r="G635" s="8"/>
      <c r="H635" s="8"/>
      <c r="I635" s="8"/>
      <c r="J635" s="8"/>
      <c r="K635" s="8"/>
      <c r="L635" s="8"/>
      <c r="M635" s="8"/>
      <c r="N635" s="8"/>
      <c r="O635" s="8"/>
      <c r="P635" s="8"/>
      <c r="Q635" s="1"/>
    </row>
    <row r="636" spans="1:17" x14ac:dyDescent="0.35">
      <c r="A636" s="6"/>
      <c r="B636" s="81"/>
      <c r="C636" s="83"/>
      <c r="D636" s="8"/>
      <c r="E636" s="8"/>
      <c r="F636" s="8"/>
      <c r="G636" s="8"/>
      <c r="H636" s="8"/>
      <c r="I636" s="8"/>
      <c r="J636" s="8"/>
      <c r="K636" s="8"/>
      <c r="L636" s="8"/>
      <c r="M636" s="8"/>
      <c r="N636" s="8"/>
      <c r="O636" s="8"/>
      <c r="P636" s="8"/>
      <c r="Q636" s="1"/>
    </row>
    <row r="637" spans="1:17" x14ac:dyDescent="0.35">
      <c r="A637" s="6"/>
      <c r="B637" s="81"/>
      <c r="C637" s="83"/>
      <c r="D637" s="8"/>
      <c r="E637" s="8"/>
      <c r="F637" s="8"/>
      <c r="G637" s="8"/>
      <c r="H637" s="8"/>
      <c r="I637" s="8"/>
      <c r="J637" s="8"/>
      <c r="K637" s="8"/>
      <c r="L637" s="8"/>
      <c r="M637" s="8"/>
      <c r="N637" s="8"/>
      <c r="O637" s="8"/>
      <c r="P637" s="8"/>
      <c r="Q637" s="1"/>
    </row>
    <row r="638" spans="1:17" x14ac:dyDescent="0.35">
      <c r="A638" s="6"/>
      <c r="B638" s="81"/>
      <c r="C638" s="83"/>
      <c r="D638" s="8"/>
      <c r="E638" s="8"/>
      <c r="F638" s="8"/>
      <c r="G638" s="8"/>
      <c r="H638" s="8"/>
      <c r="I638" s="8"/>
      <c r="J638" s="8"/>
      <c r="K638" s="8"/>
      <c r="L638" s="8"/>
      <c r="M638" s="8"/>
      <c r="N638" s="8"/>
      <c r="O638" s="8"/>
      <c r="P638" s="8"/>
      <c r="Q638" s="1"/>
    </row>
    <row r="639" spans="1:17" x14ac:dyDescent="0.35">
      <c r="A639" s="6"/>
      <c r="B639" s="81"/>
      <c r="C639" s="83"/>
      <c r="D639" s="8"/>
      <c r="E639" s="8"/>
      <c r="F639" s="8"/>
      <c r="G639" s="8"/>
      <c r="H639" s="8"/>
      <c r="I639" s="8"/>
      <c r="J639" s="8"/>
      <c r="K639" s="8"/>
      <c r="L639" s="8"/>
      <c r="M639" s="8"/>
      <c r="N639" s="8"/>
      <c r="O639" s="8"/>
      <c r="P639" s="8"/>
      <c r="Q639" s="1"/>
    </row>
    <row r="640" spans="1:17" x14ac:dyDescent="0.35">
      <c r="A640" s="6"/>
      <c r="B640" s="81"/>
      <c r="C640" s="83"/>
      <c r="D640" s="8"/>
      <c r="E640" s="8"/>
      <c r="F640" s="8"/>
      <c r="G640" s="8"/>
      <c r="H640" s="8"/>
      <c r="I640" s="8"/>
      <c r="J640" s="8"/>
      <c r="K640" s="8"/>
      <c r="L640" s="8"/>
      <c r="M640" s="8"/>
      <c r="N640" s="8"/>
      <c r="O640" s="8"/>
      <c r="P640" s="8"/>
      <c r="Q640" s="1"/>
    </row>
    <row r="641" spans="1:17" x14ac:dyDescent="0.35">
      <c r="A641" s="6"/>
      <c r="B641" s="81"/>
      <c r="C641" s="83"/>
      <c r="D641" s="8"/>
      <c r="E641" s="8"/>
      <c r="F641" s="8"/>
      <c r="G641" s="8"/>
      <c r="H641" s="8"/>
      <c r="I641" s="8"/>
      <c r="J641" s="8"/>
      <c r="K641" s="8"/>
      <c r="L641" s="8"/>
      <c r="M641" s="8"/>
      <c r="N641" s="8"/>
      <c r="O641" s="8"/>
      <c r="P641" s="8"/>
      <c r="Q641" s="1"/>
    </row>
    <row r="642" spans="1:17" x14ac:dyDescent="0.35">
      <c r="A642" s="6"/>
      <c r="B642" s="81"/>
      <c r="C642" s="83"/>
      <c r="D642" s="8"/>
      <c r="E642" s="8"/>
      <c r="F642" s="8"/>
      <c r="G642" s="8"/>
      <c r="H642" s="8"/>
      <c r="I642" s="8"/>
      <c r="J642" s="8"/>
      <c r="K642" s="8"/>
      <c r="L642" s="8"/>
      <c r="M642" s="8"/>
      <c r="N642" s="8"/>
      <c r="O642" s="8"/>
      <c r="P642" s="8"/>
      <c r="Q642" s="1"/>
    </row>
    <row r="643" spans="1:17" x14ac:dyDescent="0.35">
      <c r="A643" s="6"/>
      <c r="B643" s="81"/>
      <c r="C643" s="83"/>
      <c r="D643" s="8"/>
      <c r="E643" s="8"/>
      <c r="F643" s="8"/>
      <c r="G643" s="8"/>
      <c r="H643" s="8"/>
      <c r="I643" s="8"/>
      <c r="J643" s="8"/>
      <c r="K643" s="8"/>
      <c r="L643" s="8"/>
      <c r="M643" s="8"/>
      <c r="N643" s="8"/>
      <c r="O643" s="8"/>
      <c r="P643" s="8"/>
      <c r="Q643" s="1"/>
    </row>
    <row r="644" spans="1:17" x14ac:dyDescent="0.35">
      <c r="A644" s="6"/>
      <c r="B644" s="81"/>
      <c r="C644" s="83"/>
      <c r="D644" s="8"/>
      <c r="E644" s="8"/>
      <c r="F644" s="8"/>
      <c r="G644" s="8"/>
      <c r="H644" s="8"/>
      <c r="I644" s="8"/>
      <c r="J644" s="8"/>
      <c r="K644" s="8"/>
      <c r="L644" s="8"/>
      <c r="M644" s="8"/>
      <c r="N644" s="8"/>
      <c r="O644" s="8"/>
      <c r="P644" s="8"/>
      <c r="Q644" s="1"/>
    </row>
    <row r="645" spans="1:17" x14ac:dyDescent="0.35">
      <c r="A645" s="6"/>
      <c r="B645" s="81"/>
      <c r="C645" s="83"/>
      <c r="D645" s="8"/>
      <c r="E645" s="8"/>
      <c r="F645" s="8"/>
      <c r="G645" s="8"/>
      <c r="H645" s="8"/>
      <c r="I645" s="8"/>
      <c r="J645" s="8"/>
      <c r="K645" s="8"/>
      <c r="L645" s="8"/>
      <c r="M645" s="8"/>
      <c r="N645" s="8"/>
      <c r="O645" s="8"/>
      <c r="P645" s="8"/>
      <c r="Q645" s="1"/>
    </row>
    <row r="646" spans="1:17" x14ac:dyDescent="0.35">
      <c r="A646" s="6"/>
      <c r="B646" s="81"/>
      <c r="C646" s="83"/>
      <c r="D646" s="8"/>
      <c r="E646" s="8"/>
      <c r="F646" s="8"/>
      <c r="G646" s="8"/>
      <c r="H646" s="8"/>
      <c r="I646" s="8"/>
      <c r="J646" s="8"/>
      <c r="K646" s="8"/>
      <c r="L646" s="8"/>
      <c r="M646" s="8"/>
      <c r="N646" s="8"/>
      <c r="O646" s="8"/>
      <c r="P646" s="8"/>
      <c r="Q646" s="1"/>
    </row>
    <row r="647" spans="1:17" x14ac:dyDescent="0.35">
      <c r="A647" s="6"/>
      <c r="B647" s="81"/>
      <c r="C647" s="83"/>
      <c r="D647" s="8"/>
      <c r="E647" s="8"/>
      <c r="F647" s="8"/>
      <c r="G647" s="8"/>
      <c r="H647" s="8"/>
      <c r="I647" s="8"/>
      <c r="J647" s="8"/>
      <c r="K647" s="8"/>
      <c r="L647" s="8"/>
      <c r="M647" s="8"/>
      <c r="N647" s="8"/>
      <c r="O647" s="8"/>
      <c r="P647" s="8"/>
      <c r="Q647" s="1"/>
    </row>
    <row r="648" spans="1:17" x14ac:dyDescent="0.35">
      <c r="A648" s="6"/>
      <c r="B648" s="81"/>
      <c r="C648" s="83"/>
      <c r="D648" s="8"/>
      <c r="E648" s="8"/>
      <c r="F648" s="8"/>
      <c r="G648" s="8"/>
      <c r="H648" s="8"/>
      <c r="I648" s="8"/>
      <c r="J648" s="8"/>
      <c r="K648" s="8"/>
      <c r="L648" s="8"/>
      <c r="M648" s="8"/>
      <c r="N648" s="8"/>
      <c r="O648" s="8"/>
      <c r="P648" s="8"/>
      <c r="Q648" s="1"/>
    </row>
    <row r="649" spans="1:17" x14ac:dyDescent="0.35">
      <c r="A649" s="6"/>
      <c r="B649" s="81"/>
      <c r="C649" s="83"/>
      <c r="D649" s="8"/>
      <c r="E649" s="8"/>
      <c r="F649" s="8"/>
      <c r="G649" s="8"/>
      <c r="H649" s="8"/>
      <c r="I649" s="8"/>
      <c r="J649" s="8"/>
      <c r="K649" s="8"/>
      <c r="L649" s="8"/>
      <c r="M649" s="8"/>
      <c r="N649" s="8"/>
      <c r="O649" s="8"/>
      <c r="P649" s="8"/>
      <c r="Q649" s="1"/>
    </row>
    <row r="650" spans="1:17" x14ac:dyDescent="0.35">
      <c r="A650" s="6"/>
      <c r="B650" s="81"/>
      <c r="C650" s="83"/>
      <c r="D650" s="8"/>
      <c r="E650" s="8"/>
      <c r="F650" s="8"/>
      <c r="G650" s="8"/>
      <c r="H650" s="8"/>
      <c r="I650" s="8"/>
      <c r="J650" s="8"/>
      <c r="K650" s="8"/>
      <c r="L650" s="8"/>
      <c r="M650" s="8"/>
      <c r="N650" s="8"/>
      <c r="O650" s="8"/>
      <c r="P650" s="8"/>
      <c r="Q650" s="1"/>
    </row>
    <row r="651" spans="1:17" x14ac:dyDescent="0.35">
      <c r="A651" s="6"/>
      <c r="B651" s="81"/>
      <c r="C651" s="83"/>
      <c r="D651" s="8"/>
      <c r="E651" s="8"/>
      <c r="F651" s="8"/>
      <c r="G651" s="8"/>
      <c r="H651" s="8"/>
      <c r="I651" s="8"/>
      <c r="J651" s="8"/>
      <c r="K651" s="8"/>
      <c r="L651" s="8"/>
      <c r="M651" s="8"/>
      <c r="N651" s="8"/>
      <c r="O651" s="8"/>
      <c r="P651" s="8"/>
      <c r="Q651" s="1"/>
    </row>
    <row r="652" spans="1:17" x14ac:dyDescent="0.35">
      <c r="A652" s="6"/>
      <c r="B652" s="81"/>
      <c r="C652" s="83"/>
      <c r="D652" s="8"/>
      <c r="E652" s="8"/>
      <c r="F652" s="8"/>
      <c r="G652" s="8"/>
      <c r="H652" s="8"/>
      <c r="I652" s="8"/>
      <c r="J652" s="8"/>
      <c r="K652" s="8"/>
      <c r="L652" s="8"/>
      <c r="M652" s="8"/>
      <c r="N652" s="8"/>
      <c r="O652" s="8"/>
      <c r="P652" s="8"/>
      <c r="Q652" s="1"/>
    </row>
    <row r="653" spans="1:17" x14ac:dyDescent="0.35">
      <c r="A653" s="6"/>
      <c r="B653" s="81"/>
      <c r="C653" s="83"/>
      <c r="D653" s="8"/>
      <c r="E653" s="8"/>
      <c r="F653" s="8"/>
      <c r="G653" s="8"/>
      <c r="H653" s="8"/>
      <c r="I653" s="8"/>
      <c r="J653" s="8"/>
      <c r="K653" s="8"/>
      <c r="L653" s="8"/>
      <c r="M653" s="8"/>
      <c r="N653" s="8"/>
      <c r="O653" s="8"/>
      <c r="P653" s="8"/>
      <c r="Q653" s="1"/>
    </row>
    <row r="654" spans="1:17" x14ac:dyDescent="0.35">
      <c r="A654" s="6"/>
      <c r="B654" s="81"/>
      <c r="C654" s="83"/>
      <c r="D654" s="8"/>
      <c r="E654" s="8"/>
      <c r="F654" s="8"/>
      <c r="G654" s="8"/>
      <c r="H654" s="8"/>
      <c r="I654" s="8"/>
      <c r="J654" s="8"/>
      <c r="K654" s="8"/>
      <c r="L654" s="8"/>
      <c r="M654" s="8"/>
      <c r="N654" s="8"/>
      <c r="O654" s="8"/>
      <c r="P654" s="8"/>
      <c r="Q654" s="1"/>
    </row>
    <row r="655" spans="1:17" x14ac:dyDescent="0.35">
      <c r="A655" s="6"/>
      <c r="B655" s="81"/>
      <c r="C655" s="83"/>
      <c r="D655" s="8"/>
      <c r="E655" s="8"/>
      <c r="F655" s="8"/>
      <c r="G655" s="8"/>
      <c r="H655" s="8"/>
      <c r="I655" s="8"/>
      <c r="J655" s="8"/>
      <c r="K655" s="8"/>
      <c r="L655" s="8"/>
      <c r="M655" s="8"/>
      <c r="N655" s="8"/>
      <c r="O655" s="8"/>
      <c r="P655" s="8"/>
      <c r="Q655" s="1"/>
    </row>
    <row r="656" spans="1:17" x14ac:dyDescent="0.35">
      <c r="A656" s="6"/>
      <c r="B656" s="81"/>
      <c r="C656" s="83"/>
      <c r="D656" s="8"/>
      <c r="E656" s="8"/>
      <c r="F656" s="8"/>
      <c r="G656" s="8"/>
      <c r="H656" s="8"/>
      <c r="I656" s="8"/>
      <c r="J656" s="8"/>
      <c r="K656" s="8"/>
      <c r="L656" s="8"/>
      <c r="M656" s="8"/>
      <c r="N656" s="8"/>
      <c r="O656" s="8"/>
      <c r="P656" s="8"/>
      <c r="Q656" s="1"/>
    </row>
    <row r="657" spans="1:17" x14ac:dyDescent="0.35">
      <c r="A657" s="6"/>
      <c r="B657" s="81"/>
      <c r="C657" s="83"/>
      <c r="D657" s="8"/>
      <c r="E657" s="8"/>
      <c r="F657" s="8"/>
      <c r="G657" s="8"/>
      <c r="H657" s="8"/>
      <c r="I657" s="8"/>
      <c r="J657" s="8"/>
      <c r="K657" s="8"/>
      <c r="L657" s="8"/>
      <c r="M657" s="8"/>
      <c r="N657" s="8"/>
      <c r="O657" s="8"/>
      <c r="P657" s="8"/>
      <c r="Q657" s="1"/>
    </row>
    <row r="658" spans="1:17" x14ac:dyDescent="0.35">
      <c r="A658" s="6"/>
      <c r="B658" s="81"/>
      <c r="C658" s="83"/>
      <c r="D658" s="8"/>
      <c r="E658" s="8"/>
      <c r="F658" s="8"/>
      <c r="G658" s="8"/>
      <c r="H658" s="8"/>
      <c r="I658" s="8"/>
      <c r="J658" s="8"/>
      <c r="K658" s="8"/>
      <c r="L658" s="8"/>
      <c r="M658" s="8"/>
      <c r="N658" s="8"/>
      <c r="O658" s="8"/>
      <c r="P658" s="8"/>
      <c r="Q658" s="1"/>
    </row>
    <row r="659" spans="1:17" x14ac:dyDescent="0.35">
      <c r="A659" s="6"/>
      <c r="B659" s="81"/>
      <c r="C659" s="83"/>
      <c r="D659" s="8"/>
      <c r="E659" s="8"/>
      <c r="F659" s="8"/>
      <c r="G659" s="8"/>
      <c r="H659" s="8"/>
      <c r="I659" s="8"/>
      <c r="J659" s="8"/>
      <c r="K659" s="8"/>
      <c r="L659" s="8"/>
      <c r="M659" s="8"/>
      <c r="N659" s="8"/>
      <c r="O659" s="8"/>
      <c r="P659" s="8"/>
      <c r="Q659" s="1"/>
    </row>
    <row r="660" spans="1:17" x14ac:dyDescent="0.35">
      <c r="A660" s="6"/>
      <c r="B660" s="81"/>
      <c r="C660" s="83"/>
      <c r="D660" s="8"/>
      <c r="E660" s="8"/>
      <c r="F660" s="8"/>
      <c r="G660" s="8"/>
      <c r="H660" s="8"/>
      <c r="I660" s="8"/>
      <c r="J660" s="8"/>
      <c r="K660" s="8"/>
      <c r="L660" s="8"/>
      <c r="M660" s="8"/>
      <c r="N660" s="8"/>
      <c r="O660" s="8"/>
      <c r="P660" s="8"/>
      <c r="Q660" s="1"/>
    </row>
    <row r="661" spans="1:17" x14ac:dyDescent="0.35">
      <c r="A661" s="6"/>
      <c r="B661" s="81"/>
      <c r="C661" s="83"/>
      <c r="D661" s="8"/>
      <c r="E661" s="8"/>
      <c r="F661" s="8"/>
      <c r="G661" s="8"/>
      <c r="H661" s="8"/>
      <c r="I661" s="8"/>
      <c r="J661" s="8"/>
      <c r="K661" s="8"/>
      <c r="L661" s="8"/>
      <c r="M661" s="8"/>
      <c r="N661" s="8"/>
      <c r="O661" s="8"/>
      <c r="P661" s="8"/>
      <c r="Q661" s="1"/>
    </row>
    <row r="662" spans="1:17" x14ac:dyDescent="0.35">
      <c r="A662" s="6"/>
      <c r="B662" s="81"/>
      <c r="C662" s="83"/>
      <c r="D662" s="8"/>
      <c r="E662" s="8"/>
      <c r="F662" s="8"/>
      <c r="G662" s="8"/>
      <c r="H662" s="8"/>
      <c r="I662" s="8"/>
      <c r="J662" s="8"/>
      <c r="K662" s="8"/>
      <c r="L662" s="8"/>
      <c r="M662" s="8"/>
      <c r="N662" s="8"/>
      <c r="O662" s="8"/>
      <c r="P662" s="8"/>
      <c r="Q662" s="1"/>
    </row>
    <row r="663" spans="1:17" x14ac:dyDescent="0.35">
      <c r="A663" s="6"/>
      <c r="B663" s="81"/>
      <c r="C663" s="83"/>
      <c r="D663" s="8"/>
      <c r="E663" s="8"/>
      <c r="F663" s="8"/>
      <c r="G663" s="8"/>
      <c r="H663" s="8"/>
      <c r="I663" s="8"/>
      <c r="J663" s="8"/>
      <c r="K663" s="8"/>
      <c r="L663" s="8"/>
      <c r="M663" s="8"/>
      <c r="N663" s="8"/>
      <c r="O663" s="8"/>
      <c r="P663" s="8"/>
      <c r="Q663" s="1"/>
    </row>
    <row r="664" spans="1:17" x14ac:dyDescent="0.35">
      <c r="A664" s="6"/>
      <c r="B664" s="81"/>
      <c r="C664" s="83"/>
      <c r="D664" s="8"/>
      <c r="E664" s="8"/>
      <c r="F664" s="8"/>
      <c r="G664" s="8"/>
      <c r="H664" s="8"/>
      <c r="I664" s="8"/>
      <c r="J664" s="8"/>
      <c r="K664" s="8"/>
      <c r="L664" s="8"/>
      <c r="M664" s="8"/>
      <c r="N664" s="8"/>
      <c r="O664" s="8"/>
      <c r="P664" s="8"/>
      <c r="Q664" s="1"/>
    </row>
    <row r="665" spans="1:17" x14ac:dyDescent="0.35">
      <c r="A665" s="6"/>
      <c r="B665" s="81"/>
      <c r="C665" s="83"/>
      <c r="D665" s="8"/>
      <c r="E665" s="8"/>
      <c r="F665" s="8"/>
      <c r="G665" s="8"/>
      <c r="H665" s="8"/>
      <c r="I665" s="8"/>
      <c r="J665" s="8"/>
      <c r="K665" s="8"/>
      <c r="L665" s="8"/>
      <c r="M665" s="8"/>
      <c r="N665" s="8"/>
      <c r="O665" s="8"/>
      <c r="P665" s="8"/>
      <c r="Q665" s="1"/>
    </row>
    <row r="666" spans="1:17" x14ac:dyDescent="0.35">
      <c r="A666" s="6"/>
      <c r="B666" s="81"/>
      <c r="C666" s="83"/>
      <c r="D666" s="8"/>
      <c r="E666" s="8"/>
      <c r="F666" s="8"/>
      <c r="G666" s="8"/>
      <c r="H666" s="8"/>
      <c r="I666" s="8"/>
      <c r="J666" s="8"/>
      <c r="K666" s="8"/>
      <c r="L666" s="8"/>
      <c r="M666" s="8"/>
      <c r="N666" s="8"/>
      <c r="O666" s="8"/>
      <c r="P666" s="8"/>
      <c r="Q666" s="1"/>
    </row>
    <row r="667" spans="1:17" x14ac:dyDescent="0.35">
      <c r="A667" s="6"/>
      <c r="B667" s="81"/>
      <c r="C667" s="83"/>
      <c r="D667" s="8"/>
      <c r="E667" s="8"/>
      <c r="F667" s="8"/>
      <c r="G667" s="8"/>
      <c r="H667" s="8"/>
      <c r="I667" s="8"/>
      <c r="J667" s="8"/>
      <c r="K667" s="8"/>
      <c r="L667" s="8"/>
      <c r="M667" s="8"/>
      <c r="N667" s="8"/>
      <c r="O667" s="8"/>
      <c r="P667" s="8"/>
      <c r="Q667" s="1"/>
    </row>
    <row r="668" spans="1:17" x14ac:dyDescent="0.35">
      <c r="A668" s="6"/>
      <c r="B668" s="81"/>
      <c r="C668" s="83"/>
      <c r="D668" s="8"/>
      <c r="E668" s="8"/>
      <c r="F668" s="8"/>
      <c r="G668" s="8"/>
      <c r="H668" s="8"/>
      <c r="I668" s="8"/>
      <c r="J668" s="8"/>
      <c r="K668" s="8"/>
      <c r="L668" s="8"/>
      <c r="M668" s="8"/>
      <c r="N668" s="8"/>
      <c r="O668" s="8"/>
      <c r="P668" s="8"/>
      <c r="Q668" s="1"/>
    </row>
    <row r="669" spans="1:17" x14ac:dyDescent="0.35">
      <c r="A669" s="6"/>
      <c r="B669" s="81"/>
      <c r="C669" s="83"/>
      <c r="D669" s="8"/>
      <c r="E669" s="8"/>
      <c r="F669" s="8"/>
      <c r="G669" s="8"/>
      <c r="H669" s="8"/>
      <c r="I669" s="8"/>
      <c r="J669" s="8"/>
      <c r="K669" s="8"/>
      <c r="L669" s="8"/>
      <c r="M669" s="8"/>
      <c r="N669" s="8"/>
      <c r="O669" s="8"/>
      <c r="P669" s="8"/>
      <c r="Q669" s="1"/>
    </row>
    <row r="670" spans="1:17" x14ac:dyDescent="0.35">
      <c r="A670" s="6"/>
      <c r="B670" s="81"/>
      <c r="C670" s="83"/>
      <c r="D670" s="8"/>
      <c r="E670" s="8"/>
      <c r="F670" s="8"/>
      <c r="G670" s="8"/>
      <c r="H670" s="8"/>
      <c r="I670" s="8"/>
      <c r="J670" s="8"/>
      <c r="K670" s="8"/>
      <c r="L670" s="8"/>
      <c r="M670" s="8"/>
      <c r="N670" s="8"/>
      <c r="O670" s="8"/>
      <c r="P670" s="8"/>
      <c r="Q670" s="1"/>
    </row>
    <row r="671" spans="1:17" x14ac:dyDescent="0.35">
      <c r="A671" s="6"/>
      <c r="B671" s="81"/>
      <c r="C671" s="83"/>
      <c r="D671" s="8"/>
      <c r="E671" s="8"/>
      <c r="F671" s="8"/>
      <c r="G671" s="8"/>
      <c r="H671" s="8"/>
      <c r="I671" s="8"/>
      <c r="J671" s="8"/>
      <c r="K671" s="8"/>
      <c r="L671" s="8"/>
      <c r="M671" s="8"/>
      <c r="N671" s="8"/>
      <c r="O671" s="8"/>
      <c r="P671" s="8"/>
      <c r="Q671" s="1"/>
    </row>
    <row r="672" spans="1:17" x14ac:dyDescent="0.35">
      <c r="A672" s="6"/>
      <c r="B672" s="81"/>
      <c r="C672" s="83"/>
      <c r="D672" s="8"/>
      <c r="E672" s="8"/>
      <c r="F672" s="8"/>
      <c r="G672" s="8"/>
      <c r="H672" s="8"/>
      <c r="I672" s="8"/>
      <c r="J672" s="8"/>
      <c r="K672" s="8"/>
      <c r="L672" s="8"/>
      <c r="M672" s="8"/>
      <c r="N672" s="8"/>
      <c r="O672" s="8"/>
      <c r="P672" s="8"/>
      <c r="Q672" s="1"/>
    </row>
    <row r="673" spans="1:17" x14ac:dyDescent="0.35">
      <c r="A673" s="6"/>
      <c r="B673" s="81"/>
      <c r="C673" s="83"/>
      <c r="D673" s="8"/>
      <c r="E673" s="8"/>
      <c r="F673" s="8"/>
      <c r="G673" s="8"/>
      <c r="H673" s="8"/>
      <c r="I673" s="8"/>
      <c r="J673" s="8"/>
      <c r="K673" s="8"/>
      <c r="L673" s="8"/>
      <c r="M673" s="8"/>
      <c r="N673" s="8"/>
      <c r="O673" s="8"/>
      <c r="P673" s="8"/>
      <c r="Q673" s="1"/>
    </row>
    <row r="674" spans="1:17" x14ac:dyDescent="0.35">
      <c r="A674" s="6"/>
      <c r="B674" s="81"/>
      <c r="C674" s="83"/>
      <c r="D674" s="8"/>
      <c r="E674" s="8"/>
      <c r="F674" s="8"/>
      <c r="G674" s="8"/>
      <c r="H674" s="8"/>
      <c r="I674" s="8"/>
      <c r="J674" s="8"/>
      <c r="K674" s="8"/>
      <c r="L674" s="8"/>
      <c r="M674" s="8"/>
      <c r="N674" s="8"/>
      <c r="O674" s="8"/>
      <c r="P674" s="8"/>
      <c r="Q674" s="1"/>
    </row>
    <row r="675" spans="1:17" x14ac:dyDescent="0.35">
      <c r="A675" s="6"/>
      <c r="B675" s="81"/>
      <c r="C675" s="83"/>
      <c r="D675" s="8"/>
      <c r="E675" s="8"/>
      <c r="F675" s="8"/>
      <c r="G675" s="8"/>
      <c r="H675" s="8"/>
      <c r="I675" s="8"/>
      <c r="J675" s="8"/>
      <c r="K675" s="8"/>
      <c r="L675" s="8"/>
      <c r="M675" s="8"/>
      <c r="N675" s="8"/>
      <c r="O675" s="8"/>
      <c r="P675" s="8"/>
      <c r="Q675" s="1"/>
    </row>
    <row r="676" spans="1:17" x14ac:dyDescent="0.35">
      <c r="A676" s="6"/>
      <c r="B676" s="81"/>
      <c r="C676" s="83"/>
      <c r="D676" s="8"/>
      <c r="E676" s="8"/>
      <c r="F676" s="8"/>
      <c r="G676" s="8"/>
      <c r="H676" s="8"/>
      <c r="I676" s="8"/>
      <c r="J676" s="8"/>
      <c r="K676" s="8"/>
      <c r="L676" s="8"/>
      <c r="M676" s="8"/>
      <c r="N676" s="8"/>
      <c r="O676" s="8"/>
      <c r="P676" s="8"/>
      <c r="Q676" s="1"/>
    </row>
    <row r="677" spans="1:17" x14ac:dyDescent="0.35">
      <c r="A677" s="6"/>
      <c r="B677" s="81"/>
      <c r="C677" s="83"/>
      <c r="D677" s="8"/>
      <c r="E677" s="8"/>
      <c r="F677" s="8"/>
      <c r="G677" s="8"/>
      <c r="H677" s="8"/>
      <c r="I677" s="8"/>
      <c r="J677" s="8"/>
      <c r="K677" s="8"/>
      <c r="L677" s="8"/>
      <c r="M677" s="8"/>
      <c r="N677" s="8"/>
      <c r="O677" s="8"/>
      <c r="P677" s="8"/>
      <c r="Q677" s="1"/>
    </row>
    <row r="678" spans="1:17" x14ac:dyDescent="0.35">
      <c r="A678" s="6"/>
      <c r="B678" s="81"/>
      <c r="C678" s="83"/>
      <c r="D678" s="8"/>
      <c r="E678" s="8"/>
      <c r="F678" s="8"/>
      <c r="G678" s="8"/>
      <c r="H678" s="8"/>
      <c r="I678" s="8"/>
      <c r="J678" s="8"/>
      <c r="K678" s="8"/>
      <c r="L678" s="8"/>
      <c r="M678" s="8"/>
      <c r="N678" s="8"/>
      <c r="O678" s="8"/>
      <c r="P678" s="8"/>
      <c r="Q678" s="1"/>
    </row>
    <row r="679" spans="1:17" x14ac:dyDescent="0.35">
      <c r="A679" s="6"/>
      <c r="B679" s="81"/>
      <c r="C679" s="83"/>
      <c r="D679" s="8"/>
      <c r="E679" s="8"/>
      <c r="F679" s="8"/>
      <c r="G679" s="8"/>
      <c r="H679" s="8"/>
      <c r="I679" s="8"/>
      <c r="J679" s="8"/>
      <c r="K679" s="8"/>
      <c r="L679" s="8"/>
      <c r="M679" s="8"/>
      <c r="N679" s="8"/>
      <c r="O679" s="8"/>
      <c r="P679" s="8"/>
      <c r="Q679" s="1"/>
    </row>
    <row r="680" spans="1:17" x14ac:dyDescent="0.35">
      <c r="A680" s="6"/>
      <c r="B680" s="81"/>
      <c r="C680" s="83"/>
      <c r="D680" s="8"/>
      <c r="E680" s="8"/>
      <c r="F680" s="8"/>
      <c r="G680" s="8"/>
      <c r="H680" s="8"/>
      <c r="I680" s="8"/>
      <c r="J680" s="8"/>
      <c r="K680" s="8"/>
      <c r="L680" s="8"/>
      <c r="M680" s="8"/>
      <c r="N680" s="8"/>
      <c r="O680" s="8"/>
      <c r="P680" s="8"/>
      <c r="Q680" s="1"/>
    </row>
    <row r="681" spans="1:17" x14ac:dyDescent="0.35">
      <c r="A681" s="6"/>
      <c r="B681" s="81"/>
      <c r="C681" s="83"/>
      <c r="D681" s="8"/>
      <c r="E681" s="8"/>
      <c r="F681" s="8"/>
      <c r="G681" s="8"/>
      <c r="H681" s="8"/>
      <c r="I681" s="8"/>
      <c r="J681" s="8"/>
      <c r="K681" s="8"/>
      <c r="L681" s="8"/>
      <c r="M681" s="8"/>
      <c r="N681" s="8"/>
      <c r="O681" s="8"/>
      <c r="P681" s="8"/>
      <c r="Q681" s="1"/>
    </row>
    <row r="682" spans="1:17" x14ac:dyDescent="0.35">
      <c r="A682" s="6"/>
      <c r="B682" s="81"/>
      <c r="C682" s="83"/>
      <c r="D682" s="8"/>
      <c r="E682" s="8"/>
      <c r="F682" s="8"/>
      <c r="G682" s="8"/>
      <c r="H682" s="8"/>
      <c r="I682" s="8"/>
      <c r="J682" s="8"/>
      <c r="K682" s="8"/>
      <c r="L682" s="8"/>
      <c r="M682" s="8"/>
      <c r="N682" s="8"/>
      <c r="O682" s="8"/>
      <c r="P682" s="8"/>
      <c r="Q682" s="1"/>
    </row>
    <row r="683" spans="1:17" x14ac:dyDescent="0.35">
      <c r="A683" s="6"/>
      <c r="B683" s="81"/>
      <c r="C683" s="83"/>
      <c r="D683" s="8"/>
      <c r="E683" s="8"/>
      <c r="F683" s="8"/>
      <c r="G683" s="8"/>
      <c r="H683" s="8"/>
      <c r="I683" s="8"/>
      <c r="J683" s="8"/>
      <c r="K683" s="8"/>
      <c r="L683" s="8"/>
      <c r="M683" s="8"/>
      <c r="N683" s="8"/>
      <c r="O683" s="8"/>
      <c r="P683" s="8"/>
      <c r="Q683" s="1"/>
    </row>
    <row r="684" spans="1:17" x14ac:dyDescent="0.35">
      <c r="A684" s="6"/>
      <c r="B684" s="81"/>
      <c r="C684" s="83"/>
      <c r="D684" s="8"/>
      <c r="E684" s="8"/>
      <c r="F684" s="8"/>
      <c r="G684" s="8"/>
      <c r="H684" s="8"/>
      <c r="I684" s="8"/>
      <c r="J684" s="8"/>
      <c r="K684" s="8"/>
      <c r="L684" s="8"/>
      <c r="M684" s="8"/>
      <c r="N684" s="8"/>
      <c r="O684" s="8"/>
      <c r="P684" s="8"/>
      <c r="Q684" s="1"/>
    </row>
    <row r="685" spans="1:17" x14ac:dyDescent="0.35">
      <c r="A685" s="6"/>
      <c r="B685" s="81"/>
      <c r="C685" s="83"/>
      <c r="D685" s="8"/>
      <c r="E685" s="8"/>
      <c r="F685" s="8"/>
      <c r="G685" s="8"/>
      <c r="H685" s="8"/>
      <c r="I685" s="8"/>
      <c r="J685" s="8"/>
      <c r="K685" s="8"/>
      <c r="L685" s="8"/>
      <c r="M685" s="8"/>
      <c r="N685" s="8"/>
      <c r="O685" s="8"/>
      <c r="P685" s="8"/>
      <c r="Q685" s="1"/>
    </row>
    <row r="686" spans="1:17" x14ac:dyDescent="0.35">
      <c r="A686" s="6"/>
      <c r="B686" s="81"/>
      <c r="C686" s="83"/>
      <c r="D686" s="8"/>
      <c r="E686" s="8"/>
      <c r="F686" s="8"/>
      <c r="G686" s="8"/>
      <c r="H686" s="8"/>
      <c r="I686" s="8"/>
      <c r="J686" s="8"/>
      <c r="K686" s="8"/>
      <c r="L686" s="8"/>
      <c r="M686" s="8"/>
      <c r="N686" s="8"/>
      <c r="O686" s="8"/>
      <c r="P686" s="8"/>
      <c r="Q686" s="1"/>
    </row>
    <row r="687" spans="1:17" x14ac:dyDescent="0.35">
      <c r="A687" s="6"/>
      <c r="B687" s="81"/>
      <c r="C687" s="83"/>
      <c r="D687" s="8"/>
      <c r="E687" s="8"/>
      <c r="F687" s="8"/>
      <c r="G687" s="8"/>
      <c r="H687" s="8"/>
      <c r="I687" s="8"/>
      <c r="J687" s="8"/>
      <c r="K687" s="8"/>
      <c r="L687" s="8"/>
      <c r="M687" s="8"/>
      <c r="N687" s="8"/>
      <c r="O687" s="8"/>
      <c r="P687" s="8"/>
      <c r="Q687" s="1"/>
    </row>
    <row r="688" spans="1:17" x14ac:dyDescent="0.35">
      <c r="A688" s="6"/>
      <c r="B688" s="81"/>
      <c r="C688" s="83"/>
      <c r="D688" s="8"/>
      <c r="E688" s="8"/>
      <c r="F688" s="8"/>
      <c r="G688" s="8"/>
      <c r="H688" s="8"/>
      <c r="I688" s="8"/>
      <c r="J688" s="8"/>
      <c r="K688" s="8"/>
      <c r="L688" s="8"/>
      <c r="M688" s="8"/>
      <c r="N688" s="8"/>
      <c r="O688" s="8"/>
      <c r="P688" s="8"/>
      <c r="Q688" s="1"/>
    </row>
    <row r="689" spans="1:17" x14ac:dyDescent="0.35">
      <c r="A689" s="6"/>
      <c r="B689" s="81"/>
      <c r="C689" s="83"/>
      <c r="D689" s="8"/>
      <c r="E689" s="8"/>
      <c r="F689" s="8"/>
      <c r="G689" s="8"/>
      <c r="H689" s="8"/>
      <c r="I689" s="8"/>
      <c r="J689" s="8"/>
      <c r="K689" s="8"/>
      <c r="L689" s="8"/>
      <c r="M689" s="8"/>
      <c r="N689" s="8"/>
      <c r="O689" s="8"/>
      <c r="P689" s="8"/>
      <c r="Q689" s="1"/>
    </row>
    <row r="690" spans="1:17" x14ac:dyDescent="0.35">
      <c r="A690" s="6"/>
      <c r="B690" s="81"/>
      <c r="C690" s="83"/>
      <c r="D690" s="8"/>
      <c r="E690" s="8"/>
      <c r="F690" s="8"/>
      <c r="G690" s="8"/>
      <c r="H690" s="8"/>
      <c r="I690" s="8"/>
      <c r="J690" s="8"/>
      <c r="K690" s="8"/>
      <c r="L690" s="8"/>
      <c r="M690" s="8"/>
      <c r="N690" s="8"/>
      <c r="O690" s="8"/>
      <c r="P690" s="8"/>
      <c r="Q690" s="1"/>
    </row>
    <row r="691" spans="1:17" x14ac:dyDescent="0.35">
      <c r="A691" s="6"/>
      <c r="B691" s="81"/>
      <c r="C691" s="83"/>
      <c r="D691" s="8"/>
      <c r="E691" s="8"/>
      <c r="F691" s="8"/>
      <c r="G691" s="8"/>
      <c r="H691" s="8"/>
      <c r="I691" s="8"/>
      <c r="J691" s="8"/>
      <c r="K691" s="8"/>
      <c r="L691" s="8"/>
      <c r="M691" s="8"/>
      <c r="N691" s="8"/>
      <c r="O691" s="8"/>
      <c r="P691" s="8"/>
      <c r="Q691" s="1"/>
    </row>
    <row r="692" spans="1:17" x14ac:dyDescent="0.35">
      <c r="A692" s="6"/>
      <c r="B692" s="81"/>
      <c r="C692" s="83"/>
      <c r="D692" s="8"/>
      <c r="E692" s="8"/>
      <c r="F692" s="8"/>
      <c r="G692" s="8"/>
      <c r="H692" s="8"/>
      <c r="I692" s="8"/>
      <c r="J692" s="8"/>
      <c r="K692" s="8"/>
      <c r="L692" s="8"/>
      <c r="M692" s="8"/>
      <c r="N692" s="8"/>
      <c r="O692" s="8"/>
      <c r="P692" s="8"/>
      <c r="Q692" s="1"/>
    </row>
    <row r="693" spans="1:17" x14ac:dyDescent="0.35">
      <c r="A693" s="6"/>
      <c r="B693" s="81"/>
      <c r="C693" s="83"/>
      <c r="D693" s="8"/>
      <c r="E693" s="8"/>
      <c r="F693" s="8"/>
      <c r="G693" s="8"/>
      <c r="H693" s="8"/>
      <c r="I693" s="8"/>
      <c r="J693" s="8"/>
      <c r="K693" s="8"/>
      <c r="L693" s="8"/>
      <c r="M693" s="8"/>
      <c r="N693" s="8"/>
      <c r="O693" s="8"/>
      <c r="P693" s="8"/>
      <c r="Q693" s="1"/>
    </row>
    <row r="694" spans="1:17" x14ac:dyDescent="0.35">
      <c r="A694" s="6"/>
      <c r="B694" s="81"/>
      <c r="C694" s="83"/>
      <c r="D694" s="8"/>
      <c r="E694" s="8"/>
      <c r="F694" s="8"/>
      <c r="G694" s="8"/>
      <c r="H694" s="8"/>
      <c r="I694" s="8"/>
      <c r="J694" s="8"/>
      <c r="K694" s="8"/>
      <c r="L694" s="8"/>
      <c r="M694" s="8"/>
      <c r="N694" s="8"/>
      <c r="O694" s="8"/>
      <c r="P694" s="8"/>
      <c r="Q694" s="1"/>
    </row>
    <row r="695" spans="1:17" x14ac:dyDescent="0.35">
      <c r="A695" s="6"/>
      <c r="B695" s="81"/>
      <c r="C695" s="83"/>
      <c r="D695" s="8"/>
      <c r="E695" s="8"/>
      <c r="F695" s="8"/>
      <c r="G695" s="8"/>
      <c r="H695" s="8"/>
      <c r="I695" s="8"/>
      <c r="J695" s="8"/>
      <c r="K695" s="8"/>
      <c r="L695" s="8"/>
      <c r="M695" s="8"/>
      <c r="N695" s="8"/>
      <c r="O695" s="8"/>
      <c r="P695" s="8"/>
      <c r="Q695" s="1"/>
    </row>
    <row r="696" spans="1:17" x14ac:dyDescent="0.35">
      <c r="A696" s="6"/>
      <c r="B696" s="81"/>
      <c r="C696" s="83"/>
      <c r="D696" s="8"/>
      <c r="E696" s="8"/>
      <c r="F696" s="8"/>
      <c r="G696" s="8"/>
      <c r="H696" s="8"/>
      <c r="I696" s="8"/>
      <c r="J696" s="8"/>
      <c r="K696" s="8"/>
      <c r="L696" s="8"/>
      <c r="M696" s="8"/>
      <c r="N696" s="8"/>
      <c r="O696" s="8"/>
      <c r="P696" s="8"/>
      <c r="Q696" s="1"/>
    </row>
    <row r="697" spans="1:17" x14ac:dyDescent="0.35">
      <c r="A697" s="6"/>
      <c r="B697" s="81"/>
      <c r="C697" s="83"/>
      <c r="D697" s="8"/>
      <c r="E697" s="8"/>
      <c r="F697" s="8"/>
      <c r="G697" s="8"/>
      <c r="H697" s="8"/>
      <c r="I697" s="8"/>
      <c r="J697" s="8"/>
      <c r="K697" s="8"/>
      <c r="L697" s="8"/>
      <c r="M697" s="8"/>
      <c r="N697" s="8"/>
      <c r="O697" s="8"/>
      <c r="P697" s="8"/>
      <c r="Q697" s="1"/>
    </row>
    <row r="698" spans="1:17" x14ac:dyDescent="0.35">
      <c r="A698" s="6"/>
      <c r="B698" s="81"/>
      <c r="C698" s="83"/>
      <c r="D698" s="8"/>
      <c r="E698" s="8"/>
      <c r="F698" s="8"/>
      <c r="G698" s="8"/>
      <c r="H698" s="8"/>
      <c r="I698" s="8"/>
      <c r="J698" s="8"/>
      <c r="K698" s="8"/>
      <c r="L698" s="8"/>
      <c r="M698" s="8"/>
      <c r="N698" s="8"/>
      <c r="O698" s="8"/>
      <c r="P698" s="8"/>
      <c r="Q698" s="1"/>
    </row>
    <row r="699" spans="1:17" x14ac:dyDescent="0.35">
      <c r="A699" s="6"/>
      <c r="B699" s="81"/>
      <c r="C699" s="83"/>
      <c r="D699" s="8"/>
      <c r="E699" s="8"/>
      <c r="F699" s="8"/>
      <c r="G699" s="8"/>
      <c r="H699" s="8"/>
      <c r="I699" s="8"/>
      <c r="J699" s="8"/>
      <c r="K699" s="8"/>
      <c r="L699" s="8"/>
      <c r="M699" s="8"/>
      <c r="N699" s="8"/>
      <c r="O699" s="8"/>
      <c r="P699" s="8"/>
      <c r="Q699" s="1"/>
    </row>
    <row r="700" spans="1:17" x14ac:dyDescent="0.35">
      <c r="A700" s="6"/>
      <c r="B700" s="81"/>
      <c r="C700" s="83"/>
      <c r="D700" s="8"/>
      <c r="E700" s="8"/>
      <c r="F700" s="8"/>
      <c r="G700" s="8"/>
      <c r="H700" s="8"/>
      <c r="I700" s="8"/>
      <c r="J700" s="8"/>
      <c r="K700" s="8"/>
      <c r="L700" s="8"/>
      <c r="M700" s="8"/>
      <c r="N700" s="8"/>
      <c r="O700" s="8"/>
      <c r="P700" s="8"/>
      <c r="Q700" s="1"/>
    </row>
    <row r="701" spans="1:17" x14ac:dyDescent="0.35">
      <c r="A701" s="6"/>
      <c r="B701" s="81"/>
      <c r="C701" s="83"/>
      <c r="D701" s="8"/>
      <c r="E701" s="8"/>
      <c r="F701" s="8"/>
      <c r="G701" s="8"/>
      <c r="H701" s="8"/>
      <c r="I701" s="8"/>
      <c r="J701" s="8"/>
      <c r="K701" s="8"/>
      <c r="L701" s="8"/>
      <c r="M701" s="8"/>
      <c r="N701" s="8"/>
      <c r="O701" s="8"/>
      <c r="P701" s="8"/>
      <c r="Q701" s="1"/>
    </row>
    <row r="702" spans="1:17" x14ac:dyDescent="0.35">
      <c r="A702" s="6"/>
      <c r="B702" s="81"/>
      <c r="C702" s="83"/>
      <c r="D702" s="8"/>
      <c r="E702" s="8"/>
      <c r="F702" s="8"/>
      <c r="G702" s="8"/>
      <c r="H702" s="8"/>
      <c r="I702" s="8"/>
      <c r="J702" s="8"/>
      <c r="K702" s="8"/>
      <c r="L702" s="8"/>
      <c r="M702" s="8"/>
      <c r="N702" s="8"/>
      <c r="O702" s="8"/>
      <c r="P702" s="8"/>
      <c r="Q702" s="1"/>
    </row>
    <row r="703" spans="1:17" x14ac:dyDescent="0.35">
      <c r="A703" s="6"/>
      <c r="B703" s="81"/>
      <c r="C703" s="83"/>
      <c r="D703" s="8"/>
      <c r="E703" s="8"/>
      <c r="F703" s="8"/>
      <c r="G703" s="8"/>
      <c r="H703" s="8"/>
      <c r="I703" s="8"/>
      <c r="J703" s="8"/>
      <c r="K703" s="8"/>
      <c r="L703" s="8"/>
      <c r="M703" s="8"/>
      <c r="N703" s="8"/>
      <c r="O703" s="8"/>
      <c r="P703" s="8"/>
      <c r="Q703" s="1"/>
    </row>
    <row r="704" spans="1:17" x14ac:dyDescent="0.35">
      <c r="A704" s="6"/>
      <c r="B704" s="81"/>
      <c r="C704" s="83"/>
      <c r="D704" s="8"/>
      <c r="E704" s="8"/>
      <c r="F704" s="8"/>
      <c r="G704" s="8"/>
      <c r="H704" s="8"/>
      <c r="I704" s="8"/>
      <c r="J704" s="8"/>
      <c r="K704" s="8"/>
      <c r="L704" s="8"/>
      <c r="M704" s="8"/>
      <c r="N704" s="8"/>
      <c r="O704" s="8"/>
      <c r="P704" s="8"/>
      <c r="Q704" s="1"/>
    </row>
    <row r="705" spans="1:17" x14ac:dyDescent="0.35">
      <c r="A705" s="6"/>
      <c r="B705" s="81"/>
      <c r="C705" s="83"/>
      <c r="D705" s="8"/>
      <c r="E705" s="8"/>
      <c r="F705" s="8"/>
      <c r="G705" s="8"/>
      <c r="H705" s="8"/>
      <c r="I705" s="8"/>
      <c r="J705" s="8"/>
      <c r="K705" s="8"/>
      <c r="L705" s="8"/>
      <c r="M705" s="8"/>
      <c r="N705" s="8"/>
      <c r="O705" s="8"/>
      <c r="P705" s="8"/>
      <c r="Q705" s="1"/>
    </row>
    <row r="706" spans="1:17" x14ac:dyDescent="0.35">
      <c r="A706" s="6"/>
      <c r="B706" s="81"/>
      <c r="C706" s="83"/>
      <c r="D706" s="8"/>
      <c r="E706" s="8"/>
      <c r="F706" s="8"/>
      <c r="G706" s="8"/>
      <c r="H706" s="8"/>
      <c r="I706" s="8"/>
      <c r="J706" s="8"/>
      <c r="K706" s="8"/>
      <c r="L706" s="8"/>
      <c r="M706" s="8"/>
      <c r="N706" s="8"/>
      <c r="O706" s="8"/>
      <c r="P706" s="8"/>
      <c r="Q706" s="1"/>
    </row>
    <row r="707" spans="1:17" x14ac:dyDescent="0.35">
      <c r="A707" s="6"/>
      <c r="B707" s="81"/>
      <c r="C707" s="83"/>
      <c r="D707" s="8"/>
      <c r="E707" s="8"/>
      <c r="F707" s="8"/>
      <c r="G707" s="8"/>
      <c r="H707" s="8"/>
      <c r="I707" s="8"/>
      <c r="J707" s="8"/>
      <c r="K707" s="8"/>
      <c r="L707" s="8"/>
      <c r="M707" s="8"/>
      <c r="N707" s="8"/>
      <c r="O707" s="8"/>
      <c r="P707" s="8"/>
      <c r="Q707" s="1"/>
    </row>
    <row r="708" spans="1:17" x14ac:dyDescent="0.35">
      <c r="A708" s="6"/>
      <c r="B708" s="81"/>
      <c r="C708" s="83"/>
      <c r="D708" s="8"/>
      <c r="E708" s="8"/>
      <c r="F708" s="8"/>
      <c r="G708" s="8"/>
      <c r="H708" s="8"/>
      <c r="I708" s="8"/>
      <c r="J708" s="8"/>
      <c r="K708" s="8"/>
      <c r="L708" s="8"/>
      <c r="M708" s="8"/>
      <c r="N708" s="8"/>
      <c r="O708" s="8"/>
      <c r="P708" s="8"/>
      <c r="Q708" s="1"/>
    </row>
    <row r="709" spans="1:17" x14ac:dyDescent="0.35">
      <c r="A709" s="6"/>
      <c r="B709" s="81"/>
      <c r="C709" s="83"/>
      <c r="D709" s="8"/>
      <c r="E709" s="8"/>
      <c r="F709" s="8"/>
      <c r="G709" s="8"/>
      <c r="H709" s="8"/>
      <c r="I709" s="8"/>
      <c r="J709" s="8"/>
      <c r="K709" s="8"/>
      <c r="L709" s="8"/>
      <c r="M709" s="8"/>
      <c r="N709" s="8"/>
      <c r="O709" s="8"/>
      <c r="P709" s="8"/>
      <c r="Q709" s="1"/>
    </row>
    <row r="710" spans="1:17" x14ac:dyDescent="0.35">
      <c r="A710" s="6"/>
      <c r="B710" s="81"/>
      <c r="C710" s="83"/>
      <c r="D710" s="8"/>
      <c r="E710" s="8"/>
      <c r="F710" s="8"/>
      <c r="G710" s="8"/>
      <c r="H710" s="8"/>
      <c r="I710" s="8"/>
      <c r="J710" s="8"/>
      <c r="K710" s="8"/>
      <c r="L710" s="8"/>
      <c r="M710" s="8"/>
      <c r="N710" s="8"/>
      <c r="O710" s="8"/>
      <c r="P710" s="8"/>
      <c r="Q710" s="1"/>
    </row>
    <row r="711" spans="1:17" x14ac:dyDescent="0.35">
      <c r="A711" s="6"/>
      <c r="B711" s="81"/>
      <c r="C711" s="83"/>
      <c r="D711" s="8"/>
      <c r="E711" s="8"/>
      <c r="F711" s="8"/>
      <c r="G711" s="8"/>
      <c r="H711" s="8"/>
      <c r="I711" s="8"/>
      <c r="J711" s="8"/>
      <c r="K711" s="8"/>
      <c r="L711" s="8"/>
      <c r="M711" s="8"/>
      <c r="N711" s="8"/>
      <c r="O711" s="8"/>
      <c r="P711" s="8"/>
      <c r="Q711" s="1"/>
    </row>
    <row r="712" spans="1:17" x14ac:dyDescent="0.35">
      <c r="A712" s="6"/>
      <c r="B712" s="81"/>
      <c r="C712" s="83"/>
      <c r="D712" s="8"/>
      <c r="E712" s="8"/>
      <c r="F712" s="8"/>
      <c r="G712" s="8"/>
      <c r="H712" s="8"/>
      <c r="I712" s="8"/>
      <c r="J712" s="8"/>
      <c r="K712" s="8"/>
      <c r="L712" s="8"/>
      <c r="M712" s="8"/>
      <c r="N712" s="8"/>
      <c r="O712" s="8"/>
      <c r="P712" s="8"/>
      <c r="Q712" s="1"/>
    </row>
    <row r="713" spans="1:17" x14ac:dyDescent="0.35">
      <c r="A713" s="6"/>
      <c r="B713" s="81"/>
      <c r="C713" s="83"/>
      <c r="D713" s="8"/>
      <c r="E713" s="8"/>
      <c r="F713" s="8"/>
      <c r="G713" s="8"/>
      <c r="H713" s="8"/>
      <c r="I713" s="8"/>
      <c r="J713" s="8"/>
      <c r="K713" s="8"/>
      <c r="L713" s="8"/>
      <c r="M713" s="8"/>
      <c r="N713" s="8"/>
      <c r="O713" s="8"/>
      <c r="P713" s="8"/>
      <c r="Q713" s="1"/>
    </row>
    <row r="714" spans="1:17" x14ac:dyDescent="0.35">
      <c r="A714" s="6"/>
      <c r="B714" s="81"/>
      <c r="C714" s="83"/>
      <c r="D714" s="8"/>
      <c r="E714" s="8"/>
      <c r="F714" s="8"/>
      <c r="G714" s="8"/>
      <c r="H714" s="8"/>
      <c r="I714" s="8"/>
      <c r="J714" s="8"/>
      <c r="K714" s="8"/>
      <c r="L714" s="8"/>
      <c r="M714" s="8"/>
      <c r="N714" s="8"/>
      <c r="O714" s="8"/>
      <c r="P714" s="8"/>
      <c r="Q714" s="1"/>
    </row>
    <row r="715" spans="1:17" x14ac:dyDescent="0.35">
      <c r="A715" s="6"/>
      <c r="B715" s="81"/>
      <c r="C715" s="83"/>
      <c r="D715" s="8"/>
      <c r="E715" s="8"/>
      <c r="F715" s="8"/>
      <c r="G715" s="8"/>
      <c r="H715" s="8"/>
      <c r="I715" s="8"/>
      <c r="J715" s="8"/>
      <c r="K715" s="8"/>
      <c r="L715" s="8"/>
      <c r="M715" s="8"/>
      <c r="N715" s="8"/>
      <c r="O715" s="8"/>
      <c r="P715" s="8"/>
      <c r="Q715" s="1"/>
    </row>
    <row r="716" spans="1:17" x14ac:dyDescent="0.35">
      <c r="A716" s="6"/>
      <c r="B716" s="81"/>
      <c r="C716" s="83"/>
      <c r="D716" s="8"/>
      <c r="E716" s="8"/>
      <c r="F716" s="8"/>
      <c r="G716" s="8"/>
      <c r="H716" s="8"/>
      <c r="I716" s="8"/>
      <c r="J716" s="8"/>
      <c r="K716" s="8"/>
      <c r="L716" s="8"/>
      <c r="M716" s="8"/>
      <c r="N716" s="8"/>
      <c r="O716" s="8"/>
      <c r="P716" s="8"/>
      <c r="Q716" s="1"/>
    </row>
    <row r="717" spans="1:17" x14ac:dyDescent="0.35">
      <c r="A717" s="6"/>
      <c r="B717" s="81"/>
      <c r="C717" s="83"/>
      <c r="D717" s="8"/>
      <c r="E717" s="8"/>
      <c r="F717" s="8"/>
      <c r="G717" s="8"/>
      <c r="H717" s="8"/>
      <c r="I717" s="8"/>
      <c r="J717" s="8"/>
      <c r="K717" s="8"/>
      <c r="L717" s="8"/>
      <c r="M717" s="8"/>
      <c r="N717" s="8"/>
      <c r="O717" s="8"/>
      <c r="P717" s="8"/>
      <c r="Q717" s="1"/>
    </row>
    <row r="718" spans="1:17" x14ac:dyDescent="0.35">
      <c r="A718" s="6"/>
      <c r="B718" s="81"/>
      <c r="C718" s="83"/>
      <c r="D718" s="8"/>
      <c r="E718" s="8"/>
      <c r="F718" s="8"/>
      <c r="G718" s="8"/>
      <c r="H718" s="8"/>
      <c r="I718" s="8"/>
      <c r="J718" s="8"/>
      <c r="K718" s="8"/>
      <c r="L718" s="8"/>
      <c r="M718" s="8"/>
      <c r="N718" s="8"/>
      <c r="O718" s="8"/>
      <c r="P718" s="8"/>
      <c r="Q718" s="1"/>
    </row>
    <row r="719" spans="1:17" x14ac:dyDescent="0.35">
      <c r="A719" s="6"/>
      <c r="B719" s="81"/>
      <c r="C719" s="83"/>
      <c r="D719" s="8"/>
      <c r="E719" s="8"/>
      <c r="F719" s="8"/>
      <c r="G719" s="8"/>
      <c r="H719" s="8"/>
      <c r="I719" s="8"/>
      <c r="J719" s="8"/>
      <c r="K719" s="8"/>
      <c r="L719" s="8"/>
      <c r="M719" s="8"/>
      <c r="N719" s="8"/>
      <c r="O719" s="8"/>
      <c r="P719" s="8"/>
      <c r="Q719" s="1"/>
    </row>
    <row r="720" spans="1:17" x14ac:dyDescent="0.35">
      <c r="A720" s="6"/>
      <c r="B720" s="81"/>
      <c r="C720" s="83"/>
      <c r="D720" s="8"/>
      <c r="E720" s="8"/>
      <c r="F720" s="8"/>
      <c r="G720" s="8"/>
      <c r="H720" s="8"/>
      <c r="I720" s="8"/>
      <c r="J720" s="8"/>
      <c r="K720" s="8"/>
      <c r="L720" s="8"/>
      <c r="M720" s="8"/>
      <c r="N720" s="8"/>
      <c r="O720" s="8"/>
      <c r="P720" s="8"/>
      <c r="Q720" s="1"/>
    </row>
    <row r="721" spans="1:17" x14ac:dyDescent="0.35">
      <c r="A721" s="6"/>
      <c r="B721" s="81"/>
      <c r="C721" s="83"/>
      <c r="D721" s="8"/>
      <c r="E721" s="8"/>
      <c r="F721" s="8"/>
      <c r="G721" s="8"/>
      <c r="H721" s="8"/>
      <c r="I721" s="8"/>
      <c r="J721" s="8"/>
      <c r="K721" s="8"/>
      <c r="L721" s="8"/>
      <c r="M721" s="8"/>
      <c r="N721" s="8"/>
      <c r="O721" s="8"/>
      <c r="P721" s="8"/>
      <c r="Q721" s="1"/>
    </row>
    <row r="722" spans="1:17" x14ac:dyDescent="0.35">
      <c r="A722" s="6"/>
      <c r="B722" s="81"/>
      <c r="C722" s="83"/>
      <c r="D722" s="8"/>
      <c r="E722" s="8"/>
      <c r="F722" s="8"/>
      <c r="G722" s="8"/>
      <c r="H722" s="8"/>
      <c r="I722" s="8"/>
      <c r="J722" s="8"/>
      <c r="K722" s="8"/>
      <c r="L722" s="8"/>
      <c r="M722" s="8"/>
      <c r="N722" s="8"/>
      <c r="O722" s="8"/>
      <c r="P722" s="8"/>
      <c r="Q722" s="1"/>
    </row>
    <row r="723" spans="1:17" x14ac:dyDescent="0.35">
      <c r="A723" s="6"/>
      <c r="B723" s="81"/>
      <c r="C723" s="83"/>
      <c r="D723" s="8"/>
      <c r="E723" s="8"/>
      <c r="F723" s="8"/>
      <c r="G723" s="8"/>
      <c r="H723" s="8"/>
      <c r="I723" s="8"/>
      <c r="J723" s="8"/>
      <c r="K723" s="8"/>
      <c r="L723" s="8"/>
      <c r="M723" s="8"/>
      <c r="N723" s="8"/>
      <c r="O723" s="8"/>
      <c r="P723" s="8"/>
      <c r="Q723" s="1"/>
    </row>
    <row r="724" spans="1:17" x14ac:dyDescent="0.35">
      <c r="A724" s="6"/>
      <c r="B724" s="81"/>
      <c r="C724" s="83"/>
      <c r="D724" s="8"/>
      <c r="E724" s="8"/>
      <c r="F724" s="8"/>
      <c r="G724" s="8"/>
      <c r="H724" s="8"/>
      <c r="I724" s="8"/>
      <c r="J724" s="8"/>
      <c r="K724" s="8"/>
      <c r="L724" s="8"/>
      <c r="M724" s="8"/>
      <c r="N724" s="8"/>
      <c r="O724" s="8"/>
      <c r="P724" s="8"/>
      <c r="Q724" s="1"/>
    </row>
    <row r="725" spans="1:17" x14ac:dyDescent="0.35">
      <c r="A725" s="6"/>
      <c r="B725" s="81"/>
      <c r="C725" s="83"/>
      <c r="D725" s="8"/>
      <c r="E725" s="8"/>
      <c r="F725" s="8"/>
      <c r="G725" s="8"/>
      <c r="H725" s="8"/>
      <c r="I725" s="8"/>
      <c r="J725" s="8"/>
      <c r="K725" s="8"/>
      <c r="L725" s="8"/>
      <c r="M725" s="8"/>
      <c r="N725" s="8"/>
      <c r="O725" s="8"/>
      <c r="P725" s="8"/>
      <c r="Q725" s="1"/>
    </row>
    <row r="726" spans="1:17" x14ac:dyDescent="0.35">
      <c r="A726" s="6"/>
      <c r="B726" s="81"/>
      <c r="C726" s="83"/>
      <c r="D726" s="8"/>
      <c r="E726" s="8"/>
      <c r="F726" s="8"/>
      <c r="G726" s="8"/>
      <c r="H726" s="8"/>
      <c r="I726" s="8"/>
      <c r="J726" s="8"/>
      <c r="K726" s="8"/>
      <c r="L726" s="8"/>
      <c r="M726" s="8"/>
      <c r="N726" s="8"/>
      <c r="O726" s="8"/>
      <c r="P726" s="8"/>
      <c r="Q726" s="1"/>
    </row>
    <row r="727" spans="1:17" x14ac:dyDescent="0.35">
      <c r="A727" s="6"/>
      <c r="B727" s="81"/>
      <c r="C727" s="83"/>
      <c r="D727" s="8"/>
      <c r="E727" s="8"/>
      <c r="F727" s="8"/>
      <c r="G727" s="8"/>
      <c r="H727" s="8"/>
      <c r="I727" s="8"/>
      <c r="J727" s="8"/>
      <c r="K727" s="8"/>
      <c r="L727" s="8"/>
      <c r="M727" s="8"/>
      <c r="N727" s="8"/>
      <c r="O727" s="8"/>
      <c r="P727" s="8"/>
      <c r="Q727" s="1"/>
    </row>
    <row r="728" spans="1:17" x14ac:dyDescent="0.35">
      <c r="A728" s="6"/>
      <c r="B728" s="81"/>
      <c r="C728" s="83"/>
      <c r="D728" s="8"/>
      <c r="E728" s="8"/>
      <c r="F728" s="8"/>
      <c r="G728" s="8"/>
      <c r="H728" s="8"/>
      <c r="I728" s="8"/>
      <c r="J728" s="8"/>
      <c r="K728" s="8"/>
      <c r="L728" s="8"/>
      <c r="M728" s="8"/>
      <c r="N728" s="8"/>
      <c r="O728" s="8"/>
      <c r="P728" s="8"/>
      <c r="Q728" s="1"/>
    </row>
    <row r="729" spans="1:17" x14ac:dyDescent="0.35">
      <c r="A729" s="6"/>
      <c r="B729" s="81"/>
      <c r="C729" s="83"/>
      <c r="D729" s="8"/>
      <c r="E729" s="8"/>
      <c r="F729" s="8"/>
      <c r="G729" s="8"/>
      <c r="H729" s="8"/>
      <c r="I729" s="8"/>
      <c r="J729" s="8"/>
      <c r="K729" s="8"/>
      <c r="L729" s="8"/>
      <c r="M729" s="8"/>
      <c r="N729" s="8"/>
      <c r="O729" s="8"/>
      <c r="P729" s="8"/>
      <c r="Q729" s="1"/>
    </row>
    <row r="730" spans="1:17" x14ac:dyDescent="0.35">
      <c r="A730" s="6"/>
      <c r="B730" s="81"/>
      <c r="C730" s="83"/>
      <c r="D730" s="8"/>
      <c r="E730" s="8"/>
      <c r="F730" s="8"/>
      <c r="G730" s="8"/>
      <c r="H730" s="8"/>
      <c r="I730" s="8"/>
      <c r="J730" s="8"/>
      <c r="K730" s="8"/>
      <c r="L730" s="8"/>
      <c r="M730" s="8"/>
      <c r="N730" s="8"/>
      <c r="O730" s="8"/>
      <c r="P730" s="8"/>
      <c r="Q730" s="1"/>
    </row>
    <row r="731" spans="1:17" x14ac:dyDescent="0.35">
      <c r="A731" s="6"/>
      <c r="B731" s="81"/>
      <c r="C731" s="83"/>
      <c r="D731" s="8"/>
      <c r="E731" s="8"/>
      <c r="F731" s="8"/>
      <c r="G731" s="8"/>
      <c r="H731" s="8"/>
      <c r="I731" s="8"/>
      <c r="J731" s="8"/>
      <c r="K731" s="8"/>
      <c r="L731" s="8"/>
      <c r="M731" s="8"/>
      <c r="N731" s="8"/>
      <c r="O731" s="8"/>
      <c r="P731" s="8"/>
      <c r="Q731" s="1"/>
    </row>
    <row r="732" spans="1:17" x14ac:dyDescent="0.35">
      <c r="A732" s="6"/>
      <c r="B732" s="81"/>
      <c r="C732" s="83"/>
      <c r="D732" s="8"/>
      <c r="E732" s="8"/>
      <c r="F732" s="8"/>
      <c r="G732" s="8"/>
      <c r="H732" s="8"/>
      <c r="I732" s="8"/>
      <c r="J732" s="8"/>
      <c r="K732" s="8"/>
      <c r="L732" s="8"/>
      <c r="M732" s="8"/>
      <c r="N732" s="8"/>
      <c r="O732" s="8"/>
      <c r="P732" s="8"/>
      <c r="Q732" s="1"/>
    </row>
    <row r="733" spans="1:17" x14ac:dyDescent="0.35">
      <c r="A733" s="6"/>
      <c r="B733" s="81"/>
      <c r="C733" s="83"/>
      <c r="D733" s="8"/>
      <c r="E733" s="8"/>
      <c r="F733" s="8"/>
      <c r="G733" s="8"/>
      <c r="H733" s="8"/>
      <c r="I733" s="8"/>
      <c r="J733" s="8"/>
      <c r="K733" s="8"/>
      <c r="L733" s="8"/>
      <c r="M733" s="8"/>
      <c r="N733" s="8"/>
      <c r="O733" s="8"/>
      <c r="P733" s="8"/>
      <c r="Q733" s="1"/>
    </row>
    <row r="734" spans="1:17" x14ac:dyDescent="0.35">
      <c r="A734" s="6"/>
      <c r="B734" s="81"/>
      <c r="C734" s="83"/>
      <c r="D734" s="8"/>
      <c r="E734" s="8"/>
      <c r="F734" s="8"/>
      <c r="G734" s="8"/>
      <c r="H734" s="8"/>
      <c r="I734" s="8"/>
      <c r="J734" s="8"/>
      <c r="K734" s="8"/>
      <c r="L734" s="8"/>
      <c r="M734" s="8"/>
      <c r="N734" s="8"/>
      <c r="O734" s="8"/>
      <c r="P734" s="8"/>
      <c r="Q734" s="1"/>
    </row>
    <row r="735" spans="1:17" x14ac:dyDescent="0.35">
      <c r="A735" s="6"/>
      <c r="B735" s="81"/>
      <c r="C735" s="83"/>
      <c r="D735" s="8"/>
      <c r="E735" s="8"/>
      <c r="F735" s="8"/>
      <c r="G735" s="8"/>
      <c r="H735" s="8"/>
      <c r="I735" s="8"/>
      <c r="J735" s="8"/>
      <c r="K735" s="8"/>
      <c r="L735" s="8"/>
      <c r="M735" s="8"/>
      <c r="N735" s="8"/>
      <c r="O735" s="8"/>
      <c r="P735" s="8"/>
      <c r="Q735" s="1"/>
    </row>
    <row r="736" spans="1:17" x14ac:dyDescent="0.35">
      <c r="A736" s="6"/>
      <c r="B736" s="81"/>
      <c r="C736" s="83"/>
      <c r="D736" s="8"/>
      <c r="E736" s="8"/>
      <c r="F736" s="8"/>
      <c r="G736" s="8"/>
      <c r="H736" s="8"/>
      <c r="I736" s="8"/>
      <c r="J736" s="8"/>
      <c r="K736" s="8"/>
      <c r="L736" s="8"/>
      <c r="M736" s="8"/>
      <c r="N736" s="8"/>
      <c r="O736" s="8"/>
      <c r="P736" s="8"/>
      <c r="Q736" s="1"/>
    </row>
    <row r="737" spans="1:17" x14ac:dyDescent="0.35">
      <c r="A737" s="6"/>
      <c r="B737" s="81"/>
      <c r="C737" s="83"/>
      <c r="D737" s="8"/>
      <c r="E737" s="8"/>
      <c r="F737" s="8"/>
      <c r="G737" s="8"/>
      <c r="H737" s="8"/>
      <c r="I737" s="8"/>
      <c r="J737" s="8"/>
      <c r="K737" s="8"/>
      <c r="L737" s="8"/>
      <c r="M737" s="8"/>
      <c r="N737" s="8"/>
      <c r="O737" s="8"/>
      <c r="P737" s="8"/>
      <c r="Q737" s="1"/>
    </row>
    <row r="738" spans="1:17" x14ac:dyDescent="0.35">
      <c r="A738" s="6"/>
      <c r="B738" s="81"/>
      <c r="C738" s="83"/>
      <c r="D738" s="8"/>
      <c r="E738" s="8"/>
      <c r="F738" s="8"/>
      <c r="G738" s="8"/>
      <c r="H738" s="8"/>
      <c r="I738" s="8"/>
      <c r="J738" s="8"/>
      <c r="K738" s="8"/>
      <c r="L738" s="8"/>
      <c r="M738" s="8"/>
      <c r="N738" s="8"/>
      <c r="O738" s="8"/>
      <c r="P738" s="8"/>
      <c r="Q738" s="1"/>
    </row>
    <row r="739" spans="1:17" x14ac:dyDescent="0.35">
      <c r="A739" s="6"/>
      <c r="B739" s="81"/>
      <c r="C739" s="83"/>
      <c r="D739" s="8"/>
      <c r="E739" s="8"/>
      <c r="F739" s="8"/>
      <c r="G739" s="8"/>
      <c r="H739" s="8"/>
      <c r="I739" s="8"/>
      <c r="J739" s="8"/>
      <c r="K739" s="8"/>
      <c r="L739" s="8"/>
      <c r="M739" s="8"/>
      <c r="N739" s="8"/>
      <c r="O739" s="8"/>
      <c r="P739" s="8"/>
      <c r="Q739" s="1"/>
    </row>
    <row r="740" spans="1:17" x14ac:dyDescent="0.35">
      <c r="A740" s="6"/>
      <c r="B740" s="81"/>
      <c r="C740" s="83"/>
      <c r="D740" s="8"/>
      <c r="E740" s="8"/>
      <c r="F740" s="8"/>
      <c r="G740" s="8"/>
      <c r="H740" s="8"/>
      <c r="I740" s="8"/>
      <c r="J740" s="8"/>
      <c r="K740" s="8"/>
      <c r="L740" s="8"/>
      <c r="M740" s="8"/>
      <c r="N740" s="8"/>
      <c r="O740" s="8"/>
      <c r="P740" s="8"/>
      <c r="Q740" s="1"/>
    </row>
    <row r="741" spans="1:17" x14ac:dyDescent="0.35">
      <c r="A741" s="6"/>
      <c r="B741" s="81"/>
      <c r="C741" s="83"/>
      <c r="D741" s="8"/>
      <c r="E741" s="8"/>
      <c r="F741" s="8"/>
      <c r="G741" s="8"/>
      <c r="H741" s="8"/>
      <c r="I741" s="8"/>
      <c r="J741" s="8"/>
      <c r="K741" s="8"/>
      <c r="L741" s="8"/>
      <c r="M741" s="8"/>
      <c r="N741" s="8"/>
      <c r="O741" s="8"/>
      <c r="P741" s="8"/>
      <c r="Q741" s="1"/>
    </row>
    <row r="742" spans="1:17" x14ac:dyDescent="0.35">
      <c r="A742" s="6"/>
      <c r="B742" s="81"/>
      <c r="C742" s="83"/>
      <c r="D742" s="8"/>
      <c r="E742" s="8"/>
      <c r="F742" s="8"/>
      <c r="G742" s="8"/>
      <c r="H742" s="8"/>
      <c r="I742" s="8"/>
      <c r="J742" s="8"/>
      <c r="K742" s="8"/>
      <c r="L742" s="8"/>
      <c r="M742" s="8"/>
      <c r="N742" s="8"/>
      <c r="O742" s="8"/>
      <c r="P742" s="8"/>
      <c r="Q742" s="1"/>
    </row>
    <row r="743" spans="1:17" x14ac:dyDescent="0.35">
      <c r="A743" s="6"/>
      <c r="B743" s="81"/>
      <c r="C743" s="83"/>
      <c r="D743" s="8"/>
      <c r="E743" s="8"/>
      <c r="F743" s="8"/>
      <c r="G743" s="8"/>
      <c r="H743" s="8"/>
      <c r="I743" s="8"/>
      <c r="J743" s="8"/>
      <c r="K743" s="8"/>
      <c r="L743" s="8"/>
      <c r="M743" s="8"/>
      <c r="N743" s="8"/>
      <c r="O743" s="8"/>
      <c r="P743" s="8"/>
      <c r="Q743" s="1"/>
    </row>
    <row r="744" spans="1:17" x14ac:dyDescent="0.35">
      <c r="A744" s="6"/>
      <c r="B744" s="81"/>
      <c r="C744" s="83"/>
      <c r="D744" s="8"/>
      <c r="E744" s="8"/>
      <c r="F744" s="8"/>
      <c r="G744" s="8"/>
      <c r="H744" s="8"/>
      <c r="I744" s="8"/>
      <c r="J744" s="8"/>
      <c r="K744" s="8"/>
      <c r="L744" s="8"/>
      <c r="M744" s="8"/>
      <c r="N744" s="8"/>
      <c r="O744" s="8"/>
      <c r="P744" s="8"/>
      <c r="Q744" s="1"/>
    </row>
    <row r="745" spans="1:17" x14ac:dyDescent="0.35">
      <c r="A745" s="6"/>
      <c r="B745" s="81"/>
      <c r="C745" s="83"/>
      <c r="D745" s="8"/>
      <c r="E745" s="8"/>
      <c r="F745" s="8"/>
      <c r="G745" s="8"/>
      <c r="H745" s="8"/>
      <c r="I745" s="8"/>
      <c r="J745" s="8"/>
      <c r="K745" s="8"/>
      <c r="L745" s="8"/>
      <c r="M745" s="8"/>
      <c r="N745" s="8"/>
      <c r="O745" s="8"/>
      <c r="P745" s="8"/>
      <c r="Q745" s="1"/>
    </row>
    <row r="746" spans="1:17" x14ac:dyDescent="0.35">
      <c r="A746" s="6"/>
      <c r="B746" s="81"/>
      <c r="C746" s="83"/>
      <c r="D746" s="8"/>
      <c r="E746" s="8"/>
      <c r="F746" s="8"/>
      <c r="G746" s="8"/>
      <c r="H746" s="8"/>
      <c r="I746" s="8"/>
      <c r="J746" s="8"/>
      <c r="K746" s="8"/>
      <c r="L746" s="8"/>
      <c r="M746" s="8"/>
      <c r="N746" s="8"/>
      <c r="O746" s="8"/>
      <c r="P746" s="8"/>
      <c r="Q746" s="1"/>
    </row>
    <row r="747" spans="1:17" x14ac:dyDescent="0.35">
      <c r="A747" s="6"/>
      <c r="B747" s="81"/>
      <c r="C747" s="83"/>
      <c r="D747" s="8"/>
      <c r="E747" s="8"/>
      <c r="F747" s="8"/>
      <c r="G747" s="8"/>
      <c r="H747" s="8"/>
      <c r="I747" s="8"/>
      <c r="J747" s="8"/>
      <c r="K747" s="8"/>
      <c r="L747" s="8"/>
      <c r="M747" s="8"/>
      <c r="N747" s="8"/>
      <c r="O747" s="8"/>
      <c r="P747" s="8"/>
      <c r="Q747" s="1"/>
    </row>
    <row r="748" spans="1:17" x14ac:dyDescent="0.35">
      <c r="A748" s="6"/>
      <c r="B748" s="81"/>
      <c r="C748" s="83"/>
      <c r="D748" s="8"/>
      <c r="E748" s="8"/>
      <c r="F748" s="8"/>
      <c r="G748" s="8"/>
      <c r="H748" s="8"/>
      <c r="I748" s="8"/>
      <c r="J748" s="8"/>
      <c r="K748" s="8"/>
      <c r="L748" s="8"/>
      <c r="M748" s="8"/>
      <c r="N748" s="8"/>
      <c r="O748" s="8"/>
      <c r="P748" s="8"/>
      <c r="Q748" s="1"/>
    </row>
    <row r="749" spans="1:17" x14ac:dyDescent="0.35">
      <c r="A749" s="6"/>
      <c r="B749" s="81"/>
      <c r="C749" s="83"/>
      <c r="D749" s="8"/>
      <c r="E749" s="8"/>
      <c r="F749" s="8"/>
      <c r="G749" s="8"/>
      <c r="H749" s="8"/>
      <c r="I749" s="8"/>
      <c r="J749" s="8"/>
      <c r="K749" s="8"/>
      <c r="L749" s="8"/>
      <c r="M749" s="8"/>
      <c r="N749" s="8"/>
      <c r="O749" s="8"/>
      <c r="P749" s="8"/>
      <c r="Q749" s="1"/>
    </row>
    <row r="750" spans="1:17" x14ac:dyDescent="0.35">
      <c r="A750" s="6"/>
      <c r="B750" s="81"/>
      <c r="C750" s="83"/>
      <c r="D750" s="8"/>
      <c r="E750" s="8"/>
      <c r="F750" s="8"/>
      <c r="G750" s="8"/>
      <c r="H750" s="8"/>
      <c r="I750" s="8"/>
      <c r="J750" s="8"/>
      <c r="K750" s="8"/>
      <c r="L750" s="8"/>
      <c r="M750" s="8"/>
      <c r="N750" s="8"/>
      <c r="O750" s="8"/>
      <c r="P750" s="8"/>
      <c r="Q750" s="1"/>
    </row>
    <row r="751" spans="1:17" x14ac:dyDescent="0.35">
      <c r="A751" s="6"/>
      <c r="B751" s="81"/>
      <c r="C751" s="83"/>
      <c r="D751" s="8"/>
      <c r="E751" s="8"/>
      <c r="F751" s="8"/>
      <c r="G751" s="8"/>
      <c r="H751" s="8"/>
      <c r="I751" s="8"/>
      <c r="J751" s="8"/>
      <c r="K751" s="8"/>
      <c r="L751" s="8"/>
      <c r="M751" s="8"/>
      <c r="N751" s="8"/>
      <c r="O751" s="8"/>
      <c r="P751" s="8"/>
      <c r="Q751" s="1"/>
    </row>
    <row r="752" spans="1:17" x14ac:dyDescent="0.35">
      <c r="A752" s="6"/>
      <c r="B752" s="81"/>
      <c r="C752" s="83"/>
      <c r="D752" s="8"/>
      <c r="E752" s="8"/>
      <c r="F752" s="8"/>
      <c r="G752" s="8"/>
      <c r="H752" s="8"/>
      <c r="I752" s="8"/>
      <c r="J752" s="8"/>
      <c r="K752" s="8"/>
      <c r="L752" s="8"/>
      <c r="M752" s="8"/>
      <c r="N752" s="8"/>
      <c r="O752" s="8"/>
      <c r="P752" s="8"/>
      <c r="Q752" s="1"/>
    </row>
    <row r="753" spans="1:17" x14ac:dyDescent="0.35">
      <c r="A753" s="6"/>
      <c r="B753" s="81"/>
      <c r="C753" s="83"/>
      <c r="D753" s="8"/>
      <c r="E753" s="8"/>
      <c r="F753" s="8"/>
      <c r="G753" s="8"/>
      <c r="H753" s="8"/>
      <c r="I753" s="8"/>
      <c r="J753" s="8"/>
      <c r="K753" s="8"/>
      <c r="L753" s="8"/>
      <c r="M753" s="8"/>
      <c r="N753" s="8"/>
      <c r="O753" s="8"/>
      <c r="P753" s="8"/>
      <c r="Q753" s="1"/>
    </row>
    <row r="754" spans="1:17" x14ac:dyDescent="0.35">
      <c r="A754" s="6"/>
      <c r="B754" s="81"/>
      <c r="C754" s="83"/>
      <c r="D754" s="8"/>
      <c r="E754" s="8"/>
      <c r="F754" s="8"/>
      <c r="G754" s="8"/>
      <c r="H754" s="8"/>
      <c r="I754" s="8"/>
      <c r="J754" s="8"/>
      <c r="K754" s="8"/>
      <c r="L754" s="8"/>
      <c r="M754" s="8"/>
      <c r="N754" s="8"/>
      <c r="O754" s="8"/>
      <c r="P754" s="8"/>
      <c r="Q754" s="1"/>
    </row>
    <row r="755" spans="1:17" x14ac:dyDescent="0.35">
      <c r="A755" s="6"/>
      <c r="B755" s="81"/>
      <c r="C755" s="83"/>
      <c r="D755" s="8"/>
      <c r="E755" s="8"/>
      <c r="F755" s="8"/>
      <c r="G755" s="8"/>
      <c r="H755" s="8"/>
      <c r="I755" s="8"/>
      <c r="J755" s="8"/>
      <c r="K755" s="8"/>
      <c r="L755" s="8"/>
      <c r="M755" s="8"/>
      <c r="N755" s="8"/>
      <c r="O755" s="8"/>
      <c r="P755" s="8"/>
      <c r="Q755" s="1"/>
    </row>
    <row r="756" spans="1:17" x14ac:dyDescent="0.35">
      <c r="A756" s="6"/>
      <c r="B756" s="81"/>
      <c r="C756" s="83"/>
      <c r="D756" s="8"/>
      <c r="E756" s="8"/>
      <c r="F756" s="8"/>
      <c r="G756" s="8"/>
      <c r="H756" s="8"/>
      <c r="I756" s="8"/>
      <c r="J756" s="8"/>
      <c r="K756" s="8"/>
      <c r="L756" s="8"/>
      <c r="M756" s="8"/>
      <c r="N756" s="8"/>
      <c r="O756" s="8"/>
      <c r="P756" s="8"/>
      <c r="Q756" s="1"/>
    </row>
    <row r="757" spans="1:17" x14ac:dyDescent="0.35">
      <c r="A757" s="6"/>
      <c r="B757" s="81"/>
      <c r="C757" s="83"/>
      <c r="D757" s="8"/>
      <c r="E757" s="8"/>
      <c r="F757" s="8"/>
      <c r="G757" s="8"/>
      <c r="H757" s="8"/>
      <c r="I757" s="8"/>
      <c r="J757" s="8"/>
      <c r="K757" s="8"/>
      <c r="L757" s="8"/>
      <c r="M757" s="8"/>
      <c r="N757" s="8"/>
      <c r="O757" s="8"/>
      <c r="P757" s="8"/>
      <c r="Q757" s="1"/>
    </row>
    <row r="758" spans="1:17" x14ac:dyDescent="0.35">
      <c r="A758" s="6"/>
      <c r="B758" s="81"/>
      <c r="C758" s="83"/>
      <c r="D758" s="8"/>
      <c r="E758" s="8"/>
      <c r="F758" s="8"/>
      <c r="G758" s="8"/>
      <c r="H758" s="8"/>
      <c r="I758" s="8"/>
      <c r="J758" s="8"/>
      <c r="K758" s="8"/>
      <c r="L758" s="8"/>
      <c r="M758" s="8"/>
      <c r="N758" s="8"/>
      <c r="O758" s="8"/>
      <c r="P758" s="8"/>
      <c r="Q758" s="1"/>
    </row>
    <row r="759" spans="1:17" x14ac:dyDescent="0.35">
      <c r="A759" s="6"/>
      <c r="B759" s="81"/>
      <c r="C759" s="83"/>
      <c r="D759" s="8"/>
      <c r="E759" s="8"/>
      <c r="F759" s="8"/>
      <c r="G759" s="8"/>
      <c r="H759" s="8"/>
      <c r="I759" s="8"/>
      <c r="J759" s="8"/>
      <c r="K759" s="8"/>
      <c r="L759" s="8"/>
      <c r="M759" s="8"/>
      <c r="N759" s="8"/>
      <c r="O759" s="8"/>
      <c r="P759" s="8"/>
      <c r="Q759" s="1"/>
    </row>
    <row r="760" spans="1:17" x14ac:dyDescent="0.35">
      <c r="A760" s="6"/>
      <c r="B760" s="81"/>
      <c r="C760" s="83"/>
      <c r="D760" s="8"/>
      <c r="E760" s="8"/>
      <c r="F760" s="8"/>
      <c r="G760" s="8"/>
      <c r="H760" s="8"/>
      <c r="I760" s="8"/>
      <c r="J760" s="8"/>
      <c r="K760" s="8"/>
      <c r="L760" s="8"/>
      <c r="M760" s="8"/>
      <c r="N760" s="8"/>
      <c r="O760" s="8"/>
      <c r="P760" s="8"/>
      <c r="Q760" s="1"/>
    </row>
    <row r="761" spans="1:17" x14ac:dyDescent="0.35">
      <c r="A761" s="6"/>
      <c r="B761" s="81"/>
      <c r="C761" s="83"/>
      <c r="D761" s="8"/>
      <c r="E761" s="8"/>
      <c r="F761" s="8"/>
      <c r="G761" s="8"/>
      <c r="H761" s="8"/>
      <c r="I761" s="8"/>
      <c r="J761" s="8"/>
      <c r="K761" s="8"/>
      <c r="L761" s="8"/>
      <c r="M761" s="8"/>
      <c r="N761" s="8"/>
      <c r="O761" s="8"/>
      <c r="P761" s="8"/>
      <c r="Q761" s="1"/>
    </row>
    <row r="762" spans="1:17" x14ac:dyDescent="0.35">
      <c r="A762" s="6"/>
      <c r="B762" s="81"/>
      <c r="C762" s="83"/>
      <c r="D762" s="8"/>
      <c r="E762" s="8"/>
      <c r="F762" s="8"/>
      <c r="G762" s="8"/>
      <c r="H762" s="8"/>
      <c r="I762" s="8"/>
      <c r="J762" s="8"/>
      <c r="K762" s="8"/>
      <c r="L762" s="8"/>
      <c r="M762" s="8"/>
      <c r="N762" s="8"/>
      <c r="O762" s="8"/>
      <c r="P762" s="8"/>
      <c r="Q762" s="1"/>
    </row>
    <row r="763" spans="1:17" x14ac:dyDescent="0.35">
      <c r="A763" s="6"/>
      <c r="B763" s="81"/>
      <c r="C763" s="83"/>
      <c r="D763" s="8"/>
      <c r="E763" s="8"/>
      <c r="F763" s="8"/>
      <c r="G763" s="8"/>
      <c r="H763" s="8"/>
      <c r="I763" s="8"/>
      <c r="J763" s="8"/>
      <c r="K763" s="8"/>
      <c r="L763" s="8"/>
      <c r="M763" s="8"/>
      <c r="N763" s="8"/>
      <c r="O763" s="8"/>
      <c r="P763" s="8"/>
      <c r="Q763" s="1"/>
    </row>
    <row r="764" spans="1:17" x14ac:dyDescent="0.35">
      <c r="A764" s="6"/>
      <c r="B764" s="81"/>
      <c r="C764" s="83"/>
      <c r="D764" s="8"/>
      <c r="E764" s="8"/>
      <c r="F764" s="8"/>
      <c r="G764" s="8"/>
      <c r="H764" s="8"/>
      <c r="I764" s="8"/>
      <c r="J764" s="8"/>
      <c r="K764" s="8"/>
      <c r="L764" s="8"/>
      <c r="M764" s="8"/>
      <c r="N764" s="8"/>
      <c r="O764" s="8"/>
      <c r="P764" s="8"/>
      <c r="Q764" s="1"/>
    </row>
    <row r="765" spans="1:17" x14ac:dyDescent="0.35">
      <c r="A765" s="6"/>
      <c r="B765" s="81"/>
      <c r="C765" s="83"/>
      <c r="D765" s="8"/>
      <c r="E765" s="8"/>
      <c r="F765" s="8"/>
      <c r="G765" s="8"/>
      <c r="H765" s="8"/>
      <c r="I765" s="8"/>
      <c r="J765" s="8"/>
      <c r="K765" s="8"/>
      <c r="L765" s="8"/>
      <c r="M765" s="8"/>
      <c r="N765" s="8"/>
      <c r="O765" s="8"/>
      <c r="P765" s="8"/>
      <c r="Q765" s="1"/>
    </row>
    <row r="766" spans="1:17" x14ac:dyDescent="0.35">
      <c r="A766" s="6"/>
      <c r="B766" s="81"/>
      <c r="C766" s="83"/>
      <c r="D766" s="8"/>
      <c r="E766" s="8"/>
      <c r="F766" s="8"/>
      <c r="G766" s="8"/>
      <c r="H766" s="8"/>
      <c r="I766" s="8"/>
      <c r="J766" s="8"/>
      <c r="K766" s="8"/>
      <c r="L766" s="8"/>
      <c r="M766" s="8"/>
      <c r="N766" s="8"/>
      <c r="O766" s="8"/>
      <c r="P766" s="8"/>
      <c r="Q766" s="1"/>
    </row>
    <row r="767" spans="1:17" x14ac:dyDescent="0.35">
      <c r="A767" s="6"/>
      <c r="B767" s="81"/>
      <c r="C767" s="83"/>
      <c r="D767" s="8"/>
      <c r="E767" s="8"/>
      <c r="F767" s="8"/>
      <c r="G767" s="8"/>
      <c r="H767" s="8"/>
      <c r="I767" s="8"/>
      <c r="J767" s="8"/>
      <c r="K767" s="8"/>
      <c r="L767" s="8"/>
      <c r="M767" s="8"/>
      <c r="N767" s="8"/>
      <c r="O767" s="8"/>
      <c r="P767" s="8"/>
      <c r="Q767" s="1"/>
    </row>
    <row r="768" spans="1:17" x14ac:dyDescent="0.35">
      <c r="A768" s="6"/>
      <c r="B768" s="81"/>
      <c r="C768" s="83"/>
      <c r="D768" s="8"/>
      <c r="E768" s="8"/>
      <c r="F768" s="8"/>
      <c r="G768" s="8"/>
      <c r="H768" s="8"/>
      <c r="I768" s="8"/>
      <c r="J768" s="8"/>
      <c r="K768" s="8"/>
      <c r="L768" s="8"/>
      <c r="M768" s="8"/>
      <c r="N768" s="8"/>
      <c r="O768" s="8"/>
      <c r="P768" s="8"/>
      <c r="Q768" s="1"/>
    </row>
    <row r="769" spans="1:17" x14ac:dyDescent="0.35">
      <c r="A769" s="6"/>
      <c r="B769" s="81"/>
      <c r="C769" s="83"/>
      <c r="D769" s="8"/>
      <c r="E769" s="8"/>
      <c r="F769" s="8"/>
      <c r="G769" s="8"/>
      <c r="H769" s="8"/>
      <c r="I769" s="8"/>
      <c r="J769" s="8"/>
      <c r="K769" s="8"/>
      <c r="L769" s="8"/>
      <c r="M769" s="8"/>
      <c r="N769" s="8"/>
      <c r="O769" s="8"/>
      <c r="P769" s="8"/>
      <c r="Q769" s="1"/>
    </row>
    <row r="770" spans="1:17" x14ac:dyDescent="0.35">
      <c r="A770" s="6"/>
      <c r="B770" s="81"/>
      <c r="C770" s="83"/>
      <c r="D770" s="8"/>
      <c r="E770" s="8"/>
      <c r="F770" s="8"/>
      <c r="G770" s="8"/>
      <c r="H770" s="8"/>
      <c r="I770" s="8"/>
      <c r="J770" s="8"/>
      <c r="K770" s="8"/>
      <c r="L770" s="8"/>
      <c r="M770" s="8"/>
      <c r="N770" s="8"/>
      <c r="O770" s="8"/>
      <c r="P770" s="8"/>
      <c r="Q770" s="1"/>
    </row>
    <row r="771" spans="1:17" x14ac:dyDescent="0.35">
      <c r="A771" s="6"/>
      <c r="B771" s="81"/>
      <c r="C771" s="83"/>
      <c r="D771" s="8"/>
      <c r="E771" s="8"/>
      <c r="F771" s="8"/>
      <c r="G771" s="8"/>
      <c r="H771" s="8"/>
      <c r="I771" s="8"/>
      <c r="J771" s="8"/>
      <c r="K771" s="8"/>
      <c r="L771" s="8"/>
      <c r="M771" s="8"/>
      <c r="N771" s="8"/>
      <c r="O771" s="8"/>
      <c r="P771" s="8"/>
      <c r="Q771" s="1"/>
    </row>
    <row r="772" spans="1:17" x14ac:dyDescent="0.35">
      <c r="A772" s="6"/>
      <c r="B772" s="81"/>
      <c r="C772" s="83"/>
      <c r="D772" s="8"/>
      <c r="E772" s="8"/>
      <c r="F772" s="8"/>
      <c r="G772" s="8"/>
      <c r="H772" s="8"/>
      <c r="I772" s="8"/>
      <c r="J772" s="8"/>
      <c r="K772" s="8"/>
      <c r="L772" s="8"/>
      <c r="M772" s="8"/>
      <c r="N772" s="8"/>
      <c r="O772" s="8"/>
      <c r="P772" s="8"/>
      <c r="Q772" s="1"/>
    </row>
    <row r="773" spans="1:17" x14ac:dyDescent="0.35">
      <c r="A773" s="6"/>
      <c r="B773" s="81"/>
      <c r="C773" s="83"/>
      <c r="D773" s="8"/>
      <c r="E773" s="8"/>
      <c r="F773" s="8"/>
      <c r="G773" s="8"/>
      <c r="H773" s="8"/>
      <c r="I773" s="8"/>
      <c r="J773" s="8"/>
      <c r="K773" s="8"/>
      <c r="L773" s="8"/>
      <c r="M773" s="8"/>
      <c r="N773" s="8"/>
      <c r="O773" s="8"/>
      <c r="P773" s="8"/>
      <c r="Q773" s="1"/>
    </row>
    <row r="774" spans="1:17" x14ac:dyDescent="0.35">
      <c r="A774" s="6"/>
      <c r="B774" s="81"/>
      <c r="C774" s="83"/>
      <c r="D774" s="8"/>
      <c r="E774" s="8"/>
      <c r="F774" s="8"/>
      <c r="G774" s="8"/>
      <c r="H774" s="8"/>
      <c r="I774" s="8"/>
      <c r="J774" s="8"/>
      <c r="K774" s="8"/>
      <c r="L774" s="8"/>
      <c r="M774" s="8"/>
      <c r="N774" s="8"/>
      <c r="O774" s="8"/>
      <c r="P774" s="8"/>
      <c r="Q774" s="1"/>
    </row>
    <row r="775" spans="1:17" x14ac:dyDescent="0.35">
      <c r="A775" s="6"/>
      <c r="B775" s="81"/>
      <c r="C775" s="83"/>
      <c r="D775" s="8"/>
      <c r="E775" s="8"/>
      <c r="F775" s="8"/>
      <c r="G775" s="8"/>
      <c r="H775" s="8"/>
      <c r="I775" s="8"/>
      <c r="J775" s="8"/>
      <c r="K775" s="8"/>
      <c r="L775" s="8"/>
      <c r="M775" s="8"/>
      <c r="N775" s="8"/>
      <c r="O775" s="8"/>
      <c r="P775" s="8"/>
      <c r="Q775" s="1"/>
    </row>
    <row r="776" spans="1:17" x14ac:dyDescent="0.35">
      <c r="A776" s="6"/>
      <c r="B776" s="81"/>
      <c r="C776" s="83"/>
      <c r="D776" s="8"/>
      <c r="E776" s="8"/>
      <c r="F776" s="8"/>
      <c r="G776" s="8"/>
      <c r="H776" s="8"/>
      <c r="I776" s="8"/>
      <c r="J776" s="8"/>
      <c r="K776" s="8"/>
      <c r="L776" s="8"/>
      <c r="M776" s="8"/>
      <c r="N776" s="8"/>
      <c r="O776" s="8"/>
      <c r="P776" s="8"/>
      <c r="Q776" s="1"/>
    </row>
    <row r="777" spans="1:17" x14ac:dyDescent="0.35">
      <c r="A777" s="6"/>
      <c r="B777" s="81"/>
      <c r="C777" s="83"/>
      <c r="D777" s="8"/>
      <c r="E777" s="8"/>
      <c r="F777" s="8"/>
      <c r="G777" s="8"/>
      <c r="H777" s="8"/>
      <c r="I777" s="8"/>
      <c r="J777" s="8"/>
      <c r="K777" s="8"/>
      <c r="L777" s="8"/>
      <c r="M777" s="8"/>
      <c r="N777" s="8"/>
      <c r="O777" s="8"/>
      <c r="P777" s="8"/>
      <c r="Q777" s="1"/>
    </row>
    <row r="778" spans="1:17" x14ac:dyDescent="0.35">
      <c r="A778" s="6"/>
      <c r="B778" s="81"/>
      <c r="C778" s="83"/>
      <c r="D778" s="8"/>
      <c r="E778" s="8"/>
      <c r="F778" s="8"/>
      <c r="G778" s="8"/>
      <c r="H778" s="8"/>
      <c r="I778" s="8"/>
      <c r="J778" s="8"/>
      <c r="K778" s="8"/>
      <c r="L778" s="8"/>
      <c r="M778" s="8"/>
      <c r="N778" s="8"/>
      <c r="O778" s="8"/>
      <c r="P778" s="8"/>
      <c r="Q778" s="1"/>
    </row>
    <row r="779" spans="1:17" x14ac:dyDescent="0.35">
      <c r="A779" s="6"/>
      <c r="B779" s="81"/>
      <c r="C779" s="83"/>
      <c r="D779" s="8"/>
      <c r="E779" s="8"/>
      <c r="F779" s="8"/>
      <c r="G779" s="8"/>
      <c r="H779" s="8"/>
      <c r="I779" s="8"/>
      <c r="J779" s="8"/>
      <c r="K779" s="8"/>
      <c r="L779" s="8"/>
      <c r="M779" s="8"/>
      <c r="N779" s="8"/>
      <c r="O779" s="8"/>
      <c r="P779" s="8"/>
      <c r="Q779" s="1"/>
    </row>
    <row r="780" spans="1:17" x14ac:dyDescent="0.35">
      <c r="A780" s="6"/>
      <c r="B780" s="81"/>
      <c r="C780" s="83"/>
      <c r="D780" s="8"/>
      <c r="E780" s="8"/>
      <c r="F780" s="8"/>
      <c r="G780" s="8"/>
      <c r="H780" s="8"/>
      <c r="I780" s="8"/>
      <c r="J780" s="8"/>
      <c r="K780" s="8"/>
      <c r="L780" s="8"/>
      <c r="M780" s="8"/>
      <c r="N780" s="8"/>
      <c r="O780" s="8"/>
      <c r="P780" s="8"/>
      <c r="Q780" s="1"/>
    </row>
    <row r="781" spans="1:17" x14ac:dyDescent="0.35">
      <c r="A781" s="6"/>
      <c r="B781" s="81"/>
      <c r="C781" s="83"/>
      <c r="D781" s="8"/>
      <c r="E781" s="8"/>
      <c r="F781" s="8"/>
      <c r="G781" s="8"/>
      <c r="H781" s="8"/>
      <c r="I781" s="8"/>
      <c r="J781" s="8"/>
      <c r="K781" s="8"/>
      <c r="L781" s="8"/>
      <c r="M781" s="8"/>
      <c r="N781" s="8"/>
      <c r="O781" s="8"/>
      <c r="P781" s="8"/>
      <c r="Q781" s="1"/>
    </row>
    <row r="782" spans="1:17" x14ac:dyDescent="0.35">
      <c r="A782" s="6"/>
      <c r="B782" s="81"/>
      <c r="C782" s="83"/>
      <c r="D782" s="8"/>
      <c r="E782" s="8"/>
      <c r="F782" s="8"/>
      <c r="G782" s="8"/>
      <c r="H782" s="8"/>
      <c r="I782" s="8"/>
      <c r="J782" s="8"/>
      <c r="K782" s="8"/>
      <c r="L782" s="8"/>
      <c r="M782" s="8"/>
      <c r="N782" s="8"/>
      <c r="O782" s="8"/>
      <c r="P782" s="8"/>
      <c r="Q782" s="1"/>
    </row>
    <row r="783" spans="1:17" x14ac:dyDescent="0.35">
      <c r="A783" s="6"/>
      <c r="B783" s="81"/>
      <c r="C783" s="83"/>
      <c r="D783" s="8"/>
      <c r="E783" s="8"/>
      <c r="F783" s="8"/>
      <c r="G783" s="8"/>
      <c r="H783" s="8"/>
      <c r="I783" s="8"/>
      <c r="J783" s="8"/>
      <c r="K783" s="8"/>
      <c r="L783" s="8"/>
      <c r="M783" s="8"/>
      <c r="N783" s="8"/>
      <c r="O783" s="8"/>
      <c r="P783" s="8"/>
      <c r="Q783" s="1"/>
    </row>
    <row r="784" spans="1:17" x14ac:dyDescent="0.35">
      <c r="A784" s="6"/>
      <c r="B784" s="81"/>
      <c r="C784" s="83"/>
      <c r="D784" s="8"/>
      <c r="E784" s="8"/>
      <c r="F784" s="8"/>
      <c r="G784" s="8"/>
      <c r="H784" s="8"/>
      <c r="I784" s="8"/>
      <c r="J784" s="8"/>
      <c r="K784" s="8"/>
      <c r="L784" s="8"/>
      <c r="M784" s="8"/>
      <c r="N784" s="8"/>
      <c r="O784" s="8"/>
      <c r="P784" s="8"/>
      <c r="Q784" s="1"/>
    </row>
    <row r="785" spans="1:17" x14ac:dyDescent="0.35">
      <c r="A785" s="6"/>
      <c r="B785" s="81"/>
      <c r="C785" s="83"/>
      <c r="D785" s="8"/>
      <c r="E785" s="8"/>
      <c r="F785" s="8"/>
      <c r="G785" s="8"/>
      <c r="H785" s="8"/>
      <c r="I785" s="8"/>
      <c r="J785" s="8"/>
      <c r="K785" s="8"/>
      <c r="L785" s="8"/>
      <c r="M785" s="8"/>
      <c r="N785" s="8"/>
      <c r="O785" s="8"/>
      <c r="P785" s="8"/>
      <c r="Q785" s="1"/>
    </row>
    <row r="786" spans="1:17" x14ac:dyDescent="0.35">
      <c r="A786" s="6"/>
      <c r="B786" s="81"/>
      <c r="C786" s="83"/>
      <c r="D786" s="8"/>
      <c r="E786" s="8"/>
      <c r="F786" s="8"/>
      <c r="G786" s="8"/>
      <c r="H786" s="8"/>
      <c r="I786" s="8"/>
      <c r="J786" s="8"/>
      <c r="K786" s="8"/>
      <c r="L786" s="8"/>
      <c r="M786" s="8"/>
      <c r="N786" s="8"/>
      <c r="O786" s="8"/>
      <c r="P786" s="8"/>
      <c r="Q786" s="1"/>
    </row>
    <row r="787" spans="1:17" x14ac:dyDescent="0.35">
      <c r="A787" s="6"/>
      <c r="B787" s="81"/>
      <c r="C787" s="83"/>
      <c r="D787" s="8"/>
      <c r="E787" s="8"/>
      <c r="F787" s="8"/>
      <c r="G787" s="8"/>
      <c r="H787" s="8"/>
      <c r="I787" s="8"/>
      <c r="J787" s="8"/>
      <c r="K787" s="8"/>
      <c r="L787" s="8"/>
      <c r="M787" s="8"/>
      <c r="N787" s="8"/>
      <c r="O787" s="8"/>
      <c r="P787" s="8"/>
      <c r="Q787" s="1"/>
    </row>
    <row r="788" spans="1:17" x14ac:dyDescent="0.35">
      <c r="A788" s="6"/>
      <c r="B788" s="81"/>
      <c r="C788" s="83"/>
      <c r="D788" s="8"/>
      <c r="E788" s="8"/>
      <c r="F788" s="8"/>
      <c r="G788" s="8"/>
      <c r="H788" s="8"/>
      <c r="I788" s="8"/>
      <c r="J788" s="8"/>
      <c r="K788" s="8"/>
      <c r="L788" s="8"/>
      <c r="M788" s="8"/>
      <c r="N788" s="8"/>
      <c r="O788" s="8"/>
      <c r="P788" s="8"/>
      <c r="Q788" s="1"/>
    </row>
    <row r="789" spans="1:17" x14ac:dyDescent="0.35">
      <c r="A789" s="6"/>
      <c r="B789" s="81"/>
      <c r="C789" s="83"/>
      <c r="D789" s="8"/>
      <c r="E789" s="8"/>
      <c r="F789" s="8"/>
      <c r="G789" s="8"/>
      <c r="H789" s="8"/>
      <c r="I789" s="8"/>
      <c r="J789" s="8"/>
      <c r="K789" s="8"/>
      <c r="L789" s="8"/>
      <c r="M789" s="8"/>
      <c r="N789" s="8"/>
      <c r="O789" s="8"/>
      <c r="P789" s="8"/>
      <c r="Q789" s="1"/>
    </row>
    <row r="790" spans="1:17" x14ac:dyDescent="0.35">
      <c r="A790" s="6"/>
      <c r="B790" s="81"/>
      <c r="C790" s="83"/>
      <c r="D790" s="8"/>
      <c r="E790" s="8"/>
      <c r="F790" s="8"/>
      <c r="G790" s="8"/>
      <c r="H790" s="8"/>
      <c r="I790" s="8"/>
      <c r="J790" s="8"/>
      <c r="K790" s="8"/>
      <c r="L790" s="8"/>
      <c r="M790" s="8"/>
      <c r="N790" s="8"/>
      <c r="O790" s="8"/>
      <c r="P790" s="8"/>
      <c r="Q790" s="1"/>
    </row>
    <row r="791" spans="1:17" x14ac:dyDescent="0.35">
      <c r="A791" s="6"/>
      <c r="B791" s="81"/>
      <c r="C791" s="83"/>
      <c r="D791" s="8"/>
      <c r="E791" s="8"/>
      <c r="F791" s="8"/>
      <c r="G791" s="8"/>
      <c r="H791" s="8"/>
      <c r="I791" s="8"/>
      <c r="J791" s="8"/>
      <c r="K791" s="8"/>
      <c r="L791" s="8"/>
      <c r="M791" s="8"/>
      <c r="N791" s="8"/>
      <c r="O791" s="8"/>
      <c r="P791" s="8"/>
      <c r="Q791" s="1"/>
    </row>
    <row r="792" spans="1:17" x14ac:dyDescent="0.35">
      <c r="A792" s="6"/>
      <c r="B792" s="81"/>
      <c r="C792" s="83"/>
      <c r="D792" s="8"/>
      <c r="E792" s="8"/>
      <c r="F792" s="8"/>
      <c r="G792" s="8"/>
      <c r="H792" s="8"/>
      <c r="I792" s="8"/>
      <c r="J792" s="8"/>
      <c r="K792" s="8"/>
      <c r="L792" s="8"/>
      <c r="M792" s="8"/>
      <c r="N792" s="8"/>
      <c r="O792" s="8"/>
      <c r="P792" s="8"/>
      <c r="Q792" s="1"/>
    </row>
    <row r="793" spans="1:17" x14ac:dyDescent="0.35">
      <c r="A793" s="6"/>
      <c r="B793" s="81"/>
      <c r="C793" s="83"/>
      <c r="D793" s="8"/>
      <c r="E793" s="8"/>
      <c r="F793" s="8"/>
      <c r="G793" s="8"/>
      <c r="H793" s="8"/>
      <c r="I793" s="8"/>
      <c r="J793" s="8"/>
      <c r="K793" s="8"/>
      <c r="L793" s="8"/>
      <c r="M793" s="8"/>
      <c r="N793" s="8"/>
      <c r="O793" s="8"/>
      <c r="P793" s="8"/>
      <c r="Q793" s="1"/>
    </row>
    <row r="794" spans="1:17" x14ac:dyDescent="0.35">
      <c r="A794" s="6"/>
      <c r="B794" s="81"/>
      <c r="C794" s="83"/>
      <c r="D794" s="8"/>
      <c r="E794" s="8"/>
      <c r="F794" s="8"/>
      <c r="G794" s="8"/>
      <c r="H794" s="8"/>
      <c r="I794" s="8"/>
      <c r="J794" s="8"/>
      <c r="K794" s="8"/>
      <c r="L794" s="8"/>
      <c r="M794" s="8"/>
      <c r="N794" s="8"/>
      <c r="O794" s="8"/>
      <c r="P794" s="8"/>
      <c r="Q794" s="1"/>
    </row>
    <row r="795" spans="1:17" x14ac:dyDescent="0.35">
      <c r="A795" s="6"/>
      <c r="B795" s="81"/>
      <c r="C795" s="83"/>
      <c r="D795" s="8"/>
      <c r="E795" s="8"/>
      <c r="F795" s="8"/>
      <c r="G795" s="8"/>
      <c r="H795" s="8"/>
      <c r="I795" s="8"/>
      <c r="J795" s="8"/>
      <c r="K795" s="8"/>
      <c r="L795" s="8"/>
      <c r="M795" s="8"/>
      <c r="N795" s="8"/>
      <c r="O795" s="8"/>
      <c r="P795" s="8"/>
      <c r="Q795" s="1"/>
    </row>
    <row r="796" spans="1:17" x14ac:dyDescent="0.35">
      <c r="A796" s="6"/>
      <c r="B796" s="81"/>
      <c r="C796" s="83"/>
      <c r="D796" s="8"/>
      <c r="E796" s="8"/>
      <c r="F796" s="8"/>
      <c r="G796" s="8"/>
      <c r="H796" s="8"/>
      <c r="I796" s="8"/>
      <c r="J796" s="8"/>
      <c r="K796" s="8"/>
      <c r="L796" s="8"/>
      <c r="M796" s="8"/>
      <c r="N796" s="8"/>
      <c r="O796" s="8"/>
      <c r="P796" s="8"/>
      <c r="Q796" s="1"/>
    </row>
    <row r="797" spans="1:17" x14ac:dyDescent="0.35">
      <c r="A797" s="6"/>
      <c r="B797" s="81"/>
      <c r="C797" s="83"/>
      <c r="D797" s="8"/>
      <c r="E797" s="8"/>
      <c r="F797" s="8"/>
      <c r="G797" s="8"/>
      <c r="H797" s="8"/>
      <c r="I797" s="8"/>
      <c r="J797" s="8"/>
      <c r="K797" s="8"/>
      <c r="L797" s="8"/>
      <c r="M797" s="8"/>
      <c r="N797" s="8"/>
      <c r="O797" s="8"/>
      <c r="P797" s="8"/>
      <c r="Q797" s="1"/>
    </row>
    <row r="798" spans="1:17" x14ac:dyDescent="0.35">
      <c r="A798" s="6"/>
      <c r="B798" s="81"/>
      <c r="C798" s="83"/>
      <c r="D798" s="8"/>
      <c r="E798" s="8"/>
      <c r="F798" s="8"/>
      <c r="G798" s="8"/>
      <c r="H798" s="8"/>
      <c r="I798" s="8"/>
      <c r="J798" s="8"/>
      <c r="K798" s="8"/>
      <c r="L798" s="8"/>
      <c r="M798" s="8"/>
      <c r="N798" s="8"/>
      <c r="O798" s="8"/>
      <c r="P798" s="8"/>
      <c r="Q798" s="1"/>
    </row>
    <row r="799" spans="1:17" x14ac:dyDescent="0.35">
      <c r="A799" s="6"/>
      <c r="B799" s="81"/>
      <c r="C799" s="83"/>
      <c r="D799" s="8"/>
      <c r="E799" s="8"/>
      <c r="F799" s="8"/>
      <c r="G799" s="8"/>
      <c r="H799" s="8"/>
      <c r="I799" s="8"/>
      <c r="J799" s="8"/>
      <c r="K799" s="8"/>
      <c r="L799" s="8"/>
      <c r="M799" s="8"/>
      <c r="N799" s="8"/>
      <c r="O799" s="8"/>
      <c r="P799" s="8"/>
      <c r="Q799" s="1"/>
    </row>
    <row r="800" spans="1:17" x14ac:dyDescent="0.35">
      <c r="A800" s="6"/>
      <c r="B800" s="81"/>
      <c r="C800" s="83"/>
      <c r="D800" s="8"/>
      <c r="E800" s="8"/>
      <c r="F800" s="8"/>
      <c r="G800" s="8"/>
      <c r="H800" s="8"/>
      <c r="I800" s="8"/>
      <c r="J800" s="8"/>
      <c r="K800" s="8"/>
      <c r="L800" s="8"/>
      <c r="M800" s="8"/>
      <c r="N800" s="8"/>
      <c r="O800" s="8"/>
      <c r="P800" s="8"/>
      <c r="Q800" s="1"/>
    </row>
    <row r="801" spans="1:17" x14ac:dyDescent="0.35">
      <c r="A801" s="6"/>
      <c r="B801" s="81"/>
      <c r="C801" s="83"/>
      <c r="D801" s="8"/>
      <c r="E801" s="8"/>
      <c r="F801" s="8"/>
      <c r="G801" s="8"/>
      <c r="H801" s="8"/>
      <c r="I801" s="8"/>
      <c r="J801" s="8"/>
      <c r="K801" s="8"/>
      <c r="L801" s="8"/>
      <c r="M801" s="8"/>
      <c r="N801" s="8"/>
      <c r="O801" s="8"/>
      <c r="P801" s="8"/>
      <c r="Q801" s="1"/>
    </row>
    <row r="802" spans="1:17" x14ac:dyDescent="0.35">
      <c r="A802" s="6"/>
      <c r="B802" s="81"/>
      <c r="C802" s="83"/>
      <c r="D802" s="8"/>
      <c r="E802" s="8"/>
      <c r="F802" s="8"/>
      <c r="G802" s="8"/>
      <c r="H802" s="8"/>
      <c r="I802" s="8"/>
      <c r="J802" s="8"/>
      <c r="K802" s="8"/>
      <c r="L802" s="8"/>
      <c r="M802" s="8"/>
      <c r="N802" s="8"/>
      <c r="O802" s="8"/>
      <c r="P802" s="8"/>
      <c r="Q802" s="1"/>
    </row>
    <row r="803" spans="1:17" x14ac:dyDescent="0.35">
      <c r="A803" s="6"/>
      <c r="B803" s="81"/>
      <c r="C803" s="83"/>
      <c r="D803" s="8"/>
      <c r="E803" s="8"/>
      <c r="F803" s="8"/>
      <c r="G803" s="8"/>
      <c r="H803" s="8"/>
      <c r="I803" s="8"/>
      <c r="J803" s="8"/>
      <c r="K803" s="8"/>
      <c r="L803" s="8"/>
      <c r="M803" s="8"/>
      <c r="N803" s="8"/>
      <c r="O803" s="8"/>
      <c r="P803" s="8"/>
      <c r="Q803" s="1"/>
    </row>
    <row r="804" spans="1:17" x14ac:dyDescent="0.35">
      <c r="A804" s="6"/>
      <c r="B804" s="81"/>
      <c r="C804" s="83"/>
      <c r="D804" s="8"/>
      <c r="E804" s="8"/>
      <c r="F804" s="8"/>
      <c r="G804" s="8"/>
      <c r="H804" s="8"/>
      <c r="I804" s="8"/>
      <c r="J804" s="8"/>
      <c r="K804" s="8"/>
      <c r="L804" s="8"/>
      <c r="M804" s="8"/>
      <c r="N804" s="8"/>
      <c r="O804" s="8"/>
      <c r="P804" s="8"/>
      <c r="Q804" s="1"/>
    </row>
    <row r="805" spans="1:17" x14ac:dyDescent="0.35">
      <c r="A805" s="6"/>
      <c r="B805" s="81"/>
      <c r="C805" s="83"/>
      <c r="D805" s="8"/>
      <c r="E805" s="8"/>
      <c r="F805" s="8"/>
      <c r="G805" s="8"/>
      <c r="H805" s="8"/>
      <c r="I805" s="8"/>
      <c r="J805" s="8"/>
      <c r="K805" s="8"/>
      <c r="L805" s="8"/>
      <c r="M805" s="8"/>
      <c r="N805" s="8"/>
      <c r="O805" s="8"/>
      <c r="P805" s="8"/>
      <c r="Q805" s="1"/>
    </row>
    <row r="806" spans="1:17" x14ac:dyDescent="0.35">
      <c r="A806" s="6"/>
      <c r="B806" s="81"/>
      <c r="C806" s="83"/>
      <c r="D806" s="8"/>
      <c r="E806" s="8"/>
      <c r="F806" s="8"/>
      <c r="G806" s="8"/>
      <c r="H806" s="8"/>
      <c r="I806" s="8"/>
      <c r="J806" s="8"/>
      <c r="K806" s="8"/>
      <c r="L806" s="8"/>
      <c r="M806" s="8"/>
      <c r="N806" s="8"/>
      <c r="O806" s="8"/>
      <c r="P806" s="8"/>
      <c r="Q806" s="1"/>
    </row>
    <row r="807" spans="1:17" x14ac:dyDescent="0.35">
      <c r="A807" s="6"/>
      <c r="B807" s="81"/>
      <c r="C807" s="83"/>
      <c r="D807" s="8"/>
      <c r="E807" s="8"/>
      <c r="F807" s="8"/>
      <c r="G807" s="8"/>
      <c r="H807" s="8"/>
      <c r="I807" s="8"/>
      <c r="J807" s="8"/>
      <c r="K807" s="8"/>
      <c r="L807" s="8"/>
      <c r="M807" s="8"/>
      <c r="N807" s="8"/>
      <c r="O807" s="8"/>
      <c r="P807" s="8"/>
      <c r="Q807" s="1"/>
    </row>
    <row r="808" spans="1:17" x14ac:dyDescent="0.35">
      <c r="A808" s="6"/>
      <c r="B808" s="81"/>
      <c r="C808" s="83"/>
      <c r="D808" s="8"/>
      <c r="E808" s="8"/>
      <c r="F808" s="8"/>
      <c r="G808" s="8"/>
      <c r="H808" s="8"/>
      <c r="I808" s="8"/>
      <c r="J808" s="8"/>
      <c r="K808" s="8"/>
      <c r="L808" s="8"/>
      <c r="M808" s="8"/>
      <c r="N808" s="8"/>
      <c r="O808" s="8"/>
      <c r="P808" s="8"/>
      <c r="Q808" s="1"/>
    </row>
    <row r="809" spans="1:17" x14ac:dyDescent="0.35">
      <c r="A809" s="6"/>
      <c r="B809" s="81"/>
      <c r="C809" s="83"/>
      <c r="D809" s="8"/>
      <c r="E809" s="8"/>
      <c r="F809" s="8"/>
      <c r="G809" s="8"/>
      <c r="H809" s="8"/>
      <c r="I809" s="8"/>
      <c r="J809" s="8"/>
      <c r="K809" s="8"/>
      <c r="L809" s="8"/>
      <c r="M809" s="8"/>
      <c r="N809" s="8"/>
      <c r="O809" s="8"/>
      <c r="P809" s="8"/>
      <c r="Q809" s="1"/>
    </row>
    <row r="810" spans="1:17" x14ac:dyDescent="0.35">
      <c r="A810" s="6"/>
      <c r="B810" s="81"/>
      <c r="C810" s="83"/>
      <c r="D810" s="8"/>
      <c r="E810" s="8"/>
      <c r="F810" s="8"/>
      <c r="G810" s="8"/>
      <c r="H810" s="8"/>
      <c r="I810" s="8"/>
      <c r="J810" s="8"/>
      <c r="K810" s="8"/>
      <c r="L810" s="8"/>
      <c r="M810" s="8"/>
      <c r="N810" s="8"/>
      <c r="O810" s="8"/>
      <c r="P810" s="8"/>
      <c r="Q810" s="1"/>
    </row>
    <row r="811" spans="1:17" x14ac:dyDescent="0.35">
      <c r="A811" s="6"/>
      <c r="B811" s="81"/>
      <c r="C811" s="83"/>
      <c r="D811" s="8"/>
      <c r="E811" s="8"/>
      <c r="F811" s="8"/>
      <c r="G811" s="8"/>
      <c r="H811" s="8"/>
      <c r="I811" s="8"/>
      <c r="J811" s="8"/>
      <c r="K811" s="8"/>
      <c r="L811" s="8"/>
      <c r="M811" s="8"/>
      <c r="N811" s="8"/>
      <c r="O811" s="8"/>
      <c r="P811" s="8"/>
      <c r="Q811" s="1"/>
    </row>
    <row r="812" spans="1:17" x14ac:dyDescent="0.35">
      <c r="A812" s="6"/>
      <c r="B812" s="81"/>
      <c r="C812" s="83"/>
      <c r="D812" s="8"/>
      <c r="E812" s="8"/>
      <c r="F812" s="8"/>
      <c r="G812" s="8"/>
      <c r="H812" s="8"/>
      <c r="I812" s="8"/>
      <c r="J812" s="8"/>
      <c r="K812" s="8"/>
      <c r="L812" s="8"/>
      <c r="M812" s="8"/>
      <c r="N812" s="8"/>
      <c r="O812" s="8"/>
      <c r="P812" s="8"/>
      <c r="Q812" s="1"/>
    </row>
    <row r="813" spans="1:17" x14ac:dyDescent="0.35">
      <c r="A813" s="6"/>
      <c r="B813" s="81"/>
      <c r="C813" s="83"/>
      <c r="D813" s="8"/>
      <c r="E813" s="8"/>
      <c r="F813" s="8"/>
      <c r="G813" s="8"/>
      <c r="H813" s="8"/>
      <c r="I813" s="8"/>
      <c r="J813" s="8"/>
      <c r="K813" s="8"/>
      <c r="L813" s="8"/>
      <c r="M813" s="8"/>
      <c r="N813" s="8"/>
      <c r="O813" s="8"/>
      <c r="P813" s="8"/>
      <c r="Q813" s="1"/>
    </row>
    <row r="814" spans="1:17" x14ac:dyDescent="0.35">
      <c r="A814" s="6"/>
      <c r="B814" s="81"/>
      <c r="C814" s="83"/>
      <c r="D814" s="8"/>
      <c r="E814" s="8"/>
      <c r="F814" s="8"/>
      <c r="G814" s="8"/>
      <c r="H814" s="8"/>
      <c r="I814" s="8"/>
      <c r="J814" s="8"/>
      <c r="K814" s="8"/>
      <c r="L814" s="8"/>
      <c r="M814" s="8"/>
      <c r="N814" s="8"/>
      <c r="O814" s="8"/>
      <c r="P814" s="8"/>
      <c r="Q814" s="1"/>
    </row>
    <row r="815" spans="1:17" x14ac:dyDescent="0.35">
      <c r="A815" s="6"/>
      <c r="B815" s="81"/>
      <c r="C815" s="83"/>
      <c r="D815" s="8"/>
      <c r="E815" s="8"/>
      <c r="F815" s="8"/>
      <c r="G815" s="8"/>
      <c r="H815" s="8"/>
      <c r="I815" s="8"/>
      <c r="J815" s="8"/>
      <c r="K815" s="8"/>
      <c r="L815" s="8"/>
      <c r="M815" s="8"/>
      <c r="N815" s="8"/>
      <c r="O815" s="8"/>
      <c r="P815" s="8"/>
      <c r="Q815" s="1"/>
    </row>
    <row r="816" spans="1:17" x14ac:dyDescent="0.35">
      <c r="A816" s="6"/>
      <c r="B816" s="81"/>
      <c r="C816" s="83"/>
      <c r="D816" s="8"/>
      <c r="E816" s="8"/>
      <c r="F816" s="8"/>
      <c r="G816" s="8"/>
      <c r="H816" s="8"/>
      <c r="I816" s="8"/>
      <c r="J816" s="8"/>
      <c r="K816" s="8"/>
      <c r="L816" s="8"/>
      <c r="M816" s="8"/>
      <c r="N816" s="8"/>
      <c r="O816" s="8"/>
      <c r="P816" s="8"/>
      <c r="Q816" s="1"/>
    </row>
    <row r="817" spans="1:17" x14ac:dyDescent="0.35">
      <c r="A817" s="6"/>
      <c r="B817" s="81"/>
      <c r="C817" s="83"/>
      <c r="D817" s="8"/>
      <c r="E817" s="8"/>
      <c r="F817" s="8"/>
      <c r="G817" s="8"/>
      <c r="H817" s="8"/>
      <c r="I817" s="8"/>
      <c r="J817" s="8"/>
      <c r="K817" s="8"/>
      <c r="L817" s="8"/>
      <c r="M817" s="8"/>
      <c r="N817" s="8"/>
      <c r="O817" s="8"/>
      <c r="P817" s="8"/>
      <c r="Q817" s="1"/>
    </row>
    <row r="818" spans="1:17" x14ac:dyDescent="0.35">
      <c r="A818" s="6"/>
      <c r="B818" s="81"/>
      <c r="C818" s="83"/>
      <c r="D818" s="8"/>
      <c r="E818" s="8"/>
      <c r="F818" s="8"/>
      <c r="G818" s="8"/>
      <c r="H818" s="8"/>
      <c r="I818" s="8"/>
      <c r="J818" s="8"/>
      <c r="K818" s="8"/>
      <c r="L818" s="8"/>
      <c r="M818" s="8"/>
      <c r="N818" s="8"/>
      <c r="O818" s="8"/>
      <c r="P818" s="8"/>
      <c r="Q818" s="1"/>
    </row>
    <row r="819" spans="1:17" x14ac:dyDescent="0.35">
      <c r="A819" s="6"/>
      <c r="B819" s="81"/>
      <c r="C819" s="83"/>
      <c r="D819" s="8"/>
      <c r="E819" s="8"/>
      <c r="F819" s="8"/>
      <c r="G819" s="8"/>
      <c r="H819" s="8"/>
      <c r="I819" s="8"/>
      <c r="J819" s="8"/>
      <c r="K819" s="8"/>
      <c r="L819" s="8"/>
      <c r="M819" s="8"/>
      <c r="N819" s="8"/>
      <c r="O819" s="8"/>
      <c r="P819" s="8"/>
      <c r="Q819" s="1"/>
    </row>
    <row r="820" spans="1:17" x14ac:dyDescent="0.35">
      <c r="A820" s="6"/>
      <c r="B820" s="81"/>
      <c r="C820" s="83"/>
      <c r="D820" s="8"/>
      <c r="E820" s="8"/>
      <c r="F820" s="8"/>
      <c r="G820" s="8"/>
      <c r="H820" s="8"/>
      <c r="I820" s="8"/>
      <c r="J820" s="8"/>
      <c r="K820" s="8"/>
      <c r="L820" s="8"/>
      <c r="M820" s="8"/>
      <c r="N820" s="8"/>
      <c r="O820" s="8"/>
      <c r="P820" s="8"/>
      <c r="Q820" s="1"/>
    </row>
    <row r="821" spans="1:17" x14ac:dyDescent="0.35">
      <c r="A821" s="6"/>
      <c r="B821" s="81"/>
      <c r="C821" s="83"/>
      <c r="D821" s="8"/>
      <c r="E821" s="8"/>
      <c r="F821" s="8"/>
      <c r="G821" s="8"/>
      <c r="H821" s="8"/>
      <c r="I821" s="8"/>
      <c r="J821" s="8"/>
      <c r="K821" s="8"/>
      <c r="L821" s="8"/>
      <c r="M821" s="8"/>
      <c r="N821" s="8"/>
      <c r="O821" s="8"/>
      <c r="P821" s="8"/>
      <c r="Q821" s="1"/>
    </row>
    <row r="822" spans="1:17" x14ac:dyDescent="0.35">
      <c r="A822" s="6"/>
      <c r="B822" s="81"/>
      <c r="C822" s="83"/>
      <c r="D822" s="8"/>
      <c r="E822" s="8"/>
      <c r="F822" s="8"/>
      <c r="G822" s="8"/>
      <c r="H822" s="8"/>
      <c r="I822" s="8"/>
      <c r="J822" s="8"/>
      <c r="K822" s="8"/>
      <c r="L822" s="8"/>
      <c r="M822" s="8"/>
      <c r="N822" s="8"/>
      <c r="O822" s="8"/>
      <c r="P822" s="8"/>
      <c r="Q822" s="1"/>
    </row>
    <row r="823" spans="1:17" x14ac:dyDescent="0.35">
      <c r="A823" s="6"/>
      <c r="B823" s="81"/>
      <c r="C823" s="83"/>
      <c r="D823" s="8"/>
      <c r="E823" s="8"/>
      <c r="F823" s="8"/>
      <c r="G823" s="8"/>
      <c r="H823" s="8"/>
      <c r="I823" s="8"/>
      <c r="J823" s="8"/>
      <c r="K823" s="8"/>
      <c r="L823" s="8"/>
      <c r="M823" s="8"/>
      <c r="N823" s="8"/>
      <c r="O823" s="8"/>
      <c r="P823" s="8"/>
      <c r="Q823" s="1"/>
    </row>
    <row r="824" spans="1:17" x14ac:dyDescent="0.35">
      <c r="A824" s="6"/>
      <c r="B824" s="81"/>
      <c r="C824" s="83"/>
      <c r="D824" s="8"/>
      <c r="E824" s="8"/>
      <c r="F824" s="8"/>
      <c r="G824" s="8"/>
      <c r="H824" s="8"/>
      <c r="I824" s="8"/>
      <c r="J824" s="8"/>
      <c r="K824" s="8"/>
      <c r="L824" s="8"/>
      <c r="M824" s="8"/>
      <c r="N824" s="8"/>
      <c r="O824" s="8"/>
      <c r="P824" s="8"/>
      <c r="Q824" s="1"/>
    </row>
    <row r="825" spans="1:17" x14ac:dyDescent="0.35">
      <c r="A825" s="6"/>
      <c r="B825" s="81"/>
      <c r="C825" s="83"/>
      <c r="D825" s="8"/>
      <c r="E825" s="8"/>
      <c r="F825" s="8"/>
      <c r="G825" s="8"/>
      <c r="H825" s="8"/>
      <c r="I825" s="8"/>
      <c r="J825" s="8"/>
      <c r="K825" s="8"/>
      <c r="L825" s="8"/>
      <c r="M825" s="8"/>
      <c r="N825" s="8"/>
      <c r="O825" s="8"/>
      <c r="P825" s="8"/>
      <c r="Q825" s="1"/>
    </row>
    <row r="826" spans="1:17" x14ac:dyDescent="0.35">
      <c r="A826" s="6"/>
      <c r="B826" s="81"/>
      <c r="C826" s="83"/>
      <c r="D826" s="8"/>
      <c r="E826" s="8"/>
      <c r="F826" s="8"/>
      <c r="G826" s="8"/>
      <c r="H826" s="8"/>
      <c r="I826" s="8"/>
      <c r="J826" s="8"/>
      <c r="K826" s="8"/>
      <c r="L826" s="8"/>
      <c r="M826" s="8"/>
      <c r="N826" s="8"/>
      <c r="O826" s="8"/>
      <c r="P826" s="8"/>
      <c r="Q826" s="1"/>
    </row>
    <row r="827" spans="1:17" x14ac:dyDescent="0.35">
      <c r="A827" s="6"/>
      <c r="B827" s="81"/>
      <c r="C827" s="83"/>
      <c r="D827" s="8"/>
      <c r="E827" s="8"/>
      <c r="F827" s="8"/>
      <c r="G827" s="8"/>
      <c r="H827" s="8"/>
      <c r="I827" s="8"/>
      <c r="J827" s="8"/>
      <c r="K827" s="8"/>
      <c r="L827" s="8"/>
      <c r="M827" s="8"/>
      <c r="N827" s="8"/>
      <c r="O827" s="8"/>
      <c r="P827" s="8"/>
      <c r="Q827" s="1"/>
    </row>
    <row r="828" spans="1:17" x14ac:dyDescent="0.35">
      <c r="A828" s="6"/>
      <c r="B828" s="81"/>
      <c r="C828" s="83"/>
      <c r="D828" s="8"/>
      <c r="E828" s="8"/>
      <c r="F828" s="8"/>
      <c r="G828" s="8"/>
      <c r="H828" s="8"/>
      <c r="I828" s="8"/>
      <c r="J828" s="8"/>
      <c r="K828" s="8"/>
      <c r="L828" s="8"/>
      <c r="M828" s="8"/>
      <c r="N828" s="8"/>
      <c r="O828" s="8"/>
      <c r="P828" s="8"/>
      <c r="Q828" s="1"/>
    </row>
    <row r="829" spans="1:17" x14ac:dyDescent="0.35">
      <c r="A829" s="6"/>
      <c r="B829" s="81"/>
      <c r="C829" s="83"/>
      <c r="D829" s="8"/>
      <c r="E829" s="8"/>
      <c r="F829" s="8"/>
      <c r="G829" s="8"/>
      <c r="H829" s="8"/>
      <c r="I829" s="8"/>
      <c r="J829" s="8"/>
      <c r="K829" s="8"/>
      <c r="L829" s="8"/>
      <c r="M829" s="8"/>
      <c r="N829" s="8"/>
      <c r="O829" s="8"/>
      <c r="P829" s="8"/>
      <c r="Q829" s="1"/>
    </row>
    <row r="830" spans="1:17" x14ac:dyDescent="0.35">
      <c r="A830" s="6"/>
      <c r="B830" s="81"/>
      <c r="C830" s="83"/>
      <c r="D830" s="8"/>
      <c r="E830" s="8"/>
      <c r="F830" s="8"/>
      <c r="G830" s="8"/>
      <c r="H830" s="8"/>
      <c r="I830" s="8"/>
      <c r="J830" s="8"/>
      <c r="K830" s="8"/>
      <c r="L830" s="8"/>
      <c r="M830" s="8"/>
      <c r="N830" s="8"/>
      <c r="O830" s="8"/>
      <c r="P830" s="8"/>
      <c r="Q830" s="1"/>
    </row>
    <row r="831" spans="1:17" x14ac:dyDescent="0.35">
      <c r="A831" s="6"/>
      <c r="B831" s="81"/>
      <c r="C831" s="83"/>
      <c r="D831" s="8"/>
      <c r="E831" s="8"/>
      <c r="F831" s="8"/>
      <c r="G831" s="8"/>
      <c r="H831" s="8"/>
      <c r="I831" s="8"/>
      <c r="J831" s="8"/>
      <c r="K831" s="8"/>
      <c r="L831" s="8"/>
      <c r="M831" s="8"/>
      <c r="N831" s="8"/>
      <c r="O831" s="8"/>
      <c r="P831" s="8"/>
      <c r="Q831" s="1"/>
    </row>
    <row r="832" spans="1:17" x14ac:dyDescent="0.35">
      <c r="A832" s="6"/>
      <c r="B832" s="81"/>
      <c r="C832" s="83"/>
      <c r="D832" s="8"/>
      <c r="E832" s="8"/>
      <c r="F832" s="8"/>
      <c r="G832" s="8"/>
      <c r="H832" s="8"/>
      <c r="I832" s="8"/>
      <c r="J832" s="8"/>
      <c r="K832" s="8"/>
      <c r="L832" s="8"/>
      <c r="M832" s="8"/>
      <c r="N832" s="8"/>
      <c r="O832" s="8"/>
      <c r="P832" s="8"/>
      <c r="Q832" s="1"/>
    </row>
    <row r="833" spans="1:17" x14ac:dyDescent="0.35">
      <c r="A833" s="6"/>
      <c r="B833" s="81"/>
      <c r="C833" s="83"/>
      <c r="D833" s="8"/>
      <c r="E833" s="8"/>
      <c r="F833" s="8"/>
      <c r="G833" s="8"/>
      <c r="H833" s="8"/>
      <c r="I833" s="8"/>
      <c r="J833" s="8"/>
      <c r="K833" s="8"/>
      <c r="L833" s="8"/>
      <c r="M833" s="8"/>
      <c r="N833" s="8"/>
      <c r="O833" s="8"/>
      <c r="P833" s="8"/>
      <c r="Q833" s="1"/>
    </row>
    <row r="834" spans="1:17" x14ac:dyDescent="0.35">
      <c r="A834" s="6"/>
      <c r="B834" s="81"/>
      <c r="C834" s="83"/>
      <c r="D834" s="8"/>
      <c r="E834" s="8"/>
      <c r="F834" s="8"/>
      <c r="G834" s="8"/>
      <c r="H834" s="8"/>
      <c r="I834" s="8"/>
      <c r="J834" s="8"/>
      <c r="K834" s="8"/>
      <c r="L834" s="8"/>
      <c r="M834" s="8"/>
      <c r="N834" s="8"/>
      <c r="O834" s="8"/>
      <c r="P834" s="8"/>
      <c r="Q834" s="1"/>
    </row>
    <row r="835" spans="1:17" x14ac:dyDescent="0.35">
      <c r="A835" s="6"/>
      <c r="B835" s="81"/>
      <c r="C835" s="83"/>
      <c r="D835" s="8"/>
      <c r="E835" s="8"/>
      <c r="F835" s="8"/>
      <c r="G835" s="8"/>
      <c r="H835" s="8"/>
      <c r="I835" s="8"/>
      <c r="J835" s="8"/>
      <c r="K835" s="8"/>
      <c r="L835" s="8"/>
      <c r="M835" s="8"/>
      <c r="N835" s="8"/>
      <c r="O835" s="8"/>
      <c r="P835" s="8"/>
      <c r="Q835" s="1"/>
    </row>
    <row r="836" spans="1:17" x14ac:dyDescent="0.35">
      <c r="A836" s="6"/>
      <c r="B836" s="81"/>
      <c r="C836" s="83"/>
      <c r="D836" s="8"/>
      <c r="E836" s="8"/>
      <c r="F836" s="8"/>
      <c r="G836" s="8"/>
      <c r="H836" s="8"/>
      <c r="I836" s="8"/>
      <c r="J836" s="8"/>
      <c r="K836" s="8"/>
      <c r="L836" s="8"/>
      <c r="M836" s="8"/>
      <c r="N836" s="8"/>
      <c r="O836" s="8"/>
      <c r="P836" s="8"/>
      <c r="Q836" s="1"/>
    </row>
    <row r="837" spans="1:17" x14ac:dyDescent="0.35">
      <c r="A837" s="6"/>
      <c r="B837" s="81"/>
      <c r="C837" s="83"/>
      <c r="D837" s="8"/>
      <c r="E837" s="8"/>
      <c r="F837" s="8"/>
      <c r="G837" s="8"/>
      <c r="H837" s="8"/>
      <c r="I837" s="8"/>
      <c r="J837" s="8"/>
      <c r="K837" s="8"/>
      <c r="L837" s="8"/>
      <c r="M837" s="8"/>
      <c r="N837" s="8"/>
      <c r="O837" s="8"/>
      <c r="P837" s="8"/>
      <c r="Q837" s="1"/>
    </row>
    <row r="838" spans="1:17" x14ac:dyDescent="0.35">
      <c r="A838" s="6"/>
      <c r="B838" s="81"/>
      <c r="C838" s="83"/>
      <c r="D838" s="8"/>
      <c r="E838" s="8"/>
      <c r="F838" s="8"/>
      <c r="G838" s="8"/>
      <c r="H838" s="8"/>
      <c r="I838" s="8"/>
      <c r="J838" s="8"/>
      <c r="K838" s="8"/>
      <c r="L838" s="8"/>
      <c r="M838" s="8"/>
      <c r="N838" s="8"/>
      <c r="O838" s="8"/>
      <c r="P838" s="8"/>
      <c r="Q838" s="1"/>
    </row>
    <row r="839" spans="1:17" x14ac:dyDescent="0.35">
      <c r="A839" s="6"/>
      <c r="B839" s="81"/>
      <c r="C839" s="83"/>
      <c r="D839" s="8"/>
      <c r="E839" s="8"/>
      <c r="F839" s="8"/>
      <c r="G839" s="8"/>
      <c r="H839" s="8"/>
      <c r="I839" s="8"/>
      <c r="J839" s="8"/>
      <c r="K839" s="8"/>
      <c r="L839" s="8"/>
      <c r="M839" s="8"/>
      <c r="N839" s="8"/>
      <c r="O839" s="8"/>
      <c r="P839" s="8"/>
      <c r="Q839" s="1"/>
    </row>
    <row r="840" spans="1:17" x14ac:dyDescent="0.35">
      <c r="A840" s="6"/>
      <c r="B840" s="81"/>
      <c r="C840" s="83"/>
      <c r="D840" s="8"/>
      <c r="E840" s="8"/>
      <c r="F840" s="8"/>
      <c r="G840" s="8"/>
      <c r="H840" s="8"/>
      <c r="I840" s="8"/>
      <c r="J840" s="8"/>
      <c r="K840" s="8"/>
      <c r="L840" s="8"/>
      <c r="M840" s="8"/>
      <c r="N840" s="8"/>
      <c r="O840" s="8"/>
      <c r="P840" s="8"/>
      <c r="Q840" s="1"/>
    </row>
    <row r="841" spans="1:17" x14ac:dyDescent="0.35">
      <c r="A841" s="6"/>
      <c r="B841" s="81"/>
      <c r="C841" s="83"/>
      <c r="D841" s="8"/>
      <c r="E841" s="8"/>
      <c r="F841" s="8"/>
      <c r="G841" s="8"/>
      <c r="H841" s="8"/>
      <c r="I841" s="8"/>
      <c r="J841" s="8"/>
      <c r="K841" s="8"/>
      <c r="L841" s="8"/>
      <c r="M841" s="8"/>
      <c r="N841" s="8"/>
      <c r="O841" s="8"/>
      <c r="P841" s="8"/>
      <c r="Q841" s="1"/>
    </row>
    <row r="842" spans="1:17" x14ac:dyDescent="0.35">
      <c r="A842" s="6"/>
      <c r="B842" s="81"/>
      <c r="C842" s="83"/>
      <c r="D842" s="8"/>
      <c r="E842" s="8"/>
      <c r="F842" s="8"/>
      <c r="G842" s="8"/>
      <c r="H842" s="8"/>
      <c r="I842" s="8"/>
      <c r="J842" s="8"/>
      <c r="K842" s="8"/>
      <c r="L842" s="8"/>
      <c r="M842" s="8"/>
      <c r="N842" s="8"/>
      <c r="O842" s="8"/>
      <c r="P842" s="8"/>
      <c r="Q842" s="1"/>
    </row>
    <row r="843" spans="1:17" x14ac:dyDescent="0.35">
      <c r="A843" s="6"/>
      <c r="B843" s="81"/>
      <c r="C843" s="83"/>
      <c r="D843" s="8"/>
      <c r="E843" s="8"/>
      <c r="F843" s="8"/>
      <c r="G843" s="8"/>
      <c r="H843" s="8"/>
      <c r="I843" s="8"/>
      <c r="J843" s="8"/>
      <c r="K843" s="8"/>
      <c r="L843" s="8"/>
      <c r="M843" s="8"/>
      <c r="N843" s="8"/>
      <c r="O843" s="8"/>
      <c r="P843" s="8"/>
      <c r="Q843" s="1"/>
    </row>
    <row r="844" spans="1:17" x14ac:dyDescent="0.35">
      <c r="A844" s="6"/>
      <c r="B844" s="81"/>
      <c r="C844" s="83"/>
      <c r="D844" s="8"/>
      <c r="E844" s="8"/>
      <c r="F844" s="8"/>
      <c r="G844" s="8"/>
      <c r="H844" s="8"/>
      <c r="I844" s="8"/>
      <c r="J844" s="8"/>
      <c r="K844" s="8"/>
      <c r="L844" s="8"/>
      <c r="M844" s="8"/>
      <c r="N844" s="8"/>
      <c r="O844" s="8"/>
      <c r="P844" s="8"/>
      <c r="Q844" s="1"/>
    </row>
    <row r="845" spans="1:17" x14ac:dyDescent="0.35">
      <c r="A845" s="6"/>
      <c r="B845" s="81"/>
      <c r="C845" s="83"/>
      <c r="D845" s="8"/>
      <c r="E845" s="8"/>
      <c r="F845" s="8"/>
      <c r="G845" s="8"/>
      <c r="H845" s="8"/>
      <c r="I845" s="8"/>
      <c r="J845" s="8"/>
      <c r="K845" s="8"/>
      <c r="L845" s="8"/>
      <c r="M845" s="8"/>
      <c r="N845" s="8"/>
      <c r="O845" s="8"/>
      <c r="P845" s="8"/>
      <c r="Q845" s="1"/>
    </row>
    <row r="846" spans="1:17" x14ac:dyDescent="0.35">
      <c r="A846" s="6"/>
      <c r="B846" s="81"/>
      <c r="C846" s="83"/>
      <c r="D846" s="8"/>
      <c r="E846" s="8"/>
      <c r="F846" s="8"/>
      <c r="G846" s="8"/>
      <c r="H846" s="8"/>
      <c r="I846" s="8"/>
      <c r="J846" s="8"/>
      <c r="K846" s="8"/>
      <c r="L846" s="8"/>
      <c r="M846" s="8"/>
      <c r="N846" s="8"/>
      <c r="O846" s="8"/>
      <c r="P846" s="8"/>
      <c r="Q846" s="1"/>
    </row>
    <row r="847" spans="1:17" x14ac:dyDescent="0.35">
      <c r="A847" s="6"/>
      <c r="B847" s="81"/>
      <c r="C847" s="83"/>
      <c r="D847" s="8"/>
      <c r="E847" s="8"/>
      <c r="F847" s="8"/>
      <c r="G847" s="8"/>
      <c r="H847" s="8"/>
      <c r="I847" s="8"/>
      <c r="J847" s="8"/>
      <c r="K847" s="8"/>
      <c r="L847" s="8"/>
      <c r="M847" s="8"/>
      <c r="N847" s="8"/>
      <c r="O847" s="8"/>
      <c r="P847" s="8"/>
      <c r="Q847" s="1"/>
    </row>
    <row r="848" spans="1:17" x14ac:dyDescent="0.35">
      <c r="A848" s="6"/>
      <c r="B848" s="81"/>
      <c r="C848" s="83"/>
      <c r="D848" s="8"/>
      <c r="E848" s="8"/>
      <c r="F848" s="8"/>
      <c r="G848" s="8"/>
      <c r="H848" s="8"/>
      <c r="I848" s="8"/>
      <c r="J848" s="8"/>
      <c r="K848" s="8"/>
      <c r="L848" s="8"/>
      <c r="M848" s="8"/>
      <c r="N848" s="8"/>
      <c r="O848" s="8"/>
      <c r="P848" s="8"/>
      <c r="Q848" s="1"/>
    </row>
    <row r="849" spans="1:17" x14ac:dyDescent="0.35">
      <c r="A849" s="6"/>
      <c r="B849" s="81"/>
      <c r="C849" s="83"/>
      <c r="D849" s="8"/>
      <c r="E849" s="8"/>
      <c r="F849" s="8"/>
      <c r="G849" s="8"/>
      <c r="H849" s="8"/>
      <c r="I849" s="8"/>
      <c r="J849" s="8"/>
      <c r="K849" s="8"/>
      <c r="L849" s="8"/>
      <c r="M849" s="8"/>
      <c r="N849" s="8"/>
      <c r="O849" s="8"/>
      <c r="P849" s="8"/>
      <c r="Q849" s="1"/>
    </row>
    <row r="850" spans="1:17" x14ac:dyDescent="0.35">
      <c r="A850" s="6"/>
      <c r="B850" s="81"/>
      <c r="C850" s="83"/>
      <c r="D850" s="8"/>
      <c r="E850" s="8"/>
      <c r="F850" s="8"/>
      <c r="G850" s="8"/>
      <c r="H850" s="8"/>
      <c r="I850" s="8"/>
      <c r="J850" s="8"/>
      <c r="K850" s="8"/>
      <c r="L850" s="8"/>
      <c r="M850" s="8"/>
      <c r="N850" s="8"/>
      <c r="O850" s="8"/>
      <c r="P850" s="8"/>
      <c r="Q850" s="1"/>
    </row>
    <row r="851" spans="1:17" x14ac:dyDescent="0.35">
      <c r="A851" s="6"/>
      <c r="B851" s="81"/>
      <c r="C851" s="83"/>
      <c r="D851" s="8"/>
      <c r="E851" s="8"/>
      <c r="F851" s="8"/>
      <c r="G851" s="8"/>
      <c r="H851" s="8"/>
      <c r="I851" s="8"/>
      <c r="J851" s="8"/>
      <c r="K851" s="8"/>
      <c r="L851" s="8"/>
      <c r="M851" s="8"/>
      <c r="N851" s="8"/>
      <c r="O851" s="8"/>
      <c r="P851" s="8"/>
      <c r="Q851" s="1"/>
    </row>
    <row r="852" spans="1:17" x14ac:dyDescent="0.35">
      <c r="A852" s="6"/>
      <c r="B852" s="81"/>
      <c r="C852" s="83"/>
      <c r="D852" s="8"/>
      <c r="E852" s="8"/>
      <c r="F852" s="8"/>
      <c r="G852" s="8"/>
      <c r="H852" s="8"/>
      <c r="I852" s="8"/>
      <c r="J852" s="8"/>
      <c r="K852" s="8"/>
      <c r="L852" s="8"/>
      <c r="M852" s="8"/>
      <c r="N852" s="8"/>
      <c r="O852" s="8"/>
      <c r="P852" s="8"/>
      <c r="Q852" s="1"/>
    </row>
    <row r="853" spans="1:17" x14ac:dyDescent="0.35">
      <c r="A853" s="6"/>
      <c r="B853" s="81"/>
      <c r="C853" s="83"/>
      <c r="D853" s="8"/>
      <c r="E853" s="8"/>
      <c r="F853" s="8"/>
      <c r="G853" s="8"/>
      <c r="H853" s="8"/>
      <c r="I853" s="8"/>
      <c r="J853" s="8"/>
      <c r="K853" s="8"/>
      <c r="L853" s="8"/>
      <c r="M853" s="8"/>
      <c r="N853" s="8"/>
      <c r="O853" s="8"/>
      <c r="P853" s="8"/>
      <c r="Q853" s="1"/>
    </row>
    <row r="854" spans="1:17" x14ac:dyDescent="0.35">
      <c r="A854" s="6"/>
      <c r="B854" s="81"/>
      <c r="C854" s="83"/>
      <c r="D854" s="8"/>
      <c r="E854" s="8"/>
      <c r="F854" s="8"/>
      <c r="G854" s="8"/>
      <c r="H854" s="8"/>
      <c r="I854" s="8"/>
      <c r="J854" s="8"/>
      <c r="K854" s="8"/>
      <c r="L854" s="8"/>
      <c r="M854" s="8"/>
      <c r="N854" s="8"/>
      <c r="O854" s="8"/>
      <c r="P854" s="8"/>
      <c r="Q854" s="1"/>
    </row>
    <row r="855" spans="1:17" x14ac:dyDescent="0.35">
      <c r="A855" s="6"/>
      <c r="B855" s="81"/>
      <c r="C855" s="83"/>
      <c r="D855" s="8"/>
      <c r="E855" s="8"/>
      <c r="F855" s="8"/>
      <c r="G855" s="8"/>
      <c r="H855" s="8"/>
      <c r="I855" s="8"/>
      <c r="J855" s="8"/>
      <c r="K855" s="8"/>
      <c r="L855" s="8"/>
      <c r="M855" s="8"/>
      <c r="N855" s="8"/>
      <c r="O855" s="8"/>
      <c r="P855" s="8"/>
      <c r="Q855" s="1"/>
    </row>
    <row r="856" spans="1:17" x14ac:dyDescent="0.35">
      <c r="A856" s="6"/>
      <c r="B856" s="81"/>
      <c r="C856" s="83"/>
      <c r="D856" s="8"/>
      <c r="E856" s="8"/>
      <c r="F856" s="8"/>
      <c r="G856" s="8"/>
      <c r="H856" s="8"/>
      <c r="I856" s="8"/>
      <c r="J856" s="8"/>
      <c r="K856" s="8"/>
      <c r="L856" s="8"/>
      <c r="M856" s="8"/>
      <c r="N856" s="8"/>
      <c r="O856" s="8"/>
      <c r="P856" s="8"/>
      <c r="Q856" s="1"/>
    </row>
    <row r="857" spans="1:17" x14ac:dyDescent="0.35">
      <c r="A857" s="6"/>
      <c r="B857" s="81"/>
      <c r="C857" s="83"/>
      <c r="D857" s="8"/>
      <c r="E857" s="8"/>
      <c r="F857" s="8"/>
      <c r="G857" s="8"/>
      <c r="H857" s="8"/>
      <c r="I857" s="8"/>
      <c r="J857" s="8"/>
      <c r="K857" s="8"/>
      <c r="L857" s="8"/>
      <c r="M857" s="8"/>
      <c r="N857" s="8"/>
      <c r="O857" s="8"/>
      <c r="P857" s="8"/>
      <c r="Q857" s="1"/>
    </row>
    <row r="858" spans="1:17" x14ac:dyDescent="0.35">
      <c r="A858" s="6"/>
      <c r="B858" s="81"/>
      <c r="C858" s="83"/>
      <c r="D858" s="8"/>
      <c r="E858" s="8"/>
      <c r="F858" s="8"/>
      <c r="G858" s="8"/>
      <c r="H858" s="8"/>
      <c r="I858" s="8"/>
      <c r="J858" s="8"/>
      <c r="K858" s="8"/>
      <c r="L858" s="8"/>
      <c r="M858" s="8"/>
      <c r="N858" s="8"/>
      <c r="O858" s="8"/>
      <c r="P858" s="8"/>
      <c r="Q858" s="1"/>
    </row>
    <row r="859" spans="1:17" x14ac:dyDescent="0.35">
      <c r="A859" s="6"/>
      <c r="B859" s="81"/>
      <c r="C859" s="83"/>
      <c r="D859" s="8"/>
      <c r="E859" s="8"/>
      <c r="F859" s="8"/>
      <c r="G859" s="8"/>
      <c r="H859" s="8"/>
      <c r="I859" s="8"/>
      <c r="J859" s="8"/>
      <c r="K859" s="8"/>
      <c r="L859" s="8"/>
      <c r="M859" s="8"/>
      <c r="N859" s="8"/>
      <c r="O859" s="8"/>
      <c r="P859" s="8"/>
      <c r="Q859" s="1"/>
    </row>
    <row r="860" spans="1:17" x14ac:dyDescent="0.35">
      <c r="A860" s="6"/>
      <c r="B860" s="81"/>
      <c r="C860" s="83"/>
      <c r="D860" s="8"/>
      <c r="E860" s="8"/>
      <c r="F860" s="8"/>
      <c r="G860" s="8"/>
      <c r="H860" s="8"/>
      <c r="I860" s="8"/>
      <c r="J860" s="8"/>
      <c r="K860" s="8"/>
      <c r="L860" s="8"/>
      <c r="M860" s="8"/>
      <c r="N860" s="8"/>
      <c r="O860" s="8"/>
      <c r="P860" s="8"/>
      <c r="Q860" s="1"/>
    </row>
    <row r="861" spans="1:17" x14ac:dyDescent="0.35">
      <c r="A861" s="6"/>
      <c r="B861" s="81"/>
      <c r="C861" s="83"/>
      <c r="D861" s="8"/>
      <c r="E861" s="8"/>
      <c r="F861" s="8"/>
      <c r="G861" s="8"/>
      <c r="H861" s="8"/>
      <c r="I861" s="8"/>
      <c r="J861" s="8"/>
      <c r="K861" s="8"/>
      <c r="L861" s="8"/>
      <c r="M861" s="8"/>
      <c r="N861" s="8"/>
      <c r="O861" s="8"/>
      <c r="P861" s="8"/>
      <c r="Q861" s="1"/>
    </row>
    <row r="862" spans="1:17" x14ac:dyDescent="0.35">
      <c r="A862" s="6"/>
      <c r="B862" s="81"/>
      <c r="C862" s="83"/>
      <c r="D862" s="8"/>
      <c r="E862" s="8"/>
      <c r="F862" s="8"/>
      <c r="G862" s="8"/>
      <c r="H862" s="8"/>
      <c r="I862" s="8"/>
      <c r="J862" s="8"/>
      <c r="K862" s="8"/>
      <c r="L862" s="8"/>
      <c r="M862" s="8"/>
      <c r="N862" s="8"/>
      <c r="O862" s="8"/>
      <c r="P862" s="8"/>
      <c r="Q862" s="1"/>
    </row>
    <row r="863" spans="1:17" x14ac:dyDescent="0.35">
      <c r="A863" s="6"/>
      <c r="B863" s="81"/>
      <c r="C863" s="83"/>
      <c r="D863" s="8"/>
      <c r="E863" s="8"/>
      <c r="F863" s="8"/>
      <c r="G863" s="8"/>
      <c r="H863" s="8"/>
      <c r="I863" s="8"/>
      <c r="J863" s="8"/>
      <c r="K863" s="8"/>
      <c r="L863" s="8"/>
      <c r="M863" s="8"/>
      <c r="N863" s="8"/>
      <c r="O863" s="8"/>
      <c r="P863" s="8"/>
      <c r="Q863" s="1"/>
    </row>
    <row r="864" spans="1:17" x14ac:dyDescent="0.35">
      <c r="A864" s="6"/>
      <c r="B864" s="81"/>
      <c r="C864" s="83"/>
      <c r="D864" s="8"/>
      <c r="E864" s="8"/>
      <c r="F864" s="8"/>
      <c r="G864" s="8"/>
      <c r="H864" s="8"/>
      <c r="I864" s="8"/>
      <c r="J864" s="8"/>
      <c r="K864" s="8"/>
      <c r="L864" s="8"/>
      <c r="M864" s="8"/>
      <c r="N864" s="8"/>
      <c r="O864" s="8"/>
      <c r="P864" s="8"/>
      <c r="Q864" s="1"/>
    </row>
    <row r="865" spans="1:17" x14ac:dyDescent="0.35">
      <c r="A865" s="6"/>
      <c r="B865" s="81"/>
      <c r="C865" s="83"/>
      <c r="D865" s="8"/>
      <c r="E865" s="8"/>
      <c r="F865" s="8"/>
      <c r="G865" s="8"/>
      <c r="H865" s="8"/>
      <c r="I865" s="8"/>
      <c r="J865" s="8"/>
      <c r="K865" s="8"/>
      <c r="L865" s="8"/>
      <c r="M865" s="8"/>
      <c r="N865" s="8"/>
      <c r="O865" s="8"/>
      <c r="P865" s="8"/>
      <c r="Q865" s="1"/>
    </row>
    <row r="866" spans="1:17" x14ac:dyDescent="0.35">
      <c r="A866" s="6"/>
      <c r="B866" s="81"/>
      <c r="C866" s="83"/>
      <c r="D866" s="8"/>
      <c r="E866" s="8"/>
      <c r="F866" s="8"/>
      <c r="G866" s="8"/>
      <c r="H866" s="8"/>
      <c r="I866" s="8"/>
      <c r="J866" s="8"/>
      <c r="K866" s="8"/>
      <c r="L866" s="8"/>
      <c r="M866" s="8"/>
      <c r="N866" s="8"/>
      <c r="O866" s="8"/>
      <c r="P866" s="8"/>
      <c r="Q866" s="1"/>
    </row>
    <row r="867" spans="1:17" x14ac:dyDescent="0.35">
      <c r="A867" s="6"/>
      <c r="B867" s="81"/>
      <c r="C867" s="83"/>
      <c r="D867" s="8"/>
      <c r="E867" s="8"/>
      <c r="F867" s="8"/>
      <c r="G867" s="8"/>
      <c r="H867" s="8"/>
      <c r="I867" s="8"/>
      <c r="J867" s="8"/>
      <c r="K867" s="8"/>
      <c r="L867" s="8"/>
      <c r="M867" s="8"/>
      <c r="N867" s="8"/>
      <c r="O867" s="8"/>
      <c r="P867" s="8"/>
      <c r="Q867" s="1"/>
    </row>
    <row r="868" spans="1:17" x14ac:dyDescent="0.35">
      <c r="A868" s="6"/>
      <c r="B868" s="81"/>
      <c r="C868" s="83"/>
      <c r="D868" s="8"/>
      <c r="E868" s="8"/>
      <c r="F868" s="8"/>
      <c r="G868" s="8"/>
      <c r="H868" s="8"/>
      <c r="I868" s="8"/>
      <c r="J868" s="8"/>
      <c r="K868" s="8"/>
      <c r="L868" s="8"/>
      <c r="M868" s="8"/>
      <c r="N868" s="8"/>
      <c r="O868" s="8"/>
      <c r="P868" s="8"/>
      <c r="Q868" s="1"/>
    </row>
    <row r="869" spans="1:17" x14ac:dyDescent="0.35">
      <c r="A869" s="6"/>
      <c r="B869" s="81"/>
      <c r="C869" s="83"/>
      <c r="D869" s="8"/>
      <c r="E869" s="8"/>
      <c r="F869" s="8"/>
      <c r="G869" s="8"/>
      <c r="H869" s="8"/>
      <c r="I869" s="8"/>
      <c r="J869" s="8"/>
      <c r="K869" s="8"/>
      <c r="L869" s="8"/>
      <c r="M869" s="8"/>
      <c r="N869" s="8"/>
      <c r="O869" s="8"/>
      <c r="P869" s="8"/>
      <c r="Q869" s="1"/>
    </row>
    <row r="870" spans="1:17" x14ac:dyDescent="0.35">
      <c r="A870" s="6"/>
      <c r="B870" s="81"/>
      <c r="C870" s="83"/>
      <c r="D870" s="8"/>
      <c r="E870" s="8"/>
      <c r="F870" s="8"/>
      <c r="G870" s="8"/>
      <c r="H870" s="8"/>
      <c r="I870" s="8"/>
      <c r="J870" s="8"/>
      <c r="K870" s="8"/>
      <c r="L870" s="8"/>
      <c r="M870" s="8"/>
      <c r="N870" s="8"/>
      <c r="O870" s="8"/>
      <c r="P870" s="8"/>
      <c r="Q870" s="1"/>
    </row>
    <row r="871" spans="1:17" x14ac:dyDescent="0.35">
      <c r="A871" s="6"/>
      <c r="B871" s="81"/>
      <c r="C871" s="83"/>
      <c r="D871" s="8"/>
      <c r="E871" s="8"/>
      <c r="F871" s="8"/>
      <c r="G871" s="8"/>
      <c r="H871" s="8"/>
      <c r="I871" s="8"/>
      <c r="J871" s="8"/>
      <c r="K871" s="8"/>
      <c r="L871" s="8"/>
      <c r="M871" s="8"/>
      <c r="N871" s="8"/>
      <c r="O871" s="8"/>
      <c r="P871" s="8"/>
      <c r="Q871" s="1"/>
    </row>
    <row r="872" spans="1:17" x14ac:dyDescent="0.35">
      <c r="A872" s="6"/>
      <c r="B872" s="81"/>
      <c r="C872" s="83"/>
      <c r="D872" s="8"/>
      <c r="E872" s="8"/>
      <c r="F872" s="8"/>
      <c r="G872" s="8"/>
      <c r="H872" s="8"/>
      <c r="I872" s="8"/>
      <c r="J872" s="8"/>
      <c r="K872" s="8"/>
      <c r="L872" s="8"/>
      <c r="M872" s="8"/>
      <c r="N872" s="8"/>
      <c r="O872" s="8"/>
      <c r="P872" s="8"/>
      <c r="Q872" s="1"/>
    </row>
    <row r="873" spans="1:17" x14ac:dyDescent="0.35">
      <c r="A873" s="6"/>
      <c r="B873" s="81"/>
      <c r="C873" s="83"/>
      <c r="D873" s="8"/>
      <c r="E873" s="8"/>
      <c r="F873" s="8"/>
      <c r="G873" s="8"/>
      <c r="H873" s="8"/>
      <c r="I873" s="8"/>
      <c r="J873" s="8"/>
      <c r="K873" s="8"/>
      <c r="L873" s="8"/>
      <c r="M873" s="8"/>
      <c r="N873" s="8"/>
      <c r="O873" s="8"/>
      <c r="P873" s="8"/>
      <c r="Q873" s="1"/>
    </row>
    <row r="874" spans="1:17" x14ac:dyDescent="0.35">
      <c r="A874" s="6"/>
      <c r="B874" s="81"/>
      <c r="C874" s="83"/>
      <c r="D874" s="8"/>
      <c r="E874" s="8"/>
      <c r="F874" s="8"/>
      <c r="G874" s="8"/>
      <c r="H874" s="8"/>
      <c r="I874" s="8"/>
      <c r="J874" s="8"/>
      <c r="K874" s="8"/>
      <c r="L874" s="8"/>
      <c r="M874" s="8"/>
      <c r="N874" s="8"/>
      <c r="O874" s="8"/>
      <c r="P874" s="8"/>
      <c r="Q874" s="1"/>
    </row>
    <row r="875" spans="1:17" x14ac:dyDescent="0.35">
      <c r="A875" s="6"/>
      <c r="B875" s="81"/>
      <c r="C875" s="83"/>
      <c r="D875" s="8"/>
      <c r="E875" s="8"/>
      <c r="F875" s="8"/>
      <c r="G875" s="8"/>
      <c r="H875" s="8"/>
      <c r="I875" s="8"/>
      <c r="J875" s="8"/>
      <c r="K875" s="8"/>
      <c r="L875" s="8"/>
      <c r="M875" s="8"/>
      <c r="N875" s="8"/>
      <c r="O875" s="8"/>
      <c r="P875" s="8"/>
      <c r="Q875" s="1"/>
    </row>
    <row r="876" spans="1:17" x14ac:dyDescent="0.35">
      <c r="A876" s="6"/>
      <c r="B876" s="81"/>
      <c r="C876" s="83"/>
      <c r="D876" s="8"/>
      <c r="E876" s="8"/>
      <c r="F876" s="8"/>
      <c r="G876" s="8"/>
      <c r="H876" s="8"/>
      <c r="I876" s="8"/>
      <c r="J876" s="8"/>
      <c r="K876" s="8"/>
      <c r="L876" s="8"/>
      <c r="M876" s="8"/>
      <c r="N876" s="8"/>
      <c r="O876" s="8"/>
      <c r="P876" s="8"/>
      <c r="Q876" s="1"/>
    </row>
    <row r="877" spans="1:17" x14ac:dyDescent="0.35">
      <c r="A877" s="6"/>
      <c r="B877" s="81"/>
      <c r="C877" s="83"/>
      <c r="D877" s="8"/>
      <c r="E877" s="8"/>
      <c r="F877" s="8"/>
      <c r="G877" s="8"/>
      <c r="H877" s="8"/>
      <c r="I877" s="8"/>
      <c r="J877" s="8"/>
      <c r="K877" s="8"/>
      <c r="L877" s="8"/>
      <c r="M877" s="8"/>
      <c r="N877" s="8"/>
      <c r="O877" s="8"/>
      <c r="P877" s="8"/>
      <c r="Q877" s="1"/>
    </row>
    <row r="878" spans="1:17" x14ac:dyDescent="0.35">
      <c r="A878" s="6"/>
      <c r="B878" s="81"/>
      <c r="C878" s="83"/>
      <c r="D878" s="8"/>
      <c r="E878" s="8"/>
      <c r="F878" s="8"/>
      <c r="G878" s="8"/>
      <c r="H878" s="8"/>
      <c r="I878" s="8"/>
      <c r="J878" s="8"/>
      <c r="K878" s="8"/>
      <c r="L878" s="8"/>
      <c r="M878" s="8"/>
      <c r="N878" s="8"/>
      <c r="O878" s="8"/>
      <c r="P878" s="8"/>
      <c r="Q878" s="1"/>
    </row>
    <row r="879" spans="1:17" x14ac:dyDescent="0.35">
      <c r="A879" s="6"/>
      <c r="B879" s="81"/>
      <c r="C879" s="83"/>
      <c r="D879" s="8"/>
      <c r="E879" s="8"/>
      <c r="F879" s="8"/>
      <c r="G879" s="8"/>
      <c r="H879" s="8"/>
      <c r="I879" s="8"/>
      <c r="J879" s="8"/>
      <c r="K879" s="8"/>
      <c r="L879" s="8"/>
      <c r="M879" s="8"/>
      <c r="N879" s="8"/>
      <c r="O879" s="8"/>
      <c r="P879" s="8"/>
      <c r="Q879" s="1"/>
    </row>
    <row r="880" spans="1:17" x14ac:dyDescent="0.35">
      <c r="A880" s="6"/>
      <c r="B880" s="81"/>
      <c r="C880" s="83"/>
      <c r="D880" s="8"/>
      <c r="E880" s="8"/>
      <c r="F880" s="8"/>
      <c r="G880" s="8"/>
      <c r="H880" s="8"/>
      <c r="I880" s="8"/>
      <c r="J880" s="8"/>
      <c r="K880" s="8"/>
      <c r="L880" s="8"/>
      <c r="M880" s="8"/>
      <c r="N880" s="8"/>
      <c r="O880" s="8"/>
      <c r="P880" s="8"/>
      <c r="Q880" s="1"/>
    </row>
    <row r="881" spans="1:17" x14ac:dyDescent="0.35">
      <c r="A881" s="6"/>
      <c r="B881" s="81"/>
      <c r="C881" s="83"/>
      <c r="D881" s="8"/>
      <c r="E881" s="8"/>
      <c r="F881" s="8"/>
      <c r="G881" s="8"/>
      <c r="H881" s="8"/>
      <c r="I881" s="8"/>
      <c r="J881" s="8"/>
      <c r="K881" s="8"/>
      <c r="L881" s="8"/>
      <c r="M881" s="8"/>
      <c r="N881" s="8"/>
      <c r="O881" s="8"/>
      <c r="P881" s="8"/>
      <c r="Q881" s="1"/>
    </row>
    <row r="882" spans="1:17" x14ac:dyDescent="0.35">
      <c r="A882" s="6"/>
      <c r="B882" s="81"/>
      <c r="C882" s="83"/>
      <c r="D882" s="8"/>
      <c r="E882" s="8"/>
      <c r="F882" s="8"/>
      <c r="G882" s="8"/>
      <c r="H882" s="8"/>
      <c r="I882" s="8"/>
      <c r="J882" s="8"/>
      <c r="K882" s="8"/>
      <c r="L882" s="8"/>
      <c r="M882" s="8"/>
      <c r="N882" s="8"/>
      <c r="O882" s="8"/>
      <c r="P882" s="8"/>
      <c r="Q882" s="1"/>
    </row>
    <row r="883" spans="1:17" x14ac:dyDescent="0.35">
      <c r="A883" s="6"/>
      <c r="B883" s="81"/>
      <c r="C883" s="83"/>
      <c r="D883" s="8"/>
      <c r="E883" s="8"/>
      <c r="F883" s="8"/>
      <c r="G883" s="8"/>
      <c r="H883" s="8"/>
      <c r="I883" s="8"/>
      <c r="J883" s="8"/>
      <c r="K883" s="8"/>
      <c r="L883" s="8"/>
      <c r="M883" s="8"/>
      <c r="N883" s="8"/>
      <c r="O883" s="8"/>
      <c r="P883" s="8"/>
      <c r="Q883" s="1"/>
    </row>
    <row r="884" spans="1:17" x14ac:dyDescent="0.35">
      <c r="A884" s="6"/>
      <c r="B884" s="81"/>
      <c r="C884" s="83"/>
      <c r="D884" s="8"/>
      <c r="E884" s="8"/>
      <c r="F884" s="8"/>
      <c r="G884" s="8"/>
      <c r="H884" s="8"/>
      <c r="I884" s="8"/>
      <c r="J884" s="8"/>
      <c r="K884" s="8"/>
      <c r="L884" s="8"/>
      <c r="M884" s="8"/>
      <c r="N884" s="8"/>
      <c r="O884" s="8"/>
      <c r="P884" s="8"/>
      <c r="Q884" s="1"/>
    </row>
    <row r="885" spans="1:17" x14ac:dyDescent="0.35">
      <c r="A885" s="6"/>
      <c r="B885" s="81"/>
      <c r="C885" s="83"/>
      <c r="D885" s="8"/>
      <c r="E885" s="8"/>
      <c r="F885" s="8"/>
      <c r="G885" s="8"/>
      <c r="H885" s="8"/>
      <c r="I885" s="8"/>
      <c r="J885" s="8"/>
      <c r="K885" s="8"/>
      <c r="L885" s="8"/>
      <c r="M885" s="8"/>
      <c r="N885" s="8"/>
      <c r="O885" s="8"/>
      <c r="P885" s="8"/>
      <c r="Q885" s="1"/>
    </row>
    <row r="886" spans="1:17" x14ac:dyDescent="0.35">
      <c r="A886" s="6"/>
      <c r="B886" s="81"/>
      <c r="C886" s="83"/>
      <c r="D886" s="8"/>
      <c r="E886" s="8"/>
      <c r="F886" s="8"/>
      <c r="G886" s="8"/>
      <c r="H886" s="8"/>
      <c r="I886" s="8"/>
      <c r="J886" s="8"/>
      <c r="K886" s="8"/>
      <c r="L886" s="8"/>
      <c r="M886" s="8"/>
      <c r="N886" s="8"/>
      <c r="O886" s="8"/>
      <c r="P886" s="8"/>
      <c r="Q886" s="1"/>
    </row>
    <row r="887" spans="1:17" x14ac:dyDescent="0.35">
      <c r="A887" s="6"/>
      <c r="B887" s="81"/>
      <c r="C887" s="83"/>
      <c r="D887" s="8"/>
      <c r="E887" s="8"/>
      <c r="F887" s="8"/>
      <c r="G887" s="8"/>
      <c r="H887" s="8"/>
      <c r="I887" s="8"/>
      <c r="J887" s="8"/>
      <c r="K887" s="8"/>
      <c r="L887" s="8"/>
      <c r="M887" s="8"/>
      <c r="N887" s="8"/>
      <c r="O887" s="8"/>
      <c r="P887" s="8"/>
      <c r="Q887" s="1"/>
    </row>
    <row r="888" spans="1:17" x14ac:dyDescent="0.35">
      <c r="A888" s="6"/>
      <c r="B888" s="81"/>
      <c r="C888" s="83"/>
      <c r="D888" s="8"/>
      <c r="E888" s="8"/>
      <c r="F888" s="8"/>
      <c r="G888" s="8"/>
      <c r="H888" s="8"/>
      <c r="I888" s="8"/>
      <c r="J888" s="8"/>
      <c r="K888" s="8"/>
      <c r="L888" s="8"/>
      <c r="M888" s="8"/>
      <c r="N888" s="8"/>
      <c r="O888" s="8"/>
      <c r="P888" s="8"/>
      <c r="Q888" s="1"/>
    </row>
    <row r="889" spans="1:17" x14ac:dyDescent="0.35">
      <c r="A889" s="6"/>
      <c r="B889" s="81"/>
      <c r="C889" s="83"/>
      <c r="D889" s="8"/>
      <c r="E889" s="8"/>
      <c r="F889" s="8"/>
      <c r="G889" s="8"/>
      <c r="H889" s="8"/>
      <c r="I889" s="8"/>
      <c r="J889" s="8"/>
      <c r="K889" s="8"/>
      <c r="L889" s="8"/>
      <c r="M889" s="8"/>
      <c r="N889" s="8"/>
      <c r="O889" s="8"/>
      <c r="P889" s="8"/>
      <c r="Q889" s="1"/>
    </row>
    <row r="890" spans="1:17" x14ac:dyDescent="0.35">
      <c r="A890" s="6"/>
      <c r="B890" s="81"/>
      <c r="C890" s="83"/>
      <c r="D890" s="8"/>
      <c r="E890" s="8"/>
      <c r="F890" s="8"/>
      <c r="G890" s="8"/>
      <c r="H890" s="8"/>
      <c r="I890" s="8"/>
      <c r="J890" s="8"/>
      <c r="K890" s="8"/>
      <c r="L890" s="8"/>
      <c r="M890" s="8"/>
      <c r="N890" s="8"/>
      <c r="O890" s="8"/>
      <c r="P890" s="8"/>
      <c r="Q890" s="1"/>
    </row>
    <row r="891" spans="1:17" x14ac:dyDescent="0.35">
      <c r="A891" s="6"/>
      <c r="B891" s="81"/>
      <c r="C891" s="83"/>
      <c r="D891" s="8"/>
      <c r="E891" s="8"/>
      <c r="F891" s="8"/>
      <c r="G891" s="8"/>
      <c r="H891" s="8"/>
      <c r="I891" s="8"/>
      <c r="J891" s="8"/>
      <c r="K891" s="8"/>
      <c r="L891" s="8"/>
      <c r="M891" s="8"/>
      <c r="N891" s="8"/>
      <c r="O891" s="8"/>
      <c r="P891" s="8"/>
      <c r="Q891" s="1"/>
    </row>
    <row r="892" spans="1:17" x14ac:dyDescent="0.35">
      <c r="A892" s="6"/>
      <c r="B892" s="81"/>
      <c r="C892" s="83"/>
      <c r="D892" s="8"/>
      <c r="E892" s="8"/>
      <c r="F892" s="8"/>
      <c r="G892" s="8"/>
      <c r="H892" s="8"/>
      <c r="I892" s="8"/>
      <c r="J892" s="8"/>
      <c r="K892" s="8"/>
      <c r="L892" s="8"/>
      <c r="M892" s="8"/>
      <c r="N892" s="8"/>
      <c r="O892" s="8"/>
      <c r="P892" s="8"/>
      <c r="Q892" s="1"/>
    </row>
    <row r="893" spans="1:17" x14ac:dyDescent="0.35">
      <c r="A893" s="6"/>
      <c r="B893" s="81"/>
      <c r="C893" s="83"/>
      <c r="D893" s="8"/>
      <c r="E893" s="8"/>
      <c r="F893" s="8"/>
      <c r="G893" s="8"/>
      <c r="H893" s="8"/>
      <c r="I893" s="8"/>
      <c r="J893" s="8"/>
      <c r="K893" s="8"/>
      <c r="L893" s="8"/>
      <c r="M893" s="8"/>
      <c r="N893" s="8"/>
      <c r="O893" s="8"/>
      <c r="P893" s="8"/>
      <c r="Q893" s="1"/>
    </row>
    <row r="894" spans="1:17" x14ac:dyDescent="0.35">
      <c r="A894" s="6"/>
      <c r="B894" s="81"/>
      <c r="C894" s="83"/>
      <c r="D894" s="8"/>
      <c r="E894" s="8"/>
      <c r="F894" s="8"/>
      <c r="G894" s="8"/>
      <c r="H894" s="8"/>
      <c r="I894" s="8"/>
      <c r="J894" s="8"/>
      <c r="K894" s="8"/>
      <c r="L894" s="8"/>
      <c r="M894" s="8"/>
      <c r="N894" s="8"/>
      <c r="O894" s="8"/>
      <c r="P894" s="8"/>
      <c r="Q894" s="1"/>
    </row>
    <row r="895" spans="1:17" x14ac:dyDescent="0.35">
      <c r="A895" s="6"/>
      <c r="B895" s="81"/>
      <c r="C895" s="83"/>
      <c r="D895" s="8"/>
      <c r="E895" s="8"/>
      <c r="F895" s="8"/>
      <c r="G895" s="8"/>
      <c r="H895" s="8"/>
      <c r="I895" s="8"/>
      <c r="J895" s="8"/>
      <c r="K895" s="8"/>
      <c r="L895" s="8"/>
      <c r="M895" s="8"/>
      <c r="N895" s="8"/>
      <c r="O895" s="8"/>
      <c r="P895" s="8"/>
      <c r="Q895" s="1"/>
    </row>
    <row r="896" spans="1:17" x14ac:dyDescent="0.35">
      <c r="A896" s="6"/>
      <c r="B896" s="81"/>
      <c r="C896" s="83"/>
      <c r="D896" s="8"/>
      <c r="E896" s="8"/>
      <c r="F896" s="8"/>
      <c r="G896" s="8"/>
      <c r="H896" s="8"/>
      <c r="I896" s="8"/>
      <c r="J896" s="8"/>
      <c r="K896" s="8"/>
      <c r="L896" s="8"/>
      <c r="M896" s="8"/>
      <c r="N896" s="8"/>
      <c r="O896" s="8"/>
      <c r="P896" s="8"/>
      <c r="Q896" s="1"/>
    </row>
    <row r="897" spans="1:17" x14ac:dyDescent="0.35">
      <c r="A897" s="6"/>
      <c r="B897" s="81"/>
      <c r="C897" s="83"/>
      <c r="D897" s="8"/>
      <c r="E897" s="8"/>
      <c r="F897" s="8"/>
      <c r="G897" s="8"/>
      <c r="H897" s="8"/>
      <c r="I897" s="8"/>
      <c r="J897" s="8"/>
      <c r="K897" s="8"/>
      <c r="L897" s="8"/>
      <c r="M897" s="8"/>
      <c r="N897" s="8"/>
      <c r="O897" s="8"/>
      <c r="P897" s="8"/>
      <c r="Q897" s="1"/>
    </row>
    <row r="898" spans="1:17" x14ac:dyDescent="0.35">
      <c r="A898" s="6"/>
      <c r="B898" s="81"/>
      <c r="C898" s="83"/>
      <c r="D898" s="8"/>
      <c r="E898" s="8"/>
      <c r="F898" s="8"/>
      <c r="G898" s="8"/>
      <c r="H898" s="8"/>
      <c r="I898" s="8"/>
      <c r="J898" s="8"/>
      <c r="K898" s="8"/>
      <c r="L898" s="8"/>
      <c r="M898" s="8"/>
      <c r="N898" s="8"/>
      <c r="O898" s="8"/>
      <c r="P898" s="8"/>
      <c r="Q898" s="1"/>
    </row>
    <row r="899" spans="1:17" x14ac:dyDescent="0.35">
      <c r="A899" s="6"/>
      <c r="B899" s="81"/>
      <c r="C899" s="83"/>
      <c r="D899" s="8"/>
      <c r="E899" s="8"/>
      <c r="F899" s="8"/>
      <c r="G899" s="8"/>
      <c r="H899" s="8"/>
      <c r="I899" s="8"/>
      <c r="J899" s="8"/>
      <c r="K899" s="8"/>
      <c r="L899" s="8"/>
      <c r="M899" s="8"/>
      <c r="N899" s="8"/>
      <c r="O899" s="8"/>
      <c r="P899" s="8"/>
      <c r="Q899" s="1"/>
    </row>
    <row r="900" spans="1:17" x14ac:dyDescent="0.35">
      <c r="A900" s="6"/>
      <c r="B900" s="81"/>
      <c r="C900" s="83"/>
      <c r="D900" s="8"/>
      <c r="E900" s="8"/>
      <c r="F900" s="8"/>
      <c r="G900" s="8"/>
      <c r="H900" s="8"/>
      <c r="I900" s="8"/>
      <c r="J900" s="8"/>
      <c r="K900" s="8"/>
      <c r="L900" s="8"/>
      <c r="M900" s="8"/>
      <c r="N900" s="8"/>
      <c r="O900" s="8"/>
      <c r="P900" s="8"/>
      <c r="Q900" s="1"/>
    </row>
    <row r="901" spans="1:17" x14ac:dyDescent="0.35">
      <c r="A901" s="6"/>
      <c r="B901" s="81"/>
      <c r="C901" s="83"/>
      <c r="D901" s="8"/>
      <c r="E901" s="8"/>
      <c r="F901" s="8"/>
      <c r="G901" s="8"/>
      <c r="H901" s="8"/>
      <c r="I901" s="8"/>
      <c r="J901" s="8"/>
      <c r="K901" s="8"/>
      <c r="L901" s="8"/>
      <c r="M901" s="8"/>
      <c r="N901" s="8"/>
      <c r="O901" s="8"/>
      <c r="P901" s="8"/>
      <c r="Q901" s="1"/>
    </row>
    <row r="902" spans="1:17" x14ac:dyDescent="0.35">
      <c r="A902" s="6"/>
      <c r="B902" s="81"/>
      <c r="C902" s="83"/>
      <c r="D902" s="8"/>
      <c r="E902" s="8"/>
      <c r="F902" s="8"/>
      <c r="G902" s="8"/>
      <c r="H902" s="8"/>
      <c r="I902" s="8"/>
      <c r="J902" s="8"/>
      <c r="K902" s="8"/>
      <c r="L902" s="8"/>
      <c r="M902" s="8"/>
      <c r="N902" s="8"/>
      <c r="O902" s="8"/>
      <c r="P902" s="8"/>
      <c r="Q902" s="1"/>
    </row>
    <row r="903" spans="1:17" x14ac:dyDescent="0.35">
      <c r="A903" s="6"/>
      <c r="B903" s="81"/>
      <c r="C903" s="83"/>
      <c r="D903" s="8"/>
      <c r="E903" s="8"/>
      <c r="F903" s="8"/>
      <c r="G903" s="8"/>
      <c r="H903" s="8"/>
      <c r="I903" s="8"/>
      <c r="J903" s="8"/>
      <c r="K903" s="8"/>
      <c r="L903" s="8"/>
      <c r="M903" s="8"/>
      <c r="N903" s="8"/>
      <c r="O903" s="8"/>
      <c r="P903" s="8"/>
      <c r="Q903" s="1"/>
    </row>
    <row r="904" spans="1:17" x14ac:dyDescent="0.35">
      <c r="A904" s="6"/>
      <c r="B904" s="81"/>
      <c r="C904" s="83"/>
      <c r="D904" s="8"/>
      <c r="E904" s="8"/>
      <c r="F904" s="8"/>
      <c r="G904" s="8"/>
      <c r="H904" s="8"/>
      <c r="I904" s="8"/>
      <c r="J904" s="8"/>
      <c r="K904" s="8"/>
      <c r="L904" s="8"/>
      <c r="M904" s="8"/>
      <c r="N904" s="8"/>
      <c r="O904" s="8"/>
      <c r="P904" s="8"/>
      <c r="Q904" s="1"/>
    </row>
    <row r="905" spans="1:17" x14ac:dyDescent="0.35">
      <c r="A905" s="6"/>
      <c r="B905" s="81"/>
      <c r="C905" s="83"/>
      <c r="D905" s="8"/>
      <c r="E905" s="8"/>
      <c r="F905" s="8"/>
      <c r="G905" s="8"/>
      <c r="H905" s="8"/>
      <c r="I905" s="8"/>
      <c r="J905" s="8"/>
      <c r="K905" s="8"/>
      <c r="L905" s="8"/>
      <c r="M905" s="8"/>
      <c r="N905" s="8"/>
      <c r="O905" s="8"/>
      <c r="P905" s="8"/>
      <c r="Q905" s="1"/>
    </row>
    <row r="906" spans="1:17" x14ac:dyDescent="0.35">
      <c r="A906" s="6"/>
      <c r="B906" s="81"/>
      <c r="C906" s="83"/>
      <c r="D906" s="8"/>
      <c r="E906" s="8"/>
      <c r="F906" s="8"/>
      <c r="G906" s="8"/>
      <c r="H906" s="8"/>
      <c r="I906" s="8"/>
      <c r="J906" s="8"/>
      <c r="K906" s="8"/>
      <c r="L906" s="8"/>
      <c r="M906" s="8"/>
      <c r="N906" s="8"/>
      <c r="O906" s="8"/>
      <c r="P906" s="8"/>
      <c r="Q906" s="1"/>
    </row>
    <row r="907" spans="1:17" x14ac:dyDescent="0.35">
      <c r="A907" s="6"/>
      <c r="B907" s="81"/>
      <c r="C907" s="83"/>
      <c r="D907" s="8"/>
      <c r="E907" s="8"/>
      <c r="F907" s="8"/>
      <c r="G907" s="8"/>
      <c r="H907" s="8"/>
      <c r="I907" s="8"/>
      <c r="J907" s="8"/>
      <c r="K907" s="8"/>
      <c r="L907" s="8"/>
      <c r="M907" s="8"/>
      <c r="N907" s="8"/>
      <c r="O907" s="8"/>
      <c r="P907" s="8"/>
      <c r="Q907" s="1"/>
    </row>
    <row r="908" spans="1:17" x14ac:dyDescent="0.35">
      <c r="A908" s="6"/>
      <c r="B908" s="81"/>
      <c r="C908" s="83"/>
      <c r="D908" s="8"/>
      <c r="E908" s="8"/>
      <c r="F908" s="8"/>
      <c r="G908" s="8"/>
      <c r="H908" s="8"/>
      <c r="I908" s="8"/>
      <c r="J908" s="8"/>
      <c r="K908" s="8"/>
      <c r="L908" s="8"/>
      <c r="M908" s="8"/>
      <c r="N908" s="8"/>
      <c r="O908" s="8"/>
      <c r="P908" s="8"/>
      <c r="Q908" s="1"/>
    </row>
    <row r="909" spans="1:17" x14ac:dyDescent="0.35">
      <c r="A909" s="6"/>
      <c r="B909" s="81"/>
      <c r="C909" s="83"/>
      <c r="D909" s="8"/>
      <c r="E909" s="8"/>
      <c r="F909" s="8"/>
      <c r="G909" s="8"/>
      <c r="H909" s="8"/>
      <c r="I909" s="8"/>
      <c r="J909" s="8"/>
      <c r="K909" s="8"/>
      <c r="L909" s="8"/>
      <c r="M909" s="8"/>
      <c r="N909" s="8"/>
      <c r="O909" s="8"/>
      <c r="P909" s="8"/>
      <c r="Q909" s="1"/>
    </row>
  </sheetData>
  <mergeCells count="141">
    <mergeCell ref="A69:A71"/>
    <mergeCell ref="A72:A74"/>
    <mergeCell ref="A75:A77"/>
    <mergeCell ref="B75:B77"/>
    <mergeCell ref="C75:C77"/>
    <mergeCell ref="D75:P75"/>
    <mergeCell ref="B69:B71"/>
    <mergeCell ref="C69:C71"/>
    <mergeCell ref="D69:P69"/>
    <mergeCell ref="B72:B74"/>
    <mergeCell ref="C72:C74"/>
    <mergeCell ref="D72:P72"/>
    <mergeCell ref="A45:A47"/>
    <mergeCell ref="A48:A50"/>
    <mergeCell ref="A51:A53"/>
    <mergeCell ref="A54:A56"/>
    <mergeCell ref="B63:B65"/>
    <mergeCell ref="C63:C65"/>
    <mergeCell ref="D63:P63"/>
    <mergeCell ref="B66:B68"/>
    <mergeCell ref="C66:C68"/>
    <mergeCell ref="D66:P66"/>
    <mergeCell ref="B57:B59"/>
    <mergeCell ref="C57:C59"/>
    <mergeCell ref="D57:P57"/>
    <mergeCell ref="B60:B62"/>
    <mergeCell ref="C60:C62"/>
    <mergeCell ref="D60:P60"/>
    <mergeCell ref="A57:A59"/>
    <mergeCell ref="A60:A62"/>
    <mergeCell ref="A63:A65"/>
    <mergeCell ref="A66:A68"/>
    <mergeCell ref="B51:B53"/>
    <mergeCell ref="C51:C53"/>
    <mergeCell ref="D51:P51"/>
    <mergeCell ref="B54:B56"/>
    <mergeCell ref="C54:C56"/>
    <mergeCell ref="D54:P54"/>
    <mergeCell ref="B45:B47"/>
    <mergeCell ref="C45:C47"/>
    <mergeCell ref="D45:P45"/>
    <mergeCell ref="B48:B50"/>
    <mergeCell ref="C48:C50"/>
    <mergeCell ref="D48:P48"/>
    <mergeCell ref="A24:A26"/>
    <mergeCell ref="A27:A29"/>
    <mergeCell ref="A30:A32"/>
    <mergeCell ref="B39:B41"/>
    <mergeCell ref="C39:C41"/>
    <mergeCell ref="D39:P39"/>
    <mergeCell ref="B42:B44"/>
    <mergeCell ref="C42:C44"/>
    <mergeCell ref="D42:P42"/>
    <mergeCell ref="B33:B35"/>
    <mergeCell ref="C33:C35"/>
    <mergeCell ref="D33:P33"/>
    <mergeCell ref="B36:B38"/>
    <mergeCell ref="C36:C38"/>
    <mergeCell ref="D36:P36"/>
    <mergeCell ref="A33:A35"/>
    <mergeCell ref="A36:A38"/>
    <mergeCell ref="A39:A41"/>
    <mergeCell ref="A42:A44"/>
    <mergeCell ref="C12:C14"/>
    <mergeCell ref="D12:P12"/>
    <mergeCell ref="B27:B29"/>
    <mergeCell ref="C27:C29"/>
    <mergeCell ref="D27:P27"/>
    <mergeCell ref="B30:B32"/>
    <mergeCell ref="C30:C32"/>
    <mergeCell ref="D30:P30"/>
    <mergeCell ref="B21:B23"/>
    <mergeCell ref="C21:C23"/>
    <mergeCell ref="D21:P21"/>
    <mergeCell ref="B24:B26"/>
    <mergeCell ref="C24:C26"/>
    <mergeCell ref="D24:P24"/>
    <mergeCell ref="A3:A5"/>
    <mergeCell ref="A6:A8"/>
    <mergeCell ref="A9:A11"/>
    <mergeCell ref="A12:A14"/>
    <mergeCell ref="A15:A17"/>
    <mergeCell ref="A18:A20"/>
    <mergeCell ref="A21:A23"/>
    <mergeCell ref="A1:Q1"/>
    <mergeCell ref="B3:B5"/>
    <mergeCell ref="C3:C5"/>
    <mergeCell ref="D3:P3"/>
    <mergeCell ref="B6:B8"/>
    <mergeCell ref="C6:C8"/>
    <mergeCell ref="D6:P6"/>
    <mergeCell ref="B15:B17"/>
    <mergeCell ref="C15:C17"/>
    <mergeCell ref="D15:P15"/>
    <mergeCell ref="B18:B20"/>
    <mergeCell ref="C18:C20"/>
    <mergeCell ref="D18:P18"/>
    <mergeCell ref="B9:B11"/>
    <mergeCell ref="C9:C11"/>
    <mergeCell ref="D9:P9"/>
    <mergeCell ref="B12:B14"/>
    <mergeCell ref="R12:R14"/>
    <mergeCell ref="S12:S14"/>
    <mergeCell ref="R3:R11"/>
    <mergeCell ref="S3:S11"/>
    <mergeCell ref="R24:R26"/>
    <mergeCell ref="R27:R29"/>
    <mergeCell ref="R30:R32"/>
    <mergeCell ref="R15:R20"/>
    <mergeCell ref="R21:R23"/>
    <mergeCell ref="S15:S29"/>
    <mergeCell ref="R75:R77"/>
    <mergeCell ref="S75:S77"/>
    <mergeCell ref="R48:R50"/>
    <mergeCell ref="S48:S50"/>
    <mergeCell ref="R51:R53"/>
    <mergeCell ref="S51:S53"/>
    <mergeCell ref="R54:R56"/>
    <mergeCell ref="S54:S56"/>
    <mergeCell ref="R57:R59"/>
    <mergeCell ref="S57:S59"/>
    <mergeCell ref="R60:R62"/>
    <mergeCell ref="S60:S62"/>
    <mergeCell ref="R63:R65"/>
    <mergeCell ref="S63:S65"/>
    <mergeCell ref="R66:R68"/>
    <mergeCell ref="S66:S68"/>
    <mergeCell ref="R69:R71"/>
    <mergeCell ref="S69:S71"/>
    <mergeCell ref="R72:R74"/>
    <mergeCell ref="S72:S74"/>
    <mergeCell ref="R33:R35"/>
    <mergeCell ref="R36:R38"/>
    <mergeCell ref="S36:S38"/>
    <mergeCell ref="R39:R41"/>
    <mergeCell ref="S39:S41"/>
    <mergeCell ref="R42:R44"/>
    <mergeCell ref="S42:S44"/>
    <mergeCell ref="R45:R47"/>
    <mergeCell ref="S45:S47"/>
    <mergeCell ref="S30:S35"/>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0" tint="-0.249977111117893"/>
  </sheetPr>
  <dimension ref="A1:U1201"/>
  <sheetViews>
    <sheetView zoomScale="120" zoomScaleNormal="120" zoomScaleSheetLayoutView="82" workbookViewId="0">
      <selection activeCell="O10" sqref="O10:O13"/>
    </sheetView>
  </sheetViews>
  <sheetFormatPr defaultColWidth="14.453125" defaultRowHeight="14.5" x14ac:dyDescent="0.35"/>
  <cols>
    <col min="1" max="1" width="4" style="7" customWidth="1"/>
    <col min="2" max="2" width="9.26953125" style="14" customWidth="1"/>
    <col min="3" max="3" width="12.7265625" style="82" customWidth="1"/>
    <col min="4" max="4" width="32.26953125" style="7" customWidth="1"/>
    <col min="5" max="5" width="22.453125" style="5" customWidth="1"/>
    <col min="6" max="17" width="7.7265625" style="18" customWidth="1"/>
    <col min="18" max="18" width="10.26953125" customWidth="1"/>
    <col min="19" max="19" width="26.26953125" customWidth="1"/>
    <col min="20" max="21" width="19.453125" customWidth="1"/>
  </cols>
  <sheetData>
    <row r="1" spans="1:21" ht="19" thickBot="1" x14ac:dyDescent="0.5">
      <c r="A1" s="1203" t="s">
        <v>179</v>
      </c>
      <c r="B1" s="1203"/>
      <c r="C1" s="1203"/>
      <c r="D1" s="1203"/>
      <c r="E1" s="1203"/>
      <c r="F1" s="1203"/>
      <c r="G1" s="1203"/>
      <c r="H1" s="1203"/>
      <c r="I1" s="1203"/>
      <c r="J1" s="1203"/>
      <c r="K1" s="1203"/>
      <c r="L1" s="1203"/>
      <c r="M1" s="1203"/>
      <c r="N1" s="1203"/>
      <c r="O1" s="1203"/>
      <c r="P1" s="1203"/>
      <c r="Q1" s="1203"/>
      <c r="R1" s="1189"/>
      <c r="S1" s="345"/>
    </row>
    <row r="2" spans="1:21" ht="29.5" thickBot="1" x14ac:dyDescent="0.4">
      <c r="A2" s="15" t="s">
        <v>166</v>
      </c>
      <c r="B2" s="143" t="s">
        <v>167</v>
      </c>
      <c r="C2" s="142" t="s">
        <v>180</v>
      </c>
      <c r="D2" s="144" t="s">
        <v>168</v>
      </c>
      <c r="E2" s="80" t="s">
        <v>169</v>
      </c>
      <c r="F2" s="12">
        <v>43466</v>
      </c>
      <c r="G2" s="11">
        <v>43497</v>
      </c>
      <c r="H2" s="11">
        <v>43525</v>
      </c>
      <c r="I2" s="11">
        <v>43556</v>
      </c>
      <c r="J2" s="11">
        <v>43586</v>
      </c>
      <c r="K2" s="11">
        <v>43617</v>
      </c>
      <c r="L2" s="11">
        <v>43647</v>
      </c>
      <c r="M2" s="11">
        <v>43678</v>
      </c>
      <c r="N2" s="11">
        <v>43709</v>
      </c>
      <c r="O2" s="11">
        <v>43739</v>
      </c>
      <c r="P2" s="11">
        <v>43770</v>
      </c>
      <c r="Q2" s="11">
        <v>43800</v>
      </c>
      <c r="R2" s="1209" t="s">
        <v>170</v>
      </c>
      <c r="S2" s="1210"/>
      <c r="T2" s="178" t="s">
        <v>121</v>
      </c>
      <c r="U2" s="178" t="s">
        <v>171</v>
      </c>
    </row>
    <row r="3" spans="1:21" s="2" customFormat="1" ht="15" customHeight="1" x14ac:dyDescent="0.35">
      <c r="A3" s="1204">
        <v>1</v>
      </c>
      <c r="B3" s="1178" t="str">
        <f>IF(VLOOKUP(A:A,'Benefit-People-Indicator Ex'!Z:AE,6,FALSE)=0,"",VLOOKUP(A:A,'Benefit-People-Indicator Ex'!Z:AE,6,FALSE))</f>
        <v>P010101</v>
      </c>
      <c r="C3" s="1200" t="str">
        <f>_xlfn.IFNA(VLOOKUP(B:B,'indicator lists'!L:R,3,FALSE),"")</f>
        <v>Individual</v>
      </c>
      <c r="D3" s="1200" t="str">
        <f>_xlfn.IFNA(VLOOKUP(A:A,'Benefit-People-Indicator Ex'!P:X,9,FALSE),"")</f>
        <v># of people trained on agronomic practices</v>
      </c>
      <c r="E3" s="59" t="s">
        <v>181</v>
      </c>
      <c r="F3" s="60">
        <f>SUM(F4:F7)</f>
        <v>140</v>
      </c>
      <c r="G3" s="61">
        <f>SUM(G4:G7)</f>
        <v>100</v>
      </c>
      <c r="H3" s="61">
        <f t="shared" ref="H3:P3" si="0">SUM(H4:H7)</f>
        <v>240</v>
      </c>
      <c r="I3" s="61">
        <f t="shared" si="0"/>
        <v>570</v>
      </c>
      <c r="J3" s="61">
        <f t="shared" si="0"/>
        <v>200</v>
      </c>
      <c r="K3" s="61">
        <f t="shared" si="0"/>
        <v>0</v>
      </c>
      <c r="L3" s="61">
        <f t="shared" si="0"/>
        <v>0</v>
      </c>
      <c r="M3" s="61">
        <f t="shared" si="0"/>
        <v>0</v>
      </c>
      <c r="N3" s="61">
        <f t="shared" si="0"/>
        <v>140</v>
      </c>
      <c r="O3" s="61">
        <f t="shared" si="0"/>
        <v>180</v>
      </c>
      <c r="P3" s="61">
        <f t="shared" si="0"/>
        <v>180</v>
      </c>
      <c r="Q3" s="61">
        <f>SUM(Q4:Q7)</f>
        <v>0</v>
      </c>
      <c r="R3" s="347">
        <f>SUM(R4:R5)</f>
        <v>600</v>
      </c>
      <c r="S3" s="134"/>
      <c r="T3" s="1184" t="s">
        <v>439</v>
      </c>
      <c r="U3" s="1316" t="s">
        <v>435</v>
      </c>
    </row>
    <row r="4" spans="1:21" s="2" customFormat="1" x14ac:dyDescent="0.35">
      <c r="A4" s="1198"/>
      <c r="B4" s="1179"/>
      <c r="C4" s="1201"/>
      <c r="D4" s="1201"/>
      <c r="E4" s="63" t="s">
        <v>182</v>
      </c>
      <c r="F4" s="23">
        <v>70</v>
      </c>
      <c r="G4" s="26">
        <v>50</v>
      </c>
      <c r="H4" s="26"/>
      <c r="I4" s="26">
        <v>30</v>
      </c>
      <c r="J4" s="26">
        <v>40</v>
      </c>
      <c r="K4" s="26"/>
      <c r="L4" s="26"/>
      <c r="M4" s="26"/>
      <c r="N4" s="26">
        <v>60</v>
      </c>
      <c r="O4" s="26">
        <v>30</v>
      </c>
      <c r="P4" s="26"/>
      <c r="Q4" s="16"/>
      <c r="R4" s="344">
        <f>SUM(F4:Q4)</f>
        <v>280</v>
      </c>
      <c r="S4" s="135"/>
      <c r="T4" s="1185"/>
      <c r="U4" s="1299"/>
    </row>
    <row r="5" spans="1:21" s="2" customFormat="1" x14ac:dyDescent="0.35">
      <c r="A5" s="1198"/>
      <c r="B5" s="1179"/>
      <c r="C5" s="1201"/>
      <c r="D5" s="1201"/>
      <c r="E5" s="336" t="s">
        <v>183</v>
      </c>
      <c r="F5" s="337">
        <v>70</v>
      </c>
      <c r="G5" s="338">
        <v>50</v>
      </c>
      <c r="H5" s="338"/>
      <c r="I5" s="338">
        <v>60</v>
      </c>
      <c r="J5" s="338">
        <v>30</v>
      </c>
      <c r="K5" s="338"/>
      <c r="L5" s="338"/>
      <c r="M5" s="338"/>
      <c r="N5" s="338">
        <v>80</v>
      </c>
      <c r="O5" s="338">
        <v>30</v>
      </c>
      <c r="P5" s="338"/>
      <c r="Q5" s="339"/>
      <c r="R5" s="344">
        <f>SUM(F5:Q5)</f>
        <v>320</v>
      </c>
      <c r="S5" s="335"/>
      <c r="T5" s="1185"/>
      <c r="U5" s="1299"/>
    </row>
    <row r="6" spans="1:21" s="2" customFormat="1" x14ac:dyDescent="0.35">
      <c r="A6" s="1198"/>
      <c r="B6" s="1179"/>
      <c r="C6" s="1201"/>
      <c r="D6" s="1201"/>
      <c r="E6" s="36" t="s">
        <v>184</v>
      </c>
      <c r="F6" s="29"/>
      <c r="G6" s="30"/>
      <c r="H6" s="30">
        <v>120</v>
      </c>
      <c r="I6" s="30">
        <v>240</v>
      </c>
      <c r="J6" s="30">
        <v>50</v>
      </c>
      <c r="K6" s="30"/>
      <c r="L6" s="30"/>
      <c r="M6" s="30"/>
      <c r="N6" s="30"/>
      <c r="O6" s="30">
        <v>60</v>
      </c>
      <c r="P6" s="30">
        <v>90</v>
      </c>
      <c r="Q6" s="31"/>
      <c r="R6" s="344"/>
      <c r="S6" s="335"/>
      <c r="T6" s="1185"/>
      <c r="U6" s="1299"/>
    </row>
    <row r="7" spans="1:21" s="2" customFormat="1" ht="15" thickBot="1" x14ac:dyDescent="0.4">
      <c r="A7" s="1198"/>
      <c r="B7" s="1179"/>
      <c r="C7" s="1201"/>
      <c r="D7" s="1201"/>
      <c r="E7" s="340" t="s">
        <v>185</v>
      </c>
      <c r="F7" s="341"/>
      <c r="G7" s="342"/>
      <c r="H7" s="342">
        <v>120</v>
      </c>
      <c r="I7" s="342">
        <v>240</v>
      </c>
      <c r="J7" s="342">
        <v>80</v>
      </c>
      <c r="K7" s="342"/>
      <c r="L7" s="342"/>
      <c r="M7" s="342"/>
      <c r="N7" s="342"/>
      <c r="O7" s="342">
        <v>60</v>
      </c>
      <c r="P7" s="342">
        <v>90</v>
      </c>
      <c r="Q7" s="343"/>
      <c r="R7" s="344"/>
      <c r="S7" s="335"/>
      <c r="T7" s="1185"/>
      <c r="U7" s="1299"/>
    </row>
    <row r="8" spans="1:21" s="2" customFormat="1" ht="15" customHeight="1" thickBot="1" x14ac:dyDescent="0.4">
      <c r="A8" s="1198"/>
      <c r="B8" s="1179"/>
      <c r="C8" s="1201"/>
      <c r="D8" s="1201"/>
      <c r="E8" s="1193" t="s">
        <v>175</v>
      </c>
      <c r="F8" s="1194"/>
      <c r="G8" s="1194"/>
      <c r="H8" s="1194"/>
      <c r="I8" s="1194"/>
      <c r="J8" s="1194"/>
      <c r="K8" s="1194"/>
      <c r="L8" s="1194"/>
      <c r="M8" s="1194"/>
      <c r="N8" s="1194"/>
      <c r="O8" s="1194"/>
      <c r="P8" s="1194"/>
      <c r="Q8" s="1194"/>
      <c r="R8" s="348">
        <f>SUM(R10:R11)/R3</f>
        <v>0.875</v>
      </c>
      <c r="S8" s="349" t="s">
        <v>186</v>
      </c>
      <c r="T8" s="1185"/>
      <c r="U8" s="1299"/>
    </row>
    <row r="9" spans="1:21" s="2" customFormat="1" x14ac:dyDescent="0.35">
      <c r="A9" s="1198"/>
      <c r="B9" s="1179"/>
      <c r="C9" s="1201"/>
      <c r="D9" s="1201"/>
      <c r="E9" s="62" t="s">
        <v>187</v>
      </c>
      <c r="F9" s="44">
        <f>SUM(F10:F13)</f>
        <v>140</v>
      </c>
      <c r="G9" s="43">
        <f>SUM(G10:G13)</f>
        <v>75</v>
      </c>
      <c r="H9" s="43">
        <f t="shared" ref="H9:Q9" si="1">SUM(H10:H13)</f>
        <v>240</v>
      </c>
      <c r="I9" s="43">
        <f t="shared" si="1"/>
        <v>570</v>
      </c>
      <c r="J9" s="43">
        <f t="shared" si="1"/>
        <v>170</v>
      </c>
      <c r="K9" s="43">
        <f t="shared" si="1"/>
        <v>0</v>
      </c>
      <c r="L9" s="43">
        <f t="shared" si="1"/>
        <v>0</v>
      </c>
      <c r="M9" s="43">
        <f t="shared" si="1"/>
        <v>0</v>
      </c>
      <c r="N9" s="43">
        <f t="shared" si="1"/>
        <v>120</v>
      </c>
      <c r="O9" s="43">
        <f t="shared" si="1"/>
        <v>180</v>
      </c>
      <c r="P9" s="43">
        <f t="shared" si="1"/>
        <v>180</v>
      </c>
      <c r="Q9" s="43">
        <f t="shared" si="1"/>
        <v>0</v>
      </c>
      <c r="R9" s="65"/>
      <c r="S9" s="65"/>
      <c r="T9" s="1185"/>
      <c r="U9" s="1299"/>
    </row>
    <row r="10" spans="1:21" s="2" customFormat="1" x14ac:dyDescent="0.35">
      <c r="A10" s="1198"/>
      <c r="B10" s="1179"/>
      <c r="C10" s="1201"/>
      <c r="D10" s="1201"/>
      <c r="E10" s="63" t="s">
        <v>188</v>
      </c>
      <c r="F10" s="23">
        <v>70</v>
      </c>
      <c r="G10" s="26">
        <v>25</v>
      </c>
      <c r="H10" s="26"/>
      <c r="I10" s="26">
        <v>30</v>
      </c>
      <c r="J10" s="26">
        <v>10</v>
      </c>
      <c r="K10" s="26"/>
      <c r="L10" s="26"/>
      <c r="M10" s="26"/>
      <c r="N10" s="26">
        <v>60</v>
      </c>
      <c r="O10" s="26">
        <v>30</v>
      </c>
      <c r="P10" s="26"/>
      <c r="Q10" s="16"/>
      <c r="R10" s="65">
        <f>SUM(F10:Q10)</f>
        <v>225</v>
      </c>
      <c r="S10" s="346">
        <f>R10/R4</f>
        <v>0.8035714285714286</v>
      </c>
      <c r="T10" s="1185"/>
      <c r="U10" s="1299"/>
    </row>
    <row r="11" spans="1:21" x14ac:dyDescent="0.35">
      <c r="A11" s="1198"/>
      <c r="B11" s="1179"/>
      <c r="C11" s="1201"/>
      <c r="D11" s="1201"/>
      <c r="E11" s="37" t="s">
        <v>189</v>
      </c>
      <c r="F11" s="33">
        <v>70</v>
      </c>
      <c r="G11" s="32">
        <v>50</v>
      </c>
      <c r="H11" s="32"/>
      <c r="I11" s="32">
        <v>60</v>
      </c>
      <c r="J11" s="32">
        <v>30</v>
      </c>
      <c r="K11" s="32"/>
      <c r="L11" s="32"/>
      <c r="M11" s="32"/>
      <c r="N11" s="32">
        <v>60</v>
      </c>
      <c r="O11" s="32">
        <v>30</v>
      </c>
      <c r="P11" s="32"/>
      <c r="Q11" s="34"/>
      <c r="R11" s="65">
        <f>SUM(F11:Q11)</f>
        <v>300</v>
      </c>
      <c r="S11" s="346">
        <f>R11/R5</f>
        <v>0.9375</v>
      </c>
      <c r="T11" s="1185"/>
      <c r="U11" s="1299"/>
    </row>
    <row r="12" spans="1:21" x14ac:dyDescent="0.35">
      <c r="A12" s="1198"/>
      <c r="B12" s="1179"/>
      <c r="C12" s="1201"/>
      <c r="D12" s="1201"/>
      <c r="E12" s="36" t="s">
        <v>190</v>
      </c>
      <c r="F12" s="29"/>
      <c r="G12" s="30"/>
      <c r="H12" s="30">
        <v>120</v>
      </c>
      <c r="I12" s="30">
        <v>240</v>
      </c>
      <c r="J12" s="30">
        <v>50</v>
      </c>
      <c r="K12" s="30"/>
      <c r="L12" s="30"/>
      <c r="M12" s="30"/>
      <c r="N12" s="30"/>
      <c r="O12" s="30">
        <v>60</v>
      </c>
      <c r="P12" s="30">
        <v>90</v>
      </c>
      <c r="Q12" s="31"/>
      <c r="R12" s="65"/>
      <c r="S12" s="65"/>
      <c r="T12" s="1185"/>
      <c r="U12" s="1299"/>
    </row>
    <row r="13" spans="1:21" s="2" customFormat="1" ht="15" thickBot="1" x14ac:dyDescent="0.4">
      <c r="A13" s="1199"/>
      <c r="B13" s="1180"/>
      <c r="C13" s="1202"/>
      <c r="D13" s="1202"/>
      <c r="E13" s="64" t="s">
        <v>191</v>
      </c>
      <c r="F13" s="25"/>
      <c r="G13" s="28"/>
      <c r="H13" s="28">
        <v>120</v>
      </c>
      <c r="I13" s="28">
        <v>240</v>
      </c>
      <c r="J13" s="28">
        <v>80</v>
      </c>
      <c r="K13" s="28"/>
      <c r="L13" s="28"/>
      <c r="M13" s="28"/>
      <c r="N13" s="28"/>
      <c r="O13" s="28">
        <v>60</v>
      </c>
      <c r="P13" s="28">
        <v>90</v>
      </c>
      <c r="Q13" s="35"/>
      <c r="R13" s="137"/>
      <c r="S13" s="137"/>
      <c r="T13" s="1186"/>
      <c r="U13" s="1299"/>
    </row>
    <row r="14" spans="1:21" s="2" customFormat="1" ht="15" customHeight="1" x14ac:dyDescent="0.35">
      <c r="A14" s="1198">
        <v>2</v>
      </c>
      <c r="B14" s="1178" t="str">
        <f>IF(VLOOKUP(A:A,'Benefit-People-Indicator Ex'!Z:AE,6,FALSE)=0,"",VLOOKUP(A:A,'Benefit-People-Indicator Ex'!Z:AE,6,FALSE))</f>
        <v>P010107</v>
      </c>
      <c r="C14" s="1200" t="str">
        <f>_xlfn.IFNA(VLOOKUP(B:B,'indicator lists'!L:R,3,FALSE),"")</f>
        <v>Individual</v>
      </c>
      <c r="D14" s="1200" t="str">
        <f>_xlfn.IFNA(VLOOKUP(A:A,'Benefit-People-Indicator Ex'!P:X,9,FALSE),"")</f>
        <v># of people trained on food hygiene and security</v>
      </c>
      <c r="E14" s="59" t="s">
        <v>181</v>
      </c>
      <c r="F14" s="60">
        <f>SUM(F15:F18)</f>
        <v>0</v>
      </c>
      <c r="G14" s="61">
        <f>SUM(G15:G18)</f>
        <v>0</v>
      </c>
      <c r="H14" s="61">
        <f t="shared" ref="H14:P14" si="2">SUM(H15:H18)</f>
        <v>0</v>
      </c>
      <c r="I14" s="61">
        <f t="shared" si="2"/>
        <v>0</v>
      </c>
      <c r="J14" s="61">
        <f t="shared" si="2"/>
        <v>0</v>
      </c>
      <c r="K14" s="61">
        <f t="shared" si="2"/>
        <v>0</v>
      </c>
      <c r="L14" s="61">
        <f t="shared" si="2"/>
        <v>0</v>
      </c>
      <c r="M14" s="61">
        <f t="shared" si="2"/>
        <v>0</v>
      </c>
      <c r="N14" s="61">
        <f t="shared" si="2"/>
        <v>0</v>
      </c>
      <c r="O14" s="61">
        <f t="shared" si="2"/>
        <v>0</v>
      </c>
      <c r="P14" s="61">
        <f t="shared" si="2"/>
        <v>0</v>
      </c>
      <c r="Q14" s="61">
        <f>SUM(Q15:Q18)</f>
        <v>0</v>
      </c>
      <c r="R14" s="347">
        <f>SUM(R15:R16)</f>
        <v>0</v>
      </c>
      <c r="S14" s="134"/>
      <c r="T14" s="1184" t="s">
        <v>439</v>
      </c>
      <c r="U14" s="1299"/>
    </row>
    <row r="15" spans="1:21" s="2" customFormat="1" ht="15" customHeight="1" x14ac:dyDescent="0.35">
      <c r="A15" s="1198"/>
      <c r="B15" s="1179"/>
      <c r="C15" s="1201"/>
      <c r="D15" s="1201"/>
      <c r="E15" s="63" t="s">
        <v>182</v>
      </c>
      <c r="F15" s="23"/>
      <c r="G15" s="26"/>
      <c r="H15" s="26"/>
      <c r="I15" s="26"/>
      <c r="J15" s="26"/>
      <c r="K15" s="26"/>
      <c r="L15" s="26"/>
      <c r="M15" s="26"/>
      <c r="N15" s="26"/>
      <c r="O15" s="26"/>
      <c r="P15" s="26"/>
      <c r="Q15" s="16"/>
      <c r="R15" s="344">
        <f>SUM(F15:Q15)</f>
        <v>0</v>
      </c>
      <c r="S15" s="135"/>
      <c r="T15" s="1185"/>
      <c r="U15" s="1299"/>
    </row>
    <row r="16" spans="1:21" s="2" customFormat="1" ht="15" customHeight="1" x14ac:dyDescent="0.35">
      <c r="A16" s="1198"/>
      <c r="B16" s="1179"/>
      <c r="C16" s="1201"/>
      <c r="D16" s="1201"/>
      <c r="E16" s="336" t="s">
        <v>183</v>
      </c>
      <c r="F16" s="337"/>
      <c r="G16" s="338"/>
      <c r="H16" s="338"/>
      <c r="I16" s="338"/>
      <c r="J16" s="338"/>
      <c r="K16" s="338"/>
      <c r="L16" s="338"/>
      <c r="M16" s="338"/>
      <c r="N16" s="338"/>
      <c r="O16" s="338"/>
      <c r="P16" s="338"/>
      <c r="Q16" s="339"/>
      <c r="R16" s="344">
        <f>SUM(F16:Q16)</f>
        <v>0</v>
      </c>
      <c r="S16" s="335"/>
      <c r="T16" s="1185"/>
      <c r="U16" s="1299"/>
    </row>
    <row r="17" spans="1:21" s="2" customFormat="1" x14ac:dyDescent="0.35">
      <c r="A17" s="1198"/>
      <c r="B17" s="1179"/>
      <c r="C17" s="1201"/>
      <c r="D17" s="1201"/>
      <c r="E17" s="36" t="s">
        <v>184</v>
      </c>
      <c r="F17" s="29"/>
      <c r="G17" s="30"/>
      <c r="H17" s="30"/>
      <c r="I17" s="30"/>
      <c r="J17" s="30"/>
      <c r="K17" s="30"/>
      <c r="L17" s="30"/>
      <c r="M17" s="30"/>
      <c r="N17" s="30"/>
      <c r="O17" s="30"/>
      <c r="P17" s="30"/>
      <c r="Q17" s="31"/>
      <c r="R17" s="344"/>
      <c r="S17" s="335"/>
      <c r="T17" s="1185"/>
      <c r="U17" s="1299"/>
    </row>
    <row r="18" spans="1:21" s="2" customFormat="1" ht="15" thickBot="1" x14ac:dyDescent="0.4">
      <c r="A18" s="1198"/>
      <c r="B18" s="1179"/>
      <c r="C18" s="1201"/>
      <c r="D18" s="1201"/>
      <c r="E18" s="340" t="s">
        <v>185</v>
      </c>
      <c r="F18" s="341"/>
      <c r="G18" s="342"/>
      <c r="H18" s="342"/>
      <c r="I18" s="342"/>
      <c r="J18" s="342"/>
      <c r="K18" s="342"/>
      <c r="L18" s="342"/>
      <c r="M18" s="342"/>
      <c r="N18" s="342"/>
      <c r="O18" s="342"/>
      <c r="P18" s="342"/>
      <c r="Q18" s="343"/>
      <c r="R18" s="344"/>
      <c r="S18" s="335"/>
      <c r="T18" s="1185"/>
      <c r="U18" s="1299"/>
    </row>
    <row r="19" spans="1:21" s="2" customFormat="1" ht="15.75" customHeight="1" thickBot="1" x14ac:dyDescent="0.4">
      <c r="A19" s="1198"/>
      <c r="B19" s="1179"/>
      <c r="C19" s="1201"/>
      <c r="D19" s="1201"/>
      <c r="E19" s="1193" t="s">
        <v>175</v>
      </c>
      <c r="F19" s="1194"/>
      <c r="G19" s="1194"/>
      <c r="H19" s="1194"/>
      <c r="I19" s="1194"/>
      <c r="J19" s="1194"/>
      <c r="K19" s="1194"/>
      <c r="L19" s="1194"/>
      <c r="M19" s="1194"/>
      <c r="N19" s="1194"/>
      <c r="O19" s="1194"/>
      <c r="P19" s="1194"/>
      <c r="Q19" s="1194"/>
      <c r="R19" s="348" t="e">
        <f>SUM(R21:R22)/R14</f>
        <v>#DIV/0!</v>
      </c>
      <c r="S19" s="349" t="s">
        <v>186</v>
      </c>
      <c r="T19" s="1185"/>
      <c r="U19" s="1299"/>
    </row>
    <row r="20" spans="1:21" s="2" customFormat="1" x14ac:dyDescent="0.35">
      <c r="A20" s="1198"/>
      <c r="B20" s="1179"/>
      <c r="C20" s="1201"/>
      <c r="D20" s="1201"/>
      <c r="E20" s="62" t="s">
        <v>187</v>
      </c>
      <c r="F20" s="44">
        <f>SUM(F21:F24)</f>
        <v>0</v>
      </c>
      <c r="G20" s="43">
        <f>SUM(G21:G24)</f>
        <v>0</v>
      </c>
      <c r="H20" s="43">
        <f t="shared" ref="H20:Q20" si="3">SUM(H21:H24)</f>
        <v>0</v>
      </c>
      <c r="I20" s="43">
        <f t="shared" si="3"/>
        <v>0</v>
      </c>
      <c r="J20" s="43">
        <f t="shared" si="3"/>
        <v>0</v>
      </c>
      <c r="K20" s="43">
        <f t="shared" si="3"/>
        <v>0</v>
      </c>
      <c r="L20" s="43">
        <f t="shared" si="3"/>
        <v>0</v>
      </c>
      <c r="M20" s="43">
        <f t="shared" si="3"/>
        <v>0</v>
      </c>
      <c r="N20" s="43">
        <f t="shared" si="3"/>
        <v>0</v>
      </c>
      <c r="O20" s="43">
        <f t="shared" si="3"/>
        <v>0</v>
      </c>
      <c r="P20" s="43">
        <f t="shared" si="3"/>
        <v>0</v>
      </c>
      <c r="Q20" s="43">
        <f t="shared" si="3"/>
        <v>0</v>
      </c>
      <c r="R20" s="65"/>
      <c r="S20" s="65"/>
      <c r="T20" s="1185"/>
      <c r="U20" s="1299"/>
    </row>
    <row r="21" spans="1:21" s="2" customFormat="1" x14ac:dyDescent="0.35">
      <c r="A21" s="1198"/>
      <c r="B21" s="1179"/>
      <c r="C21" s="1201"/>
      <c r="D21" s="1201"/>
      <c r="E21" s="63" t="s">
        <v>188</v>
      </c>
      <c r="F21" s="23"/>
      <c r="G21" s="26"/>
      <c r="H21" s="26"/>
      <c r="I21" s="26"/>
      <c r="J21" s="26"/>
      <c r="K21" s="26"/>
      <c r="L21" s="26"/>
      <c r="M21" s="26"/>
      <c r="N21" s="26"/>
      <c r="O21" s="26"/>
      <c r="P21" s="26"/>
      <c r="Q21" s="16"/>
      <c r="R21" s="65">
        <f>SUM(F21:Q21)</f>
        <v>0</v>
      </c>
      <c r="S21" s="346" t="e">
        <f>R21/R15</f>
        <v>#DIV/0!</v>
      </c>
      <c r="T21" s="1185"/>
      <c r="U21" s="1299"/>
    </row>
    <row r="22" spans="1:21" s="2" customFormat="1" x14ac:dyDescent="0.35">
      <c r="A22" s="1198"/>
      <c r="B22" s="1179"/>
      <c r="C22" s="1201"/>
      <c r="D22" s="1201"/>
      <c r="E22" s="37" t="s">
        <v>189</v>
      </c>
      <c r="F22" s="33"/>
      <c r="G22" s="32"/>
      <c r="H22" s="32"/>
      <c r="I22" s="32"/>
      <c r="J22" s="32"/>
      <c r="K22" s="32"/>
      <c r="L22" s="32"/>
      <c r="M22" s="32"/>
      <c r="N22" s="32"/>
      <c r="O22" s="32"/>
      <c r="P22" s="32"/>
      <c r="Q22" s="34"/>
      <c r="R22" s="65">
        <f>SUM(F22:Q22)</f>
        <v>0</v>
      </c>
      <c r="S22" s="346" t="e">
        <f>R22/R16</f>
        <v>#DIV/0!</v>
      </c>
      <c r="T22" s="1185"/>
      <c r="U22" s="1299"/>
    </row>
    <row r="23" spans="1:21" s="2" customFormat="1" x14ac:dyDescent="0.35">
      <c r="A23" s="1198"/>
      <c r="B23" s="1179"/>
      <c r="C23" s="1201"/>
      <c r="D23" s="1201"/>
      <c r="E23" s="36" t="s">
        <v>190</v>
      </c>
      <c r="F23" s="29"/>
      <c r="G23" s="30"/>
      <c r="H23" s="30"/>
      <c r="I23" s="30"/>
      <c r="J23" s="30"/>
      <c r="K23" s="30"/>
      <c r="L23" s="30"/>
      <c r="M23" s="30"/>
      <c r="N23" s="30"/>
      <c r="O23" s="30"/>
      <c r="P23" s="30"/>
      <c r="Q23" s="31"/>
      <c r="R23" s="65"/>
      <c r="S23" s="65"/>
      <c r="T23" s="1185"/>
      <c r="U23" s="1299"/>
    </row>
    <row r="24" spans="1:21" s="2" customFormat="1" ht="15" thickBot="1" x14ac:dyDescent="0.4">
      <c r="A24" s="1199"/>
      <c r="B24" s="1180"/>
      <c r="C24" s="1202"/>
      <c r="D24" s="1202"/>
      <c r="E24" s="64" t="s">
        <v>191</v>
      </c>
      <c r="F24" s="25"/>
      <c r="G24" s="28"/>
      <c r="H24" s="28"/>
      <c r="I24" s="28"/>
      <c r="J24" s="28"/>
      <c r="K24" s="28"/>
      <c r="L24" s="28"/>
      <c r="M24" s="28"/>
      <c r="N24" s="28"/>
      <c r="O24" s="28"/>
      <c r="P24" s="28"/>
      <c r="Q24" s="35"/>
      <c r="R24" s="137"/>
      <c r="S24" s="137"/>
      <c r="T24" s="1186"/>
      <c r="U24" s="1299"/>
    </row>
    <row r="25" spans="1:21" s="2" customFormat="1" ht="15" customHeight="1" x14ac:dyDescent="0.35">
      <c r="A25" s="1198">
        <v>3</v>
      </c>
      <c r="B25" s="1178" t="str">
        <f>IF(VLOOKUP(A:A,'Benefit-People-Indicator Ex'!Z:AE,6,FALSE)=0,"",VLOOKUP(A:A,'Benefit-People-Indicator Ex'!Z:AE,6,FALSE))</f>
        <v>P020107</v>
      </c>
      <c r="C25" s="1200" t="str">
        <f>_xlfn.IFNA(VLOOKUP(B:B,'indicator lists'!L:R,3,FALSE),"")</f>
        <v>Individual</v>
      </c>
      <c r="D25" s="1200" t="str">
        <f>_xlfn.IFNA(VLOOKUP(A:A,'Benefit-People-Indicator Ex'!P:X,9,FALSE),"")</f>
        <v># of people trained in other (specify) livelihood trainings</v>
      </c>
      <c r="E25" s="59" t="s">
        <v>181</v>
      </c>
      <c r="F25" s="60">
        <f>SUM(F26:F29)</f>
        <v>0</v>
      </c>
      <c r="G25" s="61">
        <f>SUM(G26:G29)</f>
        <v>0</v>
      </c>
      <c r="H25" s="61">
        <f t="shared" ref="H25:P25" si="4">SUM(H26:H29)</f>
        <v>0</v>
      </c>
      <c r="I25" s="61">
        <f t="shared" si="4"/>
        <v>0</v>
      </c>
      <c r="J25" s="61">
        <f t="shared" si="4"/>
        <v>0</v>
      </c>
      <c r="K25" s="61">
        <f t="shared" si="4"/>
        <v>0</v>
      </c>
      <c r="L25" s="61">
        <f t="shared" si="4"/>
        <v>0</v>
      </c>
      <c r="M25" s="61">
        <f t="shared" si="4"/>
        <v>0</v>
      </c>
      <c r="N25" s="61">
        <f t="shared" si="4"/>
        <v>0</v>
      </c>
      <c r="O25" s="61">
        <f t="shared" si="4"/>
        <v>0</v>
      </c>
      <c r="P25" s="61">
        <f t="shared" si="4"/>
        <v>0</v>
      </c>
      <c r="Q25" s="61">
        <f>SUM(Q26:Q29)</f>
        <v>0</v>
      </c>
      <c r="R25" s="347">
        <f>SUM(R26:R27)</f>
        <v>0</v>
      </c>
      <c r="S25" s="134"/>
      <c r="T25" s="1184" t="s">
        <v>439</v>
      </c>
      <c r="U25" s="1299"/>
    </row>
    <row r="26" spans="1:21" s="2" customFormat="1" ht="15" customHeight="1" x14ac:dyDescent="0.35">
      <c r="A26" s="1198"/>
      <c r="B26" s="1179"/>
      <c r="C26" s="1201"/>
      <c r="D26" s="1201"/>
      <c r="E26" s="63" t="s">
        <v>182</v>
      </c>
      <c r="F26" s="23"/>
      <c r="G26" s="26"/>
      <c r="H26" s="26"/>
      <c r="I26" s="26"/>
      <c r="J26" s="26"/>
      <c r="K26" s="26"/>
      <c r="L26" s="26"/>
      <c r="M26" s="26"/>
      <c r="N26" s="26"/>
      <c r="O26" s="26"/>
      <c r="P26" s="26"/>
      <c r="Q26" s="16"/>
      <c r="R26" s="344">
        <f>SUM(F26:Q26)</f>
        <v>0</v>
      </c>
      <c r="S26" s="135"/>
      <c r="T26" s="1185"/>
      <c r="U26" s="1299"/>
    </row>
    <row r="27" spans="1:21" s="2" customFormat="1" ht="15" customHeight="1" x14ac:dyDescent="0.35">
      <c r="A27" s="1198"/>
      <c r="B27" s="1179"/>
      <c r="C27" s="1201"/>
      <c r="D27" s="1201"/>
      <c r="E27" s="336" t="s">
        <v>183</v>
      </c>
      <c r="F27" s="337"/>
      <c r="G27" s="338"/>
      <c r="H27" s="338"/>
      <c r="I27" s="338"/>
      <c r="J27" s="338"/>
      <c r="K27" s="338"/>
      <c r="L27" s="338"/>
      <c r="M27" s="338"/>
      <c r="N27" s="338"/>
      <c r="O27" s="338"/>
      <c r="P27" s="338"/>
      <c r="Q27" s="339"/>
      <c r="R27" s="344">
        <f>SUM(F27:Q27)</f>
        <v>0</v>
      </c>
      <c r="S27" s="335"/>
      <c r="T27" s="1185"/>
      <c r="U27" s="1299"/>
    </row>
    <row r="28" spans="1:21" s="2" customFormat="1" x14ac:dyDescent="0.35">
      <c r="A28" s="1198"/>
      <c r="B28" s="1179"/>
      <c r="C28" s="1201"/>
      <c r="D28" s="1201"/>
      <c r="E28" s="36" t="s">
        <v>184</v>
      </c>
      <c r="F28" s="29"/>
      <c r="G28" s="30"/>
      <c r="H28" s="30"/>
      <c r="I28" s="30"/>
      <c r="J28" s="30"/>
      <c r="K28" s="30"/>
      <c r="L28" s="30"/>
      <c r="M28" s="30"/>
      <c r="N28" s="30"/>
      <c r="O28" s="30"/>
      <c r="P28" s="30"/>
      <c r="Q28" s="31"/>
      <c r="R28" s="344"/>
      <c r="S28" s="335"/>
      <c r="T28" s="1185"/>
      <c r="U28" s="1299"/>
    </row>
    <row r="29" spans="1:21" s="2" customFormat="1" ht="15" thickBot="1" x14ac:dyDescent="0.4">
      <c r="A29" s="1198"/>
      <c r="B29" s="1179"/>
      <c r="C29" s="1201"/>
      <c r="D29" s="1201"/>
      <c r="E29" s="340" t="s">
        <v>185</v>
      </c>
      <c r="F29" s="341"/>
      <c r="G29" s="342"/>
      <c r="H29" s="342"/>
      <c r="I29" s="342"/>
      <c r="J29" s="342"/>
      <c r="K29" s="342"/>
      <c r="L29" s="342"/>
      <c r="M29" s="342"/>
      <c r="N29" s="342"/>
      <c r="O29" s="342"/>
      <c r="P29" s="342"/>
      <c r="Q29" s="343"/>
      <c r="R29" s="344"/>
      <c r="S29" s="335"/>
      <c r="T29" s="1185"/>
      <c r="U29" s="1299"/>
    </row>
    <row r="30" spans="1:21" s="2" customFormat="1" ht="15" thickBot="1" x14ac:dyDescent="0.4">
      <c r="A30" s="1198"/>
      <c r="B30" s="1179"/>
      <c r="C30" s="1201"/>
      <c r="D30" s="1201"/>
      <c r="E30" s="1193" t="s">
        <v>175</v>
      </c>
      <c r="F30" s="1194"/>
      <c r="G30" s="1194"/>
      <c r="H30" s="1194"/>
      <c r="I30" s="1194"/>
      <c r="J30" s="1194"/>
      <c r="K30" s="1194"/>
      <c r="L30" s="1194"/>
      <c r="M30" s="1194"/>
      <c r="N30" s="1194"/>
      <c r="O30" s="1194"/>
      <c r="P30" s="1194"/>
      <c r="Q30" s="1194"/>
      <c r="R30" s="348" t="e">
        <f>SUM(R32:R33)/R25</f>
        <v>#DIV/0!</v>
      </c>
      <c r="S30" s="349" t="s">
        <v>186</v>
      </c>
      <c r="T30" s="1185"/>
      <c r="U30" s="1299"/>
    </row>
    <row r="31" spans="1:21" s="2" customFormat="1" x14ac:dyDescent="0.35">
      <c r="A31" s="1198"/>
      <c r="B31" s="1179"/>
      <c r="C31" s="1201"/>
      <c r="D31" s="1201"/>
      <c r="E31" s="62" t="s">
        <v>187</v>
      </c>
      <c r="F31" s="44">
        <f>SUM(F32:F35)</f>
        <v>0</v>
      </c>
      <c r="G31" s="43">
        <f>SUM(G32:G35)</f>
        <v>0</v>
      </c>
      <c r="H31" s="43">
        <f t="shared" ref="H31:Q31" si="5">SUM(H32:H35)</f>
        <v>0</v>
      </c>
      <c r="I31" s="43">
        <f t="shared" si="5"/>
        <v>0</v>
      </c>
      <c r="J31" s="43">
        <f t="shared" si="5"/>
        <v>0</v>
      </c>
      <c r="K31" s="43">
        <f t="shared" si="5"/>
        <v>0</v>
      </c>
      <c r="L31" s="43">
        <f t="shared" si="5"/>
        <v>0</v>
      </c>
      <c r="M31" s="43">
        <f t="shared" si="5"/>
        <v>0</v>
      </c>
      <c r="N31" s="43">
        <f t="shared" si="5"/>
        <v>0</v>
      </c>
      <c r="O31" s="43">
        <f t="shared" si="5"/>
        <v>0</v>
      </c>
      <c r="P31" s="43">
        <f t="shared" si="5"/>
        <v>0</v>
      </c>
      <c r="Q31" s="43">
        <f t="shared" si="5"/>
        <v>0</v>
      </c>
      <c r="R31" s="65"/>
      <c r="S31" s="65"/>
      <c r="T31" s="1185"/>
      <c r="U31" s="1299"/>
    </row>
    <row r="32" spans="1:21" s="2" customFormat="1" x14ac:dyDescent="0.35">
      <c r="A32" s="1198"/>
      <c r="B32" s="1179"/>
      <c r="C32" s="1201"/>
      <c r="D32" s="1201"/>
      <c r="E32" s="63" t="s">
        <v>188</v>
      </c>
      <c r="F32" s="23"/>
      <c r="G32" s="26"/>
      <c r="H32" s="26"/>
      <c r="I32" s="26"/>
      <c r="J32" s="26"/>
      <c r="K32" s="26"/>
      <c r="L32" s="26"/>
      <c r="M32" s="26"/>
      <c r="N32" s="26"/>
      <c r="O32" s="26"/>
      <c r="P32" s="26"/>
      <c r="Q32" s="16"/>
      <c r="R32" s="65">
        <f>SUM(F32:Q32)</f>
        <v>0</v>
      </c>
      <c r="S32" s="346" t="e">
        <f>R32/R26</f>
        <v>#DIV/0!</v>
      </c>
      <c r="T32" s="1185"/>
      <c r="U32" s="1299"/>
    </row>
    <row r="33" spans="1:21" s="2" customFormat="1" x14ac:dyDescent="0.35">
      <c r="A33" s="1198"/>
      <c r="B33" s="1179"/>
      <c r="C33" s="1201"/>
      <c r="D33" s="1201"/>
      <c r="E33" s="37" t="s">
        <v>189</v>
      </c>
      <c r="F33" s="33"/>
      <c r="G33" s="32"/>
      <c r="H33" s="32"/>
      <c r="I33" s="32"/>
      <c r="J33" s="32"/>
      <c r="K33" s="32"/>
      <c r="L33" s="32"/>
      <c r="M33" s="32"/>
      <c r="N33" s="32"/>
      <c r="O33" s="32"/>
      <c r="P33" s="32"/>
      <c r="Q33" s="34"/>
      <c r="R33" s="65">
        <f>SUM(F33:Q33)</f>
        <v>0</v>
      </c>
      <c r="S33" s="346" t="e">
        <f>R33/R27</f>
        <v>#DIV/0!</v>
      </c>
      <c r="T33" s="1185"/>
      <c r="U33" s="1299"/>
    </row>
    <row r="34" spans="1:21" s="2" customFormat="1" x14ac:dyDescent="0.35">
      <c r="A34" s="1198"/>
      <c r="B34" s="1179"/>
      <c r="C34" s="1201"/>
      <c r="D34" s="1201"/>
      <c r="E34" s="36" t="s">
        <v>190</v>
      </c>
      <c r="F34" s="29"/>
      <c r="G34" s="30"/>
      <c r="H34" s="30"/>
      <c r="I34" s="30"/>
      <c r="J34" s="30"/>
      <c r="K34" s="30"/>
      <c r="L34" s="30"/>
      <c r="M34" s="30"/>
      <c r="N34" s="30"/>
      <c r="O34" s="30"/>
      <c r="P34" s="30"/>
      <c r="Q34" s="31"/>
      <c r="R34" s="65"/>
      <c r="S34" s="65"/>
      <c r="T34" s="1185"/>
      <c r="U34" s="1299"/>
    </row>
    <row r="35" spans="1:21" s="2" customFormat="1" ht="15" thickBot="1" x14ac:dyDescent="0.4">
      <c r="A35" s="1199"/>
      <c r="B35" s="1180"/>
      <c r="C35" s="1202"/>
      <c r="D35" s="1202"/>
      <c r="E35" s="64" t="s">
        <v>191</v>
      </c>
      <c r="F35" s="25"/>
      <c r="G35" s="28"/>
      <c r="H35" s="28"/>
      <c r="I35" s="28"/>
      <c r="J35" s="28"/>
      <c r="K35" s="28"/>
      <c r="L35" s="28"/>
      <c r="M35" s="28"/>
      <c r="N35" s="28"/>
      <c r="O35" s="28"/>
      <c r="P35" s="28"/>
      <c r="Q35" s="35"/>
      <c r="R35" s="137"/>
      <c r="S35" s="137"/>
      <c r="T35" s="1186"/>
      <c r="U35" s="1299"/>
    </row>
    <row r="36" spans="1:21" s="2" customFormat="1" ht="15" customHeight="1" x14ac:dyDescent="0.35">
      <c r="A36" s="1198">
        <v>4</v>
      </c>
      <c r="B36" s="1178" t="str">
        <f>IF(VLOOKUP(A:A,'Benefit-People-Indicator Ex'!Z:AE,6,FALSE)=0,"",VLOOKUP(A:A,'Benefit-People-Indicator Ex'!Z:AE,6,FALSE))</f>
        <v>P020301</v>
      </c>
      <c r="C36" s="1200" t="str">
        <f>_xlfn.IFNA(VLOOKUP(B:B,'indicator lists'!L:R,3,FALSE),"")</f>
        <v>All HH members</v>
      </c>
      <c r="D36" s="1200" t="str">
        <f>_xlfn.IFNA(VLOOKUP(A:A,'Benefit-People-Indicator Ex'!P:X,9,FALSE),"")</f>
        <v xml:space="preserve"># of people provided with tools </v>
      </c>
      <c r="E36" s="59" t="s">
        <v>181</v>
      </c>
      <c r="F36" s="60">
        <f>SUM(F37:F40)</f>
        <v>0</v>
      </c>
      <c r="G36" s="61">
        <f>SUM(G37:G40)</f>
        <v>0</v>
      </c>
      <c r="H36" s="61">
        <f t="shared" ref="H36:P36" si="6">SUM(H37:H40)</f>
        <v>0</v>
      </c>
      <c r="I36" s="61">
        <f t="shared" si="6"/>
        <v>0</v>
      </c>
      <c r="J36" s="61">
        <f t="shared" si="6"/>
        <v>0</v>
      </c>
      <c r="K36" s="61">
        <f t="shared" si="6"/>
        <v>0</v>
      </c>
      <c r="L36" s="61">
        <f t="shared" si="6"/>
        <v>0</v>
      </c>
      <c r="M36" s="61">
        <f t="shared" si="6"/>
        <v>0</v>
      </c>
      <c r="N36" s="61">
        <f t="shared" si="6"/>
        <v>0</v>
      </c>
      <c r="O36" s="61">
        <f t="shared" si="6"/>
        <v>0</v>
      </c>
      <c r="P36" s="61">
        <f t="shared" si="6"/>
        <v>0</v>
      </c>
      <c r="Q36" s="61">
        <f>SUM(Q37:Q40)</f>
        <v>0</v>
      </c>
      <c r="R36" s="347">
        <f>SUM(R37:R38)</f>
        <v>0</v>
      </c>
      <c r="S36" s="134"/>
      <c r="T36" s="1184" t="s">
        <v>439</v>
      </c>
      <c r="U36" s="1299"/>
    </row>
    <row r="37" spans="1:21" s="2" customFormat="1" ht="15" customHeight="1" x14ac:dyDescent="0.35">
      <c r="A37" s="1198"/>
      <c r="B37" s="1179"/>
      <c r="C37" s="1201"/>
      <c r="D37" s="1201"/>
      <c r="E37" s="63" t="s">
        <v>182</v>
      </c>
      <c r="F37" s="23"/>
      <c r="G37" s="26"/>
      <c r="H37" s="26"/>
      <c r="I37" s="26"/>
      <c r="J37" s="26"/>
      <c r="K37" s="26"/>
      <c r="L37" s="26"/>
      <c r="M37" s="26"/>
      <c r="N37" s="26"/>
      <c r="O37" s="26"/>
      <c r="P37" s="26"/>
      <c r="Q37" s="16"/>
      <c r="R37" s="344">
        <f>SUM(F37:Q37)</f>
        <v>0</v>
      </c>
      <c r="S37" s="135"/>
      <c r="T37" s="1185"/>
      <c r="U37" s="1299"/>
    </row>
    <row r="38" spans="1:21" s="2" customFormat="1" ht="15" customHeight="1" x14ac:dyDescent="0.35">
      <c r="A38" s="1198"/>
      <c r="B38" s="1179"/>
      <c r="C38" s="1201"/>
      <c r="D38" s="1201"/>
      <c r="E38" s="336" t="s">
        <v>183</v>
      </c>
      <c r="F38" s="337"/>
      <c r="G38" s="338"/>
      <c r="H38" s="338"/>
      <c r="I38" s="338"/>
      <c r="J38" s="338"/>
      <c r="K38" s="338"/>
      <c r="L38" s="338"/>
      <c r="M38" s="338"/>
      <c r="N38" s="338"/>
      <c r="O38" s="338"/>
      <c r="P38" s="338"/>
      <c r="Q38" s="339"/>
      <c r="R38" s="344">
        <f>SUM(F38:Q38)</f>
        <v>0</v>
      </c>
      <c r="S38" s="335"/>
      <c r="T38" s="1185"/>
      <c r="U38" s="1299"/>
    </row>
    <row r="39" spans="1:21" s="2" customFormat="1" x14ac:dyDescent="0.35">
      <c r="A39" s="1198"/>
      <c r="B39" s="1179"/>
      <c r="C39" s="1201"/>
      <c r="D39" s="1201"/>
      <c r="E39" s="36" t="s">
        <v>184</v>
      </c>
      <c r="F39" s="29"/>
      <c r="G39" s="30"/>
      <c r="H39" s="30"/>
      <c r="I39" s="30"/>
      <c r="J39" s="30"/>
      <c r="K39" s="30"/>
      <c r="L39" s="30"/>
      <c r="M39" s="30"/>
      <c r="N39" s="30"/>
      <c r="O39" s="30"/>
      <c r="P39" s="30"/>
      <c r="Q39" s="31"/>
      <c r="R39" s="344"/>
      <c r="S39" s="335"/>
      <c r="T39" s="1185"/>
      <c r="U39" s="1299"/>
    </row>
    <row r="40" spans="1:21" s="2" customFormat="1" ht="15" thickBot="1" x14ac:dyDescent="0.4">
      <c r="A40" s="1198"/>
      <c r="B40" s="1179"/>
      <c r="C40" s="1201"/>
      <c r="D40" s="1201"/>
      <c r="E40" s="340" t="s">
        <v>185</v>
      </c>
      <c r="F40" s="341"/>
      <c r="G40" s="342"/>
      <c r="H40" s="342"/>
      <c r="I40" s="342"/>
      <c r="J40" s="342"/>
      <c r="K40" s="342"/>
      <c r="L40" s="342"/>
      <c r="M40" s="342"/>
      <c r="N40" s="342"/>
      <c r="O40" s="342"/>
      <c r="P40" s="342"/>
      <c r="Q40" s="343"/>
      <c r="R40" s="344"/>
      <c r="S40" s="335"/>
      <c r="T40" s="1185"/>
      <c r="U40" s="1299"/>
    </row>
    <row r="41" spans="1:21" s="2" customFormat="1" ht="15" thickBot="1" x14ac:dyDescent="0.4">
      <c r="A41" s="1198"/>
      <c r="B41" s="1179"/>
      <c r="C41" s="1201"/>
      <c r="D41" s="1201"/>
      <c r="E41" s="1193" t="s">
        <v>175</v>
      </c>
      <c r="F41" s="1194"/>
      <c r="G41" s="1194"/>
      <c r="H41" s="1194"/>
      <c r="I41" s="1194"/>
      <c r="J41" s="1194"/>
      <c r="K41" s="1194"/>
      <c r="L41" s="1194"/>
      <c r="M41" s="1194"/>
      <c r="N41" s="1194"/>
      <c r="O41" s="1194"/>
      <c r="P41" s="1194"/>
      <c r="Q41" s="1194"/>
      <c r="R41" s="348" t="e">
        <f>SUM(R43:R44)/R36</f>
        <v>#DIV/0!</v>
      </c>
      <c r="S41" s="349" t="s">
        <v>186</v>
      </c>
      <c r="T41" s="1185"/>
      <c r="U41" s="1299"/>
    </row>
    <row r="42" spans="1:21" s="2" customFormat="1" x14ac:dyDescent="0.35">
      <c r="A42" s="1198"/>
      <c r="B42" s="1179"/>
      <c r="C42" s="1201"/>
      <c r="D42" s="1201"/>
      <c r="E42" s="62" t="s">
        <v>187</v>
      </c>
      <c r="F42" s="44">
        <f>SUM(F43:F46)</f>
        <v>0</v>
      </c>
      <c r="G42" s="43">
        <f>SUM(G43:G46)</f>
        <v>0</v>
      </c>
      <c r="H42" s="43">
        <f t="shared" ref="H42:Q42" si="7">SUM(H43:H46)</f>
        <v>0</v>
      </c>
      <c r="I42" s="43">
        <f t="shared" si="7"/>
        <v>0</v>
      </c>
      <c r="J42" s="43">
        <f t="shared" si="7"/>
        <v>0</v>
      </c>
      <c r="K42" s="43">
        <f t="shared" si="7"/>
        <v>0</v>
      </c>
      <c r="L42" s="43">
        <f t="shared" si="7"/>
        <v>0</v>
      </c>
      <c r="M42" s="43">
        <f t="shared" si="7"/>
        <v>0</v>
      </c>
      <c r="N42" s="43">
        <f t="shared" si="7"/>
        <v>0</v>
      </c>
      <c r="O42" s="43">
        <f t="shared" si="7"/>
        <v>0</v>
      </c>
      <c r="P42" s="43">
        <f t="shared" si="7"/>
        <v>0</v>
      </c>
      <c r="Q42" s="43">
        <f t="shared" si="7"/>
        <v>0</v>
      </c>
      <c r="R42" s="65"/>
      <c r="S42" s="65"/>
      <c r="T42" s="1185"/>
      <c r="U42" s="1299"/>
    </row>
    <row r="43" spans="1:21" s="2" customFormat="1" x14ac:dyDescent="0.35">
      <c r="A43" s="1198"/>
      <c r="B43" s="1179"/>
      <c r="C43" s="1201"/>
      <c r="D43" s="1201"/>
      <c r="E43" s="63" t="s">
        <v>188</v>
      </c>
      <c r="F43" s="23"/>
      <c r="G43" s="26"/>
      <c r="H43" s="26"/>
      <c r="I43" s="26"/>
      <c r="J43" s="26"/>
      <c r="K43" s="26"/>
      <c r="L43" s="26"/>
      <c r="M43" s="26"/>
      <c r="N43" s="26"/>
      <c r="O43" s="26"/>
      <c r="P43" s="26"/>
      <c r="Q43" s="16"/>
      <c r="R43" s="65">
        <f>SUM(F43:Q43)</f>
        <v>0</v>
      </c>
      <c r="S43" s="346" t="e">
        <f>R43/R37</f>
        <v>#DIV/0!</v>
      </c>
      <c r="T43" s="1185"/>
      <c r="U43" s="1299"/>
    </row>
    <row r="44" spans="1:21" s="2" customFormat="1" x14ac:dyDescent="0.35">
      <c r="A44" s="1198"/>
      <c r="B44" s="1179"/>
      <c r="C44" s="1201"/>
      <c r="D44" s="1201"/>
      <c r="E44" s="37" t="s">
        <v>189</v>
      </c>
      <c r="F44" s="33"/>
      <c r="G44" s="32"/>
      <c r="H44" s="32"/>
      <c r="I44" s="32"/>
      <c r="J44" s="32"/>
      <c r="K44" s="32"/>
      <c r="L44" s="32"/>
      <c r="M44" s="32"/>
      <c r="N44" s="32"/>
      <c r="O44" s="32"/>
      <c r="P44" s="32"/>
      <c r="Q44" s="34"/>
      <c r="R44" s="65">
        <f>SUM(F44:Q44)</f>
        <v>0</v>
      </c>
      <c r="S44" s="346" t="e">
        <f>R44/R38</f>
        <v>#DIV/0!</v>
      </c>
      <c r="T44" s="1185"/>
      <c r="U44" s="1299"/>
    </row>
    <row r="45" spans="1:21" s="2" customFormat="1" x14ac:dyDescent="0.35">
      <c r="A45" s="1198"/>
      <c r="B45" s="1179"/>
      <c r="C45" s="1201"/>
      <c r="D45" s="1201"/>
      <c r="E45" s="36" t="s">
        <v>190</v>
      </c>
      <c r="F45" s="29"/>
      <c r="G45" s="30"/>
      <c r="H45" s="30"/>
      <c r="I45" s="30"/>
      <c r="J45" s="30"/>
      <c r="K45" s="30"/>
      <c r="L45" s="30"/>
      <c r="M45" s="30"/>
      <c r="N45" s="30"/>
      <c r="O45" s="30"/>
      <c r="P45" s="30"/>
      <c r="Q45" s="31"/>
      <c r="R45" s="65"/>
      <c r="S45" s="65"/>
      <c r="T45" s="1185"/>
      <c r="U45" s="1299"/>
    </row>
    <row r="46" spans="1:21" s="2" customFormat="1" ht="15" thickBot="1" x14ac:dyDescent="0.4">
      <c r="A46" s="1199"/>
      <c r="B46" s="1180"/>
      <c r="C46" s="1202"/>
      <c r="D46" s="1202"/>
      <c r="E46" s="64" t="s">
        <v>191</v>
      </c>
      <c r="F46" s="25"/>
      <c r="G46" s="28"/>
      <c r="H46" s="28"/>
      <c r="I46" s="28"/>
      <c r="J46" s="28"/>
      <c r="K46" s="28"/>
      <c r="L46" s="28"/>
      <c r="M46" s="28"/>
      <c r="N46" s="28"/>
      <c r="O46" s="28"/>
      <c r="P46" s="28"/>
      <c r="Q46" s="35"/>
      <c r="R46" s="137"/>
      <c r="S46" s="137"/>
      <c r="T46" s="1186"/>
      <c r="U46" s="1299"/>
    </row>
    <row r="47" spans="1:21" s="2" customFormat="1" ht="15" customHeight="1" x14ac:dyDescent="0.35">
      <c r="A47" s="1198">
        <v>5</v>
      </c>
      <c r="B47" s="1178" t="str">
        <f>IF(VLOOKUP(A:A,'Benefit-People-Indicator Ex'!Z:AE,6,FALSE)=0,"",VLOOKUP(A:A,'Benefit-People-Indicator Ex'!Z:AE,6,FALSE))</f>
        <v>P020304</v>
      </c>
      <c r="C47" s="1200" t="str">
        <f>_xlfn.IFNA(VLOOKUP(B:B,'indicator lists'!L:R,3,FALSE),"")</f>
        <v>Individual, All HH members</v>
      </c>
      <c r="D47" s="1200" t="str">
        <f>_xlfn.IFNA(VLOOKUP(A:A,'Benefit-People-Indicator Ex'!P:X,9,FALSE),"")</f>
        <v xml:space="preserve"># of people provided with improved "seed packages" </v>
      </c>
      <c r="E47" s="59" t="s">
        <v>181</v>
      </c>
      <c r="F47" s="60">
        <f>SUM(F48:F51)</f>
        <v>0</v>
      </c>
      <c r="G47" s="61">
        <f>SUM(G48:G51)</f>
        <v>0</v>
      </c>
      <c r="H47" s="61">
        <f t="shared" ref="H47:P47" si="8">SUM(H48:H51)</f>
        <v>0</v>
      </c>
      <c r="I47" s="61">
        <f t="shared" si="8"/>
        <v>0</v>
      </c>
      <c r="J47" s="61">
        <f t="shared" si="8"/>
        <v>0</v>
      </c>
      <c r="K47" s="61">
        <f t="shared" si="8"/>
        <v>0</v>
      </c>
      <c r="L47" s="61">
        <f t="shared" si="8"/>
        <v>0</v>
      </c>
      <c r="M47" s="61">
        <f t="shared" si="8"/>
        <v>0</v>
      </c>
      <c r="N47" s="61">
        <f t="shared" si="8"/>
        <v>0</v>
      </c>
      <c r="O47" s="61">
        <f t="shared" si="8"/>
        <v>0</v>
      </c>
      <c r="P47" s="61">
        <f t="shared" si="8"/>
        <v>0</v>
      </c>
      <c r="Q47" s="61">
        <f>SUM(Q48:Q51)</f>
        <v>0</v>
      </c>
      <c r="R47" s="347">
        <f>SUM(R48:R49)</f>
        <v>0</v>
      </c>
      <c r="S47" s="134"/>
      <c r="T47" s="1184" t="s">
        <v>439</v>
      </c>
      <c r="U47" s="1299"/>
    </row>
    <row r="48" spans="1:21" s="2" customFormat="1" ht="15" customHeight="1" x14ac:dyDescent="0.35">
      <c r="A48" s="1198"/>
      <c r="B48" s="1179"/>
      <c r="C48" s="1201"/>
      <c r="D48" s="1201"/>
      <c r="E48" s="63" t="s">
        <v>182</v>
      </c>
      <c r="F48" s="23"/>
      <c r="G48" s="26"/>
      <c r="H48" s="26"/>
      <c r="I48" s="26"/>
      <c r="J48" s="26"/>
      <c r="K48" s="26"/>
      <c r="L48" s="26"/>
      <c r="M48" s="26"/>
      <c r="N48" s="26"/>
      <c r="O48" s="26"/>
      <c r="P48" s="26"/>
      <c r="Q48" s="16"/>
      <c r="R48" s="344">
        <f>SUM(F48:Q48)</f>
        <v>0</v>
      </c>
      <c r="S48" s="135"/>
      <c r="T48" s="1185"/>
      <c r="U48" s="1299"/>
    </row>
    <row r="49" spans="1:21" s="2" customFormat="1" ht="15" customHeight="1" x14ac:dyDescent="0.35">
      <c r="A49" s="1198"/>
      <c r="B49" s="1179"/>
      <c r="C49" s="1201"/>
      <c r="D49" s="1201"/>
      <c r="E49" s="336" t="s">
        <v>183</v>
      </c>
      <c r="F49" s="337"/>
      <c r="G49" s="338"/>
      <c r="H49" s="338"/>
      <c r="I49" s="338"/>
      <c r="J49" s="338"/>
      <c r="K49" s="338"/>
      <c r="L49" s="338"/>
      <c r="M49" s="338"/>
      <c r="N49" s="338"/>
      <c r="O49" s="338"/>
      <c r="P49" s="338"/>
      <c r="Q49" s="339"/>
      <c r="R49" s="344">
        <f>SUM(F49:Q49)</f>
        <v>0</v>
      </c>
      <c r="S49" s="335"/>
      <c r="T49" s="1185"/>
      <c r="U49" s="1299"/>
    </row>
    <row r="50" spans="1:21" s="2" customFormat="1" x14ac:dyDescent="0.35">
      <c r="A50" s="1198"/>
      <c r="B50" s="1179"/>
      <c r="C50" s="1201"/>
      <c r="D50" s="1201"/>
      <c r="E50" s="36" t="s">
        <v>184</v>
      </c>
      <c r="F50" s="29"/>
      <c r="G50" s="30"/>
      <c r="H50" s="30"/>
      <c r="I50" s="30"/>
      <c r="J50" s="30"/>
      <c r="K50" s="30"/>
      <c r="L50" s="30"/>
      <c r="M50" s="30"/>
      <c r="N50" s="30"/>
      <c r="O50" s="30"/>
      <c r="P50" s="30"/>
      <c r="Q50" s="31"/>
      <c r="R50" s="344"/>
      <c r="S50" s="335"/>
      <c r="T50" s="1185"/>
      <c r="U50" s="1299"/>
    </row>
    <row r="51" spans="1:21" s="2" customFormat="1" ht="15" thickBot="1" x14ac:dyDescent="0.4">
      <c r="A51" s="1198"/>
      <c r="B51" s="1179"/>
      <c r="C51" s="1201"/>
      <c r="D51" s="1201"/>
      <c r="E51" s="340" t="s">
        <v>185</v>
      </c>
      <c r="F51" s="341"/>
      <c r="G51" s="342"/>
      <c r="H51" s="342"/>
      <c r="I51" s="342"/>
      <c r="J51" s="342"/>
      <c r="K51" s="342"/>
      <c r="L51" s="342"/>
      <c r="M51" s="342"/>
      <c r="N51" s="342"/>
      <c r="O51" s="342"/>
      <c r="P51" s="342"/>
      <c r="Q51" s="343"/>
      <c r="R51" s="344"/>
      <c r="S51" s="335"/>
      <c r="T51" s="1185"/>
      <c r="U51" s="1299"/>
    </row>
    <row r="52" spans="1:21" s="2" customFormat="1" ht="15" thickBot="1" x14ac:dyDescent="0.4">
      <c r="A52" s="1198"/>
      <c r="B52" s="1179"/>
      <c r="C52" s="1201"/>
      <c r="D52" s="1201"/>
      <c r="E52" s="1193" t="s">
        <v>175</v>
      </c>
      <c r="F52" s="1194"/>
      <c r="G52" s="1194"/>
      <c r="H52" s="1194"/>
      <c r="I52" s="1194"/>
      <c r="J52" s="1194"/>
      <c r="K52" s="1194"/>
      <c r="L52" s="1194"/>
      <c r="M52" s="1194"/>
      <c r="N52" s="1194"/>
      <c r="O52" s="1194"/>
      <c r="P52" s="1194"/>
      <c r="Q52" s="1194"/>
      <c r="R52" s="348" t="e">
        <f>SUM(R54:R55)/R47</f>
        <v>#DIV/0!</v>
      </c>
      <c r="S52" s="349" t="s">
        <v>186</v>
      </c>
      <c r="T52" s="1185"/>
      <c r="U52" s="1299"/>
    </row>
    <row r="53" spans="1:21" s="2" customFormat="1" x14ac:dyDescent="0.35">
      <c r="A53" s="1198"/>
      <c r="B53" s="1179"/>
      <c r="C53" s="1201"/>
      <c r="D53" s="1201"/>
      <c r="E53" s="62" t="s">
        <v>187</v>
      </c>
      <c r="F53" s="44">
        <f>SUM(F54:F57)</f>
        <v>0</v>
      </c>
      <c r="G53" s="43">
        <f>SUM(G54:G57)</f>
        <v>0</v>
      </c>
      <c r="H53" s="43">
        <f t="shared" ref="H53:Q53" si="9">SUM(H54:H57)</f>
        <v>0</v>
      </c>
      <c r="I53" s="43">
        <f t="shared" si="9"/>
        <v>0</v>
      </c>
      <c r="J53" s="43">
        <f t="shared" si="9"/>
        <v>0</v>
      </c>
      <c r="K53" s="43">
        <f t="shared" si="9"/>
        <v>0</v>
      </c>
      <c r="L53" s="43">
        <f t="shared" si="9"/>
        <v>0</v>
      </c>
      <c r="M53" s="43">
        <f t="shared" si="9"/>
        <v>0</v>
      </c>
      <c r="N53" s="43">
        <f t="shared" si="9"/>
        <v>0</v>
      </c>
      <c r="O53" s="43">
        <f t="shared" si="9"/>
        <v>0</v>
      </c>
      <c r="P53" s="43">
        <f t="shared" si="9"/>
        <v>0</v>
      </c>
      <c r="Q53" s="43">
        <f t="shared" si="9"/>
        <v>0</v>
      </c>
      <c r="R53" s="65"/>
      <c r="S53" s="65"/>
      <c r="T53" s="1185"/>
      <c r="U53" s="1299"/>
    </row>
    <row r="54" spans="1:21" s="2" customFormat="1" x14ac:dyDescent="0.35">
      <c r="A54" s="1198"/>
      <c r="B54" s="1179"/>
      <c r="C54" s="1201"/>
      <c r="D54" s="1201"/>
      <c r="E54" s="63" t="s">
        <v>188</v>
      </c>
      <c r="F54" s="23"/>
      <c r="G54" s="26"/>
      <c r="H54" s="26"/>
      <c r="I54" s="26"/>
      <c r="J54" s="26"/>
      <c r="K54" s="26"/>
      <c r="L54" s="26"/>
      <c r="M54" s="26"/>
      <c r="N54" s="26"/>
      <c r="O54" s="26"/>
      <c r="P54" s="26"/>
      <c r="Q54" s="16"/>
      <c r="R54" s="65">
        <f>SUM(F54:Q54)</f>
        <v>0</v>
      </c>
      <c r="S54" s="346" t="e">
        <f>R54/R48</f>
        <v>#DIV/0!</v>
      </c>
      <c r="T54" s="1185"/>
      <c r="U54" s="1299"/>
    </row>
    <row r="55" spans="1:21" s="2" customFormat="1" x14ac:dyDescent="0.35">
      <c r="A55" s="1198"/>
      <c r="B55" s="1179"/>
      <c r="C55" s="1201"/>
      <c r="D55" s="1201"/>
      <c r="E55" s="37" t="s">
        <v>189</v>
      </c>
      <c r="F55" s="33"/>
      <c r="G55" s="32"/>
      <c r="H55" s="32"/>
      <c r="I55" s="32"/>
      <c r="J55" s="32"/>
      <c r="K55" s="32"/>
      <c r="L55" s="32"/>
      <c r="M55" s="32"/>
      <c r="N55" s="32"/>
      <c r="O55" s="32"/>
      <c r="P55" s="32"/>
      <c r="Q55" s="34"/>
      <c r="R55" s="65">
        <f>SUM(F55:Q55)</f>
        <v>0</v>
      </c>
      <c r="S55" s="346" t="e">
        <f>R55/R49</f>
        <v>#DIV/0!</v>
      </c>
      <c r="T55" s="1185"/>
      <c r="U55" s="1299"/>
    </row>
    <row r="56" spans="1:21" s="2" customFormat="1" x14ac:dyDescent="0.35">
      <c r="A56" s="1198"/>
      <c r="B56" s="1179"/>
      <c r="C56" s="1201"/>
      <c r="D56" s="1201"/>
      <c r="E56" s="36" t="s">
        <v>190</v>
      </c>
      <c r="F56" s="29"/>
      <c r="G56" s="30"/>
      <c r="H56" s="30"/>
      <c r="I56" s="30"/>
      <c r="J56" s="30"/>
      <c r="K56" s="30"/>
      <c r="L56" s="30"/>
      <c r="M56" s="30"/>
      <c r="N56" s="30"/>
      <c r="O56" s="30"/>
      <c r="P56" s="30"/>
      <c r="Q56" s="31"/>
      <c r="R56" s="65"/>
      <c r="S56" s="65"/>
      <c r="T56" s="1185"/>
      <c r="U56" s="1299"/>
    </row>
    <row r="57" spans="1:21" s="2" customFormat="1" ht="15" thickBot="1" x14ac:dyDescent="0.4">
      <c r="A57" s="1199"/>
      <c r="B57" s="1180"/>
      <c r="C57" s="1202"/>
      <c r="D57" s="1202"/>
      <c r="E57" s="64" t="s">
        <v>191</v>
      </c>
      <c r="F57" s="25"/>
      <c r="G57" s="28"/>
      <c r="H57" s="28"/>
      <c r="I57" s="28"/>
      <c r="J57" s="28"/>
      <c r="K57" s="28"/>
      <c r="L57" s="28"/>
      <c r="M57" s="28"/>
      <c r="N57" s="28"/>
      <c r="O57" s="28"/>
      <c r="P57" s="28"/>
      <c r="Q57" s="35"/>
      <c r="R57" s="137"/>
      <c r="S57" s="137"/>
      <c r="T57" s="1186"/>
      <c r="U57" s="1299"/>
    </row>
    <row r="58" spans="1:21" s="2" customFormat="1" ht="15" customHeight="1" x14ac:dyDescent="0.35">
      <c r="A58" s="1198">
        <v>6</v>
      </c>
      <c r="B58" s="1178" t="str">
        <f>IF(VLOOKUP(A:A,'Benefit-People-Indicator Ex'!Z:AE,6,FALSE)=0,"",VLOOKUP(A:A,'Benefit-People-Indicator Ex'!Z:AE,6,FALSE))</f>
        <v>P020303</v>
      </c>
      <c r="C58" s="1200" t="str">
        <f>_xlfn.IFNA(VLOOKUP(B:B,'indicator lists'!L:R,3,FALSE),"")</f>
        <v>Individual, All HH members</v>
      </c>
      <c r="D58" s="1200" t="str">
        <f>_xlfn.IFNA(VLOOKUP(A:A,'Benefit-People-Indicator Ex'!P:X,9,FALSE),"")</f>
        <v xml:space="preserve"># of people provided with trees/saplings/seedlings </v>
      </c>
      <c r="E58" s="59" t="s">
        <v>181</v>
      </c>
      <c r="F58" s="60">
        <f>SUM(F59:F62)</f>
        <v>0</v>
      </c>
      <c r="G58" s="61">
        <f>SUM(G59:G62)</f>
        <v>0</v>
      </c>
      <c r="H58" s="61">
        <f t="shared" ref="H58:P58" si="10">SUM(H59:H62)</f>
        <v>0</v>
      </c>
      <c r="I58" s="61">
        <f t="shared" si="10"/>
        <v>0</v>
      </c>
      <c r="J58" s="61">
        <f t="shared" si="10"/>
        <v>0</v>
      </c>
      <c r="K58" s="61">
        <f t="shared" si="10"/>
        <v>0</v>
      </c>
      <c r="L58" s="61">
        <f t="shared" si="10"/>
        <v>0</v>
      </c>
      <c r="M58" s="61">
        <f t="shared" si="10"/>
        <v>0</v>
      </c>
      <c r="N58" s="61">
        <f t="shared" si="10"/>
        <v>0</v>
      </c>
      <c r="O58" s="61">
        <f t="shared" si="10"/>
        <v>0</v>
      </c>
      <c r="P58" s="61">
        <f t="shared" si="10"/>
        <v>0</v>
      </c>
      <c r="Q58" s="61">
        <f>SUM(Q59:Q62)</f>
        <v>0</v>
      </c>
      <c r="R58" s="347">
        <f>SUM(R59:R60)</f>
        <v>0</v>
      </c>
      <c r="S58" s="134"/>
      <c r="T58" s="1184" t="s">
        <v>429</v>
      </c>
      <c r="U58" s="1299"/>
    </row>
    <row r="59" spans="1:21" s="2" customFormat="1" ht="15" customHeight="1" x14ac:dyDescent="0.35">
      <c r="A59" s="1198"/>
      <c r="B59" s="1179"/>
      <c r="C59" s="1201"/>
      <c r="D59" s="1201"/>
      <c r="E59" s="63" t="s">
        <v>182</v>
      </c>
      <c r="F59" s="23"/>
      <c r="G59" s="26"/>
      <c r="H59" s="26"/>
      <c r="I59" s="26"/>
      <c r="J59" s="26"/>
      <c r="K59" s="26"/>
      <c r="L59" s="26"/>
      <c r="M59" s="26"/>
      <c r="N59" s="26"/>
      <c r="O59" s="26"/>
      <c r="P59" s="26"/>
      <c r="Q59" s="16"/>
      <c r="R59" s="344">
        <f>SUM(F59:Q59)</f>
        <v>0</v>
      </c>
      <c r="S59" s="135"/>
      <c r="T59" s="1185"/>
      <c r="U59" s="1299"/>
    </row>
    <row r="60" spans="1:21" s="2" customFormat="1" ht="15" customHeight="1" x14ac:dyDescent="0.35">
      <c r="A60" s="1198"/>
      <c r="B60" s="1179"/>
      <c r="C60" s="1201"/>
      <c r="D60" s="1201"/>
      <c r="E60" s="336" t="s">
        <v>183</v>
      </c>
      <c r="F60" s="337"/>
      <c r="G60" s="338"/>
      <c r="H60" s="338"/>
      <c r="I60" s="338"/>
      <c r="J60" s="338"/>
      <c r="K60" s="338"/>
      <c r="L60" s="338"/>
      <c r="M60" s="338"/>
      <c r="N60" s="338"/>
      <c r="O60" s="338"/>
      <c r="P60" s="338"/>
      <c r="Q60" s="339"/>
      <c r="R60" s="344">
        <f>SUM(F60:Q60)</f>
        <v>0</v>
      </c>
      <c r="S60" s="335"/>
      <c r="T60" s="1185"/>
      <c r="U60" s="1299"/>
    </row>
    <row r="61" spans="1:21" s="2" customFormat="1" x14ac:dyDescent="0.35">
      <c r="A61" s="1198"/>
      <c r="B61" s="1179"/>
      <c r="C61" s="1201"/>
      <c r="D61" s="1201"/>
      <c r="E61" s="36" t="s">
        <v>184</v>
      </c>
      <c r="F61" s="29"/>
      <c r="G61" s="30"/>
      <c r="H61" s="30"/>
      <c r="I61" s="30"/>
      <c r="J61" s="30"/>
      <c r="K61" s="30"/>
      <c r="L61" s="30"/>
      <c r="M61" s="30"/>
      <c r="N61" s="30"/>
      <c r="O61" s="30"/>
      <c r="P61" s="30"/>
      <c r="Q61" s="31"/>
      <c r="R61" s="344"/>
      <c r="S61" s="335"/>
      <c r="T61" s="1185"/>
      <c r="U61" s="1299"/>
    </row>
    <row r="62" spans="1:21" s="2" customFormat="1" ht="15" thickBot="1" x14ac:dyDescent="0.4">
      <c r="A62" s="1198"/>
      <c r="B62" s="1179"/>
      <c r="C62" s="1201"/>
      <c r="D62" s="1201"/>
      <c r="E62" s="340" t="s">
        <v>185</v>
      </c>
      <c r="F62" s="341"/>
      <c r="G62" s="342"/>
      <c r="H62" s="342"/>
      <c r="I62" s="342"/>
      <c r="J62" s="342"/>
      <c r="K62" s="342"/>
      <c r="L62" s="342"/>
      <c r="M62" s="342"/>
      <c r="N62" s="342"/>
      <c r="O62" s="342"/>
      <c r="P62" s="342"/>
      <c r="Q62" s="343"/>
      <c r="R62" s="344"/>
      <c r="S62" s="335"/>
      <c r="T62" s="1185"/>
      <c r="U62" s="1299"/>
    </row>
    <row r="63" spans="1:21" s="2" customFormat="1" ht="15" thickBot="1" x14ac:dyDescent="0.4">
      <c r="A63" s="1198"/>
      <c r="B63" s="1179"/>
      <c r="C63" s="1201"/>
      <c r="D63" s="1201"/>
      <c r="E63" s="1193" t="s">
        <v>175</v>
      </c>
      <c r="F63" s="1194"/>
      <c r="G63" s="1194"/>
      <c r="H63" s="1194"/>
      <c r="I63" s="1194"/>
      <c r="J63" s="1194"/>
      <c r="K63" s="1194"/>
      <c r="L63" s="1194"/>
      <c r="M63" s="1194"/>
      <c r="N63" s="1194"/>
      <c r="O63" s="1194"/>
      <c r="P63" s="1194"/>
      <c r="Q63" s="1194"/>
      <c r="R63" s="348" t="e">
        <f>SUM(R65:R66)/R58</f>
        <v>#DIV/0!</v>
      </c>
      <c r="S63" s="349" t="s">
        <v>186</v>
      </c>
      <c r="T63" s="1185"/>
      <c r="U63" s="1299"/>
    </row>
    <row r="64" spans="1:21" s="2" customFormat="1" x14ac:dyDescent="0.35">
      <c r="A64" s="1198"/>
      <c r="B64" s="1179"/>
      <c r="C64" s="1201"/>
      <c r="D64" s="1201"/>
      <c r="E64" s="62" t="s">
        <v>187</v>
      </c>
      <c r="F64" s="44">
        <f>SUM(F65:F68)</f>
        <v>0</v>
      </c>
      <c r="G64" s="43">
        <f>SUM(G65:G68)</f>
        <v>0</v>
      </c>
      <c r="H64" s="43">
        <f t="shared" ref="H64:Q64" si="11">SUM(H65:H68)</f>
        <v>0</v>
      </c>
      <c r="I64" s="43">
        <f t="shared" si="11"/>
        <v>0</v>
      </c>
      <c r="J64" s="43">
        <f t="shared" si="11"/>
        <v>0</v>
      </c>
      <c r="K64" s="43">
        <f t="shared" si="11"/>
        <v>0</v>
      </c>
      <c r="L64" s="43">
        <f t="shared" si="11"/>
        <v>0</v>
      </c>
      <c r="M64" s="43">
        <f t="shared" si="11"/>
        <v>0</v>
      </c>
      <c r="N64" s="43">
        <f t="shared" si="11"/>
        <v>0</v>
      </c>
      <c r="O64" s="43">
        <f t="shared" si="11"/>
        <v>0</v>
      </c>
      <c r="P64" s="43">
        <f t="shared" si="11"/>
        <v>0</v>
      </c>
      <c r="Q64" s="43">
        <f t="shared" si="11"/>
        <v>0</v>
      </c>
      <c r="R64" s="65"/>
      <c r="S64" s="65"/>
      <c r="T64" s="1185"/>
      <c r="U64" s="1299"/>
    </row>
    <row r="65" spans="1:21" s="2" customFormat="1" x14ac:dyDescent="0.35">
      <c r="A65" s="1198"/>
      <c r="B65" s="1179"/>
      <c r="C65" s="1201"/>
      <c r="D65" s="1201"/>
      <c r="E65" s="63" t="s">
        <v>188</v>
      </c>
      <c r="F65" s="23"/>
      <c r="G65" s="26"/>
      <c r="H65" s="26"/>
      <c r="I65" s="26"/>
      <c r="J65" s="26"/>
      <c r="K65" s="26"/>
      <c r="L65" s="26"/>
      <c r="M65" s="26"/>
      <c r="N65" s="26"/>
      <c r="O65" s="26"/>
      <c r="P65" s="26"/>
      <c r="Q65" s="16"/>
      <c r="R65" s="65">
        <f>SUM(F65:Q65)</f>
        <v>0</v>
      </c>
      <c r="S65" s="346" t="e">
        <f>R65/R59</f>
        <v>#DIV/0!</v>
      </c>
      <c r="T65" s="1185"/>
      <c r="U65" s="1299"/>
    </row>
    <row r="66" spans="1:21" s="2" customFormat="1" x14ac:dyDescent="0.35">
      <c r="A66" s="1198"/>
      <c r="B66" s="1179"/>
      <c r="C66" s="1201"/>
      <c r="D66" s="1201"/>
      <c r="E66" s="37" t="s">
        <v>189</v>
      </c>
      <c r="F66" s="33"/>
      <c r="G66" s="32"/>
      <c r="H66" s="32"/>
      <c r="I66" s="32"/>
      <c r="J66" s="32"/>
      <c r="K66" s="32"/>
      <c r="L66" s="32"/>
      <c r="M66" s="32"/>
      <c r="N66" s="32"/>
      <c r="O66" s="32"/>
      <c r="P66" s="32"/>
      <c r="Q66" s="34"/>
      <c r="R66" s="65">
        <f>SUM(F66:Q66)</f>
        <v>0</v>
      </c>
      <c r="S66" s="346" t="e">
        <f>R66/R60</f>
        <v>#DIV/0!</v>
      </c>
      <c r="T66" s="1185"/>
      <c r="U66" s="1299"/>
    </row>
    <row r="67" spans="1:21" s="2" customFormat="1" x14ac:dyDescent="0.35">
      <c r="A67" s="1198"/>
      <c r="B67" s="1179"/>
      <c r="C67" s="1201"/>
      <c r="D67" s="1201"/>
      <c r="E67" s="36" t="s">
        <v>190</v>
      </c>
      <c r="F67" s="29"/>
      <c r="G67" s="30"/>
      <c r="H67" s="30"/>
      <c r="I67" s="30"/>
      <c r="J67" s="30"/>
      <c r="K67" s="30"/>
      <c r="L67" s="30"/>
      <c r="M67" s="30"/>
      <c r="N67" s="30"/>
      <c r="O67" s="30"/>
      <c r="P67" s="30"/>
      <c r="Q67" s="31"/>
      <c r="R67" s="65"/>
      <c r="S67" s="65"/>
      <c r="T67" s="1185"/>
      <c r="U67" s="1299"/>
    </row>
    <row r="68" spans="1:21" s="2" customFormat="1" ht="15" thickBot="1" x14ac:dyDescent="0.4">
      <c r="A68" s="1199"/>
      <c r="B68" s="1180"/>
      <c r="C68" s="1202"/>
      <c r="D68" s="1202"/>
      <c r="E68" s="64" t="s">
        <v>191</v>
      </c>
      <c r="F68" s="25"/>
      <c r="G68" s="28"/>
      <c r="H68" s="28"/>
      <c r="I68" s="28"/>
      <c r="J68" s="28"/>
      <c r="K68" s="28"/>
      <c r="L68" s="28"/>
      <c r="M68" s="28"/>
      <c r="N68" s="28"/>
      <c r="O68" s="28"/>
      <c r="P68" s="28"/>
      <c r="Q68" s="35"/>
      <c r="R68" s="137"/>
      <c r="S68" s="137"/>
      <c r="T68" s="1186"/>
      <c r="U68" s="1317"/>
    </row>
    <row r="69" spans="1:21" s="2" customFormat="1" ht="15" customHeight="1" x14ac:dyDescent="0.35">
      <c r="A69" s="1198">
        <v>7</v>
      </c>
      <c r="B69" s="1178" t="str">
        <f>IF(VLOOKUP(A:A,'Benefit-People-Indicator Ex'!Z:AE,6,FALSE)=0,"",VLOOKUP(A:A,'Benefit-People-Indicator Ex'!Z:AE,6,FALSE))</f>
        <v>P010407</v>
      </c>
      <c r="C69" s="1200" t="str">
        <f>_xlfn.IFNA(VLOOKUP(B:B,'indicator lists'!L:R,3,FALSE),"")</f>
        <v/>
      </c>
      <c r="D69" s="1200" t="str">
        <f>_xlfn.IFNA(VLOOKUP(A:A,'Benefit-People-Indicator Ex'!P:X,9,FALSE),"")</f>
        <v/>
      </c>
      <c r="E69" s="59" t="s">
        <v>181</v>
      </c>
      <c r="F69" s="60">
        <f>SUM(F70:F73)</f>
        <v>0</v>
      </c>
      <c r="G69" s="61">
        <f>SUM(G70:G73)</f>
        <v>0</v>
      </c>
      <c r="H69" s="61">
        <f t="shared" ref="H69:P69" si="12">SUM(H70:H73)</f>
        <v>0</v>
      </c>
      <c r="I69" s="61">
        <f t="shared" si="12"/>
        <v>0</v>
      </c>
      <c r="J69" s="61">
        <f t="shared" si="12"/>
        <v>0</v>
      </c>
      <c r="K69" s="61">
        <f t="shared" si="12"/>
        <v>0</v>
      </c>
      <c r="L69" s="61">
        <f t="shared" si="12"/>
        <v>0</v>
      </c>
      <c r="M69" s="61">
        <f t="shared" si="12"/>
        <v>0</v>
      </c>
      <c r="N69" s="61">
        <f t="shared" si="12"/>
        <v>0</v>
      </c>
      <c r="O69" s="61">
        <f t="shared" si="12"/>
        <v>0</v>
      </c>
      <c r="P69" s="61">
        <f t="shared" si="12"/>
        <v>0</v>
      </c>
      <c r="Q69" s="61">
        <f>SUM(Q70:Q73)</f>
        <v>0</v>
      </c>
      <c r="R69" s="347">
        <f>SUM(R70:R71)</f>
        <v>0</v>
      </c>
      <c r="S69" s="134"/>
      <c r="T69" s="1184" t="s">
        <v>439</v>
      </c>
      <c r="U69" s="1316" t="s">
        <v>437</v>
      </c>
    </row>
    <row r="70" spans="1:21" s="2" customFormat="1" ht="15" customHeight="1" x14ac:dyDescent="0.35">
      <c r="A70" s="1198"/>
      <c r="B70" s="1179"/>
      <c r="C70" s="1201"/>
      <c r="D70" s="1201"/>
      <c r="E70" s="63" t="s">
        <v>182</v>
      </c>
      <c r="F70" s="23"/>
      <c r="G70" s="26"/>
      <c r="H70" s="26"/>
      <c r="I70" s="26"/>
      <c r="J70" s="26"/>
      <c r="K70" s="26"/>
      <c r="L70" s="26"/>
      <c r="M70" s="26"/>
      <c r="N70" s="26"/>
      <c r="O70" s="26"/>
      <c r="P70" s="26"/>
      <c r="Q70" s="16"/>
      <c r="R70" s="344">
        <f>SUM(F70:Q70)</f>
        <v>0</v>
      </c>
      <c r="S70" s="135"/>
      <c r="T70" s="1185"/>
      <c r="U70" s="1299"/>
    </row>
    <row r="71" spans="1:21" s="2" customFormat="1" ht="15" customHeight="1" x14ac:dyDescent="0.35">
      <c r="A71" s="1198"/>
      <c r="B71" s="1179"/>
      <c r="C71" s="1201"/>
      <c r="D71" s="1201"/>
      <c r="E71" s="336" t="s">
        <v>183</v>
      </c>
      <c r="F71" s="337"/>
      <c r="G71" s="338"/>
      <c r="H71" s="338"/>
      <c r="I71" s="338"/>
      <c r="J71" s="338"/>
      <c r="K71" s="338"/>
      <c r="L71" s="338"/>
      <c r="M71" s="338"/>
      <c r="N71" s="338"/>
      <c r="O71" s="338"/>
      <c r="P71" s="338"/>
      <c r="Q71" s="339"/>
      <c r="R71" s="344">
        <f>SUM(F71:Q71)</f>
        <v>0</v>
      </c>
      <c r="S71" s="335"/>
      <c r="T71" s="1185"/>
      <c r="U71" s="1299"/>
    </row>
    <row r="72" spans="1:21" s="2" customFormat="1" x14ac:dyDescent="0.35">
      <c r="A72" s="1198"/>
      <c r="B72" s="1179"/>
      <c r="C72" s="1201"/>
      <c r="D72" s="1201"/>
      <c r="E72" s="36" t="s">
        <v>184</v>
      </c>
      <c r="F72" s="29"/>
      <c r="G72" s="30"/>
      <c r="H72" s="30"/>
      <c r="I72" s="30"/>
      <c r="J72" s="30"/>
      <c r="K72" s="30"/>
      <c r="L72" s="30"/>
      <c r="M72" s="30"/>
      <c r="N72" s="30"/>
      <c r="O72" s="30"/>
      <c r="P72" s="30"/>
      <c r="Q72" s="31"/>
      <c r="R72" s="344"/>
      <c r="S72" s="335"/>
      <c r="T72" s="1185"/>
      <c r="U72" s="1299"/>
    </row>
    <row r="73" spans="1:21" s="2" customFormat="1" ht="15" thickBot="1" x14ac:dyDescent="0.4">
      <c r="A73" s="1198"/>
      <c r="B73" s="1179"/>
      <c r="C73" s="1201"/>
      <c r="D73" s="1201"/>
      <c r="E73" s="340" t="s">
        <v>185</v>
      </c>
      <c r="F73" s="341"/>
      <c r="G73" s="342"/>
      <c r="H73" s="342"/>
      <c r="I73" s="342"/>
      <c r="J73" s="342"/>
      <c r="K73" s="342"/>
      <c r="L73" s="342"/>
      <c r="M73" s="342"/>
      <c r="N73" s="342"/>
      <c r="O73" s="342"/>
      <c r="P73" s="342"/>
      <c r="Q73" s="343"/>
      <c r="R73" s="344"/>
      <c r="S73" s="335"/>
      <c r="T73" s="1185"/>
      <c r="U73" s="1299"/>
    </row>
    <row r="74" spans="1:21" s="2" customFormat="1" ht="15" thickBot="1" x14ac:dyDescent="0.4">
      <c r="A74" s="1198"/>
      <c r="B74" s="1179"/>
      <c r="C74" s="1201"/>
      <c r="D74" s="1201"/>
      <c r="E74" s="1193" t="s">
        <v>175</v>
      </c>
      <c r="F74" s="1194"/>
      <c r="G74" s="1194"/>
      <c r="H74" s="1194"/>
      <c r="I74" s="1194"/>
      <c r="J74" s="1194"/>
      <c r="K74" s="1194"/>
      <c r="L74" s="1194"/>
      <c r="M74" s="1194"/>
      <c r="N74" s="1194"/>
      <c r="O74" s="1194"/>
      <c r="P74" s="1194"/>
      <c r="Q74" s="1194"/>
      <c r="R74" s="348" t="e">
        <f>SUM(R76:R77)/R69</f>
        <v>#DIV/0!</v>
      </c>
      <c r="S74" s="349" t="s">
        <v>186</v>
      </c>
      <c r="T74" s="1185"/>
      <c r="U74" s="1299"/>
    </row>
    <row r="75" spans="1:21" s="2" customFormat="1" x14ac:dyDescent="0.35">
      <c r="A75" s="1198"/>
      <c r="B75" s="1179"/>
      <c r="C75" s="1201"/>
      <c r="D75" s="1201"/>
      <c r="E75" s="62" t="s">
        <v>187</v>
      </c>
      <c r="F75" s="44">
        <f>SUM(F76:F79)</f>
        <v>0</v>
      </c>
      <c r="G75" s="43">
        <f>SUM(G76:G79)</f>
        <v>0</v>
      </c>
      <c r="H75" s="43">
        <f t="shared" ref="H75:Q75" si="13">SUM(H76:H79)</f>
        <v>0</v>
      </c>
      <c r="I75" s="43">
        <f t="shared" si="13"/>
        <v>0</v>
      </c>
      <c r="J75" s="43">
        <f t="shared" si="13"/>
        <v>0</v>
      </c>
      <c r="K75" s="43">
        <f t="shared" si="13"/>
        <v>0</v>
      </c>
      <c r="L75" s="43">
        <f t="shared" si="13"/>
        <v>0</v>
      </c>
      <c r="M75" s="43">
        <f t="shared" si="13"/>
        <v>0</v>
      </c>
      <c r="N75" s="43">
        <f t="shared" si="13"/>
        <v>0</v>
      </c>
      <c r="O75" s="43">
        <f t="shared" si="13"/>
        <v>0</v>
      </c>
      <c r="P75" s="43">
        <f t="shared" si="13"/>
        <v>0</v>
      </c>
      <c r="Q75" s="43">
        <f t="shared" si="13"/>
        <v>0</v>
      </c>
      <c r="R75" s="65"/>
      <c r="S75" s="65"/>
      <c r="T75" s="1185"/>
      <c r="U75" s="1299"/>
    </row>
    <row r="76" spans="1:21" s="2" customFormat="1" x14ac:dyDescent="0.35">
      <c r="A76" s="1198"/>
      <c r="B76" s="1179"/>
      <c r="C76" s="1201"/>
      <c r="D76" s="1201"/>
      <c r="E76" s="63" t="s">
        <v>188</v>
      </c>
      <c r="F76" s="23"/>
      <c r="G76" s="26"/>
      <c r="H76" s="26"/>
      <c r="I76" s="26"/>
      <c r="J76" s="26"/>
      <c r="K76" s="26"/>
      <c r="L76" s="26"/>
      <c r="M76" s="26"/>
      <c r="N76" s="26"/>
      <c r="O76" s="26"/>
      <c r="P76" s="26"/>
      <c r="Q76" s="16"/>
      <c r="R76" s="65">
        <f>SUM(F76:Q76)</f>
        <v>0</v>
      </c>
      <c r="S76" s="346" t="e">
        <f>R76/R70</f>
        <v>#DIV/0!</v>
      </c>
      <c r="T76" s="1185"/>
      <c r="U76" s="1299"/>
    </row>
    <row r="77" spans="1:21" s="2" customFormat="1" x14ac:dyDescent="0.35">
      <c r="A77" s="1198"/>
      <c r="B77" s="1179"/>
      <c r="C77" s="1201"/>
      <c r="D77" s="1201"/>
      <c r="E77" s="37" t="s">
        <v>189</v>
      </c>
      <c r="F77" s="33"/>
      <c r="G77" s="32"/>
      <c r="H77" s="32"/>
      <c r="I77" s="32"/>
      <c r="J77" s="32"/>
      <c r="K77" s="32"/>
      <c r="L77" s="32"/>
      <c r="M77" s="32"/>
      <c r="N77" s="32"/>
      <c r="O77" s="32"/>
      <c r="P77" s="32"/>
      <c r="Q77" s="34"/>
      <c r="R77" s="65">
        <f>SUM(F77:Q77)</f>
        <v>0</v>
      </c>
      <c r="S77" s="346" t="e">
        <f>R77/R71</f>
        <v>#DIV/0!</v>
      </c>
      <c r="T77" s="1185"/>
      <c r="U77" s="1299"/>
    </row>
    <row r="78" spans="1:21" s="2" customFormat="1" x14ac:dyDescent="0.35">
      <c r="A78" s="1198"/>
      <c r="B78" s="1179"/>
      <c r="C78" s="1201"/>
      <c r="D78" s="1201"/>
      <c r="E78" s="36" t="s">
        <v>190</v>
      </c>
      <c r="F78" s="29"/>
      <c r="G78" s="30"/>
      <c r="H78" s="30"/>
      <c r="I78" s="30"/>
      <c r="J78" s="30"/>
      <c r="K78" s="30"/>
      <c r="L78" s="30"/>
      <c r="M78" s="30"/>
      <c r="N78" s="30"/>
      <c r="O78" s="30"/>
      <c r="P78" s="30"/>
      <c r="Q78" s="31"/>
      <c r="R78" s="65"/>
      <c r="S78" s="65"/>
      <c r="T78" s="1185"/>
      <c r="U78" s="1299"/>
    </row>
    <row r="79" spans="1:21" s="2" customFormat="1" ht="15" thickBot="1" x14ac:dyDescent="0.4">
      <c r="A79" s="1199"/>
      <c r="B79" s="1180"/>
      <c r="C79" s="1202"/>
      <c r="D79" s="1202"/>
      <c r="E79" s="64" t="s">
        <v>191</v>
      </c>
      <c r="F79" s="25"/>
      <c r="G79" s="28"/>
      <c r="H79" s="28"/>
      <c r="I79" s="28"/>
      <c r="J79" s="28"/>
      <c r="K79" s="28"/>
      <c r="L79" s="28"/>
      <c r="M79" s="28"/>
      <c r="N79" s="28"/>
      <c r="O79" s="28"/>
      <c r="P79" s="28"/>
      <c r="Q79" s="35"/>
      <c r="R79" s="137"/>
      <c r="S79" s="137"/>
      <c r="T79" s="1185"/>
      <c r="U79" s="1299"/>
    </row>
    <row r="80" spans="1:21" s="2" customFormat="1" ht="15" customHeight="1" x14ac:dyDescent="0.35">
      <c r="A80" s="1198">
        <v>8</v>
      </c>
      <c r="B80" s="1178" t="str">
        <f>IF(VLOOKUP(A:A,'Benefit-People-Indicator Ex'!Z:AE,6,FALSE)=0,"",VLOOKUP(A:A,'Benefit-People-Indicator Ex'!Z:AE,6,FALSE))</f>
        <v>P020301</v>
      </c>
      <c r="C80" s="1200" t="str">
        <f>_xlfn.IFNA(VLOOKUP(B:B,'indicator lists'!L:R,3,FALSE),"")</f>
        <v>All HH members</v>
      </c>
      <c r="D80" s="1200" t="str">
        <f>_xlfn.IFNA(VLOOKUP(A:A,'Benefit-People-Indicator Ex'!P:X,9,FALSE),"")</f>
        <v xml:space="preserve"># of people provided with tools </v>
      </c>
      <c r="E80" s="59" t="s">
        <v>181</v>
      </c>
      <c r="F80" s="60">
        <f>SUM(F81:F84)</f>
        <v>0</v>
      </c>
      <c r="G80" s="61">
        <f>SUM(G81:G84)</f>
        <v>0</v>
      </c>
      <c r="H80" s="61">
        <f t="shared" ref="H80:P80" si="14">SUM(H81:H84)</f>
        <v>0</v>
      </c>
      <c r="I80" s="61">
        <f t="shared" si="14"/>
        <v>0</v>
      </c>
      <c r="J80" s="61">
        <f t="shared" si="14"/>
        <v>0</v>
      </c>
      <c r="K80" s="61">
        <f t="shared" si="14"/>
        <v>0</v>
      </c>
      <c r="L80" s="61">
        <f t="shared" si="14"/>
        <v>0</v>
      </c>
      <c r="M80" s="61">
        <f t="shared" si="14"/>
        <v>0</v>
      </c>
      <c r="N80" s="61">
        <f t="shared" si="14"/>
        <v>0</v>
      </c>
      <c r="O80" s="61">
        <f t="shared" si="14"/>
        <v>0</v>
      </c>
      <c r="P80" s="61">
        <f t="shared" si="14"/>
        <v>0</v>
      </c>
      <c r="Q80" s="61">
        <f>SUM(Q81:Q84)</f>
        <v>0</v>
      </c>
      <c r="R80" s="347">
        <f>SUM(R81:R82)</f>
        <v>0</v>
      </c>
      <c r="S80" s="134"/>
      <c r="T80" s="1185"/>
      <c r="U80" s="1299"/>
    </row>
    <row r="81" spans="1:21" s="2" customFormat="1" ht="15" customHeight="1" x14ac:dyDescent="0.35">
      <c r="A81" s="1198"/>
      <c r="B81" s="1179"/>
      <c r="C81" s="1201"/>
      <c r="D81" s="1201"/>
      <c r="E81" s="63" t="s">
        <v>182</v>
      </c>
      <c r="F81" s="23"/>
      <c r="G81" s="26"/>
      <c r="H81" s="26"/>
      <c r="I81" s="26"/>
      <c r="J81" s="26"/>
      <c r="K81" s="26"/>
      <c r="L81" s="26"/>
      <c r="M81" s="26"/>
      <c r="N81" s="26"/>
      <c r="O81" s="26"/>
      <c r="P81" s="26"/>
      <c r="Q81" s="16"/>
      <c r="R81" s="344">
        <f>SUM(F81:Q81)</f>
        <v>0</v>
      </c>
      <c r="S81" s="135"/>
      <c r="T81" s="1185"/>
      <c r="U81" s="1299"/>
    </row>
    <row r="82" spans="1:21" s="2" customFormat="1" ht="15" customHeight="1" x14ac:dyDescent="0.35">
      <c r="A82" s="1198"/>
      <c r="B82" s="1179"/>
      <c r="C82" s="1201"/>
      <c r="D82" s="1201"/>
      <c r="E82" s="336" t="s">
        <v>183</v>
      </c>
      <c r="F82" s="337"/>
      <c r="G82" s="338"/>
      <c r="H82" s="338"/>
      <c r="I82" s="338"/>
      <c r="J82" s="338"/>
      <c r="K82" s="338"/>
      <c r="L82" s="338"/>
      <c r="M82" s="338"/>
      <c r="N82" s="338"/>
      <c r="O82" s="338"/>
      <c r="P82" s="338"/>
      <c r="Q82" s="339"/>
      <c r="R82" s="344">
        <f>SUM(F82:Q82)</f>
        <v>0</v>
      </c>
      <c r="S82" s="335"/>
      <c r="T82" s="1185"/>
      <c r="U82" s="1299"/>
    </row>
    <row r="83" spans="1:21" s="2" customFormat="1" x14ac:dyDescent="0.35">
      <c r="A83" s="1198"/>
      <c r="B83" s="1179"/>
      <c r="C83" s="1201"/>
      <c r="D83" s="1201"/>
      <c r="E83" s="36" t="s">
        <v>184</v>
      </c>
      <c r="F83" s="29"/>
      <c r="G83" s="30"/>
      <c r="H83" s="30"/>
      <c r="I83" s="30"/>
      <c r="J83" s="30"/>
      <c r="K83" s="30"/>
      <c r="L83" s="30"/>
      <c r="M83" s="30"/>
      <c r="N83" s="30"/>
      <c r="O83" s="30"/>
      <c r="P83" s="30"/>
      <c r="Q83" s="31"/>
      <c r="R83" s="344"/>
      <c r="S83" s="335"/>
      <c r="T83" s="1185"/>
      <c r="U83" s="1299"/>
    </row>
    <row r="84" spans="1:21" s="2" customFormat="1" ht="15" thickBot="1" x14ac:dyDescent="0.4">
      <c r="A84" s="1198"/>
      <c r="B84" s="1179"/>
      <c r="C84" s="1201"/>
      <c r="D84" s="1201"/>
      <c r="E84" s="340" t="s">
        <v>185</v>
      </c>
      <c r="F84" s="341"/>
      <c r="G84" s="342"/>
      <c r="H84" s="342"/>
      <c r="I84" s="342"/>
      <c r="J84" s="342"/>
      <c r="K84" s="342"/>
      <c r="L84" s="342"/>
      <c r="M84" s="342"/>
      <c r="N84" s="342"/>
      <c r="O84" s="342"/>
      <c r="P84" s="342"/>
      <c r="Q84" s="343"/>
      <c r="R84" s="344"/>
      <c r="S84" s="335"/>
      <c r="T84" s="1185"/>
      <c r="U84" s="1299"/>
    </row>
    <row r="85" spans="1:21" s="2" customFormat="1" ht="15" thickBot="1" x14ac:dyDescent="0.4">
      <c r="A85" s="1198"/>
      <c r="B85" s="1179"/>
      <c r="C85" s="1201"/>
      <c r="D85" s="1201"/>
      <c r="E85" s="1193" t="s">
        <v>175</v>
      </c>
      <c r="F85" s="1194"/>
      <c r="G85" s="1194"/>
      <c r="H85" s="1194"/>
      <c r="I85" s="1194"/>
      <c r="J85" s="1194"/>
      <c r="K85" s="1194"/>
      <c r="L85" s="1194"/>
      <c r="M85" s="1194"/>
      <c r="N85" s="1194"/>
      <c r="O85" s="1194"/>
      <c r="P85" s="1194"/>
      <c r="Q85" s="1194"/>
      <c r="R85" s="348" t="e">
        <f>SUM(R87:R88)/R80</f>
        <v>#DIV/0!</v>
      </c>
      <c r="S85" s="349" t="s">
        <v>186</v>
      </c>
      <c r="T85" s="1185"/>
      <c r="U85" s="1299"/>
    </row>
    <row r="86" spans="1:21" s="2" customFormat="1" x14ac:dyDescent="0.35">
      <c r="A86" s="1198"/>
      <c r="B86" s="1179"/>
      <c r="C86" s="1201"/>
      <c r="D86" s="1201"/>
      <c r="E86" s="62" t="s">
        <v>187</v>
      </c>
      <c r="F86" s="44">
        <f>SUM(F87:F90)</f>
        <v>0</v>
      </c>
      <c r="G86" s="43">
        <f>SUM(G87:G90)</f>
        <v>0</v>
      </c>
      <c r="H86" s="43">
        <f t="shared" ref="H86:Q86" si="15">SUM(H87:H90)</f>
        <v>0</v>
      </c>
      <c r="I86" s="43">
        <f t="shared" si="15"/>
        <v>0</v>
      </c>
      <c r="J86" s="43">
        <f t="shared" si="15"/>
        <v>0</v>
      </c>
      <c r="K86" s="43">
        <f t="shared" si="15"/>
        <v>0</v>
      </c>
      <c r="L86" s="43">
        <f t="shared" si="15"/>
        <v>0</v>
      </c>
      <c r="M86" s="43">
        <f t="shared" si="15"/>
        <v>0</v>
      </c>
      <c r="N86" s="43">
        <f t="shared" si="15"/>
        <v>0</v>
      </c>
      <c r="O86" s="43">
        <f t="shared" si="15"/>
        <v>0</v>
      </c>
      <c r="P86" s="43">
        <f t="shared" si="15"/>
        <v>0</v>
      </c>
      <c r="Q86" s="43">
        <f t="shared" si="15"/>
        <v>0</v>
      </c>
      <c r="R86" s="65"/>
      <c r="S86" s="65"/>
      <c r="T86" s="1185"/>
      <c r="U86" s="1299"/>
    </row>
    <row r="87" spans="1:21" s="2" customFormat="1" x14ac:dyDescent="0.35">
      <c r="A87" s="1198"/>
      <c r="B87" s="1179"/>
      <c r="C87" s="1201"/>
      <c r="D87" s="1201"/>
      <c r="E87" s="63" t="s">
        <v>188</v>
      </c>
      <c r="F87" s="23"/>
      <c r="G87" s="26"/>
      <c r="H87" s="26"/>
      <c r="I87" s="26"/>
      <c r="J87" s="26"/>
      <c r="K87" s="26"/>
      <c r="L87" s="26"/>
      <c r="M87" s="26"/>
      <c r="N87" s="26"/>
      <c r="O87" s="26"/>
      <c r="P87" s="26"/>
      <c r="Q87" s="16"/>
      <c r="R87" s="65">
        <f>SUM(F87:Q87)</f>
        <v>0</v>
      </c>
      <c r="S87" s="346" t="e">
        <f>R87/R81</f>
        <v>#DIV/0!</v>
      </c>
      <c r="T87" s="1185"/>
      <c r="U87" s="1299"/>
    </row>
    <row r="88" spans="1:21" s="2" customFormat="1" x14ac:dyDescent="0.35">
      <c r="A88" s="1198"/>
      <c r="B88" s="1179"/>
      <c r="C88" s="1201"/>
      <c r="D88" s="1201"/>
      <c r="E88" s="37" t="s">
        <v>189</v>
      </c>
      <c r="F88" s="33"/>
      <c r="G88" s="32"/>
      <c r="H88" s="32"/>
      <c r="I88" s="32"/>
      <c r="J88" s="32"/>
      <c r="K88" s="32"/>
      <c r="L88" s="32"/>
      <c r="M88" s="32"/>
      <c r="N88" s="32"/>
      <c r="O88" s="32"/>
      <c r="P88" s="32"/>
      <c r="Q88" s="34"/>
      <c r="R88" s="65">
        <f>SUM(F88:Q88)</f>
        <v>0</v>
      </c>
      <c r="S88" s="346" t="e">
        <f>R88/R82</f>
        <v>#DIV/0!</v>
      </c>
      <c r="T88" s="1185"/>
      <c r="U88" s="1299"/>
    </row>
    <row r="89" spans="1:21" s="2" customFormat="1" x14ac:dyDescent="0.35">
      <c r="A89" s="1198"/>
      <c r="B89" s="1179"/>
      <c r="C89" s="1201"/>
      <c r="D89" s="1201"/>
      <c r="E89" s="36" t="s">
        <v>190</v>
      </c>
      <c r="F89" s="29"/>
      <c r="G89" s="30"/>
      <c r="H89" s="30"/>
      <c r="I89" s="30"/>
      <c r="J89" s="30"/>
      <c r="K89" s="30"/>
      <c r="L89" s="30"/>
      <c r="M89" s="30"/>
      <c r="N89" s="30"/>
      <c r="O89" s="30"/>
      <c r="P89" s="30"/>
      <c r="Q89" s="31"/>
      <c r="R89" s="65"/>
      <c r="S89" s="65"/>
      <c r="T89" s="1185"/>
      <c r="U89" s="1299"/>
    </row>
    <row r="90" spans="1:21" s="2" customFormat="1" ht="15" thickBot="1" x14ac:dyDescent="0.4">
      <c r="A90" s="1199"/>
      <c r="B90" s="1180"/>
      <c r="C90" s="1202"/>
      <c r="D90" s="1202"/>
      <c r="E90" s="64" t="s">
        <v>191</v>
      </c>
      <c r="F90" s="25"/>
      <c r="G90" s="28"/>
      <c r="H90" s="28"/>
      <c r="I90" s="28"/>
      <c r="J90" s="28"/>
      <c r="K90" s="28"/>
      <c r="L90" s="28"/>
      <c r="M90" s="28"/>
      <c r="N90" s="28"/>
      <c r="O90" s="28"/>
      <c r="P90" s="28"/>
      <c r="Q90" s="35"/>
      <c r="R90" s="137"/>
      <c r="S90" s="137"/>
      <c r="T90" s="1186"/>
      <c r="U90" s="1317"/>
    </row>
    <row r="91" spans="1:21" s="2" customFormat="1" ht="15" customHeight="1" x14ac:dyDescent="0.35">
      <c r="A91" s="1198">
        <v>9</v>
      </c>
      <c r="B91" s="1178" t="str">
        <f>IF(VLOOKUP(A:A,'Benefit-People-Indicator Ex'!Z:AE,6,FALSE)=0,"",VLOOKUP(A:A,'Benefit-People-Indicator Ex'!Z:AE,6,FALSE))</f>
        <v>P010108</v>
      </c>
      <c r="C91" s="1200" t="str">
        <f>_xlfn.IFNA(VLOOKUP(B:B,'indicator lists'!L:R,3,FALSE),"")</f>
        <v>Individual</v>
      </c>
      <c r="D91" s="1200" t="str">
        <f>_xlfn.IFNA(VLOOKUP(A:A,'Benefit-People-Indicator Ex'!P:X,9,FALSE),"")</f>
        <v># of people trained on productive livestock rearing</v>
      </c>
      <c r="E91" s="59" t="s">
        <v>181</v>
      </c>
      <c r="F91" s="60">
        <f>SUM(F92:F95)</f>
        <v>0</v>
      </c>
      <c r="G91" s="61">
        <f>SUM(G92:G95)</f>
        <v>0</v>
      </c>
      <c r="H91" s="61">
        <f t="shared" ref="H91:P91" si="16">SUM(H92:H95)</f>
        <v>0</v>
      </c>
      <c r="I91" s="61">
        <f t="shared" si="16"/>
        <v>0</v>
      </c>
      <c r="J91" s="61">
        <f t="shared" si="16"/>
        <v>0</v>
      </c>
      <c r="K91" s="61">
        <f t="shared" si="16"/>
        <v>0</v>
      </c>
      <c r="L91" s="61">
        <f t="shared" si="16"/>
        <v>0</v>
      </c>
      <c r="M91" s="61">
        <f t="shared" si="16"/>
        <v>0</v>
      </c>
      <c r="N91" s="61">
        <f t="shared" si="16"/>
        <v>0</v>
      </c>
      <c r="O91" s="61">
        <f t="shared" si="16"/>
        <v>0</v>
      </c>
      <c r="P91" s="61">
        <f t="shared" si="16"/>
        <v>0</v>
      </c>
      <c r="Q91" s="61">
        <f>SUM(Q92:Q95)</f>
        <v>0</v>
      </c>
      <c r="R91" s="347">
        <f>SUM(R92:R93)</f>
        <v>0</v>
      </c>
      <c r="S91" s="134"/>
      <c r="T91" s="1184" t="s">
        <v>439</v>
      </c>
      <c r="U91" s="1316" t="s">
        <v>434</v>
      </c>
    </row>
    <row r="92" spans="1:21" s="2" customFormat="1" ht="15" customHeight="1" x14ac:dyDescent="0.35">
      <c r="A92" s="1198"/>
      <c r="B92" s="1179"/>
      <c r="C92" s="1201"/>
      <c r="D92" s="1201"/>
      <c r="E92" s="63" t="s">
        <v>182</v>
      </c>
      <c r="F92" s="23"/>
      <c r="G92" s="26"/>
      <c r="H92" s="26"/>
      <c r="I92" s="26"/>
      <c r="J92" s="26"/>
      <c r="K92" s="26"/>
      <c r="L92" s="26"/>
      <c r="M92" s="26"/>
      <c r="N92" s="26"/>
      <c r="O92" s="26"/>
      <c r="P92" s="26"/>
      <c r="Q92" s="16"/>
      <c r="R92" s="344">
        <f>SUM(F92:Q92)</f>
        <v>0</v>
      </c>
      <c r="S92" s="135"/>
      <c r="T92" s="1185"/>
      <c r="U92" s="1299"/>
    </row>
    <row r="93" spans="1:21" s="2" customFormat="1" ht="15" customHeight="1" x14ac:dyDescent="0.35">
      <c r="A93" s="1198"/>
      <c r="B93" s="1179"/>
      <c r="C93" s="1201"/>
      <c r="D93" s="1201"/>
      <c r="E93" s="336" t="s">
        <v>183</v>
      </c>
      <c r="F93" s="337"/>
      <c r="G93" s="338"/>
      <c r="H93" s="338"/>
      <c r="I93" s="338"/>
      <c r="J93" s="338"/>
      <c r="K93" s="338"/>
      <c r="L93" s="338"/>
      <c r="M93" s="338"/>
      <c r="N93" s="338"/>
      <c r="O93" s="338"/>
      <c r="P93" s="338"/>
      <c r="Q93" s="339"/>
      <c r="R93" s="344">
        <f>SUM(F93:Q93)</f>
        <v>0</v>
      </c>
      <c r="S93" s="335"/>
      <c r="T93" s="1185"/>
      <c r="U93" s="1299"/>
    </row>
    <row r="94" spans="1:21" s="2" customFormat="1" x14ac:dyDescent="0.35">
      <c r="A94" s="1198"/>
      <c r="B94" s="1179"/>
      <c r="C94" s="1201"/>
      <c r="D94" s="1201"/>
      <c r="E94" s="36" t="s">
        <v>184</v>
      </c>
      <c r="F94" s="29"/>
      <c r="G94" s="30"/>
      <c r="H94" s="30"/>
      <c r="I94" s="30"/>
      <c r="J94" s="30"/>
      <c r="K94" s="30"/>
      <c r="L94" s="30"/>
      <c r="M94" s="30"/>
      <c r="N94" s="30"/>
      <c r="O94" s="30"/>
      <c r="P94" s="30"/>
      <c r="Q94" s="31"/>
      <c r="R94" s="344"/>
      <c r="S94" s="335"/>
      <c r="T94" s="1185"/>
      <c r="U94" s="1299"/>
    </row>
    <row r="95" spans="1:21" s="2" customFormat="1" ht="15" thickBot="1" x14ac:dyDescent="0.4">
      <c r="A95" s="1198"/>
      <c r="B95" s="1179"/>
      <c r="C95" s="1201"/>
      <c r="D95" s="1201"/>
      <c r="E95" s="340" t="s">
        <v>185</v>
      </c>
      <c r="F95" s="341"/>
      <c r="G95" s="342"/>
      <c r="H95" s="342"/>
      <c r="I95" s="342"/>
      <c r="J95" s="342"/>
      <c r="K95" s="342"/>
      <c r="L95" s="342"/>
      <c r="M95" s="342"/>
      <c r="N95" s="342"/>
      <c r="O95" s="342"/>
      <c r="P95" s="342"/>
      <c r="Q95" s="343"/>
      <c r="R95" s="344"/>
      <c r="S95" s="335"/>
      <c r="T95" s="1185"/>
      <c r="U95" s="1299"/>
    </row>
    <row r="96" spans="1:21" s="2" customFormat="1" ht="15" thickBot="1" x14ac:dyDescent="0.4">
      <c r="A96" s="1198"/>
      <c r="B96" s="1179"/>
      <c r="C96" s="1201"/>
      <c r="D96" s="1201"/>
      <c r="E96" s="1193" t="s">
        <v>175</v>
      </c>
      <c r="F96" s="1194"/>
      <c r="G96" s="1194"/>
      <c r="H96" s="1194"/>
      <c r="I96" s="1194"/>
      <c r="J96" s="1194"/>
      <c r="K96" s="1194"/>
      <c r="L96" s="1194"/>
      <c r="M96" s="1194"/>
      <c r="N96" s="1194"/>
      <c r="O96" s="1194"/>
      <c r="P96" s="1194"/>
      <c r="Q96" s="1194"/>
      <c r="R96" s="348" t="e">
        <f>SUM(R98:R99)/R91</f>
        <v>#DIV/0!</v>
      </c>
      <c r="S96" s="349" t="s">
        <v>186</v>
      </c>
      <c r="T96" s="1185"/>
      <c r="U96" s="1299"/>
    </row>
    <row r="97" spans="1:21" s="2" customFormat="1" x14ac:dyDescent="0.35">
      <c r="A97" s="1198"/>
      <c r="B97" s="1179"/>
      <c r="C97" s="1201"/>
      <c r="D97" s="1201"/>
      <c r="E97" s="62" t="s">
        <v>187</v>
      </c>
      <c r="F97" s="44">
        <f>SUM(F98:F101)</f>
        <v>0</v>
      </c>
      <c r="G97" s="43">
        <f>SUM(G98:G101)</f>
        <v>0</v>
      </c>
      <c r="H97" s="43">
        <f t="shared" ref="H97:Q97" si="17">SUM(H98:H101)</f>
        <v>0</v>
      </c>
      <c r="I97" s="43">
        <f t="shared" si="17"/>
        <v>0</v>
      </c>
      <c r="J97" s="43">
        <f t="shared" si="17"/>
        <v>0</v>
      </c>
      <c r="K97" s="43">
        <f t="shared" si="17"/>
        <v>0</v>
      </c>
      <c r="L97" s="43">
        <f t="shared" si="17"/>
        <v>0</v>
      </c>
      <c r="M97" s="43">
        <f t="shared" si="17"/>
        <v>0</v>
      </c>
      <c r="N97" s="43">
        <f t="shared" si="17"/>
        <v>0</v>
      </c>
      <c r="O97" s="43">
        <f t="shared" si="17"/>
        <v>0</v>
      </c>
      <c r="P97" s="43">
        <f t="shared" si="17"/>
        <v>0</v>
      </c>
      <c r="Q97" s="43">
        <f t="shared" si="17"/>
        <v>0</v>
      </c>
      <c r="R97" s="65"/>
      <c r="S97" s="65"/>
      <c r="T97" s="1185"/>
      <c r="U97" s="1299"/>
    </row>
    <row r="98" spans="1:21" s="2" customFormat="1" x14ac:dyDescent="0.35">
      <c r="A98" s="1198"/>
      <c r="B98" s="1179"/>
      <c r="C98" s="1201"/>
      <c r="D98" s="1201"/>
      <c r="E98" s="63" t="s">
        <v>188</v>
      </c>
      <c r="F98" s="23"/>
      <c r="G98" s="26"/>
      <c r="H98" s="26"/>
      <c r="I98" s="26"/>
      <c r="J98" s="26"/>
      <c r="K98" s="26"/>
      <c r="L98" s="26"/>
      <c r="M98" s="26"/>
      <c r="N98" s="26"/>
      <c r="O98" s="26"/>
      <c r="P98" s="26"/>
      <c r="Q98" s="16"/>
      <c r="R98" s="65">
        <f>SUM(F98:Q98)</f>
        <v>0</v>
      </c>
      <c r="S98" s="346" t="e">
        <f>R98/R92</f>
        <v>#DIV/0!</v>
      </c>
      <c r="T98" s="1185"/>
      <c r="U98" s="1299"/>
    </row>
    <row r="99" spans="1:21" s="2" customFormat="1" x14ac:dyDescent="0.35">
      <c r="A99" s="1198"/>
      <c r="B99" s="1179"/>
      <c r="C99" s="1201"/>
      <c r="D99" s="1201"/>
      <c r="E99" s="37" t="s">
        <v>189</v>
      </c>
      <c r="F99" s="33"/>
      <c r="G99" s="32"/>
      <c r="H99" s="32"/>
      <c r="I99" s="32"/>
      <c r="J99" s="32"/>
      <c r="K99" s="32"/>
      <c r="L99" s="32"/>
      <c r="M99" s="32"/>
      <c r="N99" s="32"/>
      <c r="O99" s="32"/>
      <c r="P99" s="32"/>
      <c r="Q99" s="34"/>
      <c r="R99" s="65">
        <f>SUM(F99:Q99)</f>
        <v>0</v>
      </c>
      <c r="S99" s="346" t="e">
        <f>R99/R93</f>
        <v>#DIV/0!</v>
      </c>
      <c r="T99" s="1185"/>
      <c r="U99" s="1299"/>
    </row>
    <row r="100" spans="1:21" s="2" customFormat="1" x14ac:dyDescent="0.35">
      <c r="A100" s="1198"/>
      <c r="B100" s="1179"/>
      <c r="C100" s="1201"/>
      <c r="D100" s="1201"/>
      <c r="E100" s="36" t="s">
        <v>190</v>
      </c>
      <c r="F100" s="29"/>
      <c r="G100" s="30"/>
      <c r="H100" s="30"/>
      <c r="I100" s="30"/>
      <c r="J100" s="30"/>
      <c r="K100" s="30"/>
      <c r="L100" s="30"/>
      <c r="M100" s="30"/>
      <c r="N100" s="30"/>
      <c r="O100" s="30"/>
      <c r="P100" s="30"/>
      <c r="Q100" s="31"/>
      <c r="R100" s="65"/>
      <c r="S100" s="65"/>
      <c r="T100" s="1185"/>
      <c r="U100" s="1299"/>
    </row>
    <row r="101" spans="1:21" s="2" customFormat="1" ht="15" thickBot="1" x14ac:dyDescent="0.4">
      <c r="A101" s="1199"/>
      <c r="B101" s="1180"/>
      <c r="C101" s="1202"/>
      <c r="D101" s="1202"/>
      <c r="E101" s="64" t="s">
        <v>191</v>
      </c>
      <c r="F101" s="25"/>
      <c r="G101" s="28"/>
      <c r="H101" s="28"/>
      <c r="I101" s="28"/>
      <c r="J101" s="28"/>
      <c r="K101" s="28"/>
      <c r="L101" s="28"/>
      <c r="M101" s="28"/>
      <c r="N101" s="28"/>
      <c r="O101" s="28"/>
      <c r="P101" s="28"/>
      <c r="Q101" s="35"/>
      <c r="R101" s="137"/>
      <c r="S101" s="137"/>
      <c r="T101" s="1185"/>
      <c r="U101" s="1299"/>
    </row>
    <row r="102" spans="1:21" s="2" customFormat="1" x14ac:dyDescent="0.35">
      <c r="A102" s="1198">
        <v>10</v>
      </c>
      <c r="B102" s="1178" t="str">
        <f>IF(VLOOKUP(A:A,'Benefit-People-Indicator Ex'!Z:AE,6,FALSE)=0,"",VLOOKUP(A:A,'Benefit-People-Indicator Ex'!Z:AE,6,FALSE))</f>
        <v>P019992</v>
      </c>
      <c r="C102" s="1200" t="s">
        <v>440</v>
      </c>
      <c r="D102" s="1200" t="str">
        <f>_xlfn.IFNA(VLOOKUP(A:A,'Benefit-People-Indicator Ex'!P:X,9,FALSE),"")</f>
        <v># of people benefiting from beehives set up successfully</v>
      </c>
      <c r="E102" s="59" t="s">
        <v>181</v>
      </c>
      <c r="F102" s="60">
        <f>SUM(F103:F106)</f>
        <v>0</v>
      </c>
      <c r="G102" s="61">
        <f>SUM(G103:G106)</f>
        <v>0</v>
      </c>
      <c r="H102" s="61">
        <f t="shared" ref="H102:P102" si="18">SUM(H103:H106)</f>
        <v>0</v>
      </c>
      <c r="I102" s="61">
        <f t="shared" si="18"/>
        <v>0</v>
      </c>
      <c r="J102" s="61">
        <f t="shared" si="18"/>
        <v>0</v>
      </c>
      <c r="K102" s="61">
        <f t="shared" si="18"/>
        <v>0</v>
      </c>
      <c r="L102" s="61">
        <f t="shared" si="18"/>
        <v>0</v>
      </c>
      <c r="M102" s="61">
        <f t="shared" si="18"/>
        <v>0</v>
      </c>
      <c r="N102" s="61">
        <f t="shared" si="18"/>
        <v>0</v>
      </c>
      <c r="O102" s="61">
        <f t="shared" si="18"/>
        <v>0</v>
      </c>
      <c r="P102" s="61">
        <f t="shared" si="18"/>
        <v>0</v>
      </c>
      <c r="Q102" s="61">
        <f>SUM(Q103:Q106)</f>
        <v>0</v>
      </c>
      <c r="R102" s="347">
        <f>SUM(R103:R104)</f>
        <v>0</v>
      </c>
      <c r="S102" s="134"/>
      <c r="T102" s="1185"/>
      <c r="U102" s="1299"/>
    </row>
    <row r="103" spans="1:21" s="2" customFormat="1" x14ac:dyDescent="0.35">
      <c r="A103" s="1198"/>
      <c r="B103" s="1179"/>
      <c r="C103" s="1201"/>
      <c r="D103" s="1201"/>
      <c r="E103" s="63" t="s">
        <v>182</v>
      </c>
      <c r="F103" s="23"/>
      <c r="G103" s="26"/>
      <c r="H103" s="26"/>
      <c r="I103" s="26"/>
      <c r="J103" s="26"/>
      <c r="K103" s="26"/>
      <c r="L103" s="26"/>
      <c r="M103" s="26"/>
      <c r="N103" s="26"/>
      <c r="O103" s="26"/>
      <c r="P103" s="26"/>
      <c r="Q103" s="16"/>
      <c r="R103" s="344">
        <f>SUM(F103:Q103)</f>
        <v>0</v>
      </c>
      <c r="S103" s="135"/>
      <c r="T103" s="1185"/>
      <c r="U103" s="1299"/>
    </row>
    <row r="104" spans="1:21" s="2" customFormat="1" x14ac:dyDescent="0.35">
      <c r="A104" s="1198"/>
      <c r="B104" s="1179"/>
      <c r="C104" s="1201"/>
      <c r="D104" s="1201"/>
      <c r="E104" s="336" t="s">
        <v>183</v>
      </c>
      <c r="F104" s="337"/>
      <c r="G104" s="338"/>
      <c r="H104" s="338"/>
      <c r="I104" s="338"/>
      <c r="J104" s="338"/>
      <c r="K104" s="338"/>
      <c r="L104" s="338"/>
      <c r="M104" s="338"/>
      <c r="N104" s="338"/>
      <c r="O104" s="338"/>
      <c r="P104" s="338"/>
      <c r="Q104" s="339"/>
      <c r="R104" s="344">
        <f>SUM(F104:Q104)</f>
        <v>0</v>
      </c>
      <c r="S104" s="335"/>
      <c r="T104" s="1185"/>
      <c r="U104" s="1299"/>
    </row>
    <row r="105" spans="1:21" s="2" customFormat="1" x14ac:dyDescent="0.35">
      <c r="A105" s="1198"/>
      <c r="B105" s="1179"/>
      <c r="C105" s="1201"/>
      <c r="D105" s="1201"/>
      <c r="E105" s="36" t="s">
        <v>184</v>
      </c>
      <c r="F105" s="29"/>
      <c r="G105" s="30"/>
      <c r="H105" s="30"/>
      <c r="I105" s="30"/>
      <c r="J105" s="30"/>
      <c r="K105" s="30"/>
      <c r="L105" s="30"/>
      <c r="M105" s="30"/>
      <c r="N105" s="30"/>
      <c r="O105" s="30"/>
      <c r="P105" s="30"/>
      <c r="Q105" s="31"/>
      <c r="R105" s="344"/>
      <c r="S105" s="335"/>
      <c r="T105" s="1185"/>
      <c r="U105" s="1299"/>
    </row>
    <row r="106" spans="1:21" s="2" customFormat="1" ht="15" thickBot="1" x14ac:dyDescent="0.4">
      <c r="A106" s="1198"/>
      <c r="B106" s="1179"/>
      <c r="C106" s="1201"/>
      <c r="D106" s="1201"/>
      <c r="E106" s="340" t="s">
        <v>185</v>
      </c>
      <c r="F106" s="341"/>
      <c r="G106" s="342"/>
      <c r="H106" s="342"/>
      <c r="I106" s="342"/>
      <c r="J106" s="342"/>
      <c r="K106" s="342"/>
      <c r="L106" s="342"/>
      <c r="M106" s="342"/>
      <c r="N106" s="342"/>
      <c r="O106" s="342"/>
      <c r="P106" s="342"/>
      <c r="Q106" s="343"/>
      <c r="R106" s="344"/>
      <c r="S106" s="335"/>
      <c r="T106" s="1185"/>
      <c r="U106" s="1299"/>
    </row>
    <row r="107" spans="1:21" s="2" customFormat="1" ht="15" thickBot="1" x14ac:dyDescent="0.4">
      <c r="A107" s="1198"/>
      <c r="B107" s="1179"/>
      <c r="C107" s="1201"/>
      <c r="D107" s="1201"/>
      <c r="E107" s="1193" t="s">
        <v>175</v>
      </c>
      <c r="F107" s="1194"/>
      <c r="G107" s="1194"/>
      <c r="H107" s="1194"/>
      <c r="I107" s="1194"/>
      <c r="J107" s="1194"/>
      <c r="K107" s="1194"/>
      <c r="L107" s="1194"/>
      <c r="M107" s="1194"/>
      <c r="N107" s="1194"/>
      <c r="O107" s="1194"/>
      <c r="P107" s="1194"/>
      <c r="Q107" s="1194"/>
      <c r="R107" s="348" t="e">
        <f>SUM(R109:R110)/R102</f>
        <v>#DIV/0!</v>
      </c>
      <c r="S107" s="349" t="s">
        <v>186</v>
      </c>
      <c r="T107" s="1185"/>
      <c r="U107" s="1299"/>
    </row>
    <row r="108" spans="1:21" s="2" customFormat="1" x14ac:dyDescent="0.35">
      <c r="A108" s="1198"/>
      <c r="B108" s="1179"/>
      <c r="C108" s="1201"/>
      <c r="D108" s="1201"/>
      <c r="E108" s="62" t="s">
        <v>187</v>
      </c>
      <c r="F108" s="44">
        <f>SUM(F109:F112)</f>
        <v>0</v>
      </c>
      <c r="G108" s="43">
        <f>SUM(G109:G112)</f>
        <v>0</v>
      </c>
      <c r="H108" s="43">
        <f t="shared" ref="H108:Q108" si="19">SUM(H109:H112)</f>
        <v>0</v>
      </c>
      <c r="I108" s="43">
        <f t="shared" si="19"/>
        <v>0</v>
      </c>
      <c r="J108" s="43">
        <f t="shared" si="19"/>
        <v>0</v>
      </c>
      <c r="K108" s="43">
        <f t="shared" si="19"/>
        <v>0</v>
      </c>
      <c r="L108" s="43">
        <f t="shared" si="19"/>
        <v>0</v>
      </c>
      <c r="M108" s="43">
        <f t="shared" si="19"/>
        <v>0</v>
      </c>
      <c r="N108" s="43">
        <f t="shared" si="19"/>
        <v>0</v>
      </c>
      <c r="O108" s="43">
        <f t="shared" si="19"/>
        <v>0</v>
      </c>
      <c r="P108" s="43">
        <f t="shared" si="19"/>
        <v>0</v>
      </c>
      <c r="Q108" s="43">
        <f t="shared" si="19"/>
        <v>0</v>
      </c>
      <c r="R108" s="65"/>
      <c r="S108" s="65"/>
      <c r="T108" s="1185"/>
      <c r="U108" s="1299"/>
    </row>
    <row r="109" spans="1:21" s="2" customFormat="1" x14ac:dyDescent="0.35">
      <c r="A109" s="1198"/>
      <c r="B109" s="1179"/>
      <c r="C109" s="1201"/>
      <c r="D109" s="1201"/>
      <c r="E109" s="63" t="s">
        <v>188</v>
      </c>
      <c r="F109" s="23"/>
      <c r="G109" s="26"/>
      <c r="H109" s="26"/>
      <c r="I109" s="26"/>
      <c r="J109" s="26"/>
      <c r="K109" s="26"/>
      <c r="L109" s="26"/>
      <c r="M109" s="26"/>
      <c r="N109" s="26"/>
      <c r="O109" s="26"/>
      <c r="P109" s="26"/>
      <c r="Q109" s="16"/>
      <c r="R109" s="65">
        <f>SUM(F109:Q109)</f>
        <v>0</v>
      </c>
      <c r="S109" s="346" t="e">
        <f>R109/R103</f>
        <v>#DIV/0!</v>
      </c>
      <c r="T109" s="1185"/>
      <c r="U109" s="1299"/>
    </row>
    <row r="110" spans="1:21" s="2" customFormat="1" x14ac:dyDescent="0.35">
      <c r="A110" s="1198"/>
      <c r="B110" s="1179"/>
      <c r="C110" s="1201"/>
      <c r="D110" s="1201"/>
      <c r="E110" s="37" t="s">
        <v>189</v>
      </c>
      <c r="F110" s="33"/>
      <c r="G110" s="32"/>
      <c r="H110" s="32"/>
      <c r="I110" s="32"/>
      <c r="J110" s="32"/>
      <c r="K110" s="32"/>
      <c r="L110" s="32"/>
      <c r="M110" s="32"/>
      <c r="N110" s="32"/>
      <c r="O110" s="32"/>
      <c r="P110" s="32"/>
      <c r="Q110" s="34"/>
      <c r="R110" s="65">
        <f>SUM(F110:Q110)</f>
        <v>0</v>
      </c>
      <c r="S110" s="346" t="e">
        <f>R110/R104</f>
        <v>#DIV/0!</v>
      </c>
      <c r="T110" s="1185"/>
      <c r="U110" s="1299"/>
    </row>
    <row r="111" spans="1:21" s="2" customFormat="1" x14ac:dyDescent="0.35">
      <c r="A111" s="1198"/>
      <c r="B111" s="1179"/>
      <c r="C111" s="1201"/>
      <c r="D111" s="1201"/>
      <c r="E111" s="36" t="s">
        <v>190</v>
      </c>
      <c r="F111" s="29"/>
      <c r="G111" s="30"/>
      <c r="H111" s="30"/>
      <c r="I111" s="30"/>
      <c r="J111" s="30"/>
      <c r="K111" s="30"/>
      <c r="L111" s="30"/>
      <c r="M111" s="30"/>
      <c r="N111" s="30"/>
      <c r="O111" s="30"/>
      <c r="P111" s="30"/>
      <c r="Q111" s="31"/>
      <c r="R111" s="65"/>
      <c r="S111" s="65"/>
      <c r="T111" s="1185"/>
      <c r="U111" s="1299"/>
    </row>
    <row r="112" spans="1:21" s="2" customFormat="1" ht="15" thickBot="1" x14ac:dyDescent="0.4">
      <c r="A112" s="1199"/>
      <c r="B112" s="1180"/>
      <c r="C112" s="1202"/>
      <c r="D112" s="1202"/>
      <c r="E112" s="64" t="s">
        <v>191</v>
      </c>
      <c r="F112" s="25"/>
      <c r="G112" s="28"/>
      <c r="H112" s="28"/>
      <c r="I112" s="28"/>
      <c r="J112" s="28"/>
      <c r="K112" s="28"/>
      <c r="L112" s="28"/>
      <c r="M112" s="28"/>
      <c r="N112" s="28"/>
      <c r="O112" s="28"/>
      <c r="P112" s="28"/>
      <c r="Q112" s="35"/>
      <c r="R112" s="137"/>
      <c r="S112" s="137"/>
      <c r="T112" s="1186"/>
      <c r="U112" s="1317"/>
    </row>
    <row r="113" spans="1:21" s="2" customFormat="1" x14ac:dyDescent="0.35">
      <c r="A113" s="1198">
        <v>11</v>
      </c>
      <c r="B113" s="1178" t="str">
        <f>IF(VLOOKUP(A:A,'Benefit-People-Indicator Ex'!Z:AE,6,FALSE)=0,"",VLOOKUP(A:A,'Benefit-People-Indicator Ex'!Z:AE,6,FALSE))</f>
        <v>P010100</v>
      </c>
      <c r="C113" s="1200" t="str">
        <f>_xlfn.IFNA(VLOOKUP(B:B,'indicator lists'!L:R,3,FALSE),"")</f>
        <v>Individual</v>
      </c>
      <c r="D113" s="1200" t="str">
        <f>_xlfn.IFNA(VLOOKUP(A:A,'Benefit-People-Indicator Ex'!P:X,9,FALSE),"")</f>
        <v>P010100</v>
      </c>
      <c r="E113" s="59" t="s">
        <v>181</v>
      </c>
      <c r="F113" s="60">
        <f>SUM(F114:F117)</f>
        <v>0</v>
      </c>
      <c r="G113" s="61">
        <f>SUM(G114:G117)</f>
        <v>0</v>
      </c>
      <c r="H113" s="61">
        <f t="shared" ref="H113:P113" si="20">SUM(H114:H117)</f>
        <v>0</v>
      </c>
      <c r="I113" s="61">
        <f t="shared" si="20"/>
        <v>0</v>
      </c>
      <c r="J113" s="61">
        <f t="shared" si="20"/>
        <v>0</v>
      </c>
      <c r="K113" s="61">
        <f t="shared" si="20"/>
        <v>0</v>
      </c>
      <c r="L113" s="61">
        <f t="shared" si="20"/>
        <v>0</v>
      </c>
      <c r="M113" s="61">
        <f t="shared" si="20"/>
        <v>0</v>
      </c>
      <c r="N113" s="61">
        <f t="shared" si="20"/>
        <v>0</v>
      </c>
      <c r="O113" s="61">
        <f t="shared" si="20"/>
        <v>0</v>
      </c>
      <c r="P113" s="61">
        <f t="shared" si="20"/>
        <v>0</v>
      </c>
      <c r="Q113" s="61">
        <f>SUM(Q114:Q117)</f>
        <v>0</v>
      </c>
      <c r="R113" s="347">
        <f>SUM(R114:R115)</f>
        <v>0</v>
      </c>
      <c r="S113" s="134"/>
      <c r="T113" s="1184"/>
      <c r="U113" s="1184"/>
    </row>
    <row r="114" spans="1:21" s="2" customFormat="1" x14ac:dyDescent="0.35">
      <c r="A114" s="1198"/>
      <c r="B114" s="1179"/>
      <c r="C114" s="1201"/>
      <c r="D114" s="1201"/>
      <c r="E114" s="63" t="s">
        <v>182</v>
      </c>
      <c r="F114" s="23"/>
      <c r="G114" s="26"/>
      <c r="H114" s="26"/>
      <c r="I114" s="26"/>
      <c r="J114" s="26"/>
      <c r="K114" s="26"/>
      <c r="L114" s="26"/>
      <c r="M114" s="26"/>
      <c r="N114" s="26"/>
      <c r="O114" s="26"/>
      <c r="P114" s="26"/>
      <c r="Q114" s="16"/>
      <c r="R114" s="344">
        <f>SUM(F114:Q114)</f>
        <v>0</v>
      </c>
      <c r="S114" s="135"/>
      <c r="T114" s="1185"/>
      <c r="U114" s="1185"/>
    </row>
    <row r="115" spans="1:21" s="2" customFormat="1" x14ac:dyDescent="0.35">
      <c r="A115" s="1198"/>
      <c r="B115" s="1179"/>
      <c r="C115" s="1201"/>
      <c r="D115" s="1201"/>
      <c r="E115" s="336" t="s">
        <v>183</v>
      </c>
      <c r="F115" s="337"/>
      <c r="G115" s="338"/>
      <c r="H115" s="338"/>
      <c r="I115" s="338"/>
      <c r="J115" s="338"/>
      <c r="K115" s="338"/>
      <c r="L115" s="338"/>
      <c r="M115" s="338"/>
      <c r="N115" s="338"/>
      <c r="O115" s="338"/>
      <c r="P115" s="338"/>
      <c r="Q115" s="339"/>
      <c r="R115" s="344">
        <f>SUM(F115:Q115)</f>
        <v>0</v>
      </c>
      <c r="S115" s="335"/>
      <c r="T115" s="1185"/>
      <c r="U115" s="1185"/>
    </row>
    <row r="116" spans="1:21" s="2" customFormat="1" x14ac:dyDescent="0.35">
      <c r="A116" s="1198"/>
      <c r="B116" s="1179"/>
      <c r="C116" s="1201"/>
      <c r="D116" s="1201"/>
      <c r="E116" s="36" t="s">
        <v>184</v>
      </c>
      <c r="F116" s="29"/>
      <c r="G116" s="30"/>
      <c r="H116" s="30"/>
      <c r="I116" s="30"/>
      <c r="J116" s="30"/>
      <c r="K116" s="30"/>
      <c r="L116" s="30"/>
      <c r="M116" s="30"/>
      <c r="N116" s="30"/>
      <c r="O116" s="30"/>
      <c r="P116" s="30"/>
      <c r="Q116" s="31"/>
      <c r="R116" s="344"/>
      <c r="S116" s="335"/>
      <c r="T116" s="1185"/>
      <c r="U116" s="1185"/>
    </row>
    <row r="117" spans="1:21" s="2" customFormat="1" ht="15" thickBot="1" x14ac:dyDescent="0.4">
      <c r="A117" s="1198"/>
      <c r="B117" s="1179"/>
      <c r="C117" s="1201"/>
      <c r="D117" s="1201"/>
      <c r="E117" s="340" t="s">
        <v>185</v>
      </c>
      <c r="F117" s="341"/>
      <c r="G117" s="342"/>
      <c r="H117" s="342"/>
      <c r="I117" s="342"/>
      <c r="J117" s="342"/>
      <c r="K117" s="342"/>
      <c r="L117" s="342"/>
      <c r="M117" s="342"/>
      <c r="N117" s="342"/>
      <c r="O117" s="342"/>
      <c r="P117" s="342"/>
      <c r="Q117" s="343"/>
      <c r="R117" s="344"/>
      <c r="S117" s="335"/>
      <c r="T117" s="1185"/>
      <c r="U117" s="1185"/>
    </row>
    <row r="118" spans="1:21" s="2" customFormat="1" ht="15" thickBot="1" x14ac:dyDescent="0.4">
      <c r="A118" s="1198"/>
      <c r="B118" s="1179"/>
      <c r="C118" s="1201"/>
      <c r="D118" s="1201"/>
      <c r="E118" s="1193" t="s">
        <v>175</v>
      </c>
      <c r="F118" s="1194"/>
      <c r="G118" s="1194"/>
      <c r="H118" s="1194"/>
      <c r="I118" s="1194"/>
      <c r="J118" s="1194"/>
      <c r="K118" s="1194"/>
      <c r="L118" s="1194"/>
      <c r="M118" s="1194"/>
      <c r="N118" s="1194"/>
      <c r="O118" s="1194"/>
      <c r="P118" s="1194"/>
      <c r="Q118" s="1194"/>
      <c r="R118" s="348" t="e">
        <f>SUM(R120:R121)/R113</f>
        <v>#DIV/0!</v>
      </c>
      <c r="S118" s="349" t="s">
        <v>186</v>
      </c>
      <c r="T118" s="1185"/>
      <c r="U118" s="1185"/>
    </row>
    <row r="119" spans="1:21" s="2" customFormat="1" x14ac:dyDescent="0.35">
      <c r="A119" s="1198"/>
      <c r="B119" s="1179"/>
      <c r="C119" s="1201"/>
      <c r="D119" s="1201"/>
      <c r="E119" s="62" t="s">
        <v>187</v>
      </c>
      <c r="F119" s="44">
        <f>SUM(F120:F123)</f>
        <v>0</v>
      </c>
      <c r="G119" s="43">
        <f>SUM(G120:G123)</f>
        <v>0</v>
      </c>
      <c r="H119" s="43">
        <f t="shared" ref="H119:Q119" si="21">SUM(H120:H123)</f>
        <v>0</v>
      </c>
      <c r="I119" s="43">
        <f t="shared" si="21"/>
        <v>0</v>
      </c>
      <c r="J119" s="43">
        <f t="shared" si="21"/>
        <v>0</v>
      </c>
      <c r="K119" s="43">
        <f t="shared" si="21"/>
        <v>0</v>
      </c>
      <c r="L119" s="43">
        <f t="shared" si="21"/>
        <v>0</v>
      </c>
      <c r="M119" s="43">
        <f t="shared" si="21"/>
        <v>0</v>
      </c>
      <c r="N119" s="43">
        <f t="shared" si="21"/>
        <v>0</v>
      </c>
      <c r="O119" s="43">
        <f t="shared" si="21"/>
        <v>0</v>
      </c>
      <c r="P119" s="43">
        <f t="shared" si="21"/>
        <v>0</v>
      </c>
      <c r="Q119" s="43">
        <f t="shared" si="21"/>
        <v>0</v>
      </c>
      <c r="R119" s="65"/>
      <c r="S119" s="65"/>
      <c r="T119" s="1185"/>
      <c r="U119" s="1185"/>
    </row>
    <row r="120" spans="1:21" s="2" customFormat="1" x14ac:dyDescent="0.35">
      <c r="A120" s="1198"/>
      <c r="B120" s="1179"/>
      <c r="C120" s="1201"/>
      <c r="D120" s="1201"/>
      <c r="E120" s="63" t="s">
        <v>188</v>
      </c>
      <c r="F120" s="23"/>
      <c r="G120" s="26"/>
      <c r="H120" s="26"/>
      <c r="I120" s="26"/>
      <c r="J120" s="26"/>
      <c r="K120" s="26"/>
      <c r="L120" s="26"/>
      <c r="M120" s="26"/>
      <c r="N120" s="26"/>
      <c r="O120" s="26"/>
      <c r="P120" s="26"/>
      <c r="Q120" s="16"/>
      <c r="R120" s="65">
        <f>SUM(F120:Q120)</f>
        <v>0</v>
      </c>
      <c r="S120" s="346" t="e">
        <f>R120/R114</f>
        <v>#DIV/0!</v>
      </c>
      <c r="T120" s="1185"/>
      <c r="U120" s="1185"/>
    </row>
    <row r="121" spans="1:21" s="2" customFormat="1" x14ac:dyDescent="0.35">
      <c r="A121" s="1198"/>
      <c r="B121" s="1179"/>
      <c r="C121" s="1201"/>
      <c r="D121" s="1201"/>
      <c r="E121" s="37" t="s">
        <v>189</v>
      </c>
      <c r="F121" s="33"/>
      <c r="G121" s="32"/>
      <c r="H121" s="32"/>
      <c r="I121" s="32"/>
      <c r="J121" s="32"/>
      <c r="K121" s="32"/>
      <c r="L121" s="32"/>
      <c r="M121" s="32"/>
      <c r="N121" s="32"/>
      <c r="O121" s="32"/>
      <c r="P121" s="32"/>
      <c r="Q121" s="34"/>
      <c r="R121" s="65">
        <f>SUM(F121:Q121)</f>
        <v>0</v>
      </c>
      <c r="S121" s="346" t="e">
        <f>R121/R115</f>
        <v>#DIV/0!</v>
      </c>
      <c r="T121" s="1185"/>
      <c r="U121" s="1185"/>
    </row>
    <row r="122" spans="1:21" s="2" customFormat="1" x14ac:dyDescent="0.35">
      <c r="A122" s="1198"/>
      <c r="B122" s="1179"/>
      <c r="C122" s="1201"/>
      <c r="D122" s="1201"/>
      <c r="E122" s="36" t="s">
        <v>190</v>
      </c>
      <c r="F122" s="29"/>
      <c r="G122" s="30"/>
      <c r="H122" s="30"/>
      <c r="I122" s="30"/>
      <c r="J122" s="30"/>
      <c r="K122" s="30"/>
      <c r="L122" s="30"/>
      <c r="M122" s="30"/>
      <c r="N122" s="30"/>
      <c r="O122" s="30"/>
      <c r="P122" s="30"/>
      <c r="Q122" s="31"/>
      <c r="R122" s="65"/>
      <c r="S122" s="65"/>
      <c r="T122" s="1185"/>
      <c r="U122" s="1185"/>
    </row>
    <row r="123" spans="1:21" s="2" customFormat="1" ht="15" thickBot="1" x14ac:dyDescent="0.4">
      <c r="A123" s="1199"/>
      <c r="B123" s="1180"/>
      <c r="C123" s="1202"/>
      <c r="D123" s="1202"/>
      <c r="E123" s="64" t="s">
        <v>191</v>
      </c>
      <c r="F123" s="25"/>
      <c r="G123" s="28"/>
      <c r="H123" s="28"/>
      <c r="I123" s="28"/>
      <c r="J123" s="28"/>
      <c r="K123" s="28"/>
      <c r="L123" s="28"/>
      <c r="M123" s="28"/>
      <c r="N123" s="28"/>
      <c r="O123" s="28"/>
      <c r="P123" s="28"/>
      <c r="Q123" s="35"/>
      <c r="R123" s="137"/>
      <c r="S123" s="137"/>
      <c r="T123" s="1186"/>
      <c r="U123" s="1186"/>
    </row>
    <row r="124" spans="1:21" s="2" customFormat="1" x14ac:dyDescent="0.35">
      <c r="A124" s="1198">
        <v>12</v>
      </c>
      <c r="B124" s="1178" t="str">
        <f>IF(VLOOKUP(A:A,'Benefit-People-Indicator Ex'!Z:AE,6,FALSE)=0,"",VLOOKUP(A:A,'Benefit-People-Indicator Ex'!Z:AE,6,FALSE))</f>
        <v>P020100</v>
      </c>
      <c r="C124" s="1200" t="str">
        <f>_xlfn.IFNA(VLOOKUP(B:B,'indicator lists'!L:R,3,FALSE),"")</f>
        <v>Individual</v>
      </c>
      <c r="D124" s="1200" t="str">
        <f>_xlfn.IFNA(VLOOKUP(A:A,'Benefit-People-Indicator Ex'!P:X,9,FALSE),"")</f>
        <v>P020100</v>
      </c>
      <c r="E124" s="59" t="s">
        <v>181</v>
      </c>
      <c r="F124" s="60">
        <f>SUM(F125:F128)</f>
        <v>0</v>
      </c>
      <c r="G124" s="61">
        <f>SUM(G125:G128)</f>
        <v>0</v>
      </c>
      <c r="H124" s="61">
        <f t="shared" ref="H124:P124" si="22">SUM(H125:H128)</f>
        <v>0</v>
      </c>
      <c r="I124" s="61">
        <f t="shared" si="22"/>
        <v>0</v>
      </c>
      <c r="J124" s="61">
        <f t="shared" si="22"/>
        <v>0</v>
      </c>
      <c r="K124" s="61">
        <f t="shared" si="22"/>
        <v>0</v>
      </c>
      <c r="L124" s="61">
        <f t="shared" si="22"/>
        <v>0</v>
      </c>
      <c r="M124" s="61">
        <f t="shared" si="22"/>
        <v>0</v>
      </c>
      <c r="N124" s="61">
        <f t="shared" si="22"/>
        <v>0</v>
      </c>
      <c r="O124" s="61">
        <f t="shared" si="22"/>
        <v>0</v>
      </c>
      <c r="P124" s="61">
        <f t="shared" si="22"/>
        <v>0</v>
      </c>
      <c r="Q124" s="61">
        <f>SUM(Q125:Q128)</f>
        <v>0</v>
      </c>
      <c r="R124" s="347">
        <f>SUM(R125:R126)</f>
        <v>0</v>
      </c>
      <c r="S124" s="134"/>
      <c r="T124" s="1184"/>
      <c r="U124" s="1184"/>
    </row>
    <row r="125" spans="1:21" s="2" customFormat="1" x14ac:dyDescent="0.35">
      <c r="A125" s="1198"/>
      <c r="B125" s="1179"/>
      <c r="C125" s="1201"/>
      <c r="D125" s="1201"/>
      <c r="E125" s="63" t="s">
        <v>182</v>
      </c>
      <c r="F125" s="23"/>
      <c r="G125" s="26"/>
      <c r="H125" s="26"/>
      <c r="I125" s="26"/>
      <c r="J125" s="26"/>
      <c r="K125" s="26"/>
      <c r="L125" s="26"/>
      <c r="M125" s="26"/>
      <c r="N125" s="26"/>
      <c r="O125" s="26"/>
      <c r="P125" s="26"/>
      <c r="Q125" s="16"/>
      <c r="R125" s="344">
        <f>SUM(F125:Q125)</f>
        <v>0</v>
      </c>
      <c r="S125" s="135"/>
      <c r="T125" s="1185"/>
      <c r="U125" s="1185"/>
    </row>
    <row r="126" spans="1:21" s="2" customFormat="1" x14ac:dyDescent="0.35">
      <c r="A126" s="1198"/>
      <c r="B126" s="1179"/>
      <c r="C126" s="1201"/>
      <c r="D126" s="1201"/>
      <c r="E126" s="336" t="s">
        <v>183</v>
      </c>
      <c r="F126" s="337"/>
      <c r="G126" s="338"/>
      <c r="H126" s="338"/>
      <c r="I126" s="338"/>
      <c r="J126" s="338"/>
      <c r="K126" s="338"/>
      <c r="L126" s="338"/>
      <c r="M126" s="338"/>
      <c r="N126" s="338"/>
      <c r="O126" s="338"/>
      <c r="P126" s="338"/>
      <c r="Q126" s="339"/>
      <c r="R126" s="344">
        <f>SUM(F126:Q126)</f>
        <v>0</v>
      </c>
      <c r="S126" s="335"/>
      <c r="T126" s="1185"/>
      <c r="U126" s="1185"/>
    </row>
    <row r="127" spans="1:21" s="2" customFormat="1" x14ac:dyDescent="0.35">
      <c r="A127" s="1198"/>
      <c r="B127" s="1179"/>
      <c r="C127" s="1201"/>
      <c r="D127" s="1201"/>
      <c r="E127" s="36" t="s">
        <v>184</v>
      </c>
      <c r="F127" s="29"/>
      <c r="G127" s="30"/>
      <c r="H127" s="30"/>
      <c r="I127" s="30"/>
      <c r="J127" s="30"/>
      <c r="K127" s="30"/>
      <c r="L127" s="30"/>
      <c r="M127" s="30"/>
      <c r="N127" s="30"/>
      <c r="O127" s="30"/>
      <c r="P127" s="30"/>
      <c r="Q127" s="31"/>
      <c r="R127" s="344"/>
      <c r="S127" s="335"/>
      <c r="T127" s="1185"/>
      <c r="U127" s="1185"/>
    </row>
    <row r="128" spans="1:21" s="2" customFormat="1" ht="15" thickBot="1" x14ac:dyDescent="0.4">
      <c r="A128" s="1198"/>
      <c r="B128" s="1179"/>
      <c r="C128" s="1201"/>
      <c r="D128" s="1201"/>
      <c r="E128" s="340" t="s">
        <v>185</v>
      </c>
      <c r="F128" s="341"/>
      <c r="G128" s="342"/>
      <c r="H128" s="342"/>
      <c r="I128" s="342"/>
      <c r="J128" s="342"/>
      <c r="K128" s="342"/>
      <c r="L128" s="342"/>
      <c r="M128" s="342"/>
      <c r="N128" s="342"/>
      <c r="O128" s="342"/>
      <c r="P128" s="342"/>
      <c r="Q128" s="343"/>
      <c r="R128" s="344"/>
      <c r="S128" s="335"/>
      <c r="T128" s="1185"/>
      <c r="U128" s="1185"/>
    </row>
    <row r="129" spans="1:21" s="2" customFormat="1" ht="15" thickBot="1" x14ac:dyDescent="0.4">
      <c r="A129" s="1198"/>
      <c r="B129" s="1179"/>
      <c r="C129" s="1201"/>
      <c r="D129" s="1201"/>
      <c r="E129" s="1193" t="s">
        <v>175</v>
      </c>
      <c r="F129" s="1194"/>
      <c r="G129" s="1194"/>
      <c r="H129" s="1194"/>
      <c r="I129" s="1194"/>
      <c r="J129" s="1194"/>
      <c r="K129" s="1194"/>
      <c r="L129" s="1194"/>
      <c r="M129" s="1194"/>
      <c r="N129" s="1194"/>
      <c r="O129" s="1194"/>
      <c r="P129" s="1194"/>
      <c r="Q129" s="1194"/>
      <c r="R129" s="348" t="e">
        <f>SUM(R131:R132)/R124</f>
        <v>#DIV/0!</v>
      </c>
      <c r="S129" s="349" t="s">
        <v>186</v>
      </c>
      <c r="T129" s="1185"/>
      <c r="U129" s="1185"/>
    </row>
    <row r="130" spans="1:21" s="2" customFormat="1" x14ac:dyDescent="0.35">
      <c r="A130" s="1198"/>
      <c r="B130" s="1179"/>
      <c r="C130" s="1201"/>
      <c r="D130" s="1201"/>
      <c r="E130" s="62" t="s">
        <v>187</v>
      </c>
      <c r="F130" s="44">
        <f>SUM(F131:F134)</f>
        <v>0</v>
      </c>
      <c r="G130" s="43">
        <f>SUM(G131:G134)</f>
        <v>0</v>
      </c>
      <c r="H130" s="43">
        <f t="shared" ref="H130:Q130" si="23">SUM(H131:H134)</f>
        <v>0</v>
      </c>
      <c r="I130" s="43">
        <f t="shared" si="23"/>
        <v>0</v>
      </c>
      <c r="J130" s="43">
        <f t="shared" si="23"/>
        <v>0</v>
      </c>
      <c r="K130" s="43">
        <f t="shared" si="23"/>
        <v>0</v>
      </c>
      <c r="L130" s="43">
        <f t="shared" si="23"/>
        <v>0</v>
      </c>
      <c r="M130" s="43">
        <f t="shared" si="23"/>
        <v>0</v>
      </c>
      <c r="N130" s="43">
        <f t="shared" si="23"/>
        <v>0</v>
      </c>
      <c r="O130" s="43">
        <f t="shared" si="23"/>
        <v>0</v>
      </c>
      <c r="P130" s="43">
        <f t="shared" si="23"/>
        <v>0</v>
      </c>
      <c r="Q130" s="43">
        <f t="shared" si="23"/>
        <v>0</v>
      </c>
      <c r="R130" s="65"/>
      <c r="S130" s="65"/>
      <c r="T130" s="1185"/>
      <c r="U130" s="1185"/>
    </row>
    <row r="131" spans="1:21" s="2" customFormat="1" x14ac:dyDescent="0.35">
      <c r="A131" s="1198"/>
      <c r="B131" s="1179"/>
      <c r="C131" s="1201"/>
      <c r="D131" s="1201"/>
      <c r="E131" s="63" t="s">
        <v>188</v>
      </c>
      <c r="F131" s="23"/>
      <c r="G131" s="26"/>
      <c r="H131" s="26"/>
      <c r="I131" s="26"/>
      <c r="J131" s="26"/>
      <c r="K131" s="26"/>
      <c r="L131" s="26"/>
      <c r="M131" s="26"/>
      <c r="N131" s="26"/>
      <c r="O131" s="26"/>
      <c r="P131" s="26"/>
      <c r="Q131" s="16"/>
      <c r="R131" s="65">
        <f>SUM(F131:Q131)</f>
        <v>0</v>
      </c>
      <c r="S131" s="346" t="e">
        <f>R131/R125</f>
        <v>#DIV/0!</v>
      </c>
      <c r="T131" s="1185"/>
      <c r="U131" s="1185"/>
    </row>
    <row r="132" spans="1:21" s="2" customFormat="1" x14ac:dyDescent="0.35">
      <c r="A132" s="1198"/>
      <c r="B132" s="1179"/>
      <c r="C132" s="1201"/>
      <c r="D132" s="1201"/>
      <c r="E132" s="37" t="s">
        <v>189</v>
      </c>
      <c r="F132" s="33"/>
      <c r="G132" s="32"/>
      <c r="H132" s="32"/>
      <c r="I132" s="32"/>
      <c r="J132" s="32"/>
      <c r="K132" s="32"/>
      <c r="L132" s="32"/>
      <c r="M132" s="32"/>
      <c r="N132" s="32"/>
      <c r="O132" s="32"/>
      <c r="P132" s="32"/>
      <c r="Q132" s="34"/>
      <c r="R132" s="65">
        <f>SUM(F132:Q132)</f>
        <v>0</v>
      </c>
      <c r="S132" s="346" t="e">
        <f>R132/R126</f>
        <v>#DIV/0!</v>
      </c>
      <c r="T132" s="1185"/>
      <c r="U132" s="1185"/>
    </row>
    <row r="133" spans="1:21" s="2" customFormat="1" x14ac:dyDescent="0.35">
      <c r="A133" s="1198"/>
      <c r="B133" s="1179"/>
      <c r="C133" s="1201"/>
      <c r="D133" s="1201"/>
      <c r="E133" s="36" t="s">
        <v>190</v>
      </c>
      <c r="F133" s="29"/>
      <c r="G133" s="30"/>
      <c r="H133" s="30"/>
      <c r="I133" s="30"/>
      <c r="J133" s="30"/>
      <c r="K133" s="30"/>
      <c r="L133" s="30"/>
      <c r="M133" s="30"/>
      <c r="N133" s="30"/>
      <c r="O133" s="30"/>
      <c r="P133" s="30"/>
      <c r="Q133" s="31"/>
      <c r="R133" s="65"/>
      <c r="S133" s="65"/>
      <c r="T133" s="1185"/>
      <c r="U133" s="1185"/>
    </row>
    <row r="134" spans="1:21" s="2" customFormat="1" ht="15" thickBot="1" x14ac:dyDescent="0.4">
      <c r="A134" s="1199"/>
      <c r="B134" s="1180"/>
      <c r="C134" s="1202"/>
      <c r="D134" s="1202"/>
      <c r="E134" s="64" t="s">
        <v>191</v>
      </c>
      <c r="F134" s="25"/>
      <c r="G134" s="28"/>
      <c r="H134" s="28"/>
      <c r="I134" s="28"/>
      <c r="J134" s="28"/>
      <c r="K134" s="28"/>
      <c r="L134" s="28"/>
      <c r="M134" s="28"/>
      <c r="N134" s="28"/>
      <c r="O134" s="28"/>
      <c r="P134" s="28"/>
      <c r="Q134" s="35"/>
      <c r="R134" s="137"/>
      <c r="S134" s="137"/>
      <c r="T134" s="1186"/>
      <c r="U134" s="1186"/>
    </row>
    <row r="135" spans="1:21" s="2" customFormat="1" x14ac:dyDescent="0.35">
      <c r="A135" s="1198">
        <v>13</v>
      </c>
      <c r="B135" s="1178" t="str">
        <f>IF(VLOOKUP(A:A,'Benefit-People-Indicator Ex'!Z:AE,6,FALSE)=0,"",VLOOKUP(A:A,'Benefit-People-Indicator Ex'!Z:AE,6,FALSE))</f>
        <v>P020300</v>
      </c>
      <c r="C135" s="1200" t="str">
        <f>_xlfn.IFNA(VLOOKUP(B:B,'indicator lists'!L:R,3,FALSE),"")</f>
        <v>Individual, All HH members</v>
      </c>
      <c r="D135" s="1200" t="str">
        <f>_xlfn.IFNA(VLOOKUP(A:A,'Benefit-People-Indicator Ex'!P:X,9,FALSE),"")</f>
        <v>P020300</v>
      </c>
      <c r="E135" s="59" t="s">
        <v>181</v>
      </c>
      <c r="F135" s="60">
        <f>SUM(F136:F139)</f>
        <v>0</v>
      </c>
      <c r="G135" s="61">
        <f>SUM(G136:G139)</f>
        <v>0</v>
      </c>
      <c r="H135" s="61">
        <f t="shared" ref="H135:P135" si="24">SUM(H136:H139)</f>
        <v>0</v>
      </c>
      <c r="I135" s="61">
        <f t="shared" si="24"/>
        <v>0</v>
      </c>
      <c r="J135" s="61">
        <f t="shared" si="24"/>
        <v>0</v>
      </c>
      <c r="K135" s="61">
        <f t="shared" si="24"/>
        <v>0</v>
      </c>
      <c r="L135" s="61">
        <f t="shared" si="24"/>
        <v>0</v>
      </c>
      <c r="M135" s="61">
        <f t="shared" si="24"/>
        <v>0</v>
      </c>
      <c r="N135" s="61">
        <f t="shared" si="24"/>
        <v>0</v>
      </c>
      <c r="O135" s="61">
        <f t="shared" si="24"/>
        <v>0</v>
      </c>
      <c r="P135" s="61">
        <f t="shared" si="24"/>
        <v>0</v>
      </c>
      <c r="Q135" s="61">
        <f>SUM(Q136:Q139)</f>
        <v>0</v>
      </c>
      <c r="R135" s="347">
        <f>SUM(R136:R137)</f>
        <v>0</v>
      </c>
      <c r="S135" s="134"/>
      <c r="T135" s="1184"/>
      <c r="U135" s="1184"/>
    </row>
    <row r="136" spans="1:21" s="2" customFormat="1" x14ac:dyDescent="0.35">
      <c r="A136" s="1198"/>
      <c r="B136" s="1179"/>
      <c r="C136" s="1201"/>
      <c r="D136" s="1201"/>
      <c r="E136" s="63" t="s">
        <v>182</v>
      </c>
      <c r="F136" s="23"/>
      <c r="G136" s="26"/>
      <c r="H136" s="26"/>
      <c r="I136" s="26"/>
      <c r="J136" s="26"/>
      <c r="K136" s="26"/>
      <c r="L136" s="26"/>
      <c r="M136" s="26"/>
      <c r="N136" s="26"/>
      <c r="O136" s="26"/>
      <c r="P136" s="26"/>
      <c r="Q136" s="16"/>
      <c r="R136" s="344">
        <f>SUM(F136:Q136)</f>
        <v>0</v>
      </c>
      <c r="S136" s="135"/>
      <c r="T136" s="1185"/>
      <c r="U136" s="1185"/>
    </row>
    <row r="137" spans="1:21" s="2" customFormat="1" x14ac:dyDescent="0.35">
      <c r="A137" s="1198"/>
      <c r="B137" s="1179"/>
      <c r="C137" s="1201"/>
      <c r="D137" s="1201"/>
      <c r="E137" s="336" t="s">
        <v>183</v>
      </c>
      <c r="F137" s="337"/>
      <c r="G137" s="338"/>
      <c r="H137" s="338"/>
      <c r="I137" s="338"/>
      <c r="J137" s="338"/>
      <c r="K137" s="338"/>
      <c r="L137" s="338"/>
      <c r="M137" s="338"/>
      <c r="N137" s="338"/>
      <c r="O137" s="338"/>
      <c r="P137" s="338"/>
      <c r="Q137" s="339"/>
      <c r="R137" s="344">
        <f>SUM(F137:Q137)</f>
        <v>0</v>
      </c>
      <c r="S137" s="335"/>
      <c r="T137" s="1185"/>
      <c r="U137" s="1185"/>
    </row>
    <row r="138" spans="1:21" s="2" customFormat="1" x14ac:dyDescent="0.35">
      <c r="A138" s="1198"/>
      <c r="B138" s="1179"/>
      <c r="C138" s="1201"/>
      <c r="D138" s="1201"/>
      <c r="E138" s="36" t="s">
        <v>184</v>
      </c>
      <c r="F138" s="29"/>
      <c r="G138" s="30"/>
      <c r="H138" s="30"/>
      <c r="I138" s="30"/>
      <c r="J138" s="30"/>
      <c r="K138" s="30"/>
      <c r="L138" s="30"/>
      <c r="M138" s="30"/>
      <c r="N138" s="30"/>
      <c r="O138" s="30"/>
      <c r="P138" s="30"/>
      <c r="Q138" s="31"/>
      <c r="R138" s="344"/>
      <c r="S138" s="335"/>
      <c r="T138" s="1185"/>
      <c r="U138" s="1185"/>
    </row>
    <row r="139" spans="1:21" s="2" customFormat="1" ht="15" thickBot="1" x14ac:dyDescent="0.4">
      <c r="A139" s="1198"/>
      <c r="B139" s="1179"/>
      <c r="C139" s="1201"/>
      <c r="D139" s="1201"/>
      <c r="E139" s="340" t="s">
        <v>185</v>
      </c>
      <c r="F139" s="341"/>
      <c r="G139" s="342"/>
      <c r="H139" s="342"/>
      <c r="I139" s="342"/>
      <c r="J139" s="342"/>
      <c r="K139" s="342"/>
      <c r="L139" s="342"/>
      <c r="M139" s="342"/>
      <c r="N139" s="342"/>
      <c r="O139" s="342"/>
      <c r="P139" s="342"/>
      <c r="Q139" s="343"/>
      <c r="R139" s="344"/>
      <c r="S139" s="335"/>
      <c r="T139" s="1185"/>
      <c r="U139" s="1185"/>
    </row>
    <row r="140" spans="1:21" s="2" customFormat="1" ht="15" thickBot="1" x14ac:dyDescent="0.4">
      <c r="A140" s="1198"/>
      <c r="B140" s="1179"/>
      <c r="C140" s="1201"/>
      <c r="D140" s="1201"/>
      <c r="E140" s="1193" t="s">
        <v>175</v>
      </c>
      <c r="F140" s="1194"/>
      <c r="G140" s="1194"/>
      <c r="H140" s="1194"/>
      <c r="I140" s="1194"/>
      <c r="J140" s="1194"/>
      <c r="K140" s="1194"/>
      <c r="L140" s="1194"/>
      <c r="M140" s="1194"/>
      <c r="N140" s="1194"/>
      <c r="O140" s="1194"/>
      <c r="P140" s="1194"/>
      <c r="Q140" s="1194"/>
      <c r="R140" s="348" t="e">
        <f>SUM(R142:R143)/R135</f>
        <v>#DIV/0!</v>
      </c>
      <c r="S140" s="349" t="s">
        <v>186</v>
      </c>
      <c r="T140" s="1185"/>
      <c r="U140" s="1185"/>
    </row>
    <row r="141" spans="1:21" s="2" customFormat="1" x14ac:dyDescent="0.35">
      <c r="A141" s="1198"/>
      <c r="B141" s="1179"/>
      <c r="C141" s="1201"/>
      <c r="D141" s="1201"/>
      <c r="E141" s="62" t="s">
        <v>187</v>
      </c>
      <c r="F141" s="44">
        <f>SUM(F142:F145)</f>
        <v>0</v>
      </c>
      <c r="G141" s="43">
        <f>SUM(G142:G145)</f>
        <v>0</v>
      </c>
      <c r="H141" s="43">
        <f t="shared" ref="H141:Q141" si="25">SUM(H142:H145)</f>
        <v>0</v>
      </c>
      <c r="I141" s="43">
        <f t="shared" si="25"/>
        <v>0</v>
      </c>
      <c r="J141" s="43">
        <f t="shared" si="25"/>
        <v>0</v>
      </c>
      <c r="K141" s="43">
        <f t="shared" si="25"/>
        <v>0</v>
      </c>
      <c r="L141" s="43">
        <f t="shared" si="25"/>
        <v>0</v>
      </c>
      <c r="M141" s="43">
        <f t="shared" si="25"/>
        <v>0</v>
      </c>
      <c r="N141" s="43">
        <f t="shared" si="25"/>
        <v>0</v>
      </c>
      <c r="O141" s="43">
        <f t="shared" si="25"/>
        <v>0</v>
      </c>
      <c r="P141" s="43">
        <f t="shared" si="25"/>
        <v>0</v>
      </c>
      <c r="Q141" s="43">
        <f t="shared" si="25"/>
        <v>0</v>
      </c>
      <c r="R141" s="65"/>
      <c r="S141" s="65"/>
      <c r="T141" s="1185"/>
      <c r="U141" s="1185"/>
    </row>
    <row r="142" spans="1:21" s="2" customFormat="1" x14ac:dyDescent="0.35">
      <c r="A142" s="1198"/>
      <c r="B142" s="1179"/>
      <c r="C142" s="1201"/>
      <c r="D142" s="1201"/>
      <c r="E142" s="63" t="s">
        <v>188</v>
      </c>
      <c r="F142" s="23"/>
      <c r="G142" s="26"/>
      <c r="H142" s="26"/>
      <c r="I142" s="26"/>
      <c r="J142" s="26"/>
      <c r="K142" s="26"/>
      <c r="L142" s="26"/>
      <c r="M142" s="26"/>
      <c r="N142" s="26"/>
      <c r="O142" s="26"/>
      <c r="P142" s="26"/>
      <c r="Q142" s="16"/>
      <c r="R142" s="65">
        <f>SUM(F142:Q142)</f>
        <v>0</v>
      </c>
      <c r="S142" s="346" t="e">
        <f>R142/R136</f>
        <v>#DIV/0!</v>
      </c>
      <c r="T142" s="1185"/>
      <c r="U142" s="1185"/>
    </row>
    <row r="143" spans="1:21" s="2" customFormat="1" x14ac:dyDescent="0.35">
      <c r="A143" s="1198"/>
      <c r="B143" s="1179"/>
      <c r="C143" s="1201"/>
      <c r="D143" s="1201"/>
      <c r="E143" s="37" t="s">
        <v>189</v>
      </c>
      <c r="F143" s="33"/>
      <c r="G143" s="32"/>
      <c r="H143" s="32"/>
      <c r="I143" s="32"/>
      <c r="J143" s="32"/>
      <c r="K143" s="32"/>
      <c r="L143" s="32"/>
      <c r="M143" s="32"/>
      <c r="N143" s="32"/>
      <c r="O143" s="32"/>
      <c r="P143" s="32"/>
      <c r="Q143" s="34"/>
      <c r="R143" s="65">
        <f>SUM(F143:Q143)</f>
        <v>0</v>
      </c>
      <c r="S143" s="346" t="e">
        <f>R143/R137</f>
        <v>#DIV/0!</v>
      </c>
      <c r="T143" s="1185"/>
      <c r="U143" s="1185"/>
    </row>
    <row r="144" spans="1:21" s="2" customFormat="1" x14ac:dyDescent="0.35">
      <c r="A144" s="1198"/>
      <c r="B144" s="1179"/>
      <c r="C144" s="1201"/>
      <c r="D144" s="1201"/>
      <c r="E144" s="36" t="s">
        <v>190</v>
      </c>
      <c r="F144" s="29"/>
      <c r="G144" s="30"/>
      <c r="H144" s="30"/>
      <c r="I144" s="30"/>
      <c r="J144" s="30"/>
      <c r="K144" s="30"/>
      <c r="L144" s="30"/>
      <c r="M144" s="30"/>
      <c r="N144" s="30"/>
      <c r="O144" s="30"/>
      <c r="P144" s="30"/>
      <c r="Q144" s="31"/>
      <c r="R144" s="65"/>
      <c r="S144" s="65"/>
      <c r="T144" s="1185"/>
      <c r="U144" s="1185"/>
    </row>
    <row r="145" spans="1:21" s="2" customFormat="1" ht="15" thickBot="1" x14ac:dyDescent="0.4">
      <c r="A145" s="1199"/>
      <c r="B145" s="1180"/>
      <c r="C145" s="1202"/>
      <c r="D145" s="1202"/>
      <c r="E145" s="64" t="s">
        <v>191</v>
      </c>
      <c r="F145" s="25"/>
      <c r="G145" s="28"/>
      <c r="H145" s="28"/>
      <c r="I145" s="28"/>
      <c r="J145" s="28"/>
      <c r="K145" s="28"/>
      <c r="L145" s="28"/>
      <c r="M145" s="28"/>
      <c r="N145" s="28"/>
      <c r="O145" s="28"/>
      <c r="P145" s="28"/>
      <c r="Q145" s="35"/>
      <c r="R145" s="137"/>
      <c r="S145" s="137"/>
      <c r="T145" s="1186"/>
      <c r="U145" s="1186"/>
    </row>
    <row r="146" spans="1:21" s="2" customFormat="1" x14ac:dyDescent="0.35">
      <c r="A146" s="1198">
        <v>14</v>
      </c>
      <c r="B146" s="1178" t="str">
        <f>IF(VLOOKUP(A:A,'Benefit-People-Indicator Ex'!Z:AE,6,FALSE)=0,"",VLOOKUP(A:A,'Benefit-People-Indicator Ex'!Z:AE,6,FALSE))</f>
        <v>P010400</v>
      </c>
      <c r="C146" s="1200" t="str">
        <f>_xlfn.IFNA(VLOOKUP(B:B,'indicator lists'!L:R,3,FALSE),"")</f>
        <v/>
      </c>
      <c r="D146" s="1200" t="str">
        <f>_xlfn.IFNA(VLOOKUP(A:A,'Benefit-People-Indicator Ex'!P:X,9,FALSE),"")</f>
        <v>P010400</v>
      </c>
      <c r="E146" s="59" t="s">
        <v>181</v>
      </c>
      <c r="F146" s="60">
        <f>SUM(F147:F150)</f>
        <v>0</v>
      </c>
      <c r="G146" s="61">
        <f>SUM(G147:G150)</f>
        <v>0</v>
      </c>
      <c r="H146" s="61">
        <f t="shared" ref="H146:P146" si="26">SUM(H147:H150)</f>
        <v>0</v>
      </c>
      <c r="I146" s="61">
        <f t="shared" si="26"/>
        <v>0</v>
      </c>
      <c r="J146" s="61">
        <f t="shared" si="26"/>
        <v>0</v>
      </c>
      <c r="K146" s="61">
        <f t="shared" si="26"/>
        <v>0</v>
      </c>
      <c r="L146" s="61">
        <f t="shared" si="26"/>
        <v>0</v>
      </c>
      <c r="M146" s="61">
        <f t="shared" si="26"/>
        <v>0</v>
      </c>
      <c r="N146" s="61">
        <f t="shared" si="26"/>
        <v>0</v>
      </c>
      <c r="O146" s="61">
        <f t="shared" si="26"/>
        <v>0</v>
      </c>
      <c r="P146" s="61">
        <f t="shared" si="26"/>
        <v>0</v>
      </c>
      <c r="Q146" s="61">
        <f>SUM(Q147:Q150)</f>
        <v>0</v>
      </c>
      <c r="R146" s="347">
        <f>SUM(R147:R148)</f>
        <v>0</v>
      </c>
      <c r="S146" s="134"/>
      <c r="T146" s="1184"/>
      <c r="U146" s="1184"/>
    </row>
    <row r="147" spans="1:21" s="2" customFormat="1" x14ac:dyDescent="0.35">
      <c r="A147" s="1198"/>
      <c r="B147" s="1179"/>
      <c r="C147" s="1201"/>
      <c r="D147" s="1201"/>
      <c r="E147" s="63" t="s">
        <v>182</v>
      </c>
      <c r="F147" s="23"/>
      <c r="G147" s="26"/>
      <c r="H147" s="26"/>
      <c r="I147" s="26"/>
      <c r="J147" s="26"/>
      <c r="K147" s="26"/>
      <c r="L147" s="26"/>
      <c r="M147" s="26"/>
      <c r="N147" s="26"/>
      <c r="O147" s="26"/>
      <c r="P147" s="26"/>
      <c r="Q147" s="16"/>
      <c r="R147" s="344">
        <f>SUM(F147:Q147)</f>
        <v>0</v>
      </c>
      <c r="S147" s="135"/>
      <c r="T147" s="1185"/>
      <c r="U147" s="1185"/>
    </row>
    <row r="148" spans="1:21" s="2" customFormat="1" x14ac:dyDescent="0.35">
      <c r="A148" s="1198"/>
      <c r="B148" s="1179"/>
      <c r="C148" s="1201"/>
      <c r="D148" s="1201"/>
      <c r="E148" s="336" t="s">
        <v>183</v>
      </c>
      <c r="F148" s="337"/>
      <c r="G148" s="338"/>
      <c r="H148" s="338"/>
      <c r="I148" s="338"/>
      <c r="J148" s="338"/>
      <c r="K148" s="338"/>
      <c r="L148" s="338"/>
      <c r="M148" s="338"/>
      <c r="N148" s="338"/>
      <c r="O148" s="338"/>
      <c r="P148" s="338"/>
      <c r="Q148" s="339"/>
      <c r="R148" s="344">
        <f>SUM(F148:Q148)</f>
        <v>0</v>
      </c>
      <c r="S148" s="335"/>
      <c r="T148" s="1185"/>
      <c r="U148" s="1185"/>
    </row>
    <row r="149" spans="1:21" s="2" customFormat="1" x14ac:dyDescent="0.35">
      <c r="A149" s="1198"/>
      <c r="B149" s="1179"/>
      <c r="C149" s="1201"/>
      <c r="D149" s="1201"/>
      <c r="E149" s="36" t="s">
        <v>184</v>
      </c>
      <c r="F149" s="29"/>
      <c r="G149" s="30"/>
      <c r="H149" s="30"/>
      <c r="I149" s="30"/>
      <c r="J149" s="30"/>
      <c r="K149" s="30"/>
      <c r="L149" s="30"/>
      <c r="M149" s="30"/>
      <c r="N149" s="30"/>
      <c r="O149" s="30"/>
      <c r="P149" s="30"/>
      <c r="Q149" s="31"/>
      <c r="R149" s="344"/>
      <c r="S149" s="335"/>
      <c r="T149" s="1185"/>
      <c r="U149" s="1185"/>
    </row>
    <row r="150" spans="1:21" s="2" customFormat="1" ht="15" thickBot="1" x14ac:dyDescent="0.4">
      <c r="A150" s="1198"/>
      <c r="B150" s="1179"/>
      <c r="C150" s="1201"/>
      <c r="D150" s="1201"/>
      <c r="E150" s="340" t="s">
        <v>185</v>
      </c>
      <c r="F150" s="341"/>
      <c r="G150" s="342"/>
      <c r="H150" s="342"/>
      <c r="I150" s="342"/>
      <c r="J150" s="342"/>
      <c r="K150" s="342"/>
      <c r="L150" s="342"/>
      <c r="M150" s="342"/>
      <c r="N150" s="342"/>
      <c r="O150" s="342"/>
      <c r="P150" s="342"/>
      <c r="Q150" s="343"/>
      <c r="R150" s="344"/>
      <c r="S150" s="335"/>
      <c r="T150" s="1185"/>
      <c r="U150" s="1185"/>
    </row>
    <row r="151" spans="1:21" s="2" customFormat="1" ht="15" thickBot="1" x14ac:dyDescent="0.4">
      <c r="A151" s="1198"/>
      <c r="B151" s="1179"/>
      <c r="C151" s="1201"/>
      <c r="D151" s="1201"/>
      <c r="E151" s="1193" t="s">
        <v>175</v>
      </c>
      <c r="F151" s="1194"/>
      <c r="G151" s="1194"/>
      <c r="H151" s="1194"/>
      <c r="I151" s="1194"/>
      <c r="J151" s="1194"/>
      <c r="K151" s="1194"/>
      <c r="L151" s="1194"/>
      <c r="M151" s="1194"/>
      <c r="N151" s="1194"/>
      <c r="O151" s="1194"/>
      <c r="P151" s="1194"/>
      <c r="Q151" s="1194"/>
      <c r="R151" s="348" t="e">
        <f>SUM(R153:R154)/R146</f>
        <v>#DIV/0!</v>
      </c>
      <c r="S151" s="349" t="s">
        <v>186</v>
      </c>
      <c r="T151" s="1185"/>
      <c r="U151" s="1185"/>
    </row>
    <row r="152" spans="1:21" s="2" customFormat="1" x14ac:dyDescent="0.35">
      <c r="A152" s="1198"/>
      <c r="B152" s="1179"/>
      <c r="C152" s="1201"/>
      <c r="D152" s="1201"/>
      <c r="E152" s="62" t="s">
        <v>187</v>
      </c>
      <c r="F152" s="44">
        <f>SUM(F153:F156)</f>
        <v>0</v>
      </c>
      <c r="G152" s="43">
        <f>SUM(G153:G156)</f>
        <v>0</v>
      </c>
      <c r="H152" s="43">
        <f t="shared" ref="H152:Q152" si="27">SUM(H153:H156)</f>
        <v>0</v>
      </c>
      <c r="I152" s="43">
        <f t="shared" si="27"/>
        <v>0</v>
      </c>
      <c r="J152" s="43">
        <f t="shared" si="27"/>
        <v>0</v>
      </c>
      <c r="K152" s="43">
        <f t="shared" si="27"/>
        <v>0</v>
      </c>
      <c r="L152" s="43">
        <f t="shared" si="27"/>
        <v>0</v>
      </c>
      <c r="M152" s="43">
        <f t="shared" si="27"/>
        <v>0</v>
      </c>
      <c r="N152" s="43">
        <f t="shared" si="27"/>
        <v>0</v>
      </c>
      <c r="O152" s="43">
        <f t="shared" si="27"/>
        <v>0</v>
      </c>
      <c r="P152" s="43">
        <f t="shared" si="27"/>
        <v>0</v>
      </c>
      <c r="Q152" s="43">
        <f t="shared" si="27"/>
        <v>0</v>
      </c>
      <c r="R152" s="65"/>
      <c r="S152" s="65"/>
      <c r="T152" s="1185"/>
      <c r="U152" s="1185"/>
    </row>
    <row r="153" spans="1:21" s="2" customFormat="1" x14ac:dyDescent="0.35">
      <c r="A153" s="1198"/>
      <c r="B153" s="1179"/>
      <c r="C153" s="1201"/>
      <c r="D153" s="1201"/>
      <c r="E153" s="63" t="s">
        <v>188</v>
      </c>
      <c r="F153" s="23"/>
      <c r="G153" s="26"/>
      <c r="H153" s="26"/>
      <c r="I153" s="26"/>
      <c r="J153" s="26"/>
      <c r="K153" s="26"/>
      <c r="L153" s="26"/>
      <c r="M153" s="26"/>
      <c r="N153" s="26"/>
      <c r="O153" s="26"/>
      <c r="P153" s="26"/>
      <c r="Q153" s="16"/>
      <c r="R153" s="65">
        <f>SUM(F153:Q153)</f>
        <v>0</v>
      </c>
      <c r="S153" s="346" t="e">
        <f>R153/R147</f>
        <v>#DIV/0!</v>
      </c>
      <c r="T153" s="1185"/>
      <c r="U153" s="1185"/>
    </row>
    <row r="154" spans="1:21" s="2" customFormat="1" x14ac:dyDescent="0.35">
      <c r="A154" s="1198"/>
      <c r="B154" s="1179"/>
      <c r="C154" s="1201"/>
      <c r="D154" s="1201"/>
      <c r="E154" s="37" t="s">
        <v>189</v>
      </c>
      <c r="F154" s="33"/>
      <c r="G154" s="32"/>
      <c r="H154" s="32"/>
      <c r="I154" s="32"/>
      <c r="J154" s="32"/>
      <c r="K154" s="32"/>
      <c r="L154" s="32"/>
      <c r="M154" s="32"/>
      <c r="N154" s="32"/>
      <c r="O154" s="32"/>
      <c r="P154" s="32"/>
      <c r="Q154" s="34"/>
      <c r="R154" s="65">
        <f>SUM(F154:Q154)</f>
        <v>0</v>
      </c>
      <c r="S154" s="346" t="e">
        <f>R154/R148</f>
        <v>#DIV/0!</v>
      </c>
      <c r="T154" s="1185"/>
      <c r="U154" s="1185"/>
    </row>
    <row r="155" spans="1:21" s="2" customFormat="1" x14ac:dyDescent="0.35">
      <c r="A155" s="1198"/>
      <c r="B155" s="1179"/>
      <c r="C155" s="1201"/>
      <c r="D155" s="1201"/>
      <c r="E155" s="36" t="s">
        <v>190</v>
      </c>
      <c r="F155" s="29"/>
      <c r="G155" s="30"/>
      <c r="H155" s="30"/>
      <c r="I155" s="30"/>
      <c r="J155" s="30"/>
      <c r="K155" s="30"/>
      <c r="L155" s="30"/>
      <c r="M155" s="30"/>
      <c r="N155" s="30"/>
      <c r="O155" s="30"/>
      <c r="P155" s="30"/>
      <c r="Q155" s="31"/>
      <c r="R155" s="65"/>
      <c r="S155" s="65"/>
      <c r="T155" s="1185"/>
      <c r="U155" s="1185"/>
    </row>
    <row r="156" spans="1:21" s="2" customFormat="1" ht="15" thickBot="1" x14ac:dyDescent="0.4">
      <c r="A156" s="1199"/>
      <c r="B156" s="1180"/>
      <c r="C156" s="1202"/>
      <c r="D156" s="1202"/>
      <c r="E156" s="64" t="s">
        <v>191</v>
      </c>
      <c r="F156" s="25"/>
      <c r="G156" s="28"/>
      <c r="H156" s="28"/>
      <c r="I156" s="28"/>
      <c r="J156" s="28"/>
      <c r="K156" s="28"/>
      <c r="L156" s="28"/>
      <c r="M156" s="28"/>
      <c r="N156" s="28"/>
      <c r="O156" s="28"/>
      <c r="P156" s="28"/>
      <c r="Q156" s="35"/>
      <c r="R156" s="137"/>
      <c r="S156" s="137"/>
      <c r="T156" s="1186"/>
      <c r="U156" s="1186"/>
    </row>
    <row r="157" spans="1:21" s="2" customFormat="1" x14ac:dyDescent="0.35">
      <c r="A157" s="1198">
        <v>15</v>
      </c>
      <c r="B157" s="1178" t="str">
        <f>IF(VLOOKUP(A:A,'Benefit-People-Indicator Ex'!Z:AE,6,FALSE)=0,"",VLOOKUP(A:A,'Benefit-People-Indicator Ex'!Z:AE,6,FALSE))</f>
        <v>P040204</v>
      </c>
      <c r="C157" s="1200" t="str">
        <f>_xlfn.IFNA(VLOOKUP(B:B,'indicator lists'!L:R,3,FALSE),"")</f>
        <v>Individual</v>
      </c>
      <c r="D157" s="1200" t="str">
        <f>_xlfn.IFNA(VLOOKUP(A:A,'Benefit-People-Indicator Ex'!P:X,9,FALSE),"")</f>
        <v># of people trained on home gardening and/or dietary diversity</v>
      </c>
      <c r="E157" s="59" t="s">
        <v>181</v>
      </c>
      <c r="F157" s="60">
        <f>SUM(F158:F161)</f>
        <v>0</v>
      </c>
      <c r="G157" s="61">
        <f>SUM(G158:G161)</f>
        <v>0</v>
      </c>
      <c r="H157" s="61">
        <f t="shared" ref="H157:P157" si="28">SUM(H158:H161)</f>
        <v>0</v>
      </c>
      <c r="I157" s="61">
        <f t="shared" si="28"/>
        <v>0</v>
      </c>
      <c r="J157" s="61">
        <f t="shared" si="28"/>
        <v>0</v>
      </c>
      <c r="K157" s="61">
        <f t="shared" si="28"/>
        <v>0</v>
      </c>
      <c r="L157" s="61">
        <f t="shared" si="28"/>
        <v>0</v>
      </c>
      <c r="M157" s="61">
        <f t="shared" si="28"/>
        <v>0</v>
      </c>
      <c r="N157" s="61">
        <f t="shared" si="28"/>
        <v>0</v>
      </c>
      <c r="O157" s="61">
        <f t="shared" si="28"/>
        <v>0</v>
      </c>
      <c r="P157" s="61">
        <f t="shared" si="28"/>
        <v>0</v>
      </c>
      <c r="Q157" s="61">
        <f>SUM(Q158:Q161)</f>
        <v>0</v>
      </c>
      <c r="R157" s="347">
        <f>SUM(R158:R159)</f>
        <v>0</v>
      </c>
      <c r="S157" s="134"/>
      <c r="T157" s="1184"/>
      <c r="U157" s="1184"/>
    </row>
    <row r="158" spans="1:21" s="2" customFormat="1" x14ac:dyDescent="0.35">
      <c r="A158" s="1198"/>
      <c r="B158" s="1179"/>
      <c r="C158" s="1201"/>
      <c r="D158" s="1201"/>
      <c r="E158" s="63" t="s">
        <v>182</v>
      </c>
      <c r="F158" s="23"/>
      <c r="G158" s="26"/>
      <c r="H158" s="26"/>
      <c r="I158" s="26"/>
      <c r="J158" s="26"/>
      <c r="K158" s="26"/>
      <c r="L158" s="26"/>
      <c r="M158" s="26"/>
      <c r="N158" s="26"/>
      <c r="O158" s="26"/>
      <c r="P158" s="26"/>
      <c r="Q158" s="16"/>
      <c r="R158" s="344">
        <f>SUM(F158:Q158)</f>
        <v>0</v>
      </c>
      <c r="S158" s="135"/>
      <c r="T158" s="1185"/>
      <c r="U158" s="1185"/>
    </row>
    <row r="159" spans="1:21" s="2" customFormat="1" x14ac:dyDescent="0.35">
      <c r="A159" s="1198"/>
      <c r="B159" s="1179"/>
      <c r="C159" s="1201"/>
      <c r="D159" s="1201"/>
      <c r="E159" s="336" t="s">
        <v>183</v>
      </c>
      <c r="F159" s="337"/>
      <c r="G159" s="338"/>
      <c r="H159" s="338"/>
      <c r="I159" s="338"/>
      <c r="J159" s="338"/>
      <c r="K159" s="338"/>
      <c r="L159" s="338"/>
      <c r="M159" s="338"/>
      <c r="N159" s="338"/>
      <c r="O159" s="338"/>
      <c r="P159" s="338"/>
      <c r="Q159" s="339"/>
      <c r="R159" s="344">
        <f>SUM(F159:Q159)</f>
        <v>0</v>
      </c>
      <c r="S159" s="335"/>
      <c r="T159" s="1185"/>
      <c r="U159" s="1185"/>
    </row>
    <row r="160" spans="1:21" s="2" customFormat="1" x14ac:dyDescent="0.35">
      <c r="A160" s="1198"/>
      <c r="B160" s="1179"/>
      <c r="C160" s="1201"/>
      <c r="D160" s="1201"/>
      <c r="E160" s="36" t="s">
        <v>184</v>
      </c>
      <c r="F160" s="29"/>
      <c r="G160" s="30"/>
      <c r="H160" s="30"/>
      <c r="I160" s="30"/>
      <c r="J160" s="30"/>
      <c r="K160" s="30"/>
      <c r="L160" s="30"/>
      <c r="M160" s="30"/>
      <c r="N160" s="30"/>
      <c r="O160" s="30"/>
      <c r="P160" s="30"/>
      <c r="Q160" s="31"/>
      <c r="R160" s="344"/>
      <c r="S160" s="335"/>
      <c r="T160" s="1185"/>
      <c r="U160" s="1185"/>
    </row>
    <row r="161" spans="1:21" s="2" customFormat="1" ht="15" thickBot="1" x14ac:dyDescent="0.4">
      <c r="A161" s="1198"/>
      <c r="B161" s="1179"/>
      <c r="C161" s="1201"/>
      <c r="D161" s="1201"/>
      <c r="E161" s="340" t="s">
        <v>185</v>
      </c>
      <c r="F161" s="341"/>
      <c r="G161" s="342"/>
      <c r="H161" s="342"/>
      <c r="I161" s="342"/>
      <c r="J161" s="342"/>
      <c r="K161" s="342"/>
      <c r="L161" s="342"/>
      <c r="M161" s="342"/>
      <c r="N161" s="342"/>
      <c r="O161" s="342"/>
      <c r="P161" s="342"/>
      <c r="Q161" s="343"/>
      <c r="R161" s="344"/>
      <c r="S161" s="335"/>
      <c r="T161" s="1185"/>
      <c r="U161" s="1185"/>
    </row>
    <row r="162" spans="1:21" s="2" customFormat="1" ht="15" thickBot="1" x14ac:dyDescent="0.4">
      <c r="A162" s="1198"/>
      <c r="B162" s="1179"/>
      <c r="C162" s="1201"/>
      <c r="D162" s="1201"/>
      <c r="E162" s="1193" t="s">
        <v>175</v>
      </c>
      <c r="F162" s="1194"/>
      <c r="G162" s="1194"/>
      <c r="H162" s="1194"/>
      <c r="I162" s="1194"/>
      <c r="J162" s="1194"/>
      <c r="K162" s="1194"/>
      <c r="L162" s="1194"/>
      <c r="M162" s="1194"/>
      <c r="N162" s="1194"/>
      <c r="O162" s="1194"/>
      <c r="P162" s="1194"/>
      <c r="Q162" s="1194"/>
      <c r="R162" s="348" t="e">
        <f>SUM(R164:R165)/R157</f>
        <v>#DIV/0!</v>
      </c>
      <c r="S162" s="349" t="s">
        <v>186</v>
      </c>
      <c r="T162" s="1185"/>
      <c r="U162" s="1185"/>
    </row>
    <row r="163" spans="1:21" s="2" customFormat="1" x14ac:dyDescent="0.35">
      <c r="A163" s="1198"/>
      <c r="B163" s="1179"/>
      <c r="C163" s="1201"/>
      <c r="D163" s="1201"/>
      <c r="E163" s="62" t="s">
        <v>187</v>
      </c>
      <c r="F163" s="44">
        <f>SUM(F164:F167)</f>
        <v>0</v>
      </c>
      <c r="G163" s="43">
        <f>SUM(G164:G167)</f>
        <v>0</v>
      </c>
      <c r="H163" s="43">
        <f t="shared" ref="H163:Q163" si="29">SUM(H164:H167)</f>
        <v>0</v>
      </c>
      <c r="I163" s="43">
        <f t="shared" si="29"/>
        <v>0</v>
      </c>
      <c r="J163" s="43">
        <f t="shared" si="29"/>
        <v>0</v>
      </c>
      <c r="K163" s="43">
        <f t="shared" si="29"/>
        <v>0</v>
      </c>
      <c r="L163" s="43">
        <f t="shared" si="29"/>
        <v>0</v>
      </c>
      <c r="M163" s="43">
        <f t="shared" si="29"/>
        <v>0</v>
      </c>
      <c r="N163" s="43">
        <f t="shared" si="29"/>
        <v>0</v>
      </c>
      <c r="O163" s="43">
        <f t="shared" si="29"/>
        <v>0</v>
      </c>
      <c r="P163" s="43">
        <f t="shared" si="29"/>
        <v>0</v>
      </c>
      <c r="Q163" s="43">
        <f t="shared" si="29"/>
        <v>0</v>
      </c>
      <c r="R163" s="65"/>
      <c r="S163" s="65"/>
      <c r="T163" s="1185"/>
      <c r="U163" s="1185"/>
    </row>
    <row r="164" spans="1:21" s="2" customFormat="1" x14ac:dyDescent="0.35">
      <c r="A164" s="1198"/>
      <c r="B164" s="1179"/>
      <c r="C164" s="1201"/>
      <c r="D164" s="1201"/>
      <c r="E164" s="63" t="s">
        <v>188</v>
      </c>
      <c r="F164" s="23"/>
      <c r="G164" s="26"/>
      <c r="H164" s="26"/>
      <c r="I164" s="26"/>
      <c r="J164" s="26"/>
      <c r="K164" s="26"/>
      <c r="L164" s="26"/>
      <c r="M164" s="26"/>
      <c r="N164" s="26"/>
      <c r="O164" s="26"/>
      <c r="P164" s="26"/>
      <c r="Q164" s="16"/>
      <c r="R164" s="65">
        <f>SUM(F164:Q164)</f>
        <v>0</v>
      </c>
      <c r="S164" s="346" t="e">
        <f>R164/R158</f>
        <v>#DIV/0!</v>
      </c>
      <c r="T164" s="1185"/>
      <c r="U164" s="1185"/>
    </row>
    <row r="165" spans="1:21" s="2" customFormat="1" x14ac:dyDescent="0.35">
      <c r="A165" s="1198"/>
      <c r="B165" s="1179"/>
      <c r="C165" s="1201"/>
      <c r="D165" s="1201"/>
      <c r="E165" s="37" t="s">
        <v>189</v>
      </c>
      <c r="F165" s="33"/>
      <c r="G165" s="32"/>
      <c r="H165" s="32"/>
      <c r="I165" s="32"/>
      <c r="J165" s="32"/>
      <c r="K165" s="32"/>
      <c r="L165" s="32"/>
      <c r="M165" s="32"/>
      <c r="N165" s="32"/>
      <c r="O165" s="32"/>
      <c r="P165" s="32"/>
      <c r="Q165" s="34"/>
      <c r="R165" s="65">
        <f>SUM(F165:Q165)</f>
        <v>0</v>
      </c>
      <c r="S165" s="346" t="e">
        <f>R165/R159</f>
        <v>#DIV/0!</v>
      </c>
      <c r="T165" s="1185"/>
      <c r="U165" s="1185"/>
    </row>
    <row r="166" spans="1:21" s="2" customFormat="1" x14ac:dyDescent="0.35">
      <c r="A166" s="1198"/>
      <c r="B166" s="1179"/>
      <c r="C166" s="1201"/>
      <c r="D166" s="1201"/>
      <c r="E166" s="36" t="s">
        <v>190</v>
      </c>
      <c r="F166" s="29"/>
      <c r="G166" s="30"/>
      <c r="H166" s="30"/>
      <c r="I166" s="30"/>
      <c r="J166" s="30"/>
      <c r="K166" s="30"/>
      <c r="L166" s="30"/>
      <c r="M166" s="30"/>
      <c r="N166" s="30"/>
      <c r="O166" s="30"/>
      <c r="P166" s="30"/>
      <c r="Q166" s="31"/>
      <c r="R166" s="65"/>
      <c r="S166" s="65"/>
      <c r="T166" s="1185"/>
      <c r="U166" s="1185"/>
    </row>
    <row r="167" spans="1:21" s="2" customFormat="1" ht="15" thickBot="1" x14ac:dyDescent="0.4">
      <c r="A167" s="1199"/>
      <c r="B167" s="1180"/>
      <c r="C167" s="1202"/>
      <c r="D167" s="1202"/>
      <c r="E167" s="64" t="s">
        <v>191</v>
      </c>
      <c r="F167" s="25"/>
      <c r="G167" s="28"/>
      <c r="H167" s="28"/>
      <c r="I167" s="28"/>
      <c r="J167" s="28"/>
      <c r="K167" s="28"/>
      <c r="L167" s="28"/>
      <c r="M167" s="28"/>
      <c r="N167" s="28"/>
      <c r="O167" s="28"/>
      <c r="P167" s="28"/>
      <c r="Q167" s="35"/>
      <c r="R167" s="137"/>
      <c r="S167" s="137"/>
      <c r="T167" s="1186"/>
      <c r="U167" s="1186"/>
    </row>
    <row r="168" spans="1:21" s="2" customFormat="1" x14ac:dyDescent="0.35">
      <c r="A168" s="1198">
        <v>16</v>
      </c>
      <c r="B168" s="1178" t="str">
        <f>IF(VLOOKUP(A:A,'Benefit-People-Indicator Ex'!Z:AE,6,FALSE)=0,"",VLOOKUP(A:A,'Benefit-People-Indicator Ex'!Z:AE,6,FALSE))</f>
        <v>P040200</v>
      </c>
      <c r="C168" s="1200" t="str">
        <f>_xlfn.IFNA(VLOOKUP(B:B,'indicator lists'!L:R,3,FALSE),"")</f>
        <v>Individual</v>
      </c>
      <c r="D168" s="1200" t="str">
        <f>_xlfn.IFNA(VLOOKUP(A:A,'Benefit-People-Indicator Ex'!P:X,9,FALSE),"")</f>
        <v># of people trained on nutritional practices</v>
      </c>
      <c r="E168" s="59" t="s">
        <v>181</v>
      </c>
      <c r="F168" s="60">
        <f>SUM(F169:F172)</f>
        <v>0</v>
      </c>
      <c r="G168" s="61">
        <f>SUM(G169:G172)</f>
        <v>0</v>
      </c>
      <c r="H168" s="61">
        <f t="shared" ref="H168:P168" si="30">SUM(H169:H172)</f>
        <v>0</v>
      </c>
      <c r="I168" s="61">
        <f t="shared" si="30"/>
        <v>0</v>
      </c>
      <c r="J168" s="61">
        <f t="shared" si="30"/>
        <v>0</v>
      </c>
      <c r="K168" s="61">
        <f t="shared" si="30"/>
        <v>0</v>
      </c>
      <c r="L168" s="61">
        <f t="shared" si="30"/>
        <v>0</v>
      </c>
      <c r="M168" s="61">
        <f t="shared" si="30"/>
        <v>0</v>
      </c>
      <c r="N168" s="61">
        <f t="shared" si="30"/>
        <v>0</v>
      </c>
      <c r="O168" s="61">
        <f t="shared" si="30"/>
        <v>0</v>
      </c>
      <c r="P168" s="61">
        <f t="shared" si="30"/>
        <v>0</v>
      </c>
      <c r="Q168" s="61">
        <f>SUM(Q169:Q172)</f>
        <v>0</v>
      </c>
      <c r="R168" s="347">
        <f>SUM(R169:R170)</f>
        <v>0</v>
      </c>
      <c r="S168" s="134"/>
      <c r="T168" s="1184"/>
      <c r="U168" s="1184"/>
    </row>
    <row r="169" spans="1:21" s="2" customFormat="1" x14ac:dyDescent="0.35">
      <c r="A169" s="1198"/>
      <c r="B169" s="1179"/>
      <c r="C169" s="1201"/>
      <c r="D169" s="1201"/>
      <c r="E169" s="63" t="s">
        <v>182</v>
      </c>
      <c r="F169" s="23"/>
      <c r="G169" s="26"/>
      <c r="H169" s="26"/>
      <c r="I169" s="26"/>
      <c r="J169" s="26"/>
      <c r="K169" s="26"/>
      <c r="L169" s="26"/>
      <c r="M169" s="26"/>
      <c r="N169" s="26"/>
      <c r="O169" s="26"/>
      <c r="P169" s="26"/>
      <c r="Q169" s="16"/>
      <c r="R169" s="344">
        <f>SUM(F169:Q169)</f>
        <v>0</v>
      </c>
      <c r="S169" s="135"/>
      <c r="T169" s="1185"/>
      <c r="U169" s="1185"/>
    </row>
    <row r="170" spans="1:21" s="2" customFormat="1" x14ac:dyDescent="0.35">
      <c r="A170" s="1198"/>
      <c r="B170" s="1179"/>
      <c r="C170" s="1201"/>
      <c r="D170" s="1201"/>
      <c r="E170" s="336" t="s">
        <v>183</v>
      </c>
      <c r="F170" s="337"/>
      <c r="G170" s="338"/>
      <c r="H170" s="338"/>
      <c r="I170" s="338"/>
      <c r="J170" s="338"/>
      <c r="K170" s="338"/>
      <c r="L170" s="338"/>
      <c r="M170" s="338"/>
      <c r="N170" s="338"/>
      <c r="O170" s="338"/>
      <c r="P170" s="338"/>
      <c r="Q170" s="339"/>
      <c r="R170" s="344">
        <f>SUM(F170:Q170)</f>
        <v>0</v>
      </c>
      <c r="S170" s="335"/>
      <c r="T170" s="1185"/>
      <c r="U170" s="1185"/>
    </row>
    <row r="171" spans="1:21" s="2" customFormat="1" x14ac:dyDescent="0.35">
      <c r="A171" s="1198"/>
      <c r="B171" s="1179"/>
      <c r="C171" s="1201"/>
      <c r="D171" s="1201"/>
      <c r="E171" s="36" t="s">
        <v>184</v>
      </c>
      <c r="F171" s="29"/>
      <c r="G171" s="30"/>
      <c r="H171" s="30"/>
      <c r="I171" s="30"/>
      <c r="J171" s="30"/>
      <c r="K171" s="30"/>
      <c r="L171" s="30"/>
      <c r="M171" s="30"/>
      <c r="N171" s="30"/>
      <c r="O171" s="30"/>
      <c r="P171" s="30"/>
      <c r="Q171" s="31"/>
      <c r="R171" s="344"/>
      <c r="S171" s="335"/>
      <c r="T171" s="1185"/>
      <c r="U171" s="1185"/>
    </row>
    <row r="172" spans="1:21" s="2" customFormat="1" ht="15" thickBot="1" x14ac:dyDescent="0.4">
      <c r="A172" s="1198"/>
      <c r="B172" s="1179"/>
      <c r="C172" s="1201"/>
      <c r="D172" s="1201"/>
      <c r="E172" s="340" t="s">
        <v>185</v>
      </c>
      <c r="F172" s="341"/>
      <c r="G172" s="342"/>
      <c r="H172" s="342"/>
      <c r="I172" s="342"/>
      <c r="J172" s="342"/>
      <c r="K172" s="342"/>
      <c r="L172" s="342"/>
      <c r="M172" s="342"/>
      <c r="N172" s="342"/>
      <c r="O172" s="342"/>
      <c r="P172" s="342"/>
      <c r="Q172" s="343"/>
      <c r="R172" s="344"/>
      <c r="S172" s="335"/>
      <c r="T172" s="1185"/>
      <c r="U172" s="1185"/>
    </row>
    <row r="173" spans="1:21" s="2" customFormat="1" ht="15" thickBot="1" x14ac:dyDescent="0.4">
      <c r="A173" s="1198"/>
      <c r="B173" s="1179"/>
      <c r="C173" s="1201"/>
      <c r="D173" s="1201"/>
      <c r="E173" s="1193" t="s">
        <v>175</v>
      </c>
      <c r="F173" s="1194"/>
      <c r="G173" s="1194"/>
      <c r="H173" s="1194"/>
      <c r="I173" s="1194"/>
      <c r="J173" s="1194"/>
      <c r="K173" s="1194"/>
      <c r="L173" s="1194"/>
      <c r="M173" s="1194"/>
      <c r="N173" s="1194"/>
      <c r="O173" s="1194"/>
      <c r="P173" s="1194"/>
      <c r="Q173" s="1194"/>
      <c r="R173" s="348" t="e">
        <f>SUM(R175:R176)/R168</f>
        <v>#DIV/0!</v>
      </c>
      <c r="S173" s="349" t="s">
        <v>186</v>
      </c>
      <c r="T173" s="1185"/>
      <c r="U173" s="1185"/>
    </row>
    <row r="174" spans="1:21" s="2" customFormat="1" x14ac:dyDescent="0.35">
      <c r="A174" s="1198"/>
      <c r="B174" s="1179"/>
      <c r="C174" s="1201"/>
      <c r="D174" s="1201"/>
      <c r="E174" s="62" t="s">
        <v>187</v>
      </c>
      <c r="F174" s="44">
        <f>SUM(F175:F178)</f>
        <v>0</v>
      </c>
      <c r="G174" s="43">
        <f>SUM(G175:G178)</f>
        <v>0</v>
      </c>
      <c r="H174" s="43">
        <f t="shared" ref="H174:Q174" si="31">SUM(H175:H178)</f>
        <v>0</v>
      </c>
      <c r="I174" s="43">
        <f t="shared" si="31"/>
        <v>0</v>
      </c>
      <c r="J174" s="43">
        <f t="shared" si="31"/>
        <v>0</v>
      </c>
      <c r="K174" s="43">
        <f t="shared" si="31"/>
        <v>0</v>
      </c>
      <c r="L174" s="43">
        <f t="shared" si="31"/>
        <v>0</v>
      </c>
      <c r="M174" s="43">
        <f t="shared" si="31"/>
        <v>0</v>
      </c>
      <c r="N174" s="43">
        <f t="shared" si="31"/>
        <v>0</v>
      </c>
      <c r="O174" s="43">
        <f t="shared" si="31"/>
        <v>0</v>
      </c>
      <c r="P174" s="43">
        <f t="shared" si="31"/>
        <v>0</v>
      </c>
      <c r="Q174" s="43">
        <f t="shared" si="31"/>
        <v>0</v>
      </c>
      <c r="R174" s="65"/>
      <c r="S174" s="65"/>
      <c r="T174" s="1185"/>
      <c r="U174" s="1185"/>
    </row>
    <row r="175" spans="1:21" s="2" customFormat="1" x14ac:dyDescent="0.35">
      <c r="A175" s="1198"/>
      <c r="B175" s="1179"/>
      <c r="C175" s="1201"/>
      <c r="D175" s="1201"/>
      <c r="E175" s="63" t="s">
        <v>188</v>
      </c>
      <c r="F175" s="23"/>
      <c r="G175" s="26"/>
      <c r="H175" s="26"/>
      <c r="I175" s="26"/>
      <c r="J175" s="26"/>
      <c r="K175" s="26"/>
      <c r="L175" s="26"/>
      <c r="M175" s="26"/>
      <c r="N175" s="26"/>
      <c r="O175" s="26"/>
      <c r="P175" s="26"/>
      <c r="Q175" s="16"/>
      <c r="R175" s="65">
        <f>SUM(F175:Q175)</f>
        <v>0</v>
      </c>
      <c r="S175" s="346" t="e">
        <f>R175/R169</f>
        <v>#DIV/0!</v>
      </c>
      <c r="T175" s="1185"/>
      <c r="U175" s="1185"/>
    </row>
    <row r="176" spans="1:21" s="2" customFormat="1" x14ac:dyDescent="0.35">
      <c r="A176" s="1198"/>
      <c r="B176" s="1179"/>
      <c r="C176" s="1201"/>
      <c r="D176" s="1201"/>
      <c r="E176" s="37" t="s">
        <v>189</v>
      </c>
      <c r="F176" s="33"/>
      <c r="G176" s="32"/>
      <c r="H176" s="32"/>
      <c r="I176" s="32"/>
      <c r="J176" s="32"/>
      <c r="K176" s="32"/>
      <c r="L176" s="32"/>
      <c r="M176" s="32"/>
      <c r="N176" s="32"/>
      <c r="O176" s="32"/>
      <c r="P176" s="32"/>
      <c r="Q176" s="34"/>
      <c r="R176" s="65">
        <f>SUM(F176:Q176)</f>
        <v>0</v>
      </c>
      <c r="S176" s="346" t="e">
        <f>R176/R170</f>
        <v>#DIV/0!</v>
      </c>
      <c r="T176" s="1185"/>
      <c r="U176" s="1185"/>
    </row>
    <row r="177" spans="1:21" s="2" customFormat="1" x14ac:dyDescent="0.35">
      <c r="A177" s="1198"/>
      <c r="B177" s="1179"/>
      <c r="C177" s="1201"/>
      <c r="D177" s="1201"/>
      <c r="E177" s="36" t="s">
        <v>190</v>
      </c>
      <c r="F177" s="29"/>
      <c r="G177" s="30"/>
      <c r="H177" s="30"/>
      <c r="I177" s="30"/>
      <c r="J177" s="30"/>
      <c r="K177" s="30"/>
      <c r="L177" s="30"/>
      <c r="M177" s="30"/>
      <c r="N177" s="30"/>
      <c r="O177" s="30"/>
      <c r="P177" s="30"/>
      <c r="Q177" s="31"/>
      <c r="R177" s="65"/>
      <c r="S177" s="65"/>
      <c r="T177" s="1185"/>
      <c r="U177" s="1185"/>
    </row>
    <row r="178" spans="1:21" s="2" customFormat="1" ht="15" thickBot="1" x14ac:dyDescent="0.4">
      <c r="A178" s="1199"/>
      <c r="B178" s="1180"/>
      <c r="C178" s="1202"/>
      <c r="D178" s="1202"/>
      <c r="E178" s="64" t="s">
        <v>191</v>
      </c>
      <c r="F178" s="25"/>
      <c r="G178" s="28"/>
      <c r="H178" s="28"/>
      <c r="I178" s="28"/>
      <c r="J178" s="28"/>
      <c r="K178" s="28"/>
      <c r="L178" s="28"/>
      <c r="M178" s="28"/>
      <c r="N178" s="28"/>
      <c r="O178" s="28"/>
      <c r="P178" s="28"/>
      <c r="Q178" s="35"/>
      <c r="R178" s="137"/>
      <c r="S178" s="137"/>
      <c r="T178" s="1186"/>
      <c r="U178" s="1186"/>
    </row>
    <row r="179" spans="1:21" s="2" customFormat="1" x14ac:dyDescent="0.35">
      <c r="A179" s="1198">
        <v>17</v>
      </c>
      <c r="B179" s="1178" t="str">
        <f>IF(VLOOKUP(A:A,'Benefit-People-Indicator Ex'!Z:AE,6,FALSE)=0,"",VLOOKUP(A:A,'Benefit-People-Indicator Ex'!Z:AE,6,FALSE))</f>
        <v/>
      </c>
      <c r="C179" s="1200" t="str">
        <f>_xlfn.IFNA(VLOOKUP(B:B,'indicator lists'!L:R,3,FALSE),"")</f>
        <v/>
      </c>
      <c r="D179" s="1200" t="str">
        <f>_xlfn.IFNA(VLOOKUP(A:A,'Benefit-People-Indicator Ex'!P:X,9,FALSE),"")</f>
        <v/>
      </c>
      <c r="E179" s="59" t="s">
        <v>181</v>
      </c>
      <c r="F179" s="60">
        <f>SUM(F180:F183)</f>
        <v>0</v>
      </c>
      <c r="G179" s="61">
        <f>SUM(G180:G183)</f>
        <v>0</v>
      </c>
      <c r="H179" s="61">
        <f t="shared" ref="H179:P179" si="32">SUM(H180:H183)</f>
        <v>0</v>
      </c>
      <c r="I179" s="61">
        <f t="shared" si="32"/>
        <v>0</v>
      </c>
      <c r="J179" s="61">
        <f t="shared" si="32"/>
        <v>0</v>
      </c>
      <c r="K179" s="61">
        <f t="shared" si="32"/>
        <v>0</v>
      </c>
      <c r="L179" s="61">
        <f t="shared" si="32"/>
        <v>0</v>
      </c>
      <c r="M179" s="61">
        <f t="shared" si="32"/>
        <v>0</v>
      </c>
      <c r="N179" s="61">
        <f t="shared" si="32"/>
        <v>0</v>
      </c>
      <c r="O179" s="61">
        <f t="shared" si="32"/>
        <v>0</v>
      </c>
      <c r="P179" s="61">
        <f t="shared" si="32"/>
        <v>0</v>
      </c>
      <c r="Q179" s="61">
        <f>SUM(Q180:Q183)</f>
        <v>0</v>
      </c>
      <c r="R179" s="347">
        <f>SUM(R180:R181)</f>
        <v>0</v>
      </c>
      <c r="S179" s="134"/>
      <c r="T179" s="1184"/>
      <c r="U179" s="1184"/>
    </row>
    <row r="180" spans="1:21" s="2" customFormat="1" x14ac:dyDescent="0.35">
      <c r="A180" s="1198"/>
      <c r="B180" s="1179"/>
      <c r="C180" s="1201"/>
      <c r="D180" s="1201"/>
      <c r="E180" s="63" t="s">
        <v>182</v>
      </c>
      <c r="F180" s="23"/>
      <c r="G180" s="26"/>
      <c r="H180" s="26"/>
      <c r="I180" s="26"/>
      <c r="J180" s="26"/>
      <c r="K180" s="26"/>
      <c r="L180" s="26"/>
      <c r="M180" s="26"/>
      <c r="N180" s="26"/>
      <c r="O180" s="26"/>
      <c r="P180" s="26"/>
      <c r="Q180" s="16"/>
      <c r="R180" s="344">
        <f>SUM(F180:Q180)</f>
        <v>0</v>
      </c>
      <c r="S180" s="135"/>
      <c r="T180" s="1185"/>
      <c r="U180" s="1185"/>
    </row>
    <row r="181" spans="1:21" s="2" customFormat="1" x14ac:dyDescent="0.35">
      <c r="A181" s="1198"/>
      <c r="B181" s="1179"/>
      <c r="C181" s="1201"/>
      <c r="D181" s="1201"/>
      <c r="E181" s="336" t="s">
        <v>183</v>
      </c>
      <c r="F181" s="337"/>
      <c r="G181" s="338"/>
      <c r="H181" s="338"/>
      <c r="I181" s="338"/>
      <c r="J181" s="338"/>
      <c r="K181" s="338"/>
      <c r="L181" s="338"/>
      <c r="M181" s="338"/>
      <c r="N181" s="338"/>
      <c r="O181" s="338"/>
      <c r="P181" s="338"/>
      <c r="Q181" s="339"/>
      <c r="R181" s="344">
        <f>SUM(F181:Q181)</f>
        <v>0</v>
      </c>
      <c r="S181" s="335"/>
      <c r="T181" s="1185"/>
      <c r="U181" s="1185"/>
    </row>
    <row r="182" spans="1:21" s="2" customFormat="1" x14ac:dyDescent="0.35">
      <c r="A182" s="1198"/>
      <c r="B182" s="1179"/>
      <c r="C182" s="1201"/>
      <c r="D182" s="1201"/>
      <c r="E182" s="36" t="s">
        <v>184</v>
      </c>
      <c r="F182" s="29"/>
      <c r="G182" s="30"/>
      <c r="H182" s="30"/>
      <c r="I182" s="30"/>
      <c r="J182" s="30"/>
      <c r="K182" s="30"/>
      <c r="L182" s="30"/>
      <c r="M182" s="30"/>
      <c r="N182" s="30"/>
      <c r="O182" s="30"/>
      <c r="P182" s="30"/>
      <c r="Q182" s="31"/>
      <c r="R182" s="344"/>
      <c r="S182" s="335"/>
      <c r="T182" s="1185"/>
      <c r="U182" s="1185"/>
    </row>
    <row r="183" spans="1:21" s="2" customFormat="1" ht="15" thickBot="1" x14ac:dyDescent="0.4">
      <c r="A183" s="1198"/>
      <c r="B183" s="1179"/>
      <c r="C183" s="1201"/>
      <c r="D183" s="1201"/>
      <c r="E183" s="340" t="s">
        <v>185</v>
      </c>
      <c r="F183" s="341"/>
      <c r="G183" s="342"/>
      <c r="H183" s="342"/>
      <c r="I183" s="342"/>
      <c r="J183" s="342"/>
      <c r="K183" s="342"/>
      <c r="L183" s="342"/>
      <c r="M183" s="342"/>
      <c r="N183" s="342"/>
      <c r="O183" s="342"/>
      <c r="P183" s="342"/>
      <c r="Q183" s="343"/>
      <c r="R183" s="344"/>
      <c r="S183" s="335"/>
      <c r="T183" s="1185"/>
      <c r="U183" s="1185"/>
    </row>
    <row r="184" spans="1:21" s="2" customFormat="1" ht="15" thickBot="1" x14ac:dyDescent="0.4">
      <c r="A184" s="1198"/>
      <c r="B184" s="1179"/>
      <c r="C184" s="1201"/>
      <c r="D184" s="1201"/>
      <c r="E184" s="1193" t="s">
        <v>175</v>
      </c>
      <c r="F184" s="1194"/>
      <c r="G184" s="1194"/>
      <c r="H184" s="1194"/>
      <c r="I184" s="1194"/>
      <c r="J184" s="1194"/>
      <c r="K184" s="1194"/>
      <c r="L184" s="1194"/>
      <c r="M184" s="1194"/>
      <c r="N184" s="1194"/>
      <c r="O184" s="1194"/>
      <c r="P184" s="1194"/>
      <c r="Q184" s="1194"/>
      <c r="R184" s="348" t="e">
        <f>SUM(R186:R187)/R179</f>
        <v>#DIV/0!</v>
      </c>
      <c r="S184" s="349" t="s">
        <v>186</v>
      </c>
      <c r="T184" s="1185"/>
      <c r="U184" s="1185"/>
    </row>
    <row r="185" spans="1:21" s="2" customFormat="1" x14ac:dyDescent="0.35">
      <c r="A185" s="1198"/>
      <c r="B185" s="1179"/>
      <c r="C185" s="1201"/>
      <c r="D185" s="1201"/>
      <c r="E185" s="62" t="s">
        <v>187</v>
      </c>
      <c r="F185" s="44">
        <f>SUM(F186:F189)</f>
        <v>0</v>
      </c>
      <c r="G185" s="43">
        <f>SUM(G186:G189)</f>
        <v>0</v>
      </c>
      <c r="H185" s="43">
        <f t="shared" ref="H185:Q185" si="33">SUM(H186:H189)</f>
        <v>0</v>
      </c>
      <c r="I185" s="43">
        <f t="shared" si="33"/>
        <v>0</v>
      </c>
      <c r="J185" s="43">
        <f t="shared" si="33"/>
        <v>0</v>
      </c>
      <c r="K185" s="43">
        <f t="shared" si="33"/>
        <v>0</v>
      </c>
      <c r="L185" s="43">
        <f t="shared" si="33"/>
        <v>0</v>
      </c>
      <c r="M185" s="43">
        <f t="shared" si="33"/>
        <v>0</v>
      </c>
      <c r="N185" s="43">
        <f t="shared" si="33"/>
        <v>0</v>
      </c>
      <c r="O185" s="43">
        <f t="shared" si="33"/>
        <v>0</v>
      </c>
      <c r="P185" s="43">
        <f t="shared" si="33"/>
        <v>0</v>
      </c>
      <c r="Q185" s="43">
        <f t="shared" si="33"/>
        <v>0</v>
      </c>
      <c r="R185" s="65"/>
      <c r="S185" s="65"/>
      <c r="T185" s="1185"/>
      <c r="U185" s="1185"/>
    </row>
    <row r="186" spans="1:21" s="2" customFormat="1" x14ac:dyDescent="0.35">
      <c r="A186" s="1198"/>
      <c r="B186" s="1179"/>
      <c r="C186" s="1201"/>
      <c r="D186" s="1201"/>
      <c r="E186" s="63" t="s">
        <v>188</v>
      </c>
      <c r="F186" s="23"/>
      <c r="G186" s="26"/>
      <c r="H186" s="26"/>
      <c r="I186" s="26"/>
      <c r="J186" s="26"/>
      <c r="K186" s="26"/>
      <c r="L186" s="26"/>
      <c r="M186" s="26"/>
      <c r="N186" s="26"/>
      <c r="O186" s="26"/>
      <c r="P186" s="26"/>
      <c r="Q186" s="16"/>
      <c r="R186" s="65">
        <f>SUM(F186:Q186)</f>
        <v>0</v>
      </c>
      <c r="S186" s="346" t="e">
        <f>R186/R180</f>
        <v>#DIV/0!</v>
      </c>
      <c r="T186" s="1185"/>
      <c r="U186" s="1185"/>
    </row>
    <row r="187" spans="1:21" s="2" customFormat="1" x14ac:dyDescent="0.35">
      <c r="A187" s="1198"/>
      <c r="B187" s="1179"/>
      <c r="C187" s="1201"/>
      <c r="D187" s="1201"/>
      <c r="E187" s="37" t="s">
        <v>189</v>
      </c>
      <c r="F187" s="33"/>
      <c r="G187" s="32"/>
      <c r="H187" s="32"/>
      <c r="I187" s="32"/>
      <c r="J187" s="32"/>
      <c r="K187" s="32"/>
      <c r="L187" s="32"/>
      <c r="M187" s="32"/>
      <c r="N187" s="32"/>
      <c r="O187" s="32"/>
      <c r="P187" s="32"/>
      <c r="Q187" s="34"/>
      <c r="R187" s="65">
        <f>SUM(F187:Q187)</f>
        <v>0</v>
      </c>
      <c r="S187" s="346" t="e">
        <f>R187/R181</f>
        <v>#DIV/0!</v>
      </c>
      <c r="T187" s="1185"/>
      <c r="U187" s="1185"/>
    </row>
    <row r="188" spans="1:21" s="2" customFormat="1" x14ac:dyDescent="0.35">
      <c r="A188" s="1198"/>
      <c r="B188" s="1179"/>
      <c r="C188" s="1201"/>
      <c r="D188" s="1201"/>
      <c r="E188" s="36" t="s">
        <v>190</v>
      </c>
      <c r="F188" s="29"/>
      <c r="G188" s="30"/>
      <c r="H188" s="30"/>
      <c r="I188" s="30"/>
      <c r="J188" s="30"/>
      <c r="K188" s="30"/>
      <c r="L188" s="30"/>
      <c r="M188" s="30"/>
      <c r="N188" s="30"/>
      <c r="O188" s="30"/>
      <c r="P188" s="30"/>
      <c r="Q188" s="31"/>
      <c r="R188" s="65"/>
      <c r="S188" s="65"/>
      <c r="T188" s="1185"/>
      <c r="U188" s="1185"/>
    </row>
    <row r="189" spans="1:21" s="2" customFormat="1" ht="15" thickBot="1" x14ac:dyDescent="0.4">
      <c r="A189" s="1199"/>
      <c r="B189" s="1180"/>
      <c r="C189" s="1202"/>
      <c r="D189" s="1202"/>
      <c r="E189" s="64" t="s">
        <v>191</v>
      </c>
      <c r="F189" s="25"/>
      <c r="G189" s="28"/>
      <c r="H189" s="28"/>
      <c r="I189" s="28"/>
      <c r="J189" s="28"/>
      <c r="K189" s="28"/>
      <c r="L189" s="28"/>
      <c r="M189" s="28"/>
      <c r="N189" s="28"/>
      <c r="O189" s="28"/>
      <c r="P189" s="28"/>
      <c r="Q189" s="35"/>
      <c r="R189" s="137"/>
      <c r="S189" s="137"/>
      <c r="T189" s="1186"/>
      <c r="U189" s="1186"/>
    </row>
    <row r="190" spans="1:21" s="2" customFormat="1" x14ac:dyDescent="0.35">
      <c r="A190" s="1198">
        <v>18</v>
      </c>
      <c r="B190" s="1178" t="str">
        <f>IF(VLOOKUP(A:A,'Benefit-People-Indicator Ex'!Z:AE,6,FALSE)=0,"",VLOOKUP(A:A,'Benefit-People-Indicator Ex'!Z:AE,6,FALSE))</f>
        <v/>
      </c>
      <c r="C190" s="1200" t="str">
        <f>_xlfn.IFNA(VLOOKUP(B:B,'indicator lists'!L:R,3,FALSE),"")</f>
        <v/>
      </c>
      <c r="D190" s="1200" t="str">
        <f>_xlfn.IFNA(VLOOKUP(A:A,'Benefit-People-Indicator Ex'!P:X,9,FALSE),"")</f>
        <v/>
      </c>
      <c r="E190" s="59" t="s">
        <v>181</v>
      </c>
      <c r="F190" s="60">
        <f>SUM(F191:F194)</f>
        <v>0</v>
      </c>
      <c r="G190" s="61">
        <f>SUM(G191:G194)</f>
        <v>0</v>
      </c>
      <c r="H190" s="61">
        <f t="shared" ref="H190:P190" si="34">SUM(H191:H194)</f>
        <v>0</v>
      </c>
      <c r="I190" s="61">
        <f t="shared" si="34"/>
        <v>0</v>
      </c>
      <c r="J190" s="61">
        <f t="shared" si="34"/>
        <v>0</v>
      </c>
      <c r="K190" s="61">
        <f t="shared" si="34"/>
        <v>0</v>
      </c>
      <c r="L190" s="61">
        <f t="shared" si="34"/>
        <v>0</v>
      </c>
      <c r="M190" s="61">
        <f t="shared" si="34"/>
        <v>0</v>
      </c>
      <c r="N190" s="61">
        <f t="shared" si="34"/>
        <v>0</v>
      </c>
      <c r="O190" s="61">
        <f t="shared" si="34"/>
        <v>0</v>
      </c>
      <c r="P190" s="61">
        <f t="shared" si="34"/>
        <v>0</v>
      </c>
      <c r="Q190" s="61">
        <f>SUM(Q191:Q194)</f>
        <v>0</v>
      </c>
      <c r="R190" s="347">
        <f>SUM(R191:R192)</f>
        <v>0</v>
      </c>
      <c r="S190" s="134"/>
      <c r="T190" s="1184"/>
      <c r="U190" s="1184"/>
    </row>
    <row r="191" spans="1:21" s="2" customFormat="1" x14ac:dyDescent="0.35">
      <c r="A191" s="1198"/>
      <c r="B191" s="1179"/>
      <c r="C191" s="1201"/>
      <c r="D191" s="1201"/>
      <c r="E191" s="63" t="s">
        <v>182</v>
      </c>
      <c r="F191" s="23"/>
      <c r="G191" s="26"/>
      <c r="H191" s="26"/>
      <c r="I191" s="26"/>
      <c r="J191" s="26"/>
      <c r="K191" s="26"/>
      <c r="L191" s="26"/>
      <c r="M191" s="26"/>
      <c r="N191" s="26"/>
      <c r="O191" s="26"/>
      <c r="P191" s="26"/>
      <c r="Q191" s="16"/>
      <c r="R191" s="344">
        <f>SUM(F191:Q191)</f>
        <v>0</v>
      </c>
      <c r="S191" s="135"/>
      <c r="T191" s="1185"/>
      <c r="U191" s="1185"/>
    </row>
    <row r="192" spans="1:21" s="2" customFormat="1" x14ac:dyDescent="0.35">
      <c r="A192" s="1198"/>
      <c r="B192" s="1179"/>
      <c r="C192" s="1201"/>
      <c r="D192" s="1201"/>
      <c r="E192" s="336" t="s">
        <v>183</v>
      </c>
      <c r="F192" s="337"/>
      <c r="G192" s="338"/>
      <c r="H192" s="338"/>
      <c r="I192" s="338"/>
      <c r="J192" s="338"/>
      <c r="K192" s="338"/>
      <c r="L192" s="338"/>
      <c r="M192" s="338"/>
      <c r="N192" s="338"/>
      <c r="O192" s="338"/>
      <c r="P192" s="338"/>
      <c r="Q192" s="339"/>
      <c r="R192" s="344">
        <f>SUM(F192:Q192)</f>
        <v>0</v>
      </c>
      <c r="S192" s="335"/>
      <c r="T192" s="1185"/>
      <c r="U192" s="1185"/>
    </row>
    <row r="193" spans="1:21" s="2" customFormat="1" x14ac:dyDescent="0.35">
      <c r="A193" s="1198"/>
      <c r="B193" s="1179"/>
      <c r="C193" s="1201"/>
      <c r="D193" s="1201"/>
      <c r="E193" s="36" t="s">
        <v>184</v>
      </c>
      <c r="F193" s="29"/>
      <c r="G193" s="30"/>
      <c r="H193" s="30"/>
      <c r="I193" s="30"/>
      <c r="J193" s="30"/>
      <c r="K193" s="30"/>
      <c r="L193" s="30"/>
      <c r="M193" s="30"/>
      <c r="N193" s="30"/>
      <c r="O193" s="30"/>
      <c r="P193" s="30"/>
      <c r="Q193" s="31"/>
      <c r="R193" s="344"/>
      <c r="S193" s="335"/>
      <c r="T193" s="1185"/>
      <c r="U193" s="1185"/>
    </row>
    <row r="194" spans="1:21" s="2" customFormat="1" ht="15" thickBot="1" x14ac:dyDescent="0.4">
      <c r="A194" s="1198"/>
      <c r="B194" s="1179"/>
      <c r="C194" s="1201"/>
      <c r="D194" s="1201"/>
      <c r="E194" s="340" t="s">
        <v>185</v>
      </c>
      <c r="F194" s="341"/>
      <c r="G194" s="342"/>
      <c r="H194" s="342"/>
      <c r="I194" s="342"/>
      <c r="J194" s="342"/>
      <c r="K194" s="342"/>
      <c r="L194" s="342"/>
      <c r="M194" s="342"/>
      <c r="N194" s="342"/>
      <c r="O194" s="342"/>
      <c r="P194" s="342"/>
      <c r="Q194" s="343"/>
      <c r="R194" s="344"/>
      <c r="S194" s="335"/>
      <c r="T194" s="1185"/>
      <c r="U194" s="1185"/>
    </row>
    <row r="195" spans="1:21" s="2" customFormat="1" ht="15" thickBot="1" x14ac:dyDescent="0.4">
      <c r="A195" s="1198"/>
      <c r="B195" s="1179"/>
      <c r="C195" s="1201"/>
      <c r="D195" s="1201"/>
      <c r="E195" s="1193" t="s">
        <v>175</v>
      </c>
      <c r="F195" s="1194"/>
      <c r="G195" s="1194"/>
      <c r="H195" s="1194"/>
      <c r="I195" s="1194"/>
      <c r="J195" s="1194"/>
      <c r="K195" s="1194"/>
      <c r="L195" s="1194"/>
      <c r="M195" s="1194"/>
      <c r="N195" s="1194"/>
      <c r="O195" s="1194"/>
      <c r="P195" s="1194"/>
      <c r="Q195" s="1194"/>
      <c r="R195" s="348" t="e">
        <f>SUM(R197:R198)/R190</f>
        <v>#DIV/0!</v>
      </c>
      <c r="S195" s="349" t="s">
        <v>186</v>
      </c>
      <c r="T195" s="1185"/>
      <c r="U195" s="1185"/>
    </row>
    <row r="196" spans="1:21" s="2" customFormat="1" x14ac:dyDescent="0.35">
      <c r="A196" s="1198"/>
      <c r="B196" s="1179"/>
      <c r="C196" s="1201"/>
      <c r="D196" s="1201"/>
      <c r="E196" s="62" t="s">
        <v>187</v>
      </c>
      <c r="F196" s="44">
        <f>SUM(F197:F200)</f>
        <v>0</v>
      </c>
      <c r="G196" s="43">
        <f>SUM(G197:G200)</f>
        <v>0</v>
      </c>
      <c r="H196" s="43">
        <f t="shared" ref="H196:Q196" si="35">SUM(H197:H200)</f>
        <v>0</v>
      </c>
      <c r="I196" s="43">
        <f t="shared" si="35"/>
        <v>0</v>
      </c>
      <c r="J196" s="43">
        <f t="shared" si="35"/>
        <v>0</v>
      </c>
      <c r="K196" s="43">
        <f t="shared" si="35"/>
        <v>0</v>
      </c>
      <c r="L196" s="43">
        <f t="shared" si="35"/>
        <v>0</v>
      </c>
      <c r="M196" s="43">
        <f t="shared" si="35"/>
        <v>0</v>
      </c>
      <c r="N196" s="43">
        <f t="shared" si="35"/>
        <v>0</v>
      </c>
      <c r="O196" s="43">
        <f t="shared" si="35"/>
        <v>0</v>
      </c>
      <c r="P196" s="43">
        <f t="shared" si="35"/>
        <v>0</v>
      </c>
      <c r="Q196" s="43">
        <f t="shared" si="35"/>
        <v>0</v>
      </c>
      <c r="R196" s="65"/>
      <c r="S196" s="65"/>
      <c r="T196" s="1185"/>
      <c r="U196" s="1185"/>
    </row>
    <row r="197" spans="1:21" s="2" customFormat="1" x14ac:dyDescent="0.35">
      <c r="A197" s="1198"/>
      <c r="B197" s="1179"/>
      <c r="C197" s="1201"/>
      <c r="D197" s="1201"/>
      <c r="E197" s="63" t="s">
        <v>188</v>
      </c>
      <c r="F197" s="23"/>
      <c r="G197" s="26"/>
      <c r="H197" s="26"/>
      <c r="I197" s="26"/>
      <c r="J197" s="26"/>
      <c r="K197" s="26"/>
      <c r="L197" s="26"/>
      <c r="M197" s="26"/>
      <c r="N197" s="26"/>
      <c r="O197" s="26"/>
      <c r="P197" s="26"/>
      <c r="Q197" s="16"/>
      <c r="R197" s="65">
        <f>SUM(F197:Q197)</f>
        <v>0</v>
      </c>
      <c r="S197" s="346" t="e">
        <f>R197/R191</f>
        <v>#DIV/0!</v>
      </c>
      <c r="T197" s="1185"/>
      <c r="U197" s="1185"/>
    </row>
    <row r="198" spans="1:21" s="2" customFormat="1" x14ac:dyDescent="0.35">
      <c r="A198" s="1198"/>
      <c r="B198" s="1179"/>
      <c r="C198" s="1201"/>
      <c r="D198" s="1201"/>
      <c r="E198" s="37" t="s">
        <v>189</v>
      </c>
      <c r="F198" s="33"/>
      <c r="G198" s="32"/>
      <c r="H198" s="32"/>
      <c r="I198" s="32"/>
      <c r="J198" s="32"/>
      <c r="K198" s="32"/>
      <c r="L198" s="32"/>
      <c r="M198" s="32"/>
      <c r="N198" s="32"/>
      <c r="O198" s="32"/>
      <c r="P198" s="32"/>
      <c r="Q198" s="34"/>
      <c r="R198" s="65">
        <f>SUM(F198:Q198)</f>
        <v>0</v>
      </c>
      <c r="S198" s="346" t="e">
        <f>R198/R192</f>
        <v>#DIV/0!</v>
      </c>
      <c r="T198" s="1185"/>
      <c r="U198" s="1185"/>
    </row>
    <row r="199" spans="1:21" s="2" customFormat="1" x14ac:dyDescent="0.35">
      <c r="A199" s="1198"/>
      <c r="B199" s="1179"/>
      <c r="C199" s="1201"/>
      <c r="D199" s="1201"/>
      <c r="E199" s="36" t="s">
        <v>190</v>
      </c>
      <c r="F199" s="29"/>
      <c r="G199" s="30"/>
      <c r="H199" s="30"/>
      <c r="I199" s="30"/>
      <c r="J199" s="30"/>
      <c r="K199" s="30"/>
      <c r="L199" s="30"/>
      <c r="M199" s="30"/>
      <c r="N199" s="30"/>
      <c r="O199" s="30"/>
      <c r="P199" s="30"/>
      <c r="Q199" s="31"/>
      <c r="R199" s="65"/>
      <c r="S199" s="65"/>
      <c r="T199" s="1185"/>
      <c r="U199" s="1185"/>
    </row>
    <row r="200" spans="1:21" s="2" customFormat="1" ht="15" thickBot="1" x14ac:dyDescent="0.4">
      <c r="A200" s="1199"/>
      <c r="B200" s="1180"/>
      <c r="C200" s="1202"/>
      <c r="D200" s="1202"/>
      <c r="E200" s="64" t="s">
        <v>191</v>
      </c>
      <c r="F200" s="25"/>
      <c r="G200" s="28"/>
      <c r="H200" s="28"/>
      <c r="I200" s="28"/>
      <c r="J200" s="28"/>
      <c r="K200" s="28"/>
      <c r="L200" s="28"/>
      <c r="M200" s="28"/>
      <c r="N200" s="28"/>
      <c r="O200" s="28"/>
      <c r="P200" s="28"/>
      <c r="Q200" s="35"/>
      <c r="R200" s="137"/>
      <c r="S200" s="137"/>
      <c r="T200" s="1186"/>
      <c r="U200" s="1186"/>
    </row>
    <row r="201" spans="1:21" s="2" customFormat="1" x14ac:dyDescent="0.35">
      <c r="A201" s="1198">
        <v>19</v>
      </c>
      <c r="B201" s="1178" t="str">
        <f>IF(VLOOKUP(A:A,'Benefit-People-Indicator Ex'!Z:AE,6,FALSE)=0,"",VLOOKUP(A:A,'Benefit-People-Indicator Ex'!Z:AE,6,FALSE))</f>
        <v/>
      </c>
      <c r="C201" s="1200" t="str">
        <f>_xlfn.IFNA(VLOOKUP(B:B,'indicator lists'!L:R,3,FALSE),"")</f>
        <v/>
      </c>
      <c r="D201" s="1200" t="str">
        <f>_xlfn.IFNA(VLOOKUP(A:A,'Benefit-People-Indicator Ex'!P:X,9,FALSE),"")</f>
        <v/>
      </c>
      <c r="E201" s="59" t="s">
        <v>181</v>
      </c>
      <c r="F201" s="60">
        <f>SUM(F202:F205)</f>
        <v>0</v>
      </c>
      <c r="G201" s="61">
        <f>SUM(G202:G205)</f>
        <v>0</v>
      </c>
      <c r="H201" s="61">
        <f t="shared" ref="H201:P201" si="36">SUM(H202:H205)</f>
        <v>0</v>
      </c>
      <c r="I201" s="61">
        <f t="shared" si="36"/>
        <v>0</v>
      </c>
      <c r="J201" s="61">
        <f t="shared" si="36"/>
        <v>0</v>
      </c>
      <c r="K201" s="61">
        <f t="shared" si="36"/>
        <v>0</v>
      </c>
      <c r="L201" s="61">
        <f t="shared" si="36"/>
        <v>0</v>
      </c>
      <c r="M201" s="61">
        <f t="shared" si="36"/>
        <v>0</v>
      </c>
      <c r="N201" s="61">
        <f t="shared" si="36"/>
        <v>0</v>
      </c>
      <c r="O201" s="61">
        <f t="shared" si="36"/>
        <v>0</v>
      </c>
      <c r="P201" s="61">
        <f t="shared" si="36"/>
        <v>0</v>
      </c>
      <c r="Q201" s="61">
        <f>SUM(Q202:Q205)</f>
        <v>0</v>
      </c>
      <c r="R201" s="347">
        <f>SUM(R202:R203)</f>
        <v>0</v>
      </c>
      <c r="S201" s="134"/>
      <c r="T201" s="1184"/>
      <c r="U201" s="1184"/>
    </row>
    <row r="202" spans="1:21" s="2" customFormat="1" x14ac:dyDescent="0.35">
      <c r="A202" s="1198"/>
      <c r="B202" s="1179"/>
      <c r="C202" s="1201"/>
      <c r="D202" s="1201"/>
      <c r="E202" s="63" t="s">
        <v>182</v>
      </c>
      <c r="F202" s="23"/>
      <c r="G202" s="26"/>
      <c r="H202" s="26"/>
      <c r="I202" s="26"/>
      <c r="J202" s="26"/>
      <c r="K202" s="26"/>
      <c r="L202" s="26"/>
      <c r="M202" s="26"/>
      <c r="N202" s="26"/>
      <c r="O202" s="26"/>
      <c r="P202" s="26"/>
      <c r="Q202" s="16"/>
      <c r="R202" s="344">
        <f>SUM(F202:Q202)</f>
        <v>0</v>
      </c>
      <c r="S202" s="135"/>
      <c r="T202" s="1185"/>
      <c r="U202" s="1185"/>
    </row>
    <row r="203" spans="1:21" s="2" customFormat="1" x14ac:dyDescent="0.35">
      <c r="A203" s="1198"/>
      <c r="B203" s="1179"/>
      <c r="C203" s="1201"/>
      <c r="D203" s="1201"/>
      <c r="E203" s="336" t="s">
        <v>183</v>
      </c>
      <c r="F203" s="337"/>
      <c r="G203" s="338"/>
      <c r="H203" s="338"/>
      <c r="I203" s="338"/>
      <c r="J203" s="338"/>
      <c r="K203" s="338"/>
      <c r="L203" s="338"/>
      <c r="M203" s="338"/>
      <c r="N203" s="338"/>
      <c r="O203" s="338"/>
      <c r="P203" s="338"/>
      <c r="Q203" s="339"/>
      <c r="R203" s="344">
        <f>SUM(F203:Q203)</f>
        <v>0</v>
      </c>
      <c r="S203" s="335"/>
      <c r="T203" s="1185"/>
      <c r="U203" s="1185"/>
    </row>
    <row r="204" spans="1:21" s="2" customFormat="1" x14ac:dyDescent="0.35">
      <c r="A204" s="1198"/>
      <c r="B204" s="1179"/>
      <c r="C204" s="1201"/>
      <c r="D204" s="1201"/>
      <c r="E204" s="36" t="s">
        <v>184</v>
      </c>
      <c r="F204" s="29"/>
      <c r="G204" s="30"/>
      <c r="H204" s="30"/>
      <c r="I204" s="30"/>
      <c r="J204" s="30"/>
      <c r="K204" s="30"/>
      <c r="L204" s="30"/>
      <c r="M204" s="30"/>
      <c r="N204" s="30"/>
      <c r="O204" s="30"/>
      <c r="P204" s="30"/>
      <c r="Q204" s="31"/>
      <c r="R204" s="344"/>
      <c r="S204" s="335"/>
      <c r="T204" s="1185"/>
      <c r="U204" s="1185"/>
    </row>
    <row r="205" spans="1:21" s="2" customFormat="1" ht="15" thickBot="1" x14ac:dyDescent="0.4">
      <c r="A205" s="1198"/>
      <c r="B205" s="1179"/>
      <c r="C205" s="1201"/>
      <c r="D205" s="1201"/>
      <c r="E205" s="340" t="s">
        <v>185</v>
      </c>
      <c r="F205" s="341"/>
      <c r="G205" s="342"/>
      <c r="H205" s="342"/>
      <c r="I205" s="342"/>
      <c r="J205" s="342"/>
      <c r="K205" s="342"/>
      <c r="L205" s="342"/>
      <c r="M205" s="342"/>
      <c r="N205" s="342"/>
      <c r="O205" s="342"/>
      <c r="P205" s="342"/>
      <c r="Q205" s="343"/>
      <c r="R205" s="344"/>
      <c r="S205" s="335"/>
      <c r="T205" s="1185"/>
      <c r="U205" s="1185"/>
    </row>
    <row r="206" spans="1:21" s="2" customFormat="1" ht="15" thickBot="1" x14ac:dyDescent="0.4">
      <c r="A206" s="1198"/>
      <c r="B206" s="1179"/>
      <c r="C206" s="1201"/>
      <c r="D206" s="1201"/>
      <c r="E206" s="1193" t="s">
        <v>175</v>
      </c>
      <c r="F206" s="1194"/>
      <c r="G206" s="1194"/>
      <c r="H206" s="1194"/>
      <c r="I206" s="1194"/>
      <c r="J206" s="1194"/>
      <c r="K206" s="1194"/>
      <c r="L206" s="1194"/>
      <c r="M206" s="1194"/>
      <c r="N206" s="1194"/>
      <c r="O206" s="1194"/>
      <c r="P206" s="1194"/>
      <c r="Q206" s="1194"/>
      <c r="R206" s="348" t="e">
        <f>SUM(R208:R209)/R201</f>
        <v>#DIV/0!</v>
      </c>
      <c r="S206" s="349" t="s">
        <v>186</v>
      </c>
      <c r="T206" s="1185"/>
      <c r="U206" s="1185"/>
    </row>
    <row r="207" spans="1:21" s="2" customFormat="1" x14ac:dyDescent="0.35">
      <c r="A207" s="1198"/>
      <c r="B207" s="1179"/>
      <c r="C207" s="1201"/>
      <c r="D207" s="1201"/>
      <c r="E207" s="62" t="s">
        <v>187</v>
      </c>
      <c r="F207" s="44">
        <f>SUM(F208:F211)</f>
        <v>0</v>
      </c>
      <c r="G207" s="43">
        <f>SUM(G208:G211)</f>
        <v>0</v>
      </c>
      <c r="H207" s="43">
        <f t="shared" ref="H207:Q207" si="37">SUM(H208:H211)</f>
        <v>0</v>
      </c>
      <c r="I207" s="43">
        <f t="shared" si="37"/>
        <v>0</v>
      </c>
      <c r="J207" s="43">
        <f t="shared" si="37"/>
        <v>0</v>
      </c>
      <c r="K207" s="43">
        <f t="shared" si="37"/>
        <v>0</v>
      </c>
      <c r="L207" s="43">
        <f t="shared" si="37"/>
        <v>0</v>
      </c>
      <c r="M207" s="43">
        <f t="shared" si="37"/>
        <v>0</v>
      </c>
      <c r="N207" s="43">
        <f t="shared" si="37"/>
        <v>0</v>
      </c>
      <c r="O207" s="43">
        <f t="shared" si="37"/>
        <v>0</v>
      </c>
      <c r="P207" s="43">
        <f t="shared" si="37"/>
        <v>0</v>
      </c>
      <c r="Q207" s="43">
        <f t="shared" si="37"/>
        <v>0</v>
      </c>
      <c r="R207" s="65"/>
      <c r="S207" s="65"/>
      <c r="T207" s="1185"/>
      <c r="U207" s="1185"/>
    </row>
    <row r="208" spans="1:21" s="2" customFormat="1" x14ac:dyDescent="0.35">
      <c r="A208" s="1198"/>
      <c r="B208" s="1179"/>
      <c r="C208" s="1201"/>
      <c r="D208" s="1201"/>
      <c r="E208" s="63" t="s">
        <v>188</v>
      </c>
      <c r="F208" s="23"/>
      <c r="G208" s="26"/>
      <c r="H208" s="26"/>
      <c r="I208" s="26"/>
      <c r="J208" s="26"/>
      <c r="K208" s="26"/>
      <c r="L208" s="26"/>
      <c r="M208" s="26"/>
      <c r="N208" s="26"/>
      <c r="O208" s="26"/>
      <c r="P208" s="26"/>
      <c r="Q208" s="16"/>
      <c r="R208" s="65">
        <f>SUM(F208:Q208)</f>
        <v>0</v>
      </c>
      <c r="S208" s="346" t="e">
        <f>R208/R202</f>
        <v>#DIV/0!</v>
      </c>
      <c r="T208" s="1185"/>
      <c r="U208" s="1185"/>
    </row>
    <row r="209" spans="1:21" s="2" customFormat="1" x14ac:dyDescent="0.35">
      <c r="A209" s="1198"/>
      <c r="B209" s="1179"/>
      <c r="C209" s="1201"/>
      <c r="D209" s="1201"/>
      <c r="E209" s="37" t="s">
        <v>189</v>
      </c>
      <c r="F209" s="33"/>
      <c r="G209" s="32"/>
      <c r="H209" s="32"/>
      <c r="I209" s="32"/>
      <c r="J209" s="32"/>
      <c r="K209" s="32"/>
      <c r="L209" s="32"/>
      <c r="M209" s="32"/>
      <c r="N209" s="32"/>
      <c r="O209" s="32"/>
      <c r="P209" s="32"/>
      <c r="Q209" s="34"/>
      <c r="R209" s="65">
        <f>SUM(F209:Q209)</f>
        <v>0</v>
      </c>
      <c r="S209" s="346" t="e">
        <f>R209/R203</f>
        <v>#DIV/0!</v>
      </c>
      <c r="T209" s="1185"/>
      <c r="U209" s="1185"/>
    </row>
    <row r="210" spans="1:21" s="2" customFormat="1" x14ac:dyDescent="0.35">
      <c r="A210" s="1198"/>
      <c r="B210" s="1179"/>
      <c r="C210" s="1201"/>
      <c r="D210" s="1201"/>
      <c r="E210" s="36" t="s">
        <v>190</v>
      </c>
      <c r="F210" s="29"/>
      <c r="G210" s="30"/>
      <c r="H210" s="30"/>
      <c r="I210" s="30"/>
      <c r="J210" s="30"/>
      <c r="K210" s="30"/>
      <c r="L210" s="30"/>
      <c r="M210" s="30"/>
      <c r="N210" s="30"/>
      <c r="O210" s="30"/>
      <c r="P210" s="30"/>
      <c r="Q210" s="31"/>
      <c r="R210" s="65"/>
      <c r="S210" s="65"/>
      <c r="T210" s="1185"/>
      <c r="U210" s="1185"/>
    </row>
    <row r="211" spans="1:21" s="2" customFormat="1" ht="15" thickBot="1" x14ac:dyDescent="0.4">
      <c r="A211" s="1199"/>
      <c r="B211" s="1180"/>
      <c r="C211" s="1202"/>
      <c r="D211" s="1202"/>
      <c r="E211" s="64" t="s">
        <v>191</v>
      </c>
      <c r="F211" s="25"/>
      <c r="G211" s="28"/>
      <c r="H211" s="28"/>
      <c r="I211" s="28"/>
      <c r="J211" s="28"/>
      <c r="K211" s="28"/>
      <c r="L211" s="28"/>
      <c r="M211" s="28"/>
      <c r="N211" s="28"/>
      <c r="O211" s="28"/>
      <c r="P211" s="28"/>
      <c r="Q211" s="35"/>
      <c r="R211" s="137"/>
      <c r="S211" s="137"/>
      <c r="T211" s="1186"/>
      <c r="U211" s="1186"/>
    </row>
    <row r="212" spans="1:21" s="2" customFormat="1" x14ac:dyDescent="0.35">
      <c r="A212" s="1198">
        <v>20</v>
      </c>
      <c r="B212" s="1178" t="str">
        <f>IF(VLOOKUP(A:A,'Benefit-People-Indicator Ex'!Z:AE,6,FALSE)=0,"",VLOOKUP(A:A,'Benefit-People-Indicator Ex'!Z:AE,6,FALSE))</f>
        <v/>
      </c>
      <c r="C212" s="1200" t="str">
        <f>_xlfn.IFNA(VLOOKUP(B:B,'indicator lists'!L:R,3,FALSE),"")</f>
        <v/>
      </c>
      <c r="D212" s="1200" t="str">
        <f>_xlfn.IFNA(VLOOKUP(A:A,'Benefit-People-Indicator Ex'!P:X,9,FALSE),"")</f>
        <v/>
      </c>
      <c r="E212" s="59" t="s">
        <v>181</v>
      </c>
      <c r="F212" s="60">
        <f>SUM(F213:F216)</f>
        <v>0</v>
      </c>
      <c r="G212" s="61">
        <f>SUM(G213:G216)</f>
        <v>0</v>
      </c>
      <c r="H212" s="61">
        <f t="shared" ref="H212:P212" si="38">SUM(H213:H216)</f>
        <v>0</v>
      </c>
      <c r="I212" s="61">
        <f t="shared" si="38"/>
        <v>0</v>
      </c>
      <c r="J212" s="61">
        <f t="shared" si="38"/>
        <v>0</v>
      </c>
      <c r="K212" s="61">
        <f t="shared" si="38"/>
        <v>0</v>
      </c>
      <c r="L212" s="61">
        <f t="shared" si="38"/>
        <v>0</v>
      </c>
      <c r="M212" s="61">
        <f t="shared" si="38"/>
        <v>0</v>
      </c>
      <c r="N212" s="61">
        <f t="shared" si="38"/>
        <v>0</v>
      </c>
      <c r="O212" s="61">
        <f t="shared" si="38"/>
        <v>0</v>
      </c>
      <c r="P212" s="61">
        <f t="shared" si="38"/>
        <v>0</v>
      </c>
      <c r="Q212" s="61">
        <f>SUM(Q213:Q216)</f>
        <v>0</v>
      </c>
      <c r="R212" s="347">
        <f>SUM(R213:R214)</f>
        <v>0</v>
      </c>
      <c r="S212" s="134"/>
      <c r="T212" s="1184"/>
      <c r="U212" s="1184"/>
    </row>
    <row r="213" spans="1:21" s="2" customFormat="1" x14ac:dyDescent="0.35">
      <c r="A213" s="1198"/>
      <c r="B213" s="1179"/>
      <c r="C213" s="1201"/>
      <c r="D213" s="1201"/>
      <c r="E213" s="63" t="s">
        <v>182</v>
      </c>
      <c r="F213" s="23"/>
      <c r="G213" s="26"/>
      <c r="H213" s="26"/>
      <c r="I213" s="26"/>
      <c r="J213" s="26"/>
      <c r="K213" s="26"/>
      <c r="L213" s="26"/>
      <c r="M213" s="26"/>
      <c r="N213" s="26"/>
      <c r="O213" s="26"/>
      <c r="P213" s="26"/>
      <c r="Q213" s="16"/>
      <c r="R213" s="344">
        <f>SUM(F213:Q213)</f>
        <v>0</v>
      </c>
      <c r="S213" s="135"/>
      <c r="T213" s="1185"/>
      <c r="U213" s="1185"/>
    </row>
    <row r="214" spans="1:21" s="2" customFormat="1" x14ac:dyDescent="0.35">
      <c r="A214" s="1198"/>
      <c r="B214" s="1179"/>
      <c r="C214" s="1201"/>
      <c r="D214" s="1201"/>
      <c r="E214" s="336" t="s">
        <v>183</v>
      </c>
      <c r="F214" s="337"/>
      <c r="G214" s="338"/>
      <c r="H214" s="338"/>
      <c r="I214" s="338"/>
      <c r="J214" s="338"/>
      <c r="K214" s="338"/>
      <c r="L214" s="338"/>
      <c r="M214" s="338"/>
      <c r="N214" s="338"/>
      <c r="O214" s="338"/>
      <c r="P214" s="338"/>
      <c r="Q214" s="339"/>
      <c r="R214" s="344">
        <f>SUM(F214:Q214)</f>
        <v>0</v>
      </c>
      <c r="S214" s="335"/>
      <c r="T214" s="1185"/>
      <c r="U214" s="1185"/>
    </row>
    <row r="215" spans="1:21" s="2" customFormat="1" x14ac:dyDescent="0.35">
      <c r="A215" s="1198"/>
      <c r="B215" s="1179"/>
      <c r="C215" s="1201"/>
      <c r="D215" s="1201"/>
      <c r="E215" s="36" t="s">
        <v>184</v>
      </c>
      <c r="F215" s="29"/>
      <c r="G215" s="30"/>
      <c r="H215" s="30"/>
      <c r="I215" s="30"/>
      <c r="J215" s="30"/>
      <c r="K215" s="30"/>
      <c r="L215" s="30"/>
      <c r="M215" s="30"/>
      <c r="N215" s="30"/>
      <c r="O215" s="30"/>
      <c r="P215" s="30"/>
      <c r="Q215" s="31"/>
      <c r="R215" s="344"/>
      <c r="S215" s="335"/>
      <c r="T215" s="1185"/>
      <c r="U215" s="1185"/>
    </row>
    <row r="216" spans="1:21" s="2" customFormat="1" ht="15" thickBot="1" x14ac:dyDescent="0.4">
      <c r="A216" s="1198"/>
      <c r="B216" s="1179"/>
      <c r="C216" s="1201"/>
      <c r="D216" s="1201"/>
      <c r="E216" s="340" t="s">
        <v>185</v>
      </c>
      <c r="F216" s="341"/>
      <c r="G216" s="342"/>
      <c r="H216" s="342"/>
      <c r="I216" s="342"/>
      <c r="J216" s="342"/>
      <c r="K216" s="342"/>
      <c r="L216" s="342"/>
      <c r="M216" s="342"/>
      <c r="N216" s="342"/>
      <c r="O216" s="342"/>
      <c r="P216" s="342"/>
      <c r="Q216" s="343"/>
      <c r="R216" s="344"/>
      <c r="S216" s="335"/>
      <c r="T216" s="1185"/>
      <c r="U216" s="1185"/>
    </row>
    <row r="217" spans="1:21" s="2" customFormat="1" ht="15" thickBot="1" x14ac:dyDescent="0.4">
      <c r="A217" s="1198"/>
      <c r="B217" s="1179"/>
      <c r="C217" s="1201"/>
      <c r="D217" s="1201"/>
      <c r="E217" s="1193" t="s">
        <v>175</v>
      </c>
      <c r="F217" s="1194"/>
      <c r="G217" s="1194"/>
      <c r="H217" s="1194"/>
      <c r="I217" s="1194"/>
      <c r="J217" s="1194"/>
      <c r="K217" s="1194"/>
      <c r="L217" s="1194"/>
      <c r="M217" s="1194"/>
      <c r="N217" s="1194"/>
      <c r="O217" s="1194"/>
      <c r="P217" s="1194"/>
      <c r="Q217" s="1194"/>
      <c r="R217" s="348" t="e">
        <f>SUM(R219:R220)/R212</f>
        <v>#DIV/0!</v>
      </c>
      <c r="S217" s="349" t="s">
        <v>186</v>
      </c>
      <c r="T217" s="1185"/>
      <c r="U217" s="1185"/>
    </row>
    <row r="218" spans="1:21" s="2" customFormat="1" x14ac:dyDescent="0.35">
      <c r="A218" s="1198"/>
      <c r="B218" s="1179"/>
      <c r="C218" s="1201"/>
      <c r="D218" s="1201"/>
      <c r="E218" s="62" t="s">
        <v>187</v>
      </c>
      <c r="F218" s="44">
        <f>SUM(F219:F222)</f>
        <v>0</v>
      </c>
      <c r="G218" s="43">
        <f>SUM(G219:G222)</f>
        <v>0</v>
      </c>
      <c r="H218" s="43">
        <f t="shared" ref="H218:Q218" si="39">SUM(H219:H222)</f>
        <v>0</v>
      </c>
      <c r="I218" s="43">
        <f t="shared" si="39"/>
        <v>0</v>
      </c>
      <c r="J218" s="43">
        <f t="shared" si="39"/>
        <v>0</v>
      </c>
      <c r="K218" s="43">
        <f t="shared" si="39"/>
        <v>0</v>
      </c>
      <c r="L218" s="43">
        <f t="shared" si="39"/>
        <v>0</v>
      </c>
      <c r="M218" s="43">
        <f t="shared" si="39"/>
        <v>0</v>
      </c>
      <c r="N218" s="43">
        <f t="shared" si="39"/>
        <v>0</v>
      </c>
      <c r="O218" s="43">
        <f t="shared" si="39"/>
        <v>0</v>
      </c>
      <c r="P218" s="43">
        <f t="shared" si="39"/>
        <v>0</v>
      </c>
      <c r="Q218" s="43">
        <f t="shared" si="39"/>
        <v>0</v>
      </c>
      <c r="R218" s="65"/>
      <c r="S218" s="65"/>
      <c r="T218" s="1185"/>
      <c r="U218" s="1185"/>
    </row>
    <row r="219" spans="1:21" s="2" customFormat="1" x14ac:dyDescent="0.35">
      <c r="A219" s="1198"/>
      <c r="B219" s="1179"/>
      <c r="C219" s="1201"/>
      <c r="D219" s="1201"/>
      <c r="E219" s="63" t="s">
        <v>188</v>
      </c>
      <c r="F219" s="23"/>
      <c r="G219" s="26"/>
      <c r="H219" s="26"/>
      <c r="I219" s="26"/>
      <c r="J219" s="26"/>
      <c r="K219" s="26"/>
      <c r="L219" s="26"/>
      <c r="M219" s="26"/>
      <c r="N219" s="26"/>
      <c r="O219" s="26"/>
      <c r="P219" s="26"/>
      <c r="Q219" s="16"/>
      <c r="R219" s="65">
        <f>SUM(F219:Q219)</f>
        <v>0</v>
      </c>
      <c r="S219" s="346" t="e">
        <f>R219/R213</f>
        <v>#DIV/0!</v>
      </c>
      <c r="T219" s="1185"/>
      <c r="U219" s="1185"/>
    </row>
    <row r="220" spans="1:21" s="2" customFormat="1" x14ac:dyDescent="0.35">
      <c r="A220" s="1198"/>
      <c r="B220" s="1179"/>
      <c r="C220" s="1201"/>
      <c r="D220" s="1201"/>
      <c r="E220" s="37" t="s">
        <v>189</v>
      </c>
      <c r="F220" s="33"/>
      <c r="G220" s="32"/>
      <c r="H220" s="32"/>
      <c r="I220" s="32"/>
      <c r="J220" s="32"/>
      <c r="K220" s="32"/>
      <c r="L220" s="32"/>
      <c r="M220" s="32"/>
      <c r="N220" s="32"/>
      <c r="O220" s="32"/>
      <c r="P220" s="32"/>
      <c r="Q220" s="34"/>
      <c r="R220" s="65">
        <f>SUM(F220:Q220)</f>
        <v>0</v>
      </c>
      <c r="S220" s="346" t="e">
        <f>R220/R214</f>
        <v>#DIV/0!</v>
      </c>
      <c r="T220" s="1185"/>
      <c r="U220" s="1185"/>
    </row>
    <row r="221" spans="1:21" s="2" customFormat="1" x14ac:dyDescent="0.35">
      <c r="A221" s="1198"/>
      <c r="B221" s="1179"/>
      <c r="C221" s="1201"/>
      <c r="D221" s="1201"/>
      <c r="E221" s="36" t="s">
        <v>190</v>
      </c>
      <c r="F221" s="29"/>
      <c r="G221" s="30"/>
      <c r="H221" s="30"/>
      <c r="I221" s="30"/>
      <c r="J221" s="30"/>
      <c r="K221" s="30"/>
      <c r="L221" s="30"/>
      <c r="M221" s="30"/>
      <c r="N221" s="30"/>
      <c r="O221" s="30"/>
      <c r="P221" s="30"/>
      <c r="Q221" s="31"/>
      <c r="R221" s="65"/>
      <c r="S221" s="65"/>
      <c r="T221" s="1185"/>
      <c r="U221" s="1185"/>
    </row>
    <row r="222" spans="1:21" s="2" customFormat="1" ht="15" thickBot="1" x14ac:dyDescent="0.4">
      <c r="A222" s="1199"/>
      <c r="B222" s="1180"/>
      <c r="C222" s="1202"/>
      <c r="D222" s="1202"/>
      <c r="E222" s="64" t="s">
        <v>191</v>
      </c>
      <c r="F222" s="25"/>
      <c r="G222" s="28"/>
      <c r="H222" s="28"/>
      <c r="I222" s="28"/>
      <c r="J222" s="28"/>
      <c r="K222" s="28"/>
      <c r="L222" s="28"/>
      <c r="M222" s="28"/>
      <c r="N222" s="28"/>
      <c r="O222" s="28"/>
      <c r="P222" s="28"/>
      <c r="Q222" s="35"/>
      <c r="R222" s="137"/>
      <c r="S222" s="137"/>
      <c r="T222" s="1186"/>
      <c r="U222" s="1186"/>
    </row>
    <row r="223" spans="1:21" s="2" customFormat="1" x14ac:dyDescent="0.35">
      <c r="A223" s="1198">
        <v>21</v>
      </c>
      <c r="B223" s="1178" t="str">
        <f>IF(VLOOKUP(A:A,'Benefit-People-Indicator Ex'!Z:AE,6,FALSE)=0,"",VLOOKUP(A:A,'Benefit-People-Indicator Ex'!Z:AE,6,FALSE))</f>
        <v/>
      </c>
      <c r="C223" s="1200" t="str">
        <f>_xlfn.IFNA(VLOOKUP(B:B,'indicator lists'!L:R,3,FALSE),"")</f>
        <v/>
      </c>
      <c r="D223" s="1200" t="str">
        <f>_xlfn.IFNA(VLOOKUP(A:A,'Benefit-People-Indicator Ex'!P:X,9,FALSE),"")</f>
        <v/>
      </c>
      <c r="E223" s="59" t="s">
        <v>181</v>
      </c>
      <c r="F223" s="60">
        <f>SUM(F224:F227)</f>
        <v>0</v>
      </c>
      <c r="G223" s="61">
        <f>SUM(G224:G227)</f>
        <v>0</v>
      </c>
      <c r="H223" s="61">
        <f t="shared" ref="H223:P223" si="40">SUM(H224:H227)</f>
        <v>0</v>
      </c>
      <c r="I223" s="61">
        <f t="shared" si="40"/>
        <v>0</v>
      </c>
      <c r="J223" s="61">
        <f t="shared" si="40"/>
        <v>0</v>
      </c>
      <c r="K223" s="61">
        <f t="shared" si="40"/>
        <v>0</v>
      </c>
      <c r="L223" s="61">
        <f t="shared" si="40"/>
        <v>0</v>
      </c>
      <c r="M223" s="61">
        <f t="shared" si="40"/>
        <v>0</v>
      </c>
      <c r="N223" s="61">
        <f t="shared" si="40"/>
        <v>0</v>
      </c>
      <c r="O223" s="61">
        <f t="shared" si="40"/>
        <v>0</v>
      </c>
      <c r="P223" s="61">
        <f t="shared" si="40"/>
        <v>0</v>
      </c>
      <c r="Q223" s="61">
        <f>SUM(Q224:Q227)</f>
        <v>0</v>
      </c>
      <c r="R223" s="347">
        <f>SUM(R224:R225)</f>
        <v>0</v>
      </c>
      <c r="S223" s="134"/>
      <c r="T223" s="1184"/>
      <c r="U223" s="1184"/>
    </row>
    <row r="224" spans="1:21" s="2" customFormat="1" x14ac:dyDescent="0.35">
      <c r="A224" s="1198"/>
      <c r="B224" s="1179"/>
      <c r="C224" s="1201"/>
      <c r="D224" s="1201"/>
      <c r="E224" s="63" t="s">
        <v>182</v>
      </c>
      <c r="F224" s="23"/>
      <c r="G224" s="26"/>
      <c r="H224" s="26"/>
      <c r="I224" s="26"/>
      <c r="J224" s="26"/>
      <c r="K224" s="26"/>
      <c r="L224" s="26"/>
      <c r="M224" s="26"/>
      <c r="N224" s="26"/>
      <c r="O224" s="26"/>
      <c r="P224" s="26"/>
      <c r="Q224" s="16"/>
      <c r="R224" s="344">
        <f>SUM(F224:Q224)</f>
        <v>0</v>
      </c>
      <c r="S224" s="135"/>
      <c r="T224" s="1185"/>
      <c r="U224" s="1185"/>
    </row>
    <row r="225" spans="1:21" s="2" customFormat="1" x14ac:dyDescent="0.35">
      <c r="A225" s="1198"/>
      <c r="B225" s="1179"/>
      <c r="C225" s="1201"/>
      <c r="D225" s="1201"/>
      <c r="E225" s="336" t="s">
        <v>183</v>
      </c>
      <c r="F225" s="337"/>
      <c r="G225" s="338"/>
      <c r="H225" s="338"/>
      <c r="I225" s="338"/>
      <c r="J225" s="338"/>
      <c r="K225" s="338"/>
      <c r="L225" s="338"/>
      <c r="M225" s="338"/>
      <c r="N225" s="338"/>
      <c r="O225" s="338"/>
      <c r="P225" s="338"/>
      <c r="Q225" s="339"/>
      <c r="R225" s="344">
        <f>SUM(F225:Q225)</f>
        <v>0</v>
      </c>
      <c r="S225" s="335"/>
      <c r="T225" s="1185"/>
      <c r="U225" s="1185"/>
    </row>
    <row r="226" spans="1:21" s="2" customFormat="1" x14ac:dyDescent="0.35">
      <c r="A226" s="1198"/>
      <c r="B226" s="1179"/>
      <c r="C226" s="1201"/>
      <c r="D226" s="1201"/>
      <c r="E226" s="36" t="s">
        <v>184</v>
      </c>
      <c r="F226" s="29"/>
      <c r="G226" s="30"/>
      <c r="H226" s="30"/>
      <c r="I226" s="30"/>
      <c r="J226" s="30"/>
      <c r="K226" s="30"/>
      <c r="L226" s="30"/>
      <c r="M226" s="30"/>
      <c r="N226" s="30"/>
      <c r="O226" s="30"/>
      <c r="P226" s="30"/>
      <c r="Q226" s="31"/>
      <c r="R226" s="344"/>
      <c r="S226" s="335"/>
      <c r="T226" s="1185"/>
      <c r="U226" s="1185"/>
    </row>
    <row r="227" spans="1:21" s="2" customFormat="1" ht="15" thickBot="1" x14ac:dyDescent="0.4">
      <c r="A227" s="1198"/>
      <c r="B227" s="1179"/>
      <c r="C227" s="1201"/>
      <c r="D227" s="1201"/>
      <c r="E227" s="340" t="s">
        <v>185</v>
      </c>
      <c r="F227" s="341"/>
      <c r="G227" s="342"/>
      <c r="H227" s="342"/>
      <c r="I227" s="342"/>
      <c r="J227" s="342"/>
      <c r="K227" s="342"/>
      <c r="L227" s="342"/>
      <c r="M227" s="342"/>
      <c r="N227" s="342"/>
      <c r="O227" s="342"/>
      <c r="P227" s="342"/>
      <c r="Q227" s="343"/>
      <c r="R227" s="344"/>
      <c r="S227" s="335"/>
      <c r="T227" s="1185"/>
      <c r="U227" s="1185"/>
    </row>
    <row r="228" spans="1:21" s="2" customFormat="1" ht="15" thickBot="1" x14ac:dyDescent="0.4">
      <c r="A228" s="1198"/>
      <c r="B228" s="1179"/>
      <c r="C228" s="1201"/>
      <c r="D228" s="1201"/>
      <c r="E228" s="1193" t="s">
        <v>175</v>
      </c>
      <c r="F228" s="1194"/>
      <c r="G228" s="1194"/>
      <c r="H228" s="1194"/>
      <c r="I228" s="1194"/>
      <c r="J228" s="1194"/>
      <c r="K228" s="1194"/>
      <c r="L228" s="1194"/>
      <c r="M228" s="1194"/>
      <c r="N228" s="1194"/>
      <c r="O228" s="1194"/>
      <c r="P228" s="1194"/>
      <c r="Q228" s="1194"/>
      <c r="R228" s="348" t="e">
        <f>SUM(R230:R231)/R223</f>
        <v>#DIV/0!</v>
      </c>
      <c r="S228" s="349" t="s">
        <v>186</v>
      </c>
      <c r="T228" s="1185"/>
      <c r="U228" s="1185"/>
    </row>
    <row r="229" spans="1:21" s="2" customFormat="1" x14ac:dyDescent="0.35">
      <c r="A229" s="1198"/>
      <c r="B229" s="1179"/>
      <c r="C229" s="1201"/>
      <c r="D229" s="1201"/>
      <c r="E229" s="62" t="s">
        <v>187</v>
      </c>
      <c r="F229" s="44">
        <f>SUM(F230:F233)</f>
        <v>0</v>
      </c>
      <c r="G229" s="43">
        <f>SUM(G230:G233)</f>
        <v>0</v>
      </c>
      <c r="H229" s="43">
        <f t="shared" ref="H229:Q229" si="41">SUM(H230:H233)</f>
        <v>0</v>
      </c>
      <c r="I229" s="43">
        <f t="shared" si="41"/>
        <v>0</v>
      </c>
      <c r="J229" s="43">
        <f t="shared" si="41"/>
        <v>0</v>
      </c>
      <c r="K229" s="43">
        <f t="shared" si="41"/>
        <v>0</v>
      </c>
      <c r="L229" s="43">
        <f t="shared" si="41"/>
        <v>0</v>
      </c>
      <c r="M229" s="43">
        <f t="shared" si="41"/>
        <v>0</v>
      </c>
      <c r="N229" s="43">
        <f t="shared" si="41"/>
        <v>0</v>
      </c>
      <c r="O229" s="43">
        <f t="shared" si="41"/>
        <v>0</v>
      </c>
      <c r="P229" s="43">
        <f t="shared" si="41"/>
        <v>0</v>
      </c>
      <c r="Q229" s="43">
        <f t="shared" si="41"/>
        <v>0</v>
      </c>
      <c r="R229" s="65"/>
      <c r="S229" s="65"/>
      <c r="T229" s="1185"/>
      <c r="U229" s="1185"/>
    </row>
    <row r="230" spans="1:21" s="2" customFormat="1" x14ac:dyDescent="0.35">
      <c r="A230" s="1198"/>
      <c r="B230" s="1179"/>
      <c r="C230" s="1201"/>
      <c r="D230" s="1201"/>
      <c r="E230" s="63" t="s">
        <v>188</v>
      </c>
      <c r="F230" s="23"/>
      <c r="G230" s="26"/>
      <c r="H230" s="26"/>
      <c r="I230" s="26"/>
      <c r="J230" s="26"/>
      <c r="K230" s="26"/>
      <c r="L230" s="26"/>
      <c r="M230" s="26"/>
      <c r="N230" s="26"/>
      <c r="O230" s="26"/>
      <c r="P230" s="26"/>
      <c r="Q230" s="16"/>
      <c r="R230" s="65">
        <f>SUM(F230:Q230)</f>
        <v>0</v>
      </c>
      <c r="S230" s="346" t="e">
        <f>R230/R224</f>
        <v>#DIV/0!</v>
      </c>
      <c r="T230" s="1185"/>
      <c r="U230" s="1185"/>
    </row>
    <row r="231" spans="1:21" s="2" customFormat="1" x14ac:dyDescent="0.35">
      <c r="A231" s="1198"/>
      <c r="B231" s="1179"/>
      <c r="C231" s="1201"/>
      <c r="D231" s="1201"/>
      <c r="E231" s="37" t="s">
        <v>189</v>
      </c>
      <c r="F231" s="33"/>
      <c r="G231" s="32"/>
      <c r="H231" s="32"/>
      <c r="I231" s="32"/>
      <c r="J231" s="32"/>
      <c r="K231" s="32"/>
      <c r="L231" s="32"/>
      <c r="M231" s="32"/>
      <c r="N231" s="32"/>
      <c r="O231" s="32"/>
      <c r="P231" s="32"/>
      <c r="Q231" s="34"/>
      <c r="R231" s="65">
        <f>SUM(F231:Q231)</f>
        <v>0</v>
      </c>
      <c r="S231" s="346" t="e">
        <f>R231/R225</f>
        <v>#DIV/0!</v>
      </c>
      <c r="T231" s="1185"/>
      <c r="U231" s="1185"/>
    </row>
    <row r="232" spans="1:21" s="2" customFormat="1" x14ac:dyDescent="0.35">
      <c r="A232" s="1198"/>
      <c r="B232" s="1179"/>
      <c r="C232" s="1201"/>
      <c r="D232" s="1201"/>
      <c r="E232" s="36" t="s">
        <v>190</v>
      </c>
      <c r="F232" s="29"/>
      <c r="G232" s="30"/>
      <c r="H232" s="30"/>
      <c r="I232" s="30"/>
      <c r="J232" s="30"/>
      <c r="K232" s="30"/>
      <c r="L232" s="30"/>
      <c r="M232" s="30"/>
      <c r="N232" s="30"/>
      <c r="O232" s="30"/>
      <c r="P232" s="30"/>
      <c r="Q232" s="31"/>
      <c r="R232" s="65"/>
      <c r="S232" s="65"/>
      <c r="T232" s="1185"/>
      <c r="U232" s="1185"/>
    </row>
    <row r="233" spans="1:21" s="2" customFormat="1" ht="15" thickBot="1" x14ac:dyDescent="0.4">
      <c r="A233" s="1199"/>
      <c r="B233" s="1180"/>
      <c r="C233" s="1202"/>
      <c r="D233" s="1202"/>
      <c r="E233" s="64" t="s">
        <v>191</v>
      </c>
      <c r="F233" s="25"/>
      <c r="G233" s="28"/>
      <c r="H233" s="28"/>
      <c r="I233" s="28"/>
      <c r="J233" s="28"/>
      <c r="K233" s="28"/>
      <c r="L233" s="28"/>
      <c r="M233" s="28"/>
      <c r="N233" s="28"/>
      <c r="O233" s="28"/>
      <c r="P233" s="28"/>
      <c r="Q233" s="35"/>
      <c r="R233" s="137"/>
      <c r="S233" s="137"/>
      <c r="T233" s="1186"/>
      <c r="U233" s="1186"/>
    </row>
    <row r="234" spans="1:21" s="2" customFormat="1" x14ac:dyDescent="0.35">
      <c r="A234" s="1198">
        <v>22</v>
      </c>
      <c r="B234" s="1178" t="str">
        <f>IF(VLOOKUP(A:A,'Benefit-People-Indicator Ex'!Z:AE,6,FALSE)=0,"",VLOOKUP(A:A,'Benefit-People-Indicator Ex'!Z:AE,6,FALSE))</f>
        <v/>
      </c>
      <c r="C234" s="1200" t="str">
        <f>_xlfn.IFNA(VLOOKUP(B:B,'indicator lists'!L:R,3,FALSE),"")</f>
        <v/>
      </c>
      <c r="D234" s="1200" t="str">
        <f>_xlfn.IFNA(VLOOKUP(A:A,'Benefit-People-Indicator Ex'!P:X,9,FALSE),"")</f>
        <v/>
      </c>
      <c r="E234" s="59" t="s">
        <v>181</v>
      </c>
      <c r="F234" s="60">
        <f>SUM(F235:F238)</f>
        <v>0</v>
      </c>
      <c r="G234" s="61">
        <f>SUM(G235:G238)</f>
        <v>0</v>
      </c>
      <c r="H234" s="61">
        <f t="shared" ref="H234:P234" si="42">SUM(H235:H238)</f>
        <v>0</v>
      </c>
      <c r="I234" s="61">
        <f t="shared" si="42"/>
        <v>0</v>
      </c>
      <c r="J234" s="61">
        <f t="shared" si="42"/>
        <v>0</v>
      </c>
      <c r="K234" s="61">
        <f t="shared" si="42"/>
        <v>0</v>
      </c>
      <c r="L234" s="61">
        <f t="shared" si="42"/>
        <v>0</v>
      </c>
      <c r="M234" s="61">
        <f t="shared" si="42"/>
        <v>0</v>
      </c>
      <c r="N234" s="61">
        <f t="shared" si="42"/>
        <v>0</v>
      </c>
      <c r="O234" s="61">
        <f t="shared" si="42"/>
        <v>0</v>
      </c>
      <c r="P234" s="61">
        <f t="shared" si="42"/>
        <v>0</v>
      </c>
      <c r="Q234" s="61">
        <f>SUM(Q235:Q238)</f>
        <v>0</v>
      </c>
      <c r="R234" s="347">
        <f>SUM(R235:R236)</f>
        <v>0</v>
      </c>
      <c r="S234" s="134"/>
      <c r="T234" s="1184"/>
      <c r="U234" s="1184"/>
    </row>
    <row r="235" spans="1:21" s="2" customFormat="1" x14ac:dyDescent="0.35">
      <c r="A235" s="1198"/>
      <c r="B235" s="1179"/>
      <c r="C235" s="1201"/>
      <c r="D235" s="1201"/>
      <c r="E235" s="63" t="s">
        <v>182</v>
      </c>
      <c r="F235" s="23"/>
      <c r="G235" s="26"/>
      <c r="H235" s="26"/>
      <c r="I235" s="26"/>
      <c r="J235" s="26"/>
      <c r="K235" s="26"/>
      <c r="L235" s="26"/>
      <c r="M235" s="26"/>
      <c r="N235" s="26"/>
      <c r="O235" s="26"/>
      <c r="P235" s="26"/>
      <c r="Q235" s="16"/>
      <c r="R235" s="344">
        <f>SUM(F235:Q235)</f>
        <v>0</v>
      </c>
      <c r="S235" s="135"/>
      <c r="T235" s="1185"/>
      <c r="U235" s="1185"/>
    </row>
    <row r="236" spans="1:21" s="2" customFormat="1" x14ac:dyDescent="0.35">
      <c r="A236" s="1198"/>
      <c r="B236" s="1179"/>
      <c r="C236" s="1201"/>
      <c r="D236" s="1201"/>
      <c r="E236" s="336" t="s">
        <v>183</v>
      </c>
      <c r="F236" s="337"/>
      <c r="G236" s="338"/>
      <c r="H236" s="338"/>
      <c r="I236" s="338"/>
      <c r="J236" s="338"/>
      <c r="K236" s="338"/>
      <c r="L236" s="338"/>
      <c r="M236" s="338"/>
      <c r="N236" s="338"/>
      <c r="O236" s="338"/>
      <c r="P236" s="338"/>
      <c r="Q236" s="339"/>
      <c r="R236" s="344">
        <f>SUM(F236:Q236)</f>
        <v>0</v>
      </c>
      <c r="S236" s="335"/>
      <c r="T236" s="1185"/>
      <c r="U236" s="1185"/>
    </row>
    <row r="237" spans="1:21" s="2" customFormat="1" x14ac:dyDescent="0.35">
      <c r="A237" s="1198"/>
      <c r="B237" s="1179"/>
      <c r="C237" s="1201"/>
      <c r="D237" s="1201"/>
      <c r="E237" s="36" t="s">
        <v>184</v>
      </c>
      <c r="F237" s="29"/>
      <c r="G237" s="30"/>
      <c r="H237" s="30"/>
      <c r="I237" s="30"/>
      <c r="J237" s="30"/>
      <c r="K237" s="30"/>
      <c r="L237" s="30"/>
      <c r="M237" s="30"/>
      <c r="N237" s="30"/>
      <c r="O237" s="30"/>
      <c r="P237" s="30"/>
      <c r="Q237" s="31"/>
      <c r="R237" s="344"/>
      <c r="S237" s="335"/>
      <c r="T237" s="1185"/>
      <c r="U237" s="1185"/>
    </row>
    <row r="238" spans="1:21" s="2" customFormat="1" ht="15" thickBot="1" x14ac:dyDescent="0.4">
      <c r="A238" s="1198"/>
      <c r="B238" s="1179"/>
      <c r="C238" s="1201"/>
      <c r="D238" s="1201"/>
      <c r="E238" s="340" t="s">
        <v>185</v>
      </c>
      <c r="F238" s="341"/>
      <c r="G238" s="342"/>
      <c r="H238" s="342"/>
      <c r="I238" s="342"/>
      <c r="J238" s="342"/>
      <c r="K238" s="342"/>
      <c r="L238" s="342"/>
      <c r="M238" s="342"/>
      <c r="N238" s="342"/>
      <c r="O238" s="342"/>
      <c r="P238" s="342"/>
      <c r="Q238" s="343"/>
      <c r="R238" s="344"/>
      <c r="S238" s="335"/>
      <c r="T238" s="1185"/>
      <c r="U238" s="1185"/>
    </row>
    <row r="239" spans="1:21" s="2" customFormat="1" ht="15" thickBot="1" x14ac:dyDescent="0.4">
      <c r="A239" s="1198"/>
      <c r="B239" s="1179"/>
      <c r="C239" s="1201"/>
      <c r="D239" s="1201"/>
      <c r="E239" s="1193" t="s">
        <v>175</v>
      </c>
      <c r="F239" s="1194"/>
      <c r="G239" s="1194"/>
      <c r="H239" s="1194"/>
      <c r="I239" s="1194"/>
      <c r="J239" s="1194"/>
      <c r="K239" s="1194"/>
      <c r="L239" s="1194"/>
      <c r="M239" s="1194"/>
      <c r="N239" s="1194"/>
      <c r="O239" s="1194"/>
      <c r="P239" s="1194"/>
      <c r="Q239" s="1194"/>
      <c r="R239" s="348" t="e">
        <f>SUM(R241:R242)/R234</f>
        <v>#DIV/0!</v>
      </c>
      <c r="S239" s="349" t="s">
        <v>186</v>
      </c>
      <c r="T239" s="1185"/>
      <c r="U239" s="1185"/>
    </row>
    <row r="240" spans="1:21" s="2" customFormat="1" x14ac:dyDescent="0.35">
      <c r="A240" s="1198"/>
      <c r="B240" s="1179"/>
      <c r="C240" s="1201"/>
      <c r="D240" s="1201"/>
      <c r="E240" s="62" t="s">
        <v>187</v>
      </c>
      <c r="F240" s="44">
        <f>SUM(F241:F244)</f>
        <v>0</v>
      </c>
      <c r="G240" s="43">
        <f>SUM(G241:G244)</f>
        <v>0</v>
      </c>
      <c r="H240" s="43">
        <f t="shared" ref="H240:Q240" si="43">SUM(H241:H244)</f>
        <v>0</v>
      </c>
      <c r="I240" s="43">
        <f t="shared" si="43"/>
        <v>0</v>
      </c>
      <c r="J240" s="43">
        <f t="shared" si="43"/>
        <v>0</v>
      </c>
      <c r="K240" s="43">
        <f t="shared" si="43"/>
        <v>0</v>
      </c>
      <c r="L240" s="43">
        <f t="shared" si="43"/>
        <v>0</v>
      </c>
      <c r="M240" s="43">
        <f t="shared" si="43"/>
        <v>0</v>
      </c>
      <c r="N240" s="43">
        <f t="shared" si="43"/>
        <v>0</v>
      </c>
      <c r="O240" s="43">
        <f t="shared" si="43"/>
        <v>0</v>
      </c>
      <c r="P240" s="43">
        <f t="shared" si="43"/>
        <v>0</v>
      </c>
      <c r="Q240" s="43">
        <f t="shared" si="43"/>
        <v>0</v>
      </c>
      <c r="R240" s="65"/>
      <c r="S240" s="65"/>
      <c r="T240" s="1185"/>
      <c r="U240" s="1185"/>
    </row>
    <row r="241" spans="1:21" s="2" customFormat="1" x14ac:dyDescent="0.35">
      <c r="A241" s="1198"/>
      <c r="B241" s="1179"/>
      <c r="C241" s="1201"/>
      <c r="D241" s="1201"/>
      <c r="E241" s="63" t="s">
        <v>188</v>
      </c>
      <c r="F241" s="23"/>
      <c r="G241" s="26"/>
      <c r="H241" s="26"/>
      <c r="I241" s="26"/>
      <c r="J241" s="26"/>
      <c r="K241" s="26"/>
      <c r="L241" s="26"/>
      <c r="M241" s="26"/>
      <c r="N241" s="26"/>
      <c r="O241" s="26"/>
      <c r="P241" s="26"/>
      <c r="Q241" s="16"/>
      <c r="R241" s="65">
        <f>SUM(F241:Q241)</f>
        <v>0</v>
      </c>
      <c r="S241" s="346" t="e">
        <f>R241/R235</f>
        <v>#DIV/0!</v>
      </c>
      <c r="T241" s="1185"/>
      <c r="U241" s="1185"/>
    </row>
    <row r="242" spans="1:21" s="2" customFormat="1" x14ac:dyDescent="0.35">
      <c r="A242" s="1198"/>
      <c r="B242" s="1179"/>
      <c r="C242" s="1201"/>
      <c r="D242" s="1201"/>
      <c r="E242" s="37" t="s">
        <v>189</v>
      </c>
      <c r="F242" s="33"/>
      <c r="G242" s="32"/>
      <c r="H242" s="32"/>
      <c r="I242" s="32"/>
      <c r="J242" s="32"/>
      <c r="K242" s="32"/>
      <c r="L242" s="32"/>
      <c r="M242" s="32"/>
      <c r="N242" s="32"/>
      <c r="O242" s="32"/>
      <c r="P242" s="32"/>
      <c r="Q242" s="34"/>
      <c r="R242" s="65">
        <f>SUM(F242:Q242)</f>
        <v>0</v>
      </c>
      <c r="S242" s="346" t="e">
        <f>R242/R236</f>
        <v>#DIV/0!</v>
      </c>
      <c r="T242" s="1185"/>
      <c r="U242" s="1185"/>
    </row>
    <row r="243" spans="1:21" s="2" customFormat="1" x14ac:dyDescent="0.35">
      <c r="A243" s="1198"/>
      <c r="B243" s="1179"/>
      <c r="C243" s="1201"/>
      <c r="D243" s="1201"/>
      <c r="E243" s="36" t="s">
        <v>190</v>
      </c>
      <c r="F243" s="29"/>
      <c r="G243" s="30"/>
      <c r="H243" s="30"/>
      <c r="I243" s="30"/>
      <c r="J243" s="30"/>
      <c r="K243" s="30"/>
      <c r="L243" s="30"/>
      <c r="M243" s="30"/>
      <c r="N243" s="30"/>
      <c r="O243" s="30"/>
      <c r="P243" s="30"/>
      <c r="Q243" s="31"/>
      <c r="R243" s="65"/>
      <c r="S243" s="65"/>
      <c r="T243" s="1185"/>
      <c r="U243" s="1185"/>
    </row>
    <row r="244" spans="1:21" s="2" customFormat="1" ht="15" thickBot="1" x14ac:dyDescent="0.4">
      <c r="A244" s="1199"/>
      <c r="B244" s="1180"/>
      <c r="C244" s="1202"/>
      <c r="D244" s="1202"/>
      <c r="E244" s="64" t="s">
        <v>191</v>
      </c>
      <c r="F244" s="25"/>
      <c r="G244" s="28"/>
      <c r="H244" s="28"/>
      <c r="I244" s="28"/>
      <c r="J244" s="28"/>
      <c r="K244" s="28"/>
      <c r="L244" s="28"/>
      <c r="M244" s="28"/>
      <c r="N244" s="28"/>
      <c r="O244" s="28"/>
      <c r="P244" s="28"/>
      <c r="Q244" s="35"/>
      <c r="R244" s="137"/>
      <c r="S244" s="137"/>
      <c r="T244" s="1186"/>
      <c r="U244" s="1186"/>
    </row>
    <row r="245" spans="1:21" s="2" customFormat="1" x14ac:dyDescent="0.35">
      <c r="A245" s="1198">
        <v>23</v>
      </c>
      <c r="B245" s="1178" t="str">
        <f>IF(VLOOKUP(A:A,'Benefit-People-Indicator Ex'!Z:AE,6,FALSE)=0,"",VLOOKUP(A:A,'Benefit-People-Indicator Ex'!Z:AE,6,FALSE))</f>
        <v/>
      </c>
      <c r="C245" s="1200" t="str">
        <f>_xlfn.IFNA(VLOOKUP(B:B,'indicator lists'!L:R,3,FALSE),"")</f>
        <v/>
      </c>
      <c r="D245" s="1200" t="str">
        <f>_xlfn.IFNA(VLOOKUP(A:A,'Benefit-People-Indicator Ex'!P:X,9,FALSE),"")</f>
        <v/>
      </c>
      <c r="E245" s="59" t="s">
        <v>181</v>
      </c>
      <c r="F245" s="60">
        <f>SUM(F246:F249)</f>
        <v>0</v>
      </c>
      <c r="G245" s="61">
        <f>SUM(G246:G249)</f>
        <v>0</v>
      </c>
      <c r="H245" s="61">
        <f t="shared" ref="H245:P245" si="44">SUM(H246:H249)</f>
        <v>0</v>
      </c>
      <c r="I245" s="61">
        <f t="shared" si="44"/>
        <v>0</v>
      </c>
      <c r="J245" s="61">
        <f t="shared" si="44"/>
        <v>0</v>
      </c>
      <c r="K245" s="61">
        <f t="shared" si="44"/>
        <v>0</v>
      </c>
      <c r="L245" s="61">
        <f t="shared" si="44"/>
        <v>0</v>
      </c>
      <c r="M245" s="61">
        <f t="shared" si="44"/>
        <v>0</v>
      </c>
      <c r="N245" s="61">
        <f t="shared" si="44"/>
        <v>0</v>
      </c>
      <c r="O245" s="61">
        <f t="shared" si="44"/>
        <v>0</v>
      </c>
      <c r="P245" s="61">
        <f t="shared" si="44"/>
        <v>0</v>
      </c>
      <c r="Q245" s="61">
        <f>SUM(Q246:Q249)</f>
        <v>0</v>
      </c>
      <c r="R245" s="347">
        <f>SUM(R246:R247)</f>
        <v>0</v>
      </c>
      <c r="S245" s="134"/>
      <c r="T245" s="1184"/>
      <c r="U245" s="1184"/>
    </row>
    <row r="246" spans="1:21" s="2" customFormat="1" x14ac:dyDescent="0.35">
      <c r="A246" s="1198"/>
      <c r="B246" s="1179"/>
      <c r="C246" s="1201"/>
      <c r="D246" s="1201"/>
      <c r="E246" s="63" t="s">
        <v>182</v>
      </c>
      <c r="F246" s="23"/>
      <c r="G246" s="26"/>
      <c r="H246" s="26"/>
      <c r="I246" s="26"/>
      <c r="J246" s="26"/>
      <c r="K246" s="26"/>
      <c r="L246" s="26"/>
      <c r="M246" s="26"/>
      <c r="N246" s="26"/>
      <c r="O246" s="26"/>
      <c r="P246" s="26"/>
      <c r="Q246" s="16"/>
      <c r="R246" s="344">
        <f>SUM(F246:Q246)</f>
        <v>0</v>
      </c>
      <c r="S246" s="135"/>
      <c r="T246" s="1185"/>
      <c r="U246" s="1185"/>
    </row>
    <row r="247" spans="1:21" s="2" customFormat="1" x14ac:dyDescent="0.35">
      <c r="A247" s="1198"/>
      <c r="B247" s="1179"/>
      <c r="C247" s="1201"/>
      <c r="D247" s="1201"/>
      <c r="E247" s="336" t="s">
        <v>183</v>
      </c>
      <c r="F247" s="337"/>
      <c r="G247" s="338"/>
      <c r="H247" s="338"/>
      <c r="I247" s="338"/>
      <c r="J247" s="338"/>
      <c r="K247" s="338"/>
      <c r="L247" s="338"/>
      <c r="M247" s="338"/>
      <c r="N247" s="338"/>
      <c r="O247" s="338"/>
      <c r="P247" s="338"/>
      <c r="Q247" s="339"/>
      <c r="R247" s="344">
        <f>SUM(F247:Q247)</f>
        <v>0</v>
      </c>
      <c r="S247" s="335"/>
      <c r="T247" s="1185"/>
      <c r="U247" s="1185"/>
    </row>
    <row r="248" spans="1:21" s="2" customFormat="1" x14ac:dyDescent="0.35">
      <c r="A248" s="1198"/>
      <c r="B248" s="1179"/>
      <c r="C248" s="1201"/>
      <c r="D248" s="1201"/>
      <c r="E248" s="36" t="s">
        <v>184</v>
      </c>
      <c r="F248" s="29"/>
      <c r="G248" s="30"/>
      <c r="H248" s="30"/>
      <c r="I248" s="30"/>
      <c r="J248" s="30"/>
      <c r="K248" s="30"/>
      <c r="L248" s="30"/>
      <c r="M248" s="30"/>
      <c r="N248" s="30"/>
      <c r="O248" s="30"/>
      <c r="P248" s="30"/>
      <c r="Q248" s="31"/>
      <c r="R248" s="344"/>
      <c r="S248" s="335"/>
      <c r="T248" s="1185"/>
      <c r="U248" s="1185"/>
    </row>
    <row r="249" spans="1:21" s="2" customFormat="1" ht="15" thickBot="1" x14ac:dyDescent="0.4">
      <c r="A249" s="1198"/>
      <c r="B249" s="1179"/>
      <c r="C249" s="1201"/>
      <c r="D249" s="1201"/>
      <c r="E249" s="340" t="s">
        <v>185</v>
      </c>
      <c r="F249" s="341"/>
      <c r="G249" s="342"/>
      <c r="H249" s="342"/>
      <c r="I249" s="342"/>
      <c r="J249" s="342"/>
      <c r="K249" s="342"/>
      <c r="L249" s="342"/>
      <c r="M249" s="342"/>
      <c r="N249" s="342"/>
      <c r="O249" s="342"/>
      <c r="P249" s="342"/>
      <c r="Q249" s="343"/>
      <c r="R249" s="344"/>
      <c r="S249" s="335"/>
      <c r="T249" s="1185"/>
      <c r="U249" s="1185"/>
    </row>
    <row r="250" spans="1:21" s="2" customFormat="1" ht="15" thickBot="1" x14ac:dyDescent="0.4">
      <c r="A250" s="1198"/>
      <c r="B250" s="1179"/>
      <c r="C250" s="1201"/>
      <c r="D250" s="1201"/>
      <c r="E250" s="1193" t="s">
        <v>175</v>
      </c>
      <c r="F250" s="1194"/>
      <c r="G250" s="1194"/>
      <c r="H250" s="1194"/>
      <c r="I250" s="1194"/>
      <c r="J250" s="1194"/>
      <c r="K250" s="1194"/>
      <c r="L250" s="1194"/>
      <c r="M250" s="1194"/>
      <c r="N250" s="1194"/>
      <c r="O250" s="1194"/>
      <c r="P250" s="1194"/>
      <c r="Q250" s="1194"/>
      <c r="R250" s="348" t="e">
        <f>SUM(R252:R253)/R245</f>
        <v>#DIV/0!</v>
      </c>
      <c r="S250" s="349" t="s">
        <v>186</v>
      </c>
      <c r="T250" s="1185"/>
      <c r="U250" s="1185"/>
    </row>
    <row r="251" spans="1:21" s="2" customFormat="1" x14ac:dyDescent="0.35">
      <c r="A251" s="1198"/>
      <c r="B251" s="1179"/>
      <c r="C251" s="1201"/>
      <c r="D251" s="1201"/>
      <c r="E251" s="62" t="s">
        <v>187</v>
      </c>
      <c r="F251" s="44">
        <f>SUM(F252:F255)</f>
        <v>0</v>
      </c>
      <c r="G251" s="43">
        <f>SUM(G252:G255)</f>
        <v>0</v>
      </c>
      <c r="H251" s="43">
        <f t="shared" ref="H251:Q251" si="45">SUM(H252:H255)</f>
        <v>0</v>
      </c>
      <c r="I251" s="43">
        <f t="shared" si="45"/>
        <v>0</v>
      </c>
      <c r="J251" s="43">
        <f t="shared" si="45"/>
        <v>0</v>
      </c>
      <c r="K251" s="43">
        <f t="shared" si="45"/>
        <v>0</v>
      </c>
      <c r="L251" s="43">
        <f t="shared" si="45"/>
        <v>0</v>
      </c>
      <c r="M251" s="43">
        <f t="shared" si="45"/>
        <v>0</v>
      </c>
      <c r="N251" s="43">
        <f t="shared" si="45"/>
        <v>0</v>
      </c>
      <c r="O251" s="43">
        <f t="shared" si="45"/>
        <v>0</v>
      </c>
      <c r="P251" s="43">
        <f t="shared" si="45"/>
        <v>0</v>
      </c>
      <c r="Q251" s="43">
        <f t="shared" si="45"/>
        <v>0</v>
      </c>
      <c r="R251" s="65"/>
      <c r="S251" s="65"/>
      <c r="T251" s="1185"/>
      <c r="U251" s="1185"/>
    </row>
    <row r="252" spans="1:21" s="2" customFormat="1" x14ac:dyDescent="0.35">
      <c r="A252" s="1198"/>
      <c r="B252" s="1179"/>
      <c r="C252" s="1201"/>
      <c r="D252" s="1201"/>
      <c r="E252" s="63" t="s">
        <v>188</v>
      </c>
      <c r="F252" s="23"/>
      <c r="G252" s="26"/>
      <c r="H252" s="26"/>
      <c r="I252" s="26"/>
      <c r="J252" s="26"/>
      <c r="K252" s="26"/>
      <c r="L252" s="26"/>
      <c r="M252" s="26"/>
      <c r="N252" s="26"/>
      <c r="O252" s="26"/>
      <c r="P252" s="26"/>
      <c r="Q252" s="16"/>
      <c r="R252" s="65">
        <f>SUM(F252:Q252)</f>
        <v>0</v>
      </c>
      <c r="S252" s="346" t="e">
        <f>R252/R246</f>
        <v>#DIV/0!</v>
      </c>
      <c r="T252" s="1185"/>
      <c r="U252" s="1185"/>
    </row>
    <row r="253" spans="1:21" s="2" customFormat="1" x14ac:dyDescent="0.35">
      <c r="A253" s="1198"/>
      <c r="B253" s="1179"/>
      <c r="C253" s="1201"/>
      <c r="D253" s="1201"/>
      <c r="E253" s="37" t="s">
        <v>189</v>
      </c>
      <c r="F253" s="33"/>
      <c r="G253" s="32"/>
      <c r="H253" s="32"/>
      <c r="I253" s="32"/>
      <c r="J253" s="32"/>
      <c r="K253" s="32"/>
      <c r="L253" s="32"/>
      <c r="M253" s="32"/>
      <c r="N253" s="32"/>
      <c r="O253" s="32"/>
      <c r="P253" s="32"/>
      <c r="Q253" s="34"/>
      <c r="R253" s="65">
        <f>SUM(F253:Q253)</f>
        <v>0</v>
      </c>
      <c r="S253" s="346" t="e">
        <f>R253/R247</f>
        <v>#DIV/0!</v>
      </c>
      <c r="T253" s="1185"/>
      <c r="U253" s="1185"/>
    </row>
    <row r="254" spans="1:21" s="2" customFormat="1" x14ac:dyDescent="0.35">
      <c r="A254" s="1198"/>
      <c r="B254" s="1179"/>
      <c r="C254" s="1201"/>
      <c r="D254" s="1201"/>
      <c r="E254" s="36" t="s">
        <v>190</v>
      </c>
      <c r="F254" s="29"/>
      <c r="G254" s="30"/>
      <c r="H254" s="30"/>
      <c r="I254" s="30"/>
      <c r="J254" s="30"/>
      <c r="K254" s="30"/>
      <c r="L254" s="30"/>
      <c r="M254" s="30"/>
      <c r="N254" s="30"/>
      <c r="O254" s="30"/>
      <c r="P254" s="30"/>
      <c r="Q254" s="31"/>
      <c r="R254" s="65"/>
      <c r="S254" s="65"/>
      <c r="T254" s="1185"/>
      <c r="U254" s="1185"/>
    </row>
    <row r="255" spans="1:21" s="2" customFormat="1" ht="15" thickBot="1" x14ac:dyDescent="0.4">
      <c r="A255" s="1199"/>
      <c r="B255" s="1180"/>
      <c r="C255" s="1202"/>
      <c r="D255" s="1202"/>
      <c r="E255" s="64" t="s">
        <v>191</v>
      </c>
      <c r="F255" s="25"/>
      <c r="G255" s="28"/>
      <c r="H255" s="28"/>
      <c r="I255" s="28"/>
      <c r="J255" s="28"/>
      <c r="K255" s="28"/>
      <c r="L255" s="28"/>
      <c r="M255" s="28"/>
      <c r="N255" s="28"/>
      <c r="O255" s="28"/>
      <c r="P255" s="28"/>
      <c r="Q255" s="35"/>
      <c r="R255" s="137"/>
      <c r="S255" s="137"/>
      <c r="T255" s="1186"/>
      <c r="U255" s="1186"/>
    </row>
    <row r="256" spans="1:21" s="2" customFormat="1" x14ac:dyDescent="0.35">
      <c r="A256" s="1198">
        <v>24</v>
      </c>
      <c r="B256" s="1178" t="str">
        <f>IF(VLOOKUP(A:A,'Benefit-People-Indicator Ex'!Z:AE,6,FALSE)=0,"",VLOOKUP(A:A,'Benefit-People-Indicator Ex'!Z:AE,6,FALSE))</f>
        <v/>
      </c>
      <c r="C256" s="1200" t="str">
        <f>_xlfn.IFNA(VLOOKUP(B:B,'indicator lists'!L:R,3,FALSE),"")</f>
        <v/>
      </c>
      <c r="D256" s="1200" t="str">
        <f>_xlfn.IFNA(VLOOKUP(A:A,'Benefit-People-Indicator Ex'!P:X,9,FALSE),"")</f>
        <v/>
      </c>
      <c r="E256" s="59" t="s">
        <v>181</v>
      </c>
      <c r="F256" s="60">
        <f>SUM(F257:F260)</f>
        <v>0</v>
      </c>
      <c r="G256" s="61">
        <f>SUM(G257:G260)</f>
        <v>0</v>
      </c>
      <c r="H256" s="61">
        <f t="shared" ref="H256:P256" si="46">SUM(H257:H260)</f>
        <v>0</v>
      </c>
      <c r="I256" s="61">
        <f t="shared" si="46"/>
        <v>0</v>
      </c>
      <c r="J256" s="61">
        <f t="shared" si="46"/>
        <v>0</v>
      </c>
      <c r="K256" s="61">
        <f t="shared" si="46"/>
        <v>0</v>
      </c>
      <c r="L256" s="61">
        <f t="shared" si="46"/>
        <v>0</v>
      </c>
      <c r="M256" s="61">
        <f t="shared" si="46"/>
        <v>0</v>
      </c>
      <c r="N256" s="61">
        <f t="shared" si="46"/>
        <v>0</v>
      </c>
      <c r="O256" s="61">
        <f t="shared" si="46"/>
        <v>0</v>
      </c>
      <c r="P256" s="61">
        <f t="shared" si="46"/>
        <v>0</v>
      </c>
      <c r="Q256" s="61">
        <f>SUM(Q257:Q260)</f>
        <v>0</v>
      </c>
      <c r="R256" s="347">
        <f>SUM(R257:R258)</f>
        <v>0</v>
      </c>
      <c r="S256" s="134"/>
      <c r="T256" s="1184"/>
      <c r="U256" s="1184"/>
    </row>
    <row r="257" spans="1:21" s="2" customFormat="1" x14ac:dyDescent="0.35">
      <c r="A257" s="1198"/>
      <c r="B257" s="1179"/>
      <c r="C257" s="1201"/>
      <c r="D257" s="1201"/>
      <c r="E257" s="63" t="s">
        <v>182</v>
      </c>
      <c r="F257" s="23"/>
      <c r="G257" s="26"/>
      <c r="H257" s="26"/>
      <c r="I257" s="26"/>
      <c r="J257" s="26"/>
      <c r="K257" s="26"/>
      <c r="L257" s="26"/>
      <c r="M257" s="26"/>
      <c r="N257" s="26"/>
      <c r="O257" s="26"/>
      <c r="P257" s="26"/>
      <c r="Q257" s="16"/>
      <c r="R257" s="344">
        <f>SUM(F257:Q257)</f>
        <v>0</v>
      </c>
      <c r="S257" s="135"/>
      <c r="T257" s="1185"/>
      <c r="U257" s="1185"/>
    </row>
    <row r="258" spans="1:21" s="2" customFormat="1" x14ac:dyDescent="0.35">
      <c r="A258" s="1198"/>
      <c r="B258" s="1179"/>
      <c r="C258" s="1201"/>
      <c r="D258" s="1201"/>
      <c r="E258" s="336" t="s">
        <v>183</v>
      </c>
      <c r="F258" s="337"/>
      <c r="G258" s="338"/>
      <c r="H258" s="338"/>
      <c r="I258" s="338"/>
      <c r="J258" s="338"/>
      <c r="K258" s="338"/>
      <c r="L258" s="338"/>
      <c r="M258" s="338"/>
      <c r="N258" s="338"/>
      <c r="O258" s="338"/>
      <c r="P258" s="338"/>
      <c r="Q258" s="339"/>
      <c r="R258" s="344">
        <f>SUM(F258:Q258)</f>
        <v>0</v>
      </c>
      <c r="S258" s="335"/>
      <c r="T258" s="1185"/>
      <c r="U258" s="1185"/>
    </row>
    <row r="259" spans="1:21" s="2" customFormat="1" x14ac:dyDescent="0.35">
      <c r="A259" s="1198"/>
      <c r="B259" s="1179"/>
      <c r="C259" s="1201"/>
      <c r="D259" s="1201"/>
      <c r="E259" s="36" t="s">
        <v>184</v>
      </c>
      <c r="F259" s="29"/>
      <c r="G259" s="30"/>
      <c r="H259" s="30"/>
      <c r="I259" s="30"/>
      <c r="J259" s="30"/>
      <c r="K259" s="30"/>
      <c r="L259" s="30"/>
      <c r="M259" s="30"/>
      <c r="N259" s="30"/>
      <c r="O259" s="30"/>
      <c r="P259" s="30"/>
      <c r="Q259" s="31"/>
      <c r="R259" s="344"/>
      <c r="S259" s="335"/>
      <c r="T259" s="1185"/>
      <c r="U259" s="1185"/>
    </row>
    <row r="260" spans="1:21" s="2" customFormat="1" ht="15" thickBot="1" x14ac:dyDescent="0.4">
      <c r="A260" s="1198"/>
      <c r="B260" s="1179"/>
      <c r="C260" s="1201"/>
      <c r="D260" s="1201"/>
      <c r="E260" s="340" t="s">
        <v>185</v>
      </c>
      <c r="F260" s="341"/>
      <c r="G260" s="342"/>
      <c r="H260" s="342"/>
      <c r="I260" s="342"/>
      <c r="J260" s="342"/>
      <c r="K260" s="342"/>
      <c r="L260" s="342"/>
      <c r="M260" s="342"/>
      <c r="N260" s="342"/>
      <c r="O260" s="342"/>
      <c r="P260" s="342"/>
      <c r="Q260" s="343"/>
      <c r="R260" s="344"/>
      <c r="S260" s="335"/>
      <c r="T260" s="1185"/>
      <c r="U260" s="1185"/>
    </row>
    <row r="261" spans="1:21" s="2" customFormat="1" ht="15" thickBot="1" x14ac:dyDescent="0.4">
      <c r="A261" s="1198"/>
      <c r="B261" s="1179"/>
      <c r="C261" s="1201"/>
      <c r="D261" s="1201"/>
      <c r="E261" s="1193" t="s">
        <v>175</v>
      </c>
      <c r="F261" s="1194"/>
      <c r="G261" s="1194"/>
      <c r="H261" s="1194"/>
      <c r="I261" s="1194"/>
      <c r="J261" s="1194"/>
      <c r="K261" s="1194"/>
      <c r="L261" s="1194"/>
      <c r="M261" s="1194"/>
      <c r="N261" s="1194"/>
      <c r="O261" s="1194"/>
      <c r="P261" s="1194"/>
      <c r="Q261" s="1194"/>
      <c r="R261" s="348" t="e">
        <f>SUM(R263:R264)/R256</f>
        <v>#DIV/0!</v>
      </c>
      <c r="S261" s="349" t="s">
        <v>186</v>
      </c>
      <c r="T261" s="1185"/>
      <c r="U261" s="1185"/>
    </row>
    <row r="262" spans="1:21" s="2" customFormat="1" x14ac:dyDescent="0.35">
      <c r="A262" s="1198"/>
      <c r="B262" s="1179"/>
      <c r="C262" s="1201"/>
      <c r="D262" s="1201"/>
      <c r="E262" s="62" t="s">
        <v>187</v>
      </c>
      <c r="F262" s="44">
        <f>SUM(F263:F266)</f>
        <v>0</v>
      </c>
      <c r="G262" s="43">
        <f>SUM(G263:G266)</f>
        <v>0</v>
      </c>
      <c r="H262" s="43">
        <f t="shared" ref="H262:Q262" si="47">SUM(H263:H266)</f>
        <v>0</v>
      </c>
      <c r="I262" s="43">
        <f t="shared" si="47"/>
        <v>0</v>
      </c>
      <c r="J262" s="43">
        <f t="shared" si="47"/>
        <v>0</v>
      </c>
      <c r="K262" s="43">
        <f t="shared" si="47"/>
        <v>0</v>
      </c>
      <c r="L262" s="43">
        <f t="shared" si="47"/>
        <v>0</v>
      </c>
      <c r="M262" s="43">
        <f t="shared" si="47"/>
        <v>0</v>
      </c>
      <c r="N262" s="43">
        <f t="shared" si="47"/>
        <v>0</v>
      </c>
      <c r="O262" s="43">
        <f t="shared" si="47"/>
        <v>0</v>
      </c>
      <c r="P262" s="43">
        <f t="shared" si="47"/>
        <v>0</v>
      </c>
      <c r="Q262" s="43">
        <f t="shared" si="47"/>
        <v>0</v>
      </c>
      <c r="R262" s="65"/>
      <c r="S262" s="65"/>
      <c r="T262" s="1185"/>
      <c r="U262" s="1185"/>
    </row>
    <row r="263" spans="1:21" s="2" customFormat="1" x14ac:dyDescent="0.35">
      <c r="A263" s="1198"/>
      <c r="B263" s="1179"/>
      <c r="C263" s="1201"/>
      <c r="D263" s="1201"/>
      <c r="E263" s="63" t="s">
        <v>188</v>
      </c>
      <c r="F263" s="23"/>
      <c r="G263" s="26"/>
      <c r="H263" s="26"/>
      <c r="I263" s="26"/>
      <c r="J263" s="26"/>
      <c r="K263" s="26"/>
      <c r="L263" s="26"/>
      <c r="M263" s="26"/>
      <c r="N263" s="26"/>
      <c r="O263" s="26"/>
      <c r="P263" s="26"/>
      <c r="Q263" s="16"/>
      <c r="R263" s="65">
        <f>SUM(F263:Q263)</f>
        <v>0</v>
      </c>
      <c r="S263" s="346" t="e">
        <f>R263/R257</f>
        <v>#DIV/0!</v>
      </c>
      <c r="T263" s="1185"/>
      <c r="U263" s="1185"/>
    </row>
    <row r="264" spans="1:21" s="2" customFormat="1" x14ac:dyDescent="0.35">
      <c r="A264" s="1198"/>
      <c r="B264" s="1179"/>
      <c r="C264" s="1201"/>
      <c r="D264" s="1201"/>
      <c r="E264" s="37" t="s">
        <v>189</v>
      </c>
      <c r="F264" s="33"/>
      <c r="G264" s="32"/>
      <c r="H264" s="32"/>
      <c r="I264" s="32"/>
      <c r="J264" s="32"/>
      <c r="K264" s="32"/>
      <c r="L264" s="32"/>
      <c r="M264" s="32"/>
      <c r="N264" s="32"/>
      <c r="O264" s="32"/>
      <c r="P264" s="32"/>
      <c r="Q264" s="34"/>
      <c r="R264" s="65">
        <f>SUM(F264:Q264)</f>
        <v>0</v>
      </c>
      <c r="S264" s="346" t="e">
        <f>R264/R258</f>
        <v>#DIV/0!</v>
      </c>
      <c r="T264" s="1185"/>
      <c r="U264" s="1185"/>
    </row>
    <row r="265" spans="1:21" s="2" customFormat="1" x14ac:dyDescent="0.35">
      <c r="A265" s="1198"/>
      <c r="B265" s="1179"/>
      <c r="C265" s="1201"/>
      <c r="D265" s="1201"/>
      <c r="E265" s="36" t="s">
        <v>190</v>
      </c>
      <c r="F265" s="29"/>
      <c r="G265" s="30"/>
      <c r="H265" s="30"/>
      <c r="I265" s="30"/>
      <c r="J265" s="30"/>
      <c r="K265" s="30"/>
      <c r="L265" s="30"/>
      <c r="M265" s="30"/>
      <c r="N265" s="30"/>
      <c r="O265" s="30"/>
      <c r="P265" s="30"/>
      <c r="Q265" s="31"/>
      <c r="R265" s="65"/>
      <c r="S265" s="65"/>
      <c r="T265" s="1185"/>
      <c r="U265" s="1185"/>
    </row>
    <row r="266" spans="1:21" s="2" customFormat="1" ht="15" thickBot="1" x14ac:dyDescent="0.4">
      <c r="A266" s="1199"/>
      <c r="B266" s="1180"/>
      <c r="C266" s="1202"/>
      <c r="D266" s="1202"/>
      <c r="E266" s="354" t="s">
        <v>191</v>
      </c>
      <c r="F266" s="355"/>
      <c r="G266" s="356"/>
      <c r="H266" s="356"/>
      <c r="I266" s="356"/>
      <c r="J266" s="356"/>
      <c r="K266" s="356"/>
      <c r="L266" s="356"/>
      <c r="M266" s="356"/>
      <c r="N266" s="356"/>
      <c r="O266" s="356"/>
      <c r="P266" s="356"/>
      <c r="Q266" s="357"/>
      <c r="R266" s="65"/>
      <c r="S266" s="65"/>
      <c r="T266" s="1185"/>
      <c r="U266" s="1185"/>
    </row>
    <row r="267" spans="1:21" s="2" customFormat="1" x14ac:dyDescent="0.35">
      <c r="A267" s="1198">
        <v>25</v>
      </c>
      <c r="B267" s="1178" t="str">
        <f>IF(VLOOKUP(A:A,'Benefit-People-Indicator Ex'!Z:AE,6,FALSE)=0,"",VLOOKUP(A:A,'Benefit-People-Indicator Ex'!Z:AE,6,FALSE))</f>
        <v/>
      </c>
      <c r="C267" s="1200" t="str">
        <f>_xlfn.IFNA(VLOOKUP(B:B,'indicator lists'!L:R,3,FALSE),"")</f>
        <v/>
      </c>
      <c r="D267" s="1200" t="str">
        <f>_xlfn.IFNA(VLOOKUP(A:A,'Benefit-People-Indicator Ex'!P:X,9,FALSE),"")</f>
        <v/>
      </c>
      <c r="E267" s="59" t="s">
        <v>181</v>
      </c>
      <c r="F267" s="60">
        <f>SUM(F268:F271)</f>
        <v>0</v>
      </c>
      <c r="G267" s="61">
        <f>SUM(G268:G271)</f>
        <v>0</v>
      </c>
      <c r="H267" s="61">
        <f t="shared" ref="H267:P267" si="48">SUM(H268:H271)</f>
        <v>0</v>
      </c>
      <c r="I267" s="61">
        <f t="shared" si="48"/>
        <v>0</v>
      </c>
      <c r="J267" s="61">
        <f t="shared" si="48"/>
        <v>0</v>
      </c>
      <c r="K267" s="61">
        <f t="shared" si="48"/>
        <v>0</v>
      </c>
      <c r="L267" s="61">
        <f t="shared" si="48"/>
        <v>0</v>
      </c>
      <c r="M267" s="61">
        <f t="shared" si="48"/>
        <v>0</v>
      </c>
      <c r="N267" s="61">
        <f t="shared" si="48"/>
        <v>0</v>
      </c>
      <c r="O267" s="61">
        <f t="shared" si="48"/>
        <v>0</v>
      </c>
      <c r="P267" s="61">
        <f t="shared" si="48"/>
        <v>0</v>
      </c>
      <c r="Q267" s="61">
        <f>SUM(Q268:Q271)</f>
        <v>0</v>
      </c>
      <c r="R267" s="347">
        <f>SUM(R268:R269)</f>
        <v>0</v>
      </c>
      <c r="S267" s="134"/>
      <c r="T267" s="1184"/>
      <c r="U267" s="1184"/>
    </row>
    <row r="268" spans="1:21" s="2" customFormat="1" x14ac:dyDescent="0.35">
      <c r="A268" s="1198"/>
      <c r="B268" s="1179"/>
      <c r="C268" s="1201"/>
      <c r="D268" s="1201"/>
      <c r="E268" s="63" t="s">
        <v>182</v>
      </c>
      <c r="F268" s="23"/>
      <c r="G268" s="26"/>
      <c r="H268" s="26"/>
      <c r="I268" s="26"/>
      <c r="J268" s="26"/>
      <c r="K268" s="26"/>
      <c r="L268" s="26"/>
      <c r="M268" s="26"/>
      <c r="N268" s="26"/>
      <c r="O268" s="26"/>
      <c r="P268" s="26"/>
      <c r="Q268" s="16"/>
      <c r="R268" s="344">
        <f>SUM(F268:Q268)</f>
        <v>0</v>
      </c>
      <c r="S268" s="135"/>
      <c r="T268" s="1185"/>
      <c r="U268" s="1185"/>
    </row>
    <row r="269" spans="1:21" s="2" customFormat="1" x14ac:dyDescent="0.35">
      <c r="A269" s="1198"/>
      <c r="B269" s="1179"/>
      <c r="C269" s="1201"/>
      <c r="D269" s="1201"/>
      <c r="E269" s="336" t="s">
        <v>183</v>
      </c>
      <c r="F269" s="337"/>
      <c r="G269" s="338"/>
      <c r="H269" s="338"/>
      <c r="I269" s="338"/>
      <c r="J269" s="338"/>
      <c r="K269" s="338"/>
      <c r="L269" s="338"/>
      <c r="M269" s="338"/>
      <c r="N269" s="338"/>
      <c r="O269" s="338"/>
      <c r="P269" s="338"/>
      <c r="Q269" s="339"/>
      <c r="R269" s="344">
        <f>SUM(F269:Q269)</f>
        <v>0</v>
      </c>
      <c r="S269" s="335"/>
      <c r="T269" s="1185"/>
      <c r="U269" s="1185"/>
    </row>
    <row r="270" spans="1:21" s="2" customFormat="1" x14ac:dyDescent="0.35">
      <c r="A270" s="1198"/>
      <c r="B270" s="1179"/>
      <c r="C270" s="1201"/>
      <c r="D270" s="1201"/>
      <c r="E270" s="36" t="s">
        <v>184</v>
      </c>
      <c r="F270" s="29"/>
      <c r="G270" s="30"/>
      <c r="H270" s="30"/>
      <c r="I270" s="30"/>
      <c r="J270" s="30"/>
      <c r="K270" s="30"/>
      <c r="L270" s="30"/>
      <c r="M270" s="30"/>
      <c r="N270" s="30"/>
      <c r="O270" s="30"/>
      <c r="P270" s="30"/>
      <c r="Q270" s="31"/>
      <c r="R270" s="344"/>
      <c r="S270" s="335"/>
      <c r="T270" s="1185"/>
      <c r="U270" s="1185"/>
    </row>
    <row r="271" spans="1:21" s="2" customFormat="1" ht="15" thickBot="1" x14ac:dyDescent="0.4">
      <c r="A271" s="1198"/>
      <c r="B271" s="1179"/>
      <c r="C271" s="1201"/>
      <c r="D271" s="1201"/>
      <c r="E271" s="340" t="s">
        <v>185</v>
      </c>
      <c r="F271" s="341"/>
      <c r="G271" s="342"/>
      <c r="H271" s="342"/>
      <c r="I271" s="342"/>
      <c r="J271" s="342"/>
      <c r="K271" s="342"/>
      <c r="L271" s="342"/>
      <c r="M271" s="342"/>
      <c r="N271" s="342"/>
      <c r="O271" s="342"/>
      <c r="P271" s="342"/>
      <c r="Q271" s="343"/>
      <c r="R271" s="344"/>
      <c r="S271" s="335"/>
      <c r="T271" s="1185"/>
      <c r="U271" s="1185"/>
    </row>
    <row r="272" spans="1:21" s="2" customFormat="1" ht="15" thickBot="1" x14ac:dyDescent="0.4">
      <c r="A272" s="1198"/>
      <c r="B272" s="1179"/>
      <c r="C272" s="1201"/>
      <c r="D272" s="1201"/>
      <c r="E272" s="1193" t="s">
        <v>175</v>
      </c>
      <c r="F272" s="1194"/>
      <c r="G272" s="1194"/>
      <c r="H272" s="1194"/>
      <c r="I272" s="1194"/>
      <c r="J272" s="1194"/>
      <c r="K272" s="1194"/>
      <c r="L272" s="1194"/>
      <c r="M272" s="1194"/>
      <c r="N272" s="1194"/>
      <c r="O272" s="1194"/>
      <c r="P272" s="1194"/>
      <c r="Q272" s="1194"/>
      <c r="R272" s="348" t="e">
        <f>SUM(R274:R275)/R267</f>
        <v>#DIV/0!</v>
      </c>
      <c r="S272" s="349" t="s">
        <v>186</v>
      </c>
      <c r="T272" s="1185"/>
      <c r="U272" s="1185"/>
    </row>
    <row r="273" spans="1:21" s="2" customFormat="1" x14ac:dyDescent="0.35">
      <c r="A273" s="1198"/>
      <c r="B273" s="1179"/>
      <c r="C273" s="1201"/>
      <c r="D273" s="1201"/>
      <c r="E273" s="62" t="s">
        <v>187</v>
      </c>
      <c r="F273" s="44">
        <f>SUM(F274:F277)</f>
        <v>0</v>
      </c>
      <c r="G273" s="43">
        <f>SUM(G274:G277)</f>
        <v>0</v>
      </c>
      <c r="H273" s="43">
        <f t="shared" ref="H273:Q273" si="49">SUM(H274:H277)</f>
        <v>0</v>
      </c>
      <c r="I273" s="43">
        <f t="shared" si="49"/>
        <v>0</v>
      </c>
      <c r="J273" s="43">
        <f t="shared" si="49"/>
        <v>0</v>
      </c>
      <c r="K273" s="43">
        <f t="shared" si="49"/>
        <v>0</v>
      </c>
      <c r="L273" s="43">
        <f t="shared" si="49"/>
        <v>0</v>
      </c>
      <c r="M273" s="43">
        <f t="shared" si="49"/>
        <v>0</v>
      </c>
      <c r="N273" s="43">
        <f t="shared" si="49"/>
        <v>0</v>
      </c>
      <c r="O273" s="43">
        <f t="shared" si="49"/>
        <v>0</v>
      </c>
      <c r="P273" s="43">
        <f t="shared" si="49"/>
        <v>0</v>
      </c>
      <c r="Q273" s="43">
        <f t="shared" si="49"/>
        <v>0</v>
      </c>
      <c r="R273" s="65"/>
      <c r="S273" s="65"/>
      <c r="T273" s="1185"/>
      <c r="U273" s="1185"/>
    </row>
    <row r="274" spans="1:21" s="2" customFormat="1" x14ac:dyDescent="0.35">
      <c r="A274" s="1198"/>
      <c r="B274" s="1179"/>
      <c r="C274" s="1201"/>
      <c r="D274" s="1201"/>
      <c r="E274" s="63" t="s">
        <v>188</v>
      </c>
      <c r="F274" s="23"/>
      <c r="G274" s="26"/>
      <c r="H274" s="26"/>
      <c r="I274" s="26"/>
      <c r="J274" s="26"/>
      <c r="K274" s="26"/>
      <c r="L274" s="26"/>
      <c r="M274" s="26"/>
      <c r="N274" s="26"/>
      <c r="O274" s="26"/>
      <c r="P274" s="26"/>
      <c r="Q274" s="16"/>
      <c r="R274" s="65">
        <f>SUM(F274:Q274)</f>
        <v>0</v>
      </c>
      <c r="S274" s="346" t="e">
        <f>R274/R268</f>
        <v>#DIV/0!</v>
      </c>
      <c r="T274" s="1185"/>
      <c r="U274" s="1185"/>
    </row>
    <row r="275" spans="1:21" s="2" customFormat="1" x14ac:dyDescent="0.35">
      <c r="A275" s="1198"/>
      <c r="B275" s="1179"/>
      <c r="C275" s="1201"/>
      <c r="D275" s="1201"/>
      <c r="E275" s="37" t="s">
        <v>189</v>
      </c>
      <c r="F275" s="33"/>
      <c r="G275" s="32"/>
      <c r="H275" s="32"/>
      <c r="I275" s="32"/>
      <c r="J275" s="32"/>
      <c r="K275" s="32"/>
      <c r="L275" s="32"/>
      <c r="M275" s="32"/>
      <c r="N275" s="32"/>
      <c r="O275" s="32"/>
      <c r="P275" s="32"/>
      <c r="Q275" s="34"/>
      <c r="R275" s="65">
        <f>SUM(F275:Q275)</f>
        <v>0</v>
      </c>
      <c r="S275" s="346" t="e">
        <f>R275/R269</f>
        <v>#DIV/0!</v>
      </c>
      <c r="T275" s="1185"/>
      <c r="U275" s="1185"/>
    </row>
    <row r="276" spans="1:21" s="2" customFormat="1" x14ac:dyDescent="0.35">
      <c r="A276" s="1198"/>
      <c r="B276" s="1179"/>
      <c r="C276" s="1201"/>
      <c r="D276" s="1201"/>
      <c r="E276" s="36" t="s">
        <v>190</v>
      </c>
      <c r="F276" s="29"/>
      <c r="G276" s="30"/>
      <c r="H276" s="30"/>
      <c r="I276" s="30"/>
      <c r="J276" s="30"/>
      <c r="K276" s="30"/>
      <c r="L276" s="30"/>
      <c r="M276" s="30"/>
      <c r="N276" s="30"/>
      <c r="O276" s="30"/>
      <c r="P276" s="30"/>
      <c r="Q276" s="31"/>
      <c r="R276" s="65"/>
      <c r="S276" s="65"/>
      <c r="T276" s="1185"/>
      <c r="U276" s="1185"/>
    </row>
    <row r="277" spans="1:21" s="2" customFormat="1" ht="15" thickBot="1" x14ac:dyDescent="0.4">
      <c r="A277" s="1198"/>
      <c r="B277" s="1180"/>
      <c r="C277" s="1202"/>
      <c r="D277" s="1202"/>
      <c r="E277" s="64" t="s">
        <v>191</v>
      </c>
      <c r="F277" s="25"/>
      <c r="G277" s="28"/>
      <c r="H277" s="28"/>
      <c r="I277" s="28"/>
      <c r="J277" s="28"/>
      <c r="K277" s="28"/>
      <c r="L277" s="28"/>
      <c r="M277" s="28"/>
      <c r="N277" s="28"/>
      <c r="O277" s="28"/>
      <c r="P277" s="28"/>
      <c r="Q277" s="35"/>
      <c r="R277" s="137"/>
      <c r="S277" s="137"/>
      <c r="T277" s="1186"/>
      <c r="U277" s="1186"/>
    </row>
    <row r="278" spans="1:21" s="2" customFormat="1" x14ac:dyDescent="0.35">
      <c r="A278" s="1318"/>
      <c r="B278" s="1321"/>
      <c r="C278" s="1325"/>
      <c r="D278" s="1322" t="s">
        <v>441</v>
      </c>
      <c r="E278" s="59" t="s">
        <v>181</v>
      </c>
      <c r="F278" s="60">
        <f>SUM(F279:F282)</f>
        <v>0</v>
      </c>
      <c r="G278" s="61">
        <f>SUM(G279:G282)</f>
        <v>0</v>
      </c>
      <c r="H278" s="61">
        <f t="shared" ref="H278:P278" si="50">SUM(H279:H282)</f>
        <v>0</v>
      </c>
      <c r="I278" s="61">
        <f t="shared" si="50"/>
        <v>0</v>
      </c>
      <c r="J278" s="61">
        <f t="shared" si="50"/>
        <v>0</v>
      </c>
      <c r="K278" s="61">
        <f t="shared" si="50"/>
        <v>0</v>
      </c>
      <c r="L278" s="61">
        <f t="shared" si="50"/>
        <v>0</v>
      </c>
      <c r="M278" s="61">
        <f t="shared" si="50"/>
        <v>0</v>
      </c>
      <c r="N278" s="61">
        <f t="shared" si="50"/>
        <v>0</v>
      </c>
      <c r="O278" s="61">
        <f t="shared" si="50"/>
        <v>0</v>
      </c>
      <c r="P278" s="61">
        <f t="shared" si="50"/>
        <v>0</v>
      </c>
      <c r="Q278" s="61">
        <f>SUM(Q279:Q282)</f>
        <v>0</v>
      </c>
      <c r="R278" s="347">
        <f>SUM(R279:R280)</f>
        <v>0</v>
      </c>
      <c r="S278" s="134"/>
      <c r="T278" s="1326"/>
      <c r="U278" s="1185"/>
    </row>
    <row r="279" spans="1:21" s="2" customFormat="1" x14ac:dyDescent="0.35">
      <c r="A279" s="1319"/>
      <c r="B279" s="1179"/>
      <c r="C279" s="1191"/>
      <c r="D279" s="1323"/>
      <c r="E279" s="63" t="s">
        <v>182</v>
      </c>
      <c r="F279" s="23"/>
      <c r="G279" s="26"/>
      <c r="H279" s="26"/>
      <c r="I279" s="26"/>
      <c r="J279" s="26"/>
      <c r="K279" s="26"/>
      <c r="L279" s="26"/>
      <c r="M279" s="26"/>
      <c r="N279" s="26"/>
      <c r="O279" s="26"/>
      <c r="P279" s="26"/>
      <c r="Q279" s="16"/>
      <c r="R279" s="344">
        <f>SUM(F279:Q279)</f>
        <v>0</v>
      </c>
      <c r="S279" s="135"/>
      <c r="T279" s="1326"/>
      <c r="U279" s="1185"/>
    </row>
    <row r="280" spans="1:21" s="2" customFormat="1" x14ac:dyDescent="0.35">
      <c r="A280" s="1319"/>
      <c r="B280" s="1179"/>
      <c r="C280" s="1191"/>
      <c r="D280" s="1323"/>
      <c r="E280" s="336" t="s">
        <v>183</v>
      </c>
      <c r="F280" s="337"/>
      <c r="G280" s="338"/>
      <c r="H280" s="338"/>
      <c r="I280" s="338"/>
      <c r="J280" s="338"/>
      <c r="K280" s="338"/>
      <c r="L280" s="338"/>
      <c r="M280" s="338"/>
      <c r="N280" s="338"/>
      <c r="O280" s="338"/>
      <c r="P280" s="338"/>
      <c r="Q280" s="339"/>
      <c r="R280" s="344">
        <f>SUM(F280:Q280)</f>
        <v>0</v>
      </c>
      <c r="S280" s="335"/>
      <c r="T280" s="1326"/>
      <c r="U280" s="1185"/>
    </row>
    <row r="281" spans="1:21" s="2" customFormat="1" x14ac:dyDescent="0.35">
      <c r="A281" s="1319"/>
      <c r="B281" s="1179"/>
      <c r="C281" s="1191"/>
      <c r="D281" s="1323"/>
      <c r="E281" s="36" t="s">
        <v>184</v>
      </c>
      <c r="F281" s="29"/>
      <c r="G281" s="30"/>
      <c r="H281" s="30"/>
      <c r="I281" s="30"/>
      <c r="J281" s="30"/>
      <c r="K281" s="30"/>
      <c r="L281" s="30"/>
      <c r="M281" s="30"/>
      <c r="N281" s="30"/>
      <c r="O281" s="30"/>
      <c r="P281" s="30"/>
      <c r="Q281" s="31"/>
      <c r="R281" s="344"/>
      <c r="S281" s="335"/>
      <c r="T281" s="1326"/>
      <c r="U281" s="1185"/>
    </row>
    <row r="282" spans="1:21" s="2" customFormat="1" ht="15" thickBot="1" x14ac:dyDescent="0.4">
      <c r="A282" s="1319"/>
      <c r="B282" s="1179"/>
      <c r="C282" s="1191"/>
      <c r="D282" s="1323"/>
      <c r="E282" s="340" t="s">
        <v>185</v>
      </c>
      <c r="F282" s="341"/>
      <c r="G282" s="342"/>
      <c r="H282" s="342"/>
      <c r="I282" s="342"/>
      <c r="J282" s="342"/>
      <c r="K282" s="342"/>
      <c r="L282" s="342"/>
      <c r="M282" s="342"/>
      <c r="N282" s="342"/>
      <c r="O282" s="342"/>
      <c r="P282" s="342"/>
      <c r="Q282" s="343"/>
      <c r="R282" s="344"/>
      <c r="S282" s="335"/>
      <c r="T282" s="1326"/>
      <c r="U282" s="1185"/>
    </row>
    <row r="283" spans="1:21" s="2" customFormat="1" ht="15" thickBot="1" x14ac:dyDescent="0.4">
      <c r="A283" s="1319"/>
      <c r="B283" s="1179"/>
      <c r="C283" s="1191"/>
      <c r="D283" s="1323"/>
      <c r="E283" s="1193" t="s">
        <v>175</v>
      </c>
      <c r="F283" s="1194"/>
      <c r="G283" s="1194"/>
      <c r="H283" s="1194"/>
      <c r="I283" s="1194"/>
      <c r="J283" s="1194"/>
      <c r="K283" s="1194"/>
      <c r="L283" s="1194"/>
      <c r="M283" s="1194"/>
      <c r="N283" s="1194"/>
      <c r="O283" s="1194"/>
      <c r="P283" s="1194"/>
      <c r="Q283" s="1194"/>
      <c r="R283" s="348" t="e">
        <f>SUM(R285+R290)/R278</f>
        <v>#DIV/0!</v>
      </c>
      <c r="S283" s="349" t="s">
        <v>186</v>
      </c>
      <c r="T283" s="1326"/>
      <c r="U283" s="1185"/>
    </row>
    <row r="284" spans="1:21" s="2" customFormat="1" x14ac:dyDescent="0.35">
      <c r="A284" s="1319"/>
      <c r="B284" s="1179"/>
      <c r="C284" s="1191"/>
      <c r="D284" s="1323"/>
      <c r="E284" s="62" t="s">
        <v>187</v>
      </c>
      <c r="F284" s="44">
        <f t="shared" ref="F284:Q284" si="51">SUM(F285:F300)</f>
        <v>0</v>
      </c>
      <c r="G284" s="43">
        <f t="shared" si="51"/>
        <v>0</v>
      </c>
      <c r="H284" s="43">
        <f t="shared" si="51"/>
        <v>0</v>
      </c>
      <c r="I284" s="43">
        <f t="shared" si="51"/>
        <v>0</v>
      </c>
      <c r="J284" s="43">
        <f t="shared" si="51"/>
        <v>0</v>
      </c>
      <c r="K284" s="43">
        <f t="shared" si="51"/>
        <v>0</v>
      </c>
      <c r="L284" s="43">
        <f t="shared" si="51"/>
        <v>0</v>
      </c>
      <c r="M284" s="43">
        <f t="shared" si="51"/>
        <v>0</v>
      </c>
      <c r="N284" s="43">
        <f t="shared" si="51"/>
        <v>0</v>
      </c>
      <c r="O284" s="43">
        <f t="shared" si="51"/>
        <v>0</v>
      </c>
      <c r="P284" s="43">
        <f t="shared" si="51"/>
        <v>0</v>
      </c>
      <c r="Q284" s="43">
        <f t="shared" si="51"/>
        <v>0</v>
      </c>
      <c r="R284" s="65"/>
      <c r="S284" s="65"/>
      <c r="T284" s="1326"/>
      <c r="U284" s="1185"/>
    </row>
    <row r="285" spans="1:21" s="2" customFormat="1" x14ac:dyDescent="0.35">
      <c r="A285" s="1319"/>
      <c r="B285" s="1179"/>
      <c r="C285" s="1191"/>
      <c r="D285" s="1323"/>
      <c r="E285" s="36" t="s">
        <v>188</v>
      </c>
      <c r="F285" s="350">
        <f>SUM(F286:F289)</f>
        <v>0</v>
      </c>
      <c r="G285" s="351">
        <f>SUM(G286:G289)</f>
        <v>0</v>
      </c>
      <c r="H285" s="351">
        <f t="shared" ref="H285" si="52">SUM(H286:H289)</f>
        <v>0</v>
      </c>
      <c r="I285" s="351">
        <f t="shared" ref="I285" si="53">SUM(I286:I289)</f>
        <v>0</v>
      </c>
      <c r="J285" s="351">
        <f t="shared" ref="J285" si="54">SUM(J286:J289)</f>
        <v>0</v>
      </c>
      <c r="K285" s="351">
        <f t="shared" ref="K285" si="55">SUM(K286:K289)</f>
        <v>0</v>
      </c>
      <c r="L285" s="351">
        <f t="shared" ref="L285" si="56">SUM(L286:L289)</f>
        <v>0</v>
      </c>
      <c r="M285" s="351">
        <f t="shared" ref="M285" si="57">SUM(M286:M289)</f>
        <v>0</v>
      </c>
      <c r="N285" s="351">
        <f t="shared" ref="N285" si="58">SUM(N286:N289)</f>
        <v>0</v>
      </c>
      <c r="O285" s="351">
        <f t="shared" ref="O285" si="59">SUM(O286:O289)</f>
        <v>0</v>
      </c>
      <c r="P285" s="351">
        <f t="shared" ref="P285" si="60">SUM(P286:P289)</f>
        <v>0</v>
      </c>
      <c r="Q285" s="353">
        <f>SUM(Q286:Q289)</f>
        <v>0</v>
      </c>
      <c r="R285" s="65">
        <f>SUM(F285:Q285)</f>
        <v>0</v>
      </c>
      <c r="S285" s="65" t="e">
        <f>R285/R279</f>
        <v>#DIV/0!</v>
      </c>
      <c r="T285" s="1326"/>
      <c r="U285" s="1185"/>
    </row>
    <row r="286" spans="1:21" s="2" customFormat="1" x14ac:dyDescent="0.35">
      <c r="A286" s="1319"/>
      <c r="B286" s="1179"/>
      <c r="C286" s="1191"/>
      <c r="D286" s="1323"/>
      <c r="E286" s="66" t="s">
        <v>192</v>
      </c>
      <c r="F286" s="24"/>
      <c r="G286" s="27"/>
      <c r="H286" s="27"/>
      <c r="I286" s="27"/>
      <c r="J286" s="27"/>
      <c r="K286" s="27"/>
      <c r="L286" s="27"/>
      <c r="M286" s="27"/>
      <c r="N286" s="27"/>
      <c r="O286" s="27"/>
      <c r="P286" s="27"/>
      <c r="Q286" s="131"/>
      <c r="R286" s="65"/>
      <c r="S286" s="65"/>
      <c r="T286" s="1326"/>
      <c r="U286" s="1185"/>
    </row>
    <row r="287" spans="1:21" s="2" customFormat="1" x14ac:dyDescent="0.35">
      <c r="A287" s="1319"/>
      <c r="B287" s="1179"/>
      <c r="C287" s="1191"/>
      <c r="D287" s="1323"/>
      <c r="E287" s="66" t="s">
        <v>193</v>
      </c>
      <c r="F287" s="24"/>
      <c r="G287" s="27"/>
      <c r="H287" s="27"/>
      <c r="I287" s="27"/>
      <c r="J287" s="27"/>
      <c r="K287" s="27"/>
      <c r="L287" s="27"/>
      <c r="M287" s="27"/>
      <c r="N287" s="27"/>
      <c r="O287" s="27"/>
      <c r="P287" s="27"/>
      <c r="Q287" s="131"/>
      <c r="R287" s="65"/>
      <c r="S287" s="65"/>
      <c r="T287" s="1326"/>
      <c r="U287" s="1185"/>
    </row>
    <row r="288" spans="1:21" s="2" customFormat="1" ht="15" thickBot="1" x14ac:dyDescent="0.4">
      <c r="A288" s="1319"/>
      <c r="B288" s="1179"/>
      <c r="C288" s="1191"/>
      <c r="D288" s="1323"/>
      <c r="E288" s="66" t="s">
        <v>194</v>
      </c>
      <c r="F288" s="24"/>
      <c r="G288" s="27"/>
      <c r="H288" s="27"/>
      <c r="I288" s="27"/>
      <c r="J288" s="27"/>
      <c r="K288" s="27"/>
      <c r="L288" s="27"/>
      <c r="M288" s="27"/>
      <c r="N288" s="27"/>
      <c r="O288" s="27"/>
      <c r="P288" s="27"/>
      <c r="Q288" s="131"/>
      <c r="R288" s="65"/>
      <c r="S288" s="65"/>
      <c r="T288" s="1327"/>
      <c r="U288" s="1186"/>
    </row>
    <row r="289" spans="1:21" s="2" customFormat="1" x14ac:dyDescent="0.35">
      <c r="A289" s="1319"/>
      <c r="B289" s="1179"/>
      <c r="C289" s="1191"/>
      <c r="D289" s="1323"/>
      <c r="E289" s="66" t="s">
        <v>195</v>
      </c>
      <c r="F289" s="24"/>
      <c r="G289" s="27"/>
      <c r="H289" s="27"/>
      <c r="I289" s="27"/>
      <c r="J289" s="27"/>
      <c r="K289" s="27"/>
      <c r="L289" s="27"/>
      <c r="M289" s="27"/>
      <c r="N289" s="27"/>
      <c r="O289" s="27"/>
      <c r="P289" s="27"/>
      <c r="Q289" s="131"/>
      <c r="R289" s="65"/>
      <c r="S289" s="352"/>
      <c r="U289"/>
    </row>
    <row r="290" spans="1:21" s="2" customFormat="1" x14ac:dyDescent="0.35">
      <c r="A290" s="1319"/>
      <c r="B290" s="1179"/>
      <c r="C290" s="1191"/>
      <c r="D290" s="1323"/>
      <c r="E290" s="37" t="s">
        <v>189</v>
      </c>
      <c r="F290" s="350">
        <f>SUM(F291:F294)</f>
        <v>0</v>
      </c>
      <c r="G290" s="351">
        <f>SUM(G291:G294)</f>
        <v>0</v>
      </c>
      <c r="H290" s="351">
        <f t="shared" ref="H290" si="61">SUM(H291:H294)</f>
        <v>0</v>
      </c>
      <c r="I290" s="351">
        <f t="shared" ref="I290" si="62">SUM(I291:I294)</f>
        <v>0</v>
      </c>
      <c r="J290" s="351">
        <f t="shared" ref="J290" si="63">SUM(J291:J294)</f>
        <v>0</v>
      </c>
      <c r="K290" s="351">
        <f t="shared" ref="K290" si="64">SUM(K291:K294)</f>
        <v>0</v>
      </c>
      <c r="L290" s="351">
        <f t="shared" ref="L290" si="65">SUM(L291:L294)</f>
        <v>0</v>
      </c>
      <c r="M290" s="351">
        <f t="shared" ref="M290" si="66">SUM(M291:M294)</f>
        <v>0</v>
      </c>
      <c r="N290" s="351">
        <f t="shared" ref="N290" si="67">SUM(N291:N294)</f>
        <v>0</v>
      </c>
      <c r="O290" s="351">
        <f t="shared" ref="O290" si="68">SUM(O291:O294)</f>
        <v>0</v>
      </c>
      <c r="P290" s="351">
        <f t="shared" ref="P290" si="69">SUM(P291:P294)</f>
        <v>0</v>
      </c>
      <c r="Q290" s="353">
        <f>SUM(Q291:Q294)</f>
        <v>0</v>
      </c>
      <c r="R290" s="65">
        <f>SUM(F290:Q290)</f>
        <v>0</v>
      </c>
      <c r="S290" s="352" t="e">
        <f>R290/R280</f>
        <v>#DIV/0!</v>
      </c>
      <c r="U290"/>
    </row>
    <row r="291" spans="1:21" s="2" customFormat="1" x14ac:dyDescent="0.35">
      <c r="A291" s="1319"/>
      <c r="B291" s="1179"/>
      <c r="C291" s="1191"/>
      <c r="D291" s="1323"/>
      <c r="E291" s="66" t="s">
        <v>196</v>
      </c>
      <c r="F291" s="24"/>
      <c r="G291" s="27"/>
      <c r="H291" s="27"/>
      <c r="I291" s="27"/>
      <c r="J291" s="27"/>
      <c r="K291" s="27"/>
      <c r="L291" s="27"/>
      <c r="M291" s="27"/>
      <c r="N291" s="27"/>
      <c r="O291" s="27"/>
      <c r="P291" s="27"/>
      <c r="Q291" s="131"/>
      <c r="R291" s="65"/>
      <c r="S291" s="352"/>
      <c r="U291"/>
    </row>
    <row r="292" spans="1:21" s="2" customFormat="1" x14ac:dyDescent="0.35">
      <c r="A292" s="1319"/>
      <c r="B292" s="1179"/>
      <c r="C292" s="1191"/>
      <c r="D292" s="1323"/>
      <c r="E292" s="66" t="s">
        <v>197</v>
      </c>
      <c r="F292" s="24"/>
      <c r="G292" s="27"/>
      <c r="H292" s="27"/>
      <c r="I292" s="27"/>
      <c r="J292" s="27"/>
      <c r="K292" s="27"/>
      <c r="L292" s="27"/>
      <c r="M292" s="27"/>
      <c r="N292" s="27"/>
      <c r="O292" s="27"/>
      <c r="P292" s="27"/>
      <c r="Q292" s="131"/>
      <c r="R292" s="65"/>
      <c r="S292" s="352"/>
      <c r="U292"/>
    </row>
    <row r="293" spans="1:21" s="2" customFormat="1" x14ac:dyDescent="0.35">
      <c r="A293" s="1319"/>
      <c r="B293" s="1179"/>
      <c r="C293" s="1191"/>
      <c r="D293" s="1323"/>
      <c r="E293" s="66" t="s">
        <v>198</v>
      </c>
      <c r="F293" s="24"/>
      <c r="G293" s="27"/>
      <c r="H293" s="27"/>
      <c r="I293" s="27"/>
      <c r="J293" s="27"/>
      <c r="K293" s="27"/>
      <c r="L293" s="27"/>
      <c r="M293" s="27"/>
      <c r="N293" s="27"/>
      <c r="O293" s="27"/>
      <c r="P293" s="27"/>
      <c r="Q293" s="131"/>
      <c r="R293" s="65"/>
      <c r="S293" s="352"/>
      <c r="U293"/>
    </row>
    <row r="294" spans="1:21" s="2" customFormat="1" x14ac:dyDescent="0.35">
      <c r="A294" s="1319"/>
      <c r="B294" s="1179"/>
      <c r="C294" s="1191"/>
      <c r="D294" s="1323"/>
      <c r="E294" s="66" t="s">
        <v>199</v>
      </c>
      <c r="F294" s="24"/>
      <c r="G294" s="27"/>
      <c r="H294" s="27"/>
      <c r="I294" s="27"/>
      <c r="J294" s="27"/>
      <c r="K294" s="27"/>
      <c r="L294" s="27"/>
      <c r="M294" s="27"/>
      <c r="N294" s="27"/>
      <c r="O294" s="27"/>
      <c r="P294" s="27"/>
      <c r="Q294" s="131"/>
      <c r="R294" s="65"/>
      <c r="S294" s="352"/>
      <c r="U294"/>
    </row>
    <row r="295" spans="1:21" s="2" customFormat="1" x14ac:dyDescent="0.35">
      <c r="A295" s="1319"/>
      <c r="B295" s="1179"/>
      <c r="C295" s="1191"/>
      <c r="D295" s="1323"/>
      <c r="E295" s="36" t="s">
        <v>190</v>
      </c>
      <c r="F295" s="33"/>
      <c r="G295" s="32"/>
      <c r="H295" s="32"/>
      <c r="I295" s="32"/>
      <c r="J295" s="32"/>
      <c r="K295" s="32"/>
      <c r="L295" s="32"/>
      <c r="M295" s="32"/>
      <c r="N295" s="32"/>
      <c r="O295" s="32"/>
      <c r="P295" s="32"/>
      <c r="Q295" s="132"/>
      <c r="R295" s="65"/>
      <c r="S295" s="352"/>
      <c r="U295"/>
    </row>
    <row r="296" spans="1:21" s="2" customFormat="1" x14ac:dyDescent="0.35">
      <c r="A296" s="1319"/>
      <c r="B296" s="1179"/>
      <c r="C296" s="1191"/>
      <c r="D296" s="1323"/>
      <c r="E296" s="66" t="s">
        <v>192</v>
      </c>
      <c r="F296" s="24"/>
      <c r="G296" s="27"/>
      <c r="H296" s="27"/>
      <c r="I296" s="27"/>
      <c r="J296" s="27"/>
      <c r="K296" s="27"/>
      <c r="L296" s="27"/>
      <c r="M296" s="27"/>
      <c r="N296" s="27"/>
      <c r="O296" s="27"/>
      <c r="P296" s="27"/>
      <c r="Q296" s="131"/>
      <c r="R296" s="65"/>
      <c r="S296" s="352"/>
      <c r="U296"/>
    </row>
    <row r="297" spans="1:21" s="2" customFormat="1" x14ac:dyDescent="0.35">
      <c r="A297" s="1319"/>
      <c r="B297" s="1179"/>
      <c r="C297" s="1191"/>
      <c r="D297" s="1323"/>
      <c r="E297" s="66" t="s">
        <v>193</v>
      </c>
      <c r="F297" s="24"/>
      <c r="G297" s="27"/>
      <c r="H297" s="27"/>
      <c r="I297" s="27"/>
      <c r="J297" s="27"/>
      <c r="K297" s="27"/>
      <c r="L297" s="27"/>
      <c r="M297" s="27"/>
      <c r="N297" s="27"/>
      <c r="O297" s="27"/>
      <c r="P297" s="27"/>
      <c r="Q297" s="131"/>
      <c r="R297" s="65"/>
      <c r="S297" s="352"/>
      <c r="U297"/>
    </row>
    <row r="298" spans="1:21" s="2" customFormat="1" x14ac:dyDescent="0.35">
      <c r="A298" s="1319"/>
      <c r="B298" s="1179"/>
      <c r="C298" s="1191"/>
      <c r="D298" s="1323"/>
      <c r="E298" s="66" t="s">
        <v>194</v>
      </c>
      <c r="F298" s="24"/>
      <c r="G298" s="27"/>
      <c r="H298" s="27"/>
      <c r="I298" s="27"/>
      <c r="J298" s="27"/>
      <c r="K298" s="27"/>
      <c r="L298" s="27"/>
      <c r="M298" s="27"/>
      <c r="N298" s="27"/>
      <c r="O298" s="27"/>
      <c r="P298" s="27"/>
      <c r="Q298" s="131"/>
      <c r="R298" s="65"/>
      <c r="S298" s="352"/>
      <c r="U298"/>
    </row>
    <row r="299" spans="1:21" s="2" customFormat="1" x14ac:dyDescent="0.35">
      <c r="A299" s="1319"/>
      <c r="B299" s="1179"/>
      <c r="C299" s="1191"/>
      <c r="D299" s="1323"/>
      <c r="E299" s="66" t="s">
        <v>195</v>
      </c>
      <c r="F299" s="24"/>
      <c r="G299" s="27"/>
      <c r="H299" s="27"/>
      <c r="I299" s="27"/>
      <c r="J299" s="27"/>
      <c r="K299" s="27"/>
      <c r="L299" s="27"/>
      <c r="M299" s="27"/>
      <c r="N299" s="27"/>
      <c r="O299" s="27"/>
      <c r="P299" s="27"/>
      <c r="Q299" s="131"/>
      <c r="R299" s="65"/>
      <c r="S299" s="352"/>
      <c r="U299"/>
    </row>
    <row r="300" spans="1:21" s="2" customFormat="1" x14ac:dyDescent="0.35">
      <c r="A300" s="1319"/>
      <c r="B300" s="1179"/>
      <c r="C300" s="1191"/>
      <c r="D300" s="1323"/>
      <c r="E300" s="37" t="s">
        <v>191</v>
      </c>
      <c r="F300" s="33"/>
      <c r="G300" s="32"/>
      <c r="H300" s="32"/>
      <c r="I300" s="32"/>
      <c r="J300" s="32"/>
      <c r="K300" s="32"/>
      <c r="L300" s="32"/>
      <c r="M300" s="32"/>
      <c r="N300" s="32"/>
      <c r="O300" s="32"/>
      <c r="P300" s="32"/>
      <c r="Q300" s="132"/>
      <c r="R300" s="65"/>
      <c r="S300" s="352"/>
      <c r="U300"/>
    </row>
    <row r="301" spans="1:21" s="2" customFormat="1" x14ac:dyDescent="0.35">
      <c r="A301" s="1319"/>
      <c r="B301" s="1179"/>
      <c r="C301" s="1191"/>
      <c r="D301" s="1323"/>
      <c r="E301" s="66" t="s">
        <v>196</v>
      </c>
      <c r="F301" s="24"/>
      <c r="G301" s="27"/>
      <c r="H301" s="27"/>
      <c r="I301" s="27"/>
      <c r="J301" s="27"/>
      <c r="K301" s="27"/>
      <c r="L301" s="27"/>
      <c r="M301" s="27"/>
      <c r="N301" s="27"/>
      <c r="O301" s="27"/>
      <c r="P301" s="27"/>
      <c r="Q301" s="131"/>
      <c r="R301" s="65"/>
      <c r="S301" s="352"/>
      <c r="U301"/>
    </row>
    <row r="302" spans="1:21" s="2" customFormat="1" x14ac:dyDescent="0.35">
      <c r="A302" s="1319"/>
      <c r="B302" s="1179"/>
      <c r="C302" s="1191"/>
      <c r="D302" s="1323"/>
      <c r="E302" s="66" t="s">
        <v>197</v>
      </c>
      <c r="F302" s="24"/>
      <c r="G302" s="27"/>
      <c r="H302" s="27"/>
      <c r="I302" s="27"/>
      <c r="J302" s="27"/>
      <c r="K302" s="27"/>
      <c r="L302" s="27"/>
      <c r="M302" s="27"/>
      <c r="N302" s="27"/>
      <c r="O302" s="27"/>
      <c r="P302" s="27"/>
      <c r="Q302" s="131"/>
      <c r="R302" s="65"/>
      <c r="S302" s="352"/>
      <c r="U302"/>
    </row>
    <row r="303" spans="1:21" s="2" customFormat="1" x14ac:dyDescent="0.35">
      <c r="A303" s="1319"/>
      <c r="B303" s="1179"/>
      <c r="C303" s="1191"/>
      <c r="D303" s="1323"/>
      <c r="E303" s="66" t="s">
        <v>198</v>
      </c>
      <c r="F303" s="24"/>
      <c r="G303" s="27"/>
      <c r="H303" s="27"/>
      <c r="I303" s="27"/>
      <c r="J303" s="27"/>
      <c r="K303" s="27"/>
      <c r="L303" s="27"/>
      <c r="M303" s="27"/>
      <c r="N303" s="27"/>
      <c r="O303" s="27"/>
      <c r="P303" s="27"/>
      <c r="Q303" s="131"/>
      <c r="R303" s="65"/>
      <c r="S303" s="352"/>
      <c r="U303"/>
    </row>
    <row r="304" spans="1:21" s="2" customFormat="1" ht="15" thickBot="1" x14ac:dyDescent="0.4">
      <c r="A304" s="1320"/>
      <c r="B304" s="1205"/>
      <c r="C304" s="358"/>
      <c r="D304" s="1324"/>
      <c r="E304" s="168" t="s">
        <v>199</v>
      </c>
      <c r="F304" s="359"/>
      <c r="G304" s="360"/>
      <c r="H304" s="360"/>
      <c r="I304" s="360"/>
      <c r="J304" s="360"/>
      <c r="K304" s="360"/>
      <c r="L304" s="360"/>
      <c r="M304" s="360"/>
      <c r="N304" s="360"/>
      <c r="O304" s="360"/>
      <c r="P304" s="360"/>
      <c r="Q304" s="361"/>
      <c r="R304" s="137"/>
      <c r="S304" s="362"/>
      <c r="U304"/>
    </row>
    <row r="305" spans="1:19" x14ac:dyDescent="0.35">
      <c r="A305" s="6"/>
      <c r="B305" s="13"/>
      <c r="C305" s="81"/>
      <c r="D305" s="4"/>
      <c r="E305" s="8"/>
      <c r="F305" s="17"/>
      <c r="G305" s="17"/>
      <c r="H305" s="17"/>
      <c r="I305" s="17"/>
      <c r="J305" s="17"/>
      <c r="K305" s="17"/>
      <c r="L305" s="17"/>
      <c r="M305" s="17"/>
      <c r="N305" s="17"/>
      <c r="O305" s="17"/>
      <c r="P305" s="17"/>
      <c r="Q305" s="17"/>
      <c r="R305" s="1"/>
      <c r="S305" s="1"/>
    </row>
    <row r="306" spans="1:19" x14ac:dyDescent="0.35">
      <c r="A306" s="6"/>
      <c r="B306" s="13"/>
      <c r="C306" s="81"/>
      <c r="D306" s="4"/>
      <c r="E306" s="8"/>
      <c r="F306" s="17"/>
      <c r="G306" s="17"/>
      <c r="H306" s="17"/>
      <c r="I306" s="17"/>
      <c r="J306" s="17"/>
      <c r="K306" s="17"/>
      <c r="L306" s="17"/>
      <c r="M306" s="17"/>
      <c r="N306" s="17"/>
      <c r="O306" s="17"/>
      <c r="P306" s="17"/>
      <c r="Q306" s="17"/>
      <c r="R306" s="1"/>
      <c r="S306" s="1"/>
    </row>
    <row r="307" spans="1:19" x14ac:dyDescent="0.35">
      <c r="A307" s="6"/>
      <c r="B307" s="13"/>
      <c r="C307" s="81"/>
      <c r="D307" s="4"/>
      <c r="E307" s="8"/>
      <c r="F307" s="17"/>
      <c r="G307" s="17"/>
      <c r="H307" s="17"/>
      <c r="I307" s="17"/>
      <c r="J307" s="17"/>
      <c r="K307" s="17"/>
      <c r="L307" s="17"/>
      <c r="M307" s="17"/>
      <c r="N307" s="17"/>
      <c r="O307" s="17"/>
      <c r="P307" s="17"/>
      <c r="Q307" s="17"/>
      <c r="R307" s="1"/>
      <c r="S307" s="1"/>
    </row>
    <row r="308" spans="1:19" x14ac:dyDescent="0.35">
      <c r="A308" s="6"/>
      <c r="B308" s="13"/>
      <c r="C308" s="81"/>
      <c r="D308" s="4"/>
      <c r="E308" s="8"/>
      <c r="F308" s="17"/>
      <c r="G308" s="17"/>
      <c r="H308" s="17"/>
      <c r="I308" s="17"/>
      <c r="J308" s="17"/>
      <c r="K308" s="17"/>
      <c r="L308" s="17"/>
      <c r="M308" s="17"/>
      <c r="N308" s="17"/>
      <c r="O308" s="17"/>
      <c r="P308" s="17"/>
      <c r="Q308" s="17"/>
      <c r="R308" s="1"/>
      <c r="S308" s="1"/>
    </row>
    <row r="309" spans="1:19" x14ac:dyDescent="0.35">
      <c r="A309" s="6"/>
      <c r="B309" s="13"/>
      <c r="C309" s="81"/>
      <c r="D309" s="4"/>
      <c r="E309" s="8"/>
      <c r="F309" s="17"/>
      <c r="G309" s="17"/>
      <c r="H309" s="17"/>
      <c r="I309" s="17"/>
      <c r="J309" s="17"/>
      <c r="K309" s="17"/>
      <c r="L309" s="17"/>
      <c r="M309" s="17"/>
      <c r="N309" s="17"/>
      <c r="O309" s="17"/>
      <c r="P309" s="17"/>
      <c r="Q309" s="17"/>
      <c r="R309" s="1"/>
      <c r="S309" s="1"/>
    </row>
    <row r="310" spans="1:19" x14ac:dyDescent="0.35">
      <c r="A310" s="6"/>
      <c r="B310" s="13"/>
      <c r="C310" s="81"/>
      <c r="D310" s="4"/>
      <c r="E310" s="8"/>
      <c r="F310" s="17"/>
      <c r="G310" s="17"/>
      <c r="H310" s="17"/>
      <c r="I310" s="17"/>
      <c r="J310" s="17"/>
      <c r="K310" s="17"/>
      <c r="L310" s="17"/>
      <c r="M310" s="17"/>
      <c r="N310" s="17"/>
      <c r="O310" s="17"/>
      <c r="P310" s="17"/>
      <c r="Q310" s="17"/>
      <c r="R310" s="1"/>
      <c r="S310" s="1"/>
    </row>
    <row r="311" spans="1:19" x14ac:dyDescent="0.35">
      <c r="A311" s="6"/>
      <c r="B311" s="13"/>
      <c r="C311" s="81"/>
      <c r="D311" s="4"/>
      <c r="E311" s="8"/>
      <c r="F311" s="17"/>
      <c r="G311" s="17"/>
      <c r="H311" s="17"/>
      <c r="I311" s="17"/>
      <c r="J311" s="17"/>
      <c r="K311" s="17"/>
      <c r="L311" s="17"/>
      <c r="M311" s="17"/>
      <c r="N311" s="17"/>
      <c r="O311" s="17"/>
      <c r="P311" s="17"/>
      <c r="Q311" s="17"/>
      <c r="R311" s="1"/>
      <c r="S311" s="1"/>
    </row>
    <row r="312" spans="1:19" x14ac:dyDescent="0.35">
      <c r="A312" s="6"/>
      <c r="B312" s="13"/>
      <c r="C312" s="81"/>
      <c r="D312" s="4"/>
      <c r="E312" s="8"/>
      <c r="F312" s="17"/>
      <c r="G312" s="17"/>
      <c r="H312" s="17"/>
      <c r="I312" s="17"/>
      <c r="J312" s="17"/>
      <c r="K312" s="17"/>
      <c r="L312" s="17"/>
      <c r="M312" s="17"/>
      <c r="N312" s="17"/>
      <c r="O312" s="17"/>
      <c r="P312" s="17"/>
      <c r="Q312" s="17"/>
      <c r="R312" s="1"/>
      <c r="S312" s="1"/>
    </row>
    <row r="313" spans="1:19" x14ac:dyDescent="0.35">
      <c r="A313" s="6"/>
      <c r="B313" s="13"/>
      <c r="C313" s="81"/>
      <c r="D313" s="4"/>
      <c r="E313" s="8"/>
      <c r="F313" s="17"/>
      <c r="G313" s="17"/>
      <c r="H313" s="17"/>
      <c r="I313" s="17"/>
      <c r="J313" s="17"/>
      <c r="K313" s="17"/>
      <c r="L313" s="17"/>
      <c r="M313" s="17"/>
      <c r="N313" s="17"/>
      <c r="O313" s="17"/>
      <c r="P313" s="17"/>
      <c r="Q313" s="17"/>
      <c r="R313" s="1"/>
      <c r="S313" s="1"/>
    </row>
    <row r="314" spans="1:19" x14ac:dyDescent="0.35">
      <c r="A314" s="6"/>
      <c r="B314" s="13"/>
      <c r="C314" s="81"/>
      <c r="D314" s="4"/>
      <c r="E314" s="8"/>
      <c r="F314" s="17"/>
      <c r="G314" s="17"/>
      <c r="H314" s="17"/>
      <c r="I314" s="17"/>
      <c r="J314" s="17"/>
      <c r="K314" s="17"/>
      <c r="L314" s="17"/>
      <c r="M314" s="17"/>
      <c r="N314" s="17"/>
      <c r="O314" s="17"/>
      <c r="P314" s="17"/>
      <c r="Q314" s="17"/>
      <c r="R314" s="1"/>
      <c r="S314" s="1"/>
    </row>
    <row r="315" spans="1:19" x14ac:dyDescent="0.35">
      <c r="A315" s="6"/>
      <c r="B315" s="13"/>
      <c r="C315" s="81"/>
      <c r="D315" s="4"/>
      <c r="E315" s="8"/>
      <c r="F315" s="17"/>
      <c r="G315" s="17"/>
      <c r="H315" s="17"/>
      <c r="I315" s="17"/>
      <c r="J315" s="17"/>
      <c r="K315" s="17"/>
      <c r="L315" s="17"/>
      <c r="M315" s="17"/>
      <c r="N315" s="17"/>
      <c r="O315" s="17"/>
      <c r="P315" s="17"/>
      <c r="Q315" s="17"/>
      <c r="R315" s="1"/>
      <c r="S315" s="1"/>
    </row>
    <row r="316" spans="1:19" x14ac:dyDescent="0.35">
      <c r="A316" s="6"/>
      <c r="B316" s="13"/>
      <c r="C316" s="81"/>
      <c r="D316" s="4"/>
      <c r="E316" s="8"/>
      <c r="F316" s="17"/>
      <c r="G316" s="17"/>
      <c r="H316" s="17"/>
      <c r="I316" s="17"/>
      <c r="J316" s="17"/>
      <c r="K316" s="17"/>
      <c r="L316" s="17"/>
      <c r="M316" s="17"/>
      <c r="N316" s="17"/>
      <c r="O316" s="17"/>
      <c r="P316" s="17"/>
      <c r="Q316" s="17"/>
      <c r="R316" s="1"/>
      <c r="S316" s="1"/>
    </row>
    <row r="317" spans="1:19" x14ac:dyDescent="0.35">
      <c r="A317" s="6"/>
      <c r="B317" s="13"/>
      <c r="C317" s="81"/>
      <c r="D317" s="4"/>
      <c r="E317" s="8"/>
      <c r="F317" s="17"/>
      <c r="G317" s="17"/>
      <c r="H317" s="17"/>
      <c r="I317" s="17"/>
      <c r="J317" s="17"/>
      <c r="K317" s="17"/>
      <c r="L317" s="17"/>
      <c r="M317" s="17"/>
      <c r="N317" s="17"/>
      <c r="O317" s="17"/>
      <c r="P317" s="17"/>
      <c r="Q317" s="17"/>
      <c r="R317" s="1"/>
      <c r="S317" s="1"/>
    </row>
    <row r="318" spans="1:19" x14ac:dyDescent="0.35">
      <c r="A318" s="6"/>
      <c r="B318" s="13"/>
      <c r="C318" s="81"/>
      <c r="D318" s="4"/>
      <c r="E318" s="8"/>
      <c r="F318" s="17"/>
      <c r="G318" s="17"/>
      <c r="H318" s="17"/>
      <c r="I318" s="17"/>
      <c r="J318" s="17"/>
      <c r="K318" s="17"/>
      <c r="L318" s="17"/>
      <c r="M318" s="17"/>
      <c r="N318" s="17"/>
      <c r="O318" s="17"/>
      <c r="P318" s="17"/>
      <c r="Q318" s="17"/>
      <c r="R318" s="1"/>
      <c r="S318" s="1"/>
    </row>
    <row r="319" spans="1:19" x14ac:dyDescent="0.35">
      <c r="A319" s="6"/>
      <c r="B319" s="13"/>
      <c r="C319" s="81"/>
      <c r="D319" s="4"/>
      <c r="E319" s="8"/>
      <c r="F319" s="17"/>
      <c r="G319" s="17"/>
      <c r="H319" s="17"/>
      <c r="I319" s="17"/>
      <c r="J319" s="17"/>
      <c r="K319" s="17"/>
      <c r="L319" s="17"/>
      <c r="M319" s="17"/>
      <c r="N319" s="17"/>
      <c r="O319" s="17"/>
      <c r="P319" s="17"/>
      <c r="Q319" s="17"/>
      <c r="R319" s="1"/>
      <c r="S319" s="1"/>
    </row>
    <row r="320" spans="1:19" x14ac:dyDescent="0.35">
      <c r="A320" s="6"/>
      <c r="B320" s="13"/>
      <c r="C320" s="81"/>
      <c r="D320" s="4"/>
      <c r="E320" s="8"/>
      <c r="F320" s="17"/>
      <c r="G320" s="17"/>
      <c r="H320" s="17"/>
      <c r="I320" s="17"/>
      <c r="J320" s="17"/>
      <c r="K320" s="17"/>
      <c r="L320" s="17"/>
      <c r="M320" s="17"/>
      <c r="N320" s="17"/>
      <c r="O320" s="17"/>
      <c r="P320" s="17"/>
      <c r="Q320" s="17"/>
      <c r="R320" s="1"/>
      <c r="S320" s="1"/>
    </row>
    <row r="321" spans="1:19" x14ac:dyDescent="0.35">
      <c r="A321" s="6"/>
      <c r="B321" s="13"/>
      <c r="C321" s="81"/>
      <c r="D321" s="4"/>
      <c r="E321" s="8"/>
      <c r="F321" s="17"/>
      <c r="G321" s="17"/>
      <c r="H321" s="17"/>
      <c r="I321" s="17"/>
      <c r="J321" s="17"/>
      <c r="K321" s="17"/>
      <c r="L321" s="17"/>
      <c r="M321" s="17"/>
      <c r="N321" s="17"/>
      <c r="O321" s="17"/>
      <c r="P321" s="17"/>
      <c r="Q321" s="17"/>
      <c r="R321" s="1"/>
      <c r="S321" s="1"/>
    </row>
    <row r="322" spans="1:19" x14ac:dyDescent="0.35">
      <c r="A322" s="6"/>
      <c r="B322" s="13"/>
      <c r="C322" s="81"/>
      <c r="D322" s="4"/>
      <c r="E322" s="8"/>
      <c r="F322" s="17"/>
      <c r="G322" s="17"/>
      <c r="H322" s="17"/>
      <c r="I322" s="17"/>
      <c r="J322" s="17"/>
      <c r="K322" s="17"/>
      <c r="L322" s="17"/>
      <c r="M322" s="17"/>
      <c r="N322" s="17"/>
      <c r="O322" s="17"/>
      <c r="P322" s="17"/>
      <c r="Q322" s="17"/>
      <c r="R322" s="1"/>
      <c r="S322" s="1"/>
    </row>
    <row r="323" spans="1:19" x14ac:dyDescent="0.35">
      <c r="A323" s="6"/>
      <c r="B323" s="13"/>
      <c r="C323" s="81"/>
      <c r="D323" s="4"/>
      <c r="E323" s="8"/>
      <c r="F323" s="17"/>
      <c r="G323" s="17"/>
      <c r="H323" s="17"/>
      <c r="I323" s="17"/>
      <c r="J323" s="17"/>
      <c r="K323" s="17"/>
      <c r="L323" s="17"/>
      <c r="M323" s="17"/>
      <c r="N323" s="17"/>
      <c r="O323" s="17"/>
      <c r="P323" s="17"/>
      <c r="Q323" s="17"/>
      <c r="R323" s="1"/>
      <c r="S323" s="1"/>
    </row>
    <row r="324" spans="1:19" x14ac:dyDescent="0.35">
      <c r="A324" s="6"/>
      <c r="B324" s="13"/>
      <c r="C324" s="81"/>
      <c r="D324" s="4"/>
      <c r="E324" s="8"/>
      <c r="F324" s="17"/>
      <c r="G324" s="17"/>
      <c r="H324" s="17"/>
      <c r="I324" s="17"/>
      <c r="J324" s="17"/>
      <c r="K324" s="17"/>
      <c r="L324" s="17"/>
      <c r="M324" s="17"/>
      <c r="N324" s="17"/>
      <c r="O324" s="17"/>
      <c r="P324" s="17"/>
      <c r="Q324" s="17"/>
      <c r="R324" s="1"/>
      <c r="S324" s="1"/>
    </row>
    <row r="325" spans="1:19" x14ac:dyDescent="0.35">
      <c r="A325" s="6"/>
      <c r="B325" s="13"/>
      <c r="C325" s="81"/>
      <c r="D325" s="4"/>
      <c r="E325" s="8"/>
      <c r="F325" s="17"/>
      <c r="G325" s="17"/>
      <c r="H325" s="17"/>
      <c r="I325" s="17"/>
      <c r="J325" s="17"/>
      <c r="K325" s="17"/>
      <c r="L325" s="17"/>
      <c r="M325" s="17"/>
      <c r="N325" s="17"/>
      <c r="O325" s="17"/>
      <c r="P325" s="17"/>
      <c r="Q325" s="17"/>
      <c r="R325" s="1"/>
      <c r="S325" s="1"/>
    </row>
    <row r="326" spans="1:19" x14ac:dyDescent="0.35">
      <c r="A326" s="6"/>
      <c r="B326" s="13"/>
      <c r="C326" s="81"/>
      <c r="D326" s="4"/>
      <c r="E326" s="8"/>
      <c r="F326" s="17"/>
      <c r="G326" s="17"/>
      <c r="H326" s="17"/>
      <c r="I326" s="17"/>
      <c r="J326" s="17"/>
      <c r="K326" s="17"/>
      <c r="L326" s="17"/>
      <c r="M326" s="17"/>
      <c r="N326" s="17"/>
      <c r="O326" s="17"/>
      <c r="P326" s="17"/>
      <c r="Q326" s="17"/>
      <c r="R326" s="1"/>
      <c r="S326" s="1"/>
    </row>
    <row r="327" spans="1:19" x14ac:dyDescent="0.35">
      <c r="A327" s="6"/>
      <c r="B327" s="13"/>
      <c r="C327" s="81"/>
      <c r="D327" s="4"/>
      <c r="E327" s="8"/>
      <c r="F327" s="17"/>
      <c r="G327" s="17"/>
      <c r="H327" s="17"/>
      <c r="I327" s="17"/>
      <c r="J327" s="17"/>
      <c r="K327" s="17"/>
      <c r="L327" s="17"/>
      <c r="M327" s="17"/>
      <c r="N327" s="17"/>
      <c r="O327" s="17"/>
      <c r="P327" s="17"/>
      <c r="Q327" s="17"/>
      <c r="R327" s="1"/>
      <c r="S327" s="1"/>
    </row>
    <row r="328" spans="1:19" x14ac:dyDescent="0.35">
      <c r="A328" s="6"/>
      <c r="B328" s="13"/>
      <c r="C328" s="81"/>
      <c r="D328" s="4"/>
      <c r="E328" s="8"/>
      <c r="F328" s="17"/>
      <c r="G328" s="17"/>
      <c r="H328" s="17"/>
      <c r="I328" s="17"/>
      <c r="J328" s="17"/>
      <c r="K328" s="17"/>
      <c r="L328" s="17"/>
      <c r="M328" s="17"/>
      <c r="N328" s="17"/>
      <c r="O328" s="17"/>
      <c r="P328" s="17"/>
      <c r="Q328" s="17"/>
      <c r="R328" s="1"/>
      <c r="S328" s="1"/>
    </row>
    <row r="329" spans="1:19" x14ac:dyDescent="0.35">
      <c r="A329" s="6"/>
      <c r="B329" s="13"/>
      <c r="C329" s="81"/>
      <c r="D329" s="4"/>
      <c r="E329" s="8"/>
      <c r="F329" s="17"/>
      <c r="G329" s="17"/>
      <c r="H329" s="17"/>
      <c r="I329" s="17"/>
      <c r="J329" s="17"/>
      <c r="K329" s="17"/>
      <c r="L329" s="17"/>
      <c r="M329" s="17"/>
      <c r="N329" s="17"/>
      <c r="O329" s="17"/>
      <c r="P329" s="17"/>
      <c r="Q329" s="17"/>
      <c r="R329" s="1"/>
      <c r="S329" s="1"/>
    </row>
    <row r="330" spans="1:19" x14ac:dyDescent="0.35">
      <c r="A330" s="6"/>
      <c r="B330" s="13"/>
      <c r="C330" s="81"/>
      <c r="D330" s="4"/>
      <c r="E330" s="8"/>
      <c r="F330" s="17"/>
      <c r="G330" s="17"/>
      <c r="H330" s="17"/>
      <c r="I330" s="17"/>
      <c r="J330" s="17"/>
      <c r="K330" s="17"/>
      <c r="L330" s="17"/>
      <c r="M330" s="17"/>
      <c r="N330" s="17"/>
      <c r="O330" s="17"/>
      <c r="P330" s="17"/>
      <c r="Q330" s="17"/>
      <c r="R330" s="1"/>
      <c r="S330" s="1"/>
    </row>
    <row r="331" spans="1:19" x14ac:dyDescent="0.35">
      <c r="A331" s="6"/>
      <c r="B331" s="13"/>
      <c r="C331" s="81"/>
      <c r="D331" s="4"/>
      <c r="E331" s="8"/>
      <c r="F331" s="17"/>
      <c r="G331" s="17"/>
      <c r="H331" s="17"/>
      <c r="I331" s="17"/>
      <c r="J331" s="17"/>
      <c r="K331" s="17"/>
      <c r="L331" s="17"/>
      <c r="M331" s="17"/>
      <c r="N331" s="17"/>
      <c r="O331" s="17"/>
      <c r="P331" s="17"/>
      <c r="Q331" s="17"/>
      <c r="R331" s="1"/>
      <c r="S331" s="1"/>
    </row>
    <row r="332" spans="1:19" x14ac:dyDescent="0.35">
      <c r="A332" s="6"/>
      <c r="B332" s="13"/>
      <c r="C332" s="81"/>
      <c r="D332" s="4"/>
      <c r="E332" s="8"/>
      <c r="F332" s="17"/>
      <c r="G332" s="17"/>
      <c r="H332" s="17"/>
      <c r="I332" s="17"/>
      <c r="J332" s="17"/>
      <c r="K332" s="17"/>
      <c r="L332" s="17"/>
      <c r="M332" s="17"/>
      <c r="N332" s="17"/>
      <c r="O332" s="17"/>
      <c r="P332" s="17"/>
      <c r="Q332" s="17"/>
      <c r="R332" s="1"/>
      <c r="S332" s="1"/>
    </row>
    <row r="333" spans="1:19" x14ac:dyDescent="0.35">
      <c r="A333" s="6"/>
      <c r="B333" s="13"/>
      <c r="C333" s="81"/>
      <c r="D333" s="4"/>
      <c r="E333" s="8"/>
      <c r="F333" s="17"/>
      <c r="G333" s="17"/>
      <c r="H333" s="17"/>
      <c r="I333" s="17"/>
      <c r="J333" s="17"/>
      <c r="K333" s="17"/>
      <c r="L333" s="17"/>
      <c r="M333" s="17"/>
      <c r="N333" s="17"/>
      <c r="O333" s="17"/>
      <c r="P333" s="17"/>
      <c r="Q333" s="17"/>
      <c r="R333" s="1"/>
      <c r="S333" s="1"/>
    </row>
    <row r="334" spans="1:19" x14ac:dyDescent="0.35">
      <c r="A334" s="6"/>
      <c r="B334" s="13"/>
      <c r="C334" s="81"/>
      <c r="D334" s="4"/>
      <c r="E334" s="8"/>
      <c r="F334" s="17"/>
      <c r="G334" s="17"/>
      <c r="H334" s="17"/>
      <c r="I334" s="17"/>
      <c r="J334" s="17"/>
      <c r="K334" s="17"/>
      <c r="L334" s="17"/>
      <c r="M334" s="17"/>
      <c r="N334" s="17"/>
      <c r="O334" s="17"/>
      <c r="P334" s="17"/>
      <c r="Q334" s="17"/>
      <c r="R334" s="1"/>
      <c r="S334" s="1"/>
    </row>
    <row r="335" spans="1:19" x14ac:dyDescent="0.35">
      <c r="A335" s="6"/>
      <c r="B335" s="13"/>
      <c r="C335" s="81"/>
      <c r="D335" s="4"/>
      <c r="E335" s="8"/>
      <c r="F335" s="17"/>
      <c r="G335" s="17"/>
      <c r="H335" s="17"/>
      <c r="I335" s="17"/>
      <c r="J335" s="17"/>
      <c r="K335" s="17"/>
      <c r="L335" s="17"/>
      <c r="M335" s="17"/>
      <c r="N335" s="17"/>
      <c r="O335" s="17"/>
      <c r="P335" s="17"/>
      <c r="Q335" s="17"/>
      <c r="R335" s="1"/>
      <c r="S335" s="1"/>
    </row>
    <row r="336" spans="1:19" x14ac:dyDescent="0.35">
      <c r="A336" s="6"/>
      <c r="B336" s="13"/>
      <c r="C336" s="81"/>
      <c r="D336" s="4"/>
      <c r="E336" s="8"/>
      <c r="F336" s="17"/>
      <c r="G336" s="17"/>
      <c r="H336" s="17"/>
      <c r="I336" s="17"/>
      <c r="J336" s="17"/>
      <c r="K336" s="17"/>
      <c r="L336" s="17"/>
      <c r="M336" s="17"/>
      <c r="N336" s="17"/>
      <c r="O336" s="17"/>
      <c r="P336" s="17"/>
      <c r="Q336" s="17"/>
      <c r="R336" s="1"/>
      <c r="S336" s="1"/>
    </row>
    <row r="337" spans="1:19" x14ac:dyDescent="0.35">
      <c r="A337" s="6"/>
      <c r="B337" s="13"/>
      <c r="C337" s="81"/>
      <c r="D337" s="4"/>
      <c r="E337" s="8"/>
      <c r="F337" s="17"/>
      <c r="G337" s="17"/>
      <c r="H337" s="17"/>
      <c r="I337" s="17"/>
      <c r="J337" s="17"/>
      <c r="K337" s="17"/>
      <c r="L337" s="17"/>
      <c r="M337" s="17"/>
      <c r="N337" s="17"/>
      <c r="O337" s="17"/>
      <c r="P337" s="17"/>
      <c r="Q337" s="17"/>
      <c r="R337" s="1"/>
      <c r="S337" s="1"/>
    </row>
    <row r="338" spans="1:19" x14ac:dyDescent="0.35">
      <c r="A338" s="6"/>
      <c r="B338" s="13"/>
      <c r="C338" s="81"/>
      <c r="D338" s="4"/>
      <c r="E338" s="8"/>
      <c r="F338" s="17"/>
      <c r="G338" s="17"/>
      <c r="H338" s="17"/>
      <c r="I338" s="17"/>
      <c r="J338" s="17"/>
      <c r="K338" s="17"/>
      <c r="L338" s="17"/>
      <c r="M338" s="17"/>
      <c r="N338" s="17"/>
      <c r="O338" s="17"/>
      <c r="P338" s="17"/>
      <c r="Q338" s="17"/>
      <c r="R338" s="1"/>
      <c r="S338" s="1"/>
    </row>
    <row r="339" spans="1:19" x14ac:dyDescent="0.35">
      <c r="A339" s="6"/>
      <c r="B339" s="13"/>
      <c r="C339" s="81"/>
      <c r="D339" s="4"/>
      <c r="E339" s="8"/>
      <c r="F339" s="17"/>
      <c r="G339" s="17"/>
      <c r="H339" s="17"/>
      <c r="I339" s="17"/>
      <c r="J339" s="17"/>
      <c r="K339" s="17"/>
      <c r="L339" s="17"/>
      <c r="M339" s="17"/>
      <c r="N339" s="17"/>
      <c r="O339" s="17"/>
      <c r="P339" s="17"/>
      <c r="Q339" s="17"/>
      <c r="R339" s="1"/>
      <c r="S339" s="1"/>
    </row>
    <row r="340" spans="1:19" x14ac:dyDescent="0.35">
      <c r="A340" s="6"/>
      <c r="B340" s="13"/>
      <c r="C340" s="81"/>
      <c r="D340" s="4"/>
      <c r="E340" s="8"/>
      <c r="F340" s="17"/>
      <c r="G340" s="17"/>
      <c r="H340" s="17"/>
      <c r="I340" s="17"/>
      <c r="J340" s="17"/>
      <c r="K340" s="17"/>
      <c r="L340" s="17"/>
      <c r="M340" s="17"/>
      <c r="N340" s="17"/>
      <c r="O340" s="17"/>
      <c r="P340" s="17"/>
      <c r="Q340" s="17"/>
      <c r="R340" s="1"/>
      <c r="S340" s="1"/>
    </row>
    <row r="341" spans="1:19" x14ac:dyDescent="0.35">
      <c r="A341" s="6"/>
      <c r="B341" s="13"/>
      <c r="C341" s="81"/>
      <c r="D341" s="4"/>
      <c r="E341" s="8"/>
      <c r="F341" s="17"/>
      <c r="G341" s="17"/>
      <c r="H341" s="17"/>
      <c r="I341" s="17"/>
      <c r="J341" s="17"/>
      <c r="K341" s="17"/>
      <c r="L341" s="17"/>
      <c r="M341" s="17"/>
      <c r="N341" s="17"/>
      <c r="O341" s="17"/>
      <c r="P341" s="17"/>
      <c r="Q341" s="17"/>
      <c r="R341" s="1"/>
      <c r="S341" s="1"/>
    </row>
    <row r="342" spans="1:19" x14ac:dyDescent="0.35">
      <c r="A342" s="6"/>
      <c r="B342" s="13"/>
      <c r="C342" s="81"/>
      <c r="D342" s="4"/>
      <c r="E342" s="8"/>
      <c r="F342" s="17"/>
      <c r="G342" s="17"/>
      <c r="H342" s="17"/>
      <c r="I342" s="17"/>
      <c r="J342" s="17"/>
      <c r="K342" s="17"/>
      <c r="L342" s="17"/>
      <c r="M342" s="17"/>
      <c r="N342" s="17"/>
      <c r="O342" s="17"/>
      <c r="P342" s="17"/>
      <c r="Q342" s="17"/>
      <c r="R342" s="1"/>
      <c r="S342" s="1"/>
    </row>
    <row r="343" spans="1:19" x14ac:dyDescent="0.35">
      <c r="A343" s="6"/>
      <c r="B343" s="13"/>
      <c r="C343" s="81"/>
      <c r="D343" s="4"/>
      <c r="E343" s="8"/>
      <c r="F343" s="17"/>
      <c r="G343" s="17"/>
      <c r="H343" s="17"/>
      <c r="I343" s="17"/>
      <c r="J343" s="17"/>
      <c r="K343" s="17"/>
      <c r="L343" s="17"/>
      <c r="M343" s="17"/>
      <c r="N343" s="17"/>
      <c r="O343" s="17"/>
      <c r="P343" s="17"/>
      <c r="Q343" s="17"/>
      <c r="R343" s="1"/>
      <c r="S343" s="1"/>
    </row>
    <row r="344" spans="1:19" x14ac:dyDescent="0.35">
      <c r="A344" s="6"/>
      <c r="B344" s="13"/>
      <c r="C344" s="81"/>
      <c r="D344" s="4"/>
      <c r="E344" s="8"/>
      <c r="F344" s="17"/>
      <c r="G344" s="17"/>
      <c r="H344" s="17"/>
      <c r="I344" s="17"/>
      <c r="J344" s="17"/>
      <c r="K344" s="17"/>
      <c r="L344" s="17"/>
      <c r="M344" s="17"/>
      <c r="N344" s="17"/>
      <c r="O344" s="17"/>
      <c r="P344" s="17"/>
      <c r="Q344" s="17"/>
      <c r="R344" s="1"/>
      <c r="S344" s="1"/>
    </row>
    <row r="345" spans="1:19" x14ac:dyDescent="0.35">
      <c r="A345" s="6"/>
      <c r="B345" s="13"/>
      <c r="C345" s="81"/>
      <c r="D345" s="4"/>
      <c r="E345" s="8"/>
      <c r="F345" s="17"/>
      <c r="G345" s="17"/>
      <c r="H345" s="17"/>
      <c r="I345" s="17"/>
      <c r="J345" s="17"/>
      <c r="K345" s="17"/>
      <c r="L345" s="17"/>
      <c r="M345" s="17"/>
      <c r="N345" s="17"/>
      <c r="O345" s="17"/>
      <c r="P345" s="17"/>
      <c r="Q345" s="17"/>
      <c r="R345" s="1"/>
      <c r="S345" s="1"/>
    </row>
    <row r="346" spans="1:19" x14ac:dyDescent="0.35">
      <c r="A346" s="6"/>
      <c r="B346" s="13"/>
      <c r="C346" s="81"/>
      <c r="D346" s="4"/>
      <c r="E346" s="8"/>
      <c r="F346" s="17"/>
      <c r="G346" s="17"/>
      <c r="H346" s="17"/>
      <c r="I346" s="17"/>
      <c r="J346" s="17"/>
      <c r="K346" s="17"/>
      <c r="L346" s="17"/>
      <c r="M346" s="17"/>
      <c r="N346" s="17"/>
      <c r="O346" s="17"/>
      <c r="P346" s="17"/>
      <c r="Q346" s="17"/>
      <c r="R346" s="1"/>
      <c r="S346" s="1"/>
    </row>
    <row r="347" spans="1:19" x14ac:dyDescent="0.35">
      <c r="A347" s="6"/>
      <c r="B347" s="13"/>
      <c r="C347" s="81"/>
      <c r="D347" s="4"/>
      <c r="E347" s="8"/>
      <c r="F347" s="17"/>
      <c r="G347" s="17"/>
      <c r="H347" s="17"/>
      <c r="I347" s="17"/>
      <c r="J347" s="17"/>
      <c r="K347" s="17"/>
      <c r="L347" s="17"/>
      <c r="M347" s="17"/>
      <c r="N347" s="17"/>
      <c r="O347" s="17"/>
      <c r="P347" s="17"/>
      <c r="Q347" s="17"/>
      <c r="R347" s="1"/>
      <c r="S347" s="1"/>
    </row>
    <row r="348" spans="1:19" x14ac:dyDescent="0.35">
      <c r="A348" s="6"/>
      <c r="B348" s="13"/>
      <c r="C348" s="81"/>
      <c r="D348" s="4"/>
      <c r="E348" s="8"/>
      <c r="F348" s="17"/>
      <c r="G348" s="17"/>
      <c r="H348" s="17"/>
      <c r="I348" s="17"/>
      <c r="J348" s="17"/>
      <c r="K348" s="17"/>
      <c r="L348" s="17"/>
      <c r="M348" s="17"/>
      <c r="N348" s="17"/>
      <c r="O348" s="17"/>
      <c r="P348" s="17"/>
      <c r="Q348" s="17"/>
      <c r="R348" s="1"/>
      <c r="S348" s="1"/>
    </row>
    <row r="349" spans="1:19" x14ac:dyDescent="0.35">
      <c r="A349" s="6"/>
      <c r="B349" s="13"/>
      <c r="C349" s="81"/>
      <c r="D349" s="4"/>
      <c r="E349" s="8"/>
      <c r="F349" s="17"/>
      <c r="G349" s="17"/>
      <c r="H349" s="17"/>
      <c r="I349" s="17"/>
      <c r="J349" s="17"/>
      <c r="K349" s="17"/>
      <c r="L349" s="17"/>
      <c r="M349" s="17"/>
      <c r="N349" s="17"/>
      <c r="O349" s="17"/>
      <c r="P349" s="17"/>
      <c r="Q349" s="17"/>
      <c r="R349" s="1"/>
      <c r="S349" s="1"/>
    </row>
    <row r="350" spans="1:19" x14ac:dyDescent="0.35">
      <c r="A350" s="6"/>
      <c r="B350" s="13"/>
      <c r="C350" s="81"/>
      <c r="D350" s="4"/>
      <c r="E350" s="8"/>
      <c r="F350" s="17"/>
      <c r="G350" s="17"/>
      <c r="H350" s="17"/>
      <c r="I350" s="17"/>
      <c r="J350" s="17"/>
      <c r="K350" s="17"/>
      <c r="L350" s="17"/>
      <c r="M350" s="17"/>
      <c r="N350" s="17"/>
      <c r="O350" s="17"/>
      <c r="P350" s="17"/>
      <c r="Q350" s="17"/>
      <c r="R350" s="1"/>
      <c r="S350" s="1"/>
    </row>
    <row r="351" spans="1:19" x14ac:dyDescent="0.35">
      <c r="A351" s="6"/>
      <c r="B351" s="13"/>
      <c r="C351" s="81"/>
      <c r="D351" s="4"/>
      <c r="E351" s="8"/>
      <c r="F351" s="17"/>
      <c r="G351" s="17"/>
      <c r="H351" s="17"/>
      <c r="I351" s="17"/>
      <c r="J351" s="17"/>
      <c r="K351" s="17"/>
      <c r="L351" s="17"/>
      <c r="M351" s="17"/>
      <c r="N351" s="17"/>
      <c r="O351" s="17"/>
      <c r="P351" s="17"/>
      <c r="Q351" s="17"/>
      <c r="R351" s="1"/>
      <c r="S351" s="1"/>
    </row>
    <row r="352" spans="1:19" x14ac:dyDescent="0.35">
      <c r="A352" s="6"/>
      <c r="B352" s="13"/>
      <c r="C352" s="81"/>
      <c r="D352" s="4"/>
      <c r="E352" s="8"/>
      <c r="F352" s="17"/>
      <c r="G352" s="17"/>
      <c r="H352" s="17"/>
      <c r="I352" s="17"/>
      <c r="J352" s="17"/>
      <c r="K352" s="17"/>
      <c r="L352" s="17"/>
      <c r="M352" s="17"/>
      <c r="N352" s="17"/>
      <c r="O352" s="17"/>
      <c r="P352" s="17"/>
      <c r="Q352" s="17"/>
      <c r="R352" s="1"/>
      <c r="S352" s="1"/>
    </row>
    <row r="353" spans="1:19" x14ac:dyDescent="0.35">
      <c r="A353" s="6"/>
      <c r="B353" s="13"/>
      <c r="C353" s="81"/>
      <c r="D353" s="4"/>
      <c r="E353" s="8"/>
      <c r="F353" s="17"/>
      <c r="G353" s="17"/>
      <c r="H353" s="17"/>
      <c r="I353" s="17"/>
      <c r="J353" s="17"/>
      <c r="K353" s="17"/>
      <c r="L353" s="17"/>
      <c r="M353" s="17"/>
      <c r="N353" s="17"/>
      <c r="O353" s="17"/>
      <c r="P353" s="17"/>
      <c r="Q353" s="17"/>
      <c r="R353" s="1"/>
      <c r="S353" s="1"/>
    </row>
    <row r="354" spans="1:19" x14ac:dyDescent="0.35">
      <c r="A354" s="6"/>
      <c r="B354" s="13"/>
      <c r="C354" s="81"/>
      <c r="D354" s="4"/>
      <c r="E354" s="8"/>
      <c r="F354" s="17"/>
      <c r="G354" s="17"/>
      <c r="H354" s="17"/>
      <c r="I354" s="17"/>
      <c r="J354" s="17"/>
      <c r="K354" s="17"/>
      <c r="L354" s="17"/>
      <c r="M354" s="17"/>
      <c r="N354" s="17"/>
      <c r="O354" s="17"/>
      <c r="P354" s="17"/>
      <c r="Q354" s="17"/>
      <c r="R354" s="1"/>
      <c r="S354" s="1"/>
    </row>
    <row r="355" spans="1:19" x14ac:dyDescent="0.35">
      <c r="A355" s="6"/>
      <c r="B355" s="13"/>
      <c r="C355" s="81"/>
      <c r="D355" s="4"/>
      <c r="E355" s="8"/>
      <c r="F355" s="17"/>
      <c r="G355" s="17"/>
      <c r="H355" s="17"/>
      <c r="I355" s="17"/>
      <c r="J355" s="17"/>
      <c r="K355" s="17"/>
      <c r="L355" s="17"/>
      <c r="M355" s="17"/>
      <c r="N355" s="17"/>
      <c r="O355" s="17"/>
      <c r="P355" s="17"/>
      <c r="Q355" s="17"/>
      <c r="R355" s="1"/>
      <c r="S355" s="1"/>
    </row>
    <row r="356" spans="1:19" x14ac:dyDescent="0.35">
      <c r="A356" s="6"/>
      <c r="B356" s="13"/>
      <c r="C356" s="81"/>
      <c r="D356" s="4"/>
      <c r="E356" s="8"/>
      <c r="F356" s="17"/>
      <c r="G356" s="17"/>
      <c r="H356" s="17"/>
      <c r="I356" s="17"/>
      <c r="J356" s="17"/>
      <c r="K356" s="17"/>
      <c r="L356" s="17"/>
      <c r="M356" s="17"/>
      <c r="N356" s="17"/>
      <c r="O356" s="17"/>
      <c r="P356" s="17"/>
      <c r="Q356" s="17"/>
      <c r="R356" s="1"/>
      <c r="S356" s="1"/>
    </row>
    <row r="357" spans="1:19" x14ac:dyDescent="0.35">
      <c r="A357" s="6"/>
      <c r="B357" s="13"/>
      <c r="C357" s="81"/>
      <c r="D357" s="4"/>
      <c r="E357" s="8"/>
      <c r="F357" s="17"/>
      <c r="G357" s="17"/>
      <c r="H357" s="17"/>
      <c r="I357" s="17"/>
      <c r="J357" s="17"/>
      <c r="K357" s="17"/>
      <c r="L357" s="17"/>
      <c r="M357" s="17"/>
      <c r="N357" s="17"/>
      <c r="O357" s="17"/>
      <c r="P357" s="17"/>
      <c r="Q357" s="17"/>
      <c r="R357" s="1"/>
      <c r="S357" s="1"/>
    </row>
    <row r="358" spans="1:19" x14ac:dyDescent="0.35">
      <c r="A358" s="6"/>
      <c r="B358" s="13"/>
      <c r="C358" s="81"/>
      <c r="D358" s="4"/>
      <c r="E358" s="8"/>
      <c r="F358" s="17"/>
      <c r="G358" s="17"/>
      <c r="H358" s="17"/>
      <c r="I358" s="17"/>
      <c r="J358" s="17"/>
      <c r="K358" s="17"/>
      <c r="L358" s="17"/>
      <c r="M358" s="17"/>
      <c r="N358" s="17"/>
      <c r="O358" s="17"/>
      <c r="P358" s="17"/>
      <c r="Q358" s="17"/>
      <c r="R358" s="1"/>
      <c r="S358" s="1"/>
    </row>
    <row r="359" spans="1:19" x14ac:dyDescent="0.35">
      <c r="A359" s="6"/>
      <c r="B359" s="13"/>
      <c r="C359" s="81"/>
      <c r="D359" s="4"/>
      <c r="E359" s="8"/>
      <c r="F359" s="17"/>
      <c r="G359" s="17"/>
      <c r="H359" s="17"/>
      <c r="I359" s="17"/>
      <c r="J359" s="17"/>
      <c r="K359" s="17"/>
      <c r="L359" s="17"/>
      <c r="M359" s="17"/>
      <c r="N359" s="17"/>
      <c r="O359" s="17"/>
      <c r="P359" s="17"/>
      <c r="Q359" s="17"/>
      <c r="R359" s="1"/>
      <c r="S359" s="1"/>
    </row>
    <row r="360" spans="1:19" x14ac:dyDescent="0.35">
      <c r="A360" s="6"/>
      <c r="B360" s="13"/>
      <c r="C360" s="81"/>
      <c r="D360" s="4"/>
      <c r="E360" s="8"/>
      <c r="F360" s="17"/>
      <c r="G360" s="17"/>
      <c r="H360" s="17"/>
      <c r="I360" s="17"/>
      <c r="J360" s="17"/>
      <c r="K360" s="17"/>
      <c r="L360" s="17"/>
      <c r="M360" s="17"/>
      <c r="N360" s="17"/>
      <c r="O360" s="17"/>
      <c r="P360" s="17"/>
      <c r="Q360" s="17"/>
      <c r="R360" s="1"/>
      <c r="S360" s="1"/>
    </row>
    <row r="361" spans="1:19" x14ac:dyDescent="0.35">
      <c r="A361" s="6"/>
      <c r="B361" s="13"/>
      <c r="C361" s="81"/>
      <c r="D361" s="4"/>
      <c r="E361" s="8"/>
      <c r="F361" s="17"/>
      <c r="G361" s="17"/>
      <c r="H361" s="17"/>
      <c r="I361" s="17"/>
      <c r="J361" s="17"/>
      <c r="K361" s="17"/>
      <c r="L361" s="17"/>
      <c r="M361" s="17"/>
      <c r="N361" s="17"/>
      <c r="O361" s="17"/>
      <c r="P361" s="17"/>
      <c r="Q361" s="17"/>
      <c r="R361" s="1"/>
      <c r="S361" s="1"/>
    </row>
    <row r="362" spans="1:19" x14ac:dyDescent="0.35">
      <c r="A362" s="6"/>
      <c r="B362" s="13"/>
      <c r="C362" s="81"/>
      <c r="D362" s="4"/>
      <c r="E362" s="8"/>
      <c r="F362" s="17"/>
      <c r="G362" s="17"/>
      <c r="H362" s="17"/>
      <c r="I362" s="17"/>
      <c r="J362" s="17"/>
      <c r="K362" s="17"/>
      <c r="L362" s="17"/>
      <c r="M362" s="17"/>
      <c r="N362" s="17"/>
      <c r="O362" s="17"/>
      <c r="P362" s="17"/>
      <c r="Q362" s="17"/>
      <c r="R362" s="1"/>
      <c r="S362" s="1"/>
    </row>
    <row r="363" spans="1:19" x14ac:dyDescent="0.35">
      <c r="A363" s="6"/>
      <c r="B363" s="13"/>
      <c r="C363" s="81"/>
      <c r="D363" s="4"/>
      <c r="E363" s="8"/>
      <c r="F363" s="17"/>
      <c r="G363" s="17"/>
      <c r="H363" s="17"/>
      <c r="I363" s="17"/>
      <c r="J363" s="17"/>
      <c r="K363" s="17"/>
      <c r="L363" s="17"/>
      <c r="M363" s="17"/>
      <c r="N363" s="17"/>
      <c r="O363" s="17"/>
      <c r="P363" s="17"/>
      <c r="Q363" s="17"/>
      <c r="R363" s="1"/>
      <c r="S363" s="1"/>
    </row>
    <row r="364" spans="1:19" x14ac:dyDescent="0.35">
      <c r="A364" s="6"/>
      <c r="B364" s="13"/>
      <c r="C364" s="81"/>
      <c r="D364" s="4"/>
      <c r="E364" s="8"/>
      <c r="F364" s="17"/>
      <c r="G364" s="17"/>
      <c r="H364" s="17"/>
      <c r="I364" s="17"/>
      <c r="J364" s="17"/>
      <c r="K364" s="17"/>
      <c r="L364" s="17"/>
      <c r="M364" s="17"/>
      <c r="N364" s="17"/>
      <c r="O364" s="17"/>
      <c r="P364" s="17"/>
      <c r="Q364" s="17"/>
      <c r="R364" s="1"/>
      <c r="S364" s="1"/>
    </row>
    <row r="365" spans="1:19" x14ac:dyDescent="0.35">
      <c r="A365" s="6"/>
      <c r="B365" s="13"/>
      <c r="C365" s="81"/>
      <c r="D365" s="4"/>
      <c r="E365" s="8"/>
      <c r="F365" s="17"/>
      <c r="G365" s="17"/>
      <c r="H365" s="17"/>
      <c r="I365" s="17"/>
      <c r="J365" s="17"/>
      <c r="K365" s="17"/>
      <c r="L365" s="17"/>
      <c r="M365" s="17"/>
      <c r="N365" s="17"/>
      <c r="O365" s="17"/>
      <c r="P365" s="17"/>
      <c r="Q365" s="17"/>
      <c r="R365" s="1"/>
      <c r="S365" s="1"/>
    </row>
    <row r="366" spans="1:19" x14ac:dyDescent="0.35">
      <c r="A366" s="6"/>
      <c r="B366" s="13"/>
      <c r="C366" s="81"/>
      <c r="D366" s="4"/>
      <c r="E366" s="8"/>
      <c r="F366" s="17"/>
      <c r="G366" s="17"/>
      <c r="H366" s="17"/>
      <c r="I366" s="17"/>
      <c r="J366" s="17"/>
      <c r="K366" s="17"/>
      <c r="L366" s="17"/>
      <c r="M366" s="17"/>
      <c r="N366" s="17"/>
      <c r="O366" s="17"/>
      <c r="P366" s="17"/>
      <c r="Q366" s="17"/>
      <c r="R366" s="1"/>
      <c r="S366" s="1"/>
    </row>
    <row r="367" spans="1:19" x14ac:dyDescent="0.35">
      <c r="A367" s="6"/>
      <c r="B367" s="13"/>
      <c r="C367" s="81"/>
      <c r="D367" s="4"/>
      <c r="E367" s="8"/>
      <c r="F367" s="17"/>
      <c r="G367" s="17"/>
      <c r="H367" s="17"/>
      <c r="I367" s="17"/>
      <c r="J367" s="17"/>
      <c r="K367" s="17"/>
      <c r="L367" s="17"/>
      <c r="M367" s="17"/>
      <c r="N367" s="17"/>
      <c r="O367" s="17"/>
      <c r="P367" s="17"/>
      <c r="Q367" s="17"/>
      <c r="R367" s="1"/>
      <c r="S367" s="1"/>
    </row>
    <row r="368" spans="1:19" x14ac:dyDescent="0.35">
      <c r="A368" s="6"/>
      <c r="B368" s="13"/>
      <c r="C368" s="81"/>
      <c r="D368" s="4"/>
      <c r="E368" s="8"/>
      <c r="F368" s="17"/>
      <c r="G368" s="17"/>
      <c r="H368" s="17"/>
      <c r="I368" s="17"/>
      <c r="J368" s="17"/>
      <c r="K368" s="17"/>
      <c r="L368" s="17"/>
      <c r="M368" s="17"/>
      <c r="N368" s="17"/>
      <c r="O368" s="17"/>
      <c r="P368" s="17"/>
      <c r="Q368" s="17"/>
      <c r="R368" s="1"/>
      <c r="S368" s="1"/>
    </row>
    <row r="369" spans="1:19" x14ac:dyDescent="0.35">
      <c r="A369" s="6"/>
      <c r="B369" s="13"/>
      <c r="C369" s="81"/>
      <c r="D369" s="4"/>
      <c r="E369" s="8"/>
      <c r="F369" s="17"/>
      <c r="G369" s="17"/>
      <c r="H369" s="17"/>
      <c r="I369" s="17"/>
      <c r="J369" s="17"/>
      <c r="K369" s="17"/>
      <c r="L369" s="17"/>
      <c r="M369" s="17"/>
      <c r="N369" s="17"/>
      <c r="O369" s="17"/>
      <c r="P369" s="17"/>
      <c r="Q369" s="17"/>
      <c r="R369" s="1"/>
      <c r="S369" s="1"/>
    </row>
    <row r="370" spans="1:19" x14ac:dyDescent="0.35">
      <c r="A370" s="6"/>
      <c r="B370" s="13"/>
      <c r="C370" s="81"/>
      <c r="D370" s="4"/>
      <c r="E370" s="8"/>
      <c r="F370" s="17"/>
      <c r="G370" s="17"/>
      <c r="H370" s="17"/>
      <c r="I370" s="17"/>
      <c r="J370" s="17"/>
      <c r="K370" s="17"/>
      <c r="L370" s="17"/>
      <c r="M370" s="17"/>
      <c r="N370" s="17"/>
      <c r="O370" s="17"/>
      <c r="P370" s="17"/>
      <c r="Q370" s="17"/>
      <c r="R370" s="1"/>
      <c r="S370" s="1"/>
    </row>
    <row r="371" spans="1:19" x14ac:dyDescent="0.35">
      <c r="A371" s="6"/>
      <c r="B371" s="13"/>
      <c r="C371" s="81"/>
      <c r="D371" s="4"/>
      <c r="E371" s="8"/>
      <c r="F371" s="17"/>
      <c r="G371" s="17"/>
      <c r="H371" s="17"/>
      <c r="I371" s="17"/>
      <c r="J371" s="17"/>
      <c r="K371" s="17"/>
      <c r="L371" s="17"/>
      <c r="M371" s="17"/>
      <c r="N371" s="17"/>
      <c r="O371" s="17"/>
      <c r="P371" s="17"/>
      <c r="Q371" s="17"/>
      <c r="R371" s="1"/>
      <c r="S371" s="1"/>
    </row>
    <row r="372" spans="1:19" x14ac:dyDescent="0.35">
      <c r="A372" s="6"/>
      <c r="B372" s="13"/>
      <c r="C372" s="81"/>
      <c r="D372" s="4"/>
      <c r="E372" s="8"/>
      <c r="F372" s="17"/>
      <c r="G372" s="17"/>
      <c r="H372" s="17"/>
      <c r="I372" s="17"/>
      <c r="J372" s="17"/>
      <c r="K372" s="17"/>
      <c r="L372" s="17"/>
      <c r="M372" s="17"/>
      <c r="N372" s="17"/>
      <c r="O372" s="17"/>
      <c r="P372" s="17"/>
      <c r="Q372" s="17"/>
      <c r="R372" s="1"/>
      <c r="S372" s="1"/>
    </row>
    <row r="373" spans="1:19" x14ac:dyDescent="0.35">
      <c r="A373" s="6"/>
      <c r="B373" s="13"/>
      <c r="C373" s="81"/>
      <c r="D373" s="4"/>
      <c r="E373" s="8"/>
      <c r="F373" s="17"/>
      <c r="G373" s="17"/>
      <c r="H373" s="17"/>
      <c r="I373" s="17"/>
      <c r="J373" s="17"/>
      <c r="K373" s="17"/>
      <c r="L373" s="17"/>
      <c r="M373" s="17"/>
      <c r="N373" s="17"/>
      <c r="O373" s="17"/>
      <c r="P373" s="17"/>
      <c r="Q373" s="17"/>
      <c r="R373" s="1"/>
      <c r="S373" s="1"/>
    </row>
    <row r="374" spans="1:19" x14ac:dyDescent="0.35">
      <c r="A374" s="6"/>
      <c r="B374" s="13"/>
      <c r="C374" s="81"/>
      <c r="D374" s="4"/>
      <c r="E374" s="8"/>
      <c r="F374" s="17"/>
      <c r="G374" s="17"/>
      <c r="H374" s="17"/>
      <c r="I374" s="17"/>
      <c r="J374" s="17"/>
      <c r="K374" s="17"/>
      <c r="L374" s="17"/>
      <c r="M374" s="17"/>
      <c r="N374" s="17"/>
      <c r="O374" s="17"/>
      <c r="P374" s="17"/>
      <c r="Q374" s="17"/>
      <c r="R374" s="1"/>
      <c r="S374" s="1"/>
    </row>
    <row r="375" spans="1:19" x14ac:dyDescent="0.35">
      <c r="A375" s="6"/>
      <c r="B375" s="13"/>
      <c r="C375" s="81"/>
      <c r="D375" s="4"/>
      <c r="E375" s="8"/>
      <c r="F375" s="17"/>
      <c r="G375" s="17"/>
      <c r="H375" s="17"/>
      <c r="I375" s="17"/>
      <c r="J375" s="17"/>
      <c r="K375" s="17"/>
      <c r="L375" s="17"/>
      <c r="M375" s="17"/>
      <c r="N375" s="17"/>
      <c r="O375" s="17"/>
      <c r="P375" s="17"/>
      <c r="Q375" s="17"/>
      <c r="R375" s="1"/>
      <c r="S375" s="1"/>
    </row>
    <row r="376" spans="1:19" x14ac:dyDescent="0.35">
      <c r="A376" s="6"/>
      <c r="B376" s="13"/>
      <c r="C376" s="81"/>
      <c r="D376" s="4"/>
      <c r="E376" s="8"/>
      <c r="F376" s="17"/>
      <c r="G376" s="17"/>
      <c r="H376" s="17"/>
      <c r="I376" s="17"/>
      <c r="J376" s="17"/>
      <c r="K376" s="17"/>
      <c r="L376" s="17"/>
      <c r="M376" s="17"/>
      <c r="N376" s="17"/>
      <c r="O376" s="17"/>
      <c r="P376" s="17"/>
      <c r="Q376" s="17"/>
      <c r="R376" s="1"/>
      <c r="S376" s="1"/>
    </row>
    <row r="377" spans="1:19" x14ac:dyDescent="0.35">
      <c r="A377" s="6"/>
      <c r="B377" s="13"/>
      <c r="C377" s="81"/>
      <c r="D377" s="4"/>
      <c r="E377" s="8"/>
      <c r="F377" s="17"/>
      <c r="G377" s="17"/>
      <c r="H377" s="17"/>
      <c r="I377" s="17"/>
      <c r="J377" s="17"/>
      <c r="K377" s="17"/>
      <c r="L377" s="17"/>
      <c r="M377" s="17"/>
      <c r="N377" s="17"/>
      <c r="O377" s="17"/>
      <c r="P377" s="17"/>
      <c r="Q377" s="17"/>
      <c r="R377" s="1"/>
      <c r="S377" s="1"/>
    </row>
    <row r="378" spans="1:19" x14ac:dyDescent="0.35">
      <c r="A378" s="6"/>
      <c r="B378" s="13"/>
      <c r="C378" s="81"/>
      <c r="D378" s="4"/>
      <c r="E378" s="8"/>
      <c r="F378" s="17"/>
      <c r="G378" s="17"/>
      <c r="H378" s="17"/>
      <c r="I378" s="17"/>
      <c r="J378" s="17"/>
      <c r="K378" s="17"/>
      <c r="L378" s="17"/>
      <c r="M378" s="17"/>
      <c r="N378" s="17"/>
      <c r="O378" s="17"/>
      <c r="P378" s="17"/>
      <c r="Q378" s="17"/>
      <c r="R378" s="1"/>
      <c r="S378" s="1"/>
    </row>
    <row r="379" spans="1:19" x14ac:dyDescent="0.35">
      <c r="A379" s="6"/>
      <c r="B379" s="13"/>
      <c r="C379" s="81"/>
      <c r="D379" s="4"/>
      <c r="E379" s="8"/>
      <c r="F379" s="17"/>
      <c r="G379" s="17"/>
      <c r="H379" s="17"/>
      <c r="I379" s="17"/>
      <c r="J379" s="17"/>
      <c r="K379" s="17"/>
      <c r="L379" s="17"/>
      <c r="M379" s="17"/>
      <c r="N379" s="17"/>
      <c r="O379" s="17"/>
      <c r="P379" s="17"/>
      <c r="Q379" s="17"/>
      <c r="R379" s="1"/>
      <c r="S379" s="1"/>
    </row>
    <row r="380" spans="1:19" x14ac:dyDescent="0.35">
      <c r="A380" s="6"/>
      <c r="B380" s="13"/>
      <c r="C380" s="81"/>
      <c r="D380" s="4"/>
      <c r="E380" s="8"/>
      <c r="F380" s="17"/>
      <c r="G380" s="17"/>
      <c r="H380" s="17"/>
      <c r="I380" s="17"/>
      <c r="J380" s="17"/>
      <c r="K380" s="17"/>
      <c r="L380" s="17"/>
      <c r="M380" s="17"/>
      <c r="N380" s="17"/>
      <c r="O380" s="17"/>
      <c r="P380" s="17"/>
      <c r="Q380" s="17"/>
      <c r="R380" s="1"/>
      <c r="S380" s="1"/>
    </row>
    <row r="381" spans="1:19" x14ac:dyDescent="0.35">
      <c r="A381" s="6"/>
      <c r="B381" s="13"/>
      <c r="C381" s="81"/>
      <c r="D381" s="4"/>
      <c r="E381" s="8"/>
      <c r="F381" s="17"/>
      <c r="G381" s="17"/>
      <c r="H381" s="17"/>
      <c r="I381" s="17"/>
      <c r="J381" s="17"/>
      <c r="K381" s="17"/>
      <c r="L381" s="17"/>
      <c r="M381" s="17"/>
      <c r="N381" s="17"/>
      <c r="O381" s="17"/>
      <c r="P381" s="17"/>
      <c r="Q381" s="17"/>
      <c r="R381" s="1"/>
      <c r="S381" s="1"/>
    </row>
    <row r="382" spans="1:19" x14ac:dyDescent="0.35">
      <c r="A382" s="6"/>
      <c r="B382" s="13"/>
      <c r="C382" s="81"/>
      <c r="D382" s="4"/>
      <c r="E382" s="8"/>
      <c r="F382" s="17"/>
      <c r="G382" s="17"/>
      <c r="H382" s="17"/>
      <c r="I382" s="17"/>
      <c r="J382" s="17"/>
      <c r="K382" s="17"/>
      <c r="L382" s="17"/>
      <c r="M382" s="17"/>
      <c r="N382" s="17"/>
      <c r="O382" s="17"/>
      <c r="P382" s="17"/>
      <c r="Q382" s="17"/>
      <c r="R382" s="1"/>
      <c r="S382" s="1"/>
    </row>
    <row r="383" spans="1:19" x14ac:dyDescent="0.35">
      <c r="A383" s="6"/>
      <c r="B383" s="13"/>
      <c r="C383" s="81"/>
      <c r="D383" s="4"/>
      <c r="E383" s="8"/>
      <c r="F383" s="17"/>
      <c r="G383" s="17"/>
      <c r="H383" s="17"/>
      <c r="I383" s="17"/>
      <c r="J383" s="17"/>
      <c r="K383" s="17"/>
      <c r="L383" s="17"/>
      <c r="M383" s="17"/>
      <c r="N383" s="17"/>
      <c r="O383" s="17"/>
      <c r="P383" s="17"/>
      <c r="Q383" s="17"/>
      <c r="R383" s="1"/>
      <c r="S383" s="1"/>
    </row>
    <row r="384" spans="1:19" x14ac:dyDescent="0.35">
      <c r="A384" s="6"/>
      <c r="B384" s="13"/>
      <c r="C384" s="81"/>
      <c r="D384" s="4"/>
      <c r="E384" s="8"/>
      <c r="F384" s="17"/>
      <c r="G384" s="17"/>
      <c r="H384" s="17"/>
      <c r="I384" s="17"/>
      <c r="J384" s="17"/>
      <c r="K384" s="17"/>
      <c r="L384" s="17"/>
      <c r="M384" s="17"/>
      <c r="N384" s="17"/>
      <c r="O384" s="17"/>
      <c r="P384" s="17"/>
      <c r="Q384" s="17"/>
      <c r="R384" s="1"/>
      <c r="S384" s="1"/>
    </row>
    <row r="385" spans="1:19" x14ac:dyDescent="0.35">
      <c r="A385" s="6"/>
      <c r="B385" s="13"/>
      <c r="C385" s="81"/>
      <c r="D385" s="4"/>
      <c r="E385" s="8"/>
      <c r="F385" s="17"/>
      <c r="G385" s="17"/>
      <c r="H385" s="17"/>
      <c r="I385" s="17"/>
      <c r="J385" s="17"/>
      <c r="K385" s="17"/>
      <c r="L385" s="17"/>
      <c r="M385" s="17"/>
      <c r="N385" s="17"/>
      <c r="O385" s="17"/>
      <c r="P385" s="17"/>
      <c r="Q385" s="17"/>
      <c r="R385" s="1"/>
      <c r="S385" s="1"/>
    </row>
    <row r="386" spans="1:19" x14ac:dyDescent="0.35">
      <c r="A386" s="6"/>
      <c r="B386" s="13"/>
      <c r="C386" s="81"/>
      <c r="D386" s="4"/>
      <c r="E386" s="8"/>
      <c r="F386" s="17"/>
      <c r="G386" s="17"/>
      <c r="H386" s="17"/>
      <c r="I386" s="17"/>
      <c r="J386" s="17"/>
      <c r="K386" s="17"/>
      <c r="L386" s="17"/>
      <c r="M386" s="17"/>
      <c r="N386" s="17"/>
      <c r="O386" s="17"/>
      <c r="P386" s="17"/>
      <c r="Q386" s="17"/>
      <c r="R386" s="1"/>
      <c r="S386" s="1"/>
    </row>
    <row r="387" spans="1:19" x14ac:dyDescent="0.35">
      <c r="A387" s="6"/>
      <c r="B387" s="13"/>
      <c r="C387" s="81"/>
      <c r="D387" s="4"/>
      <c r="E387" s="8"/>
      <c r="F387" s="17"/>
      <c r="G387" s="17"/>
      <c r="H387" s="17"/>
      <c r="I387" s="17"/>
      <c r="J387" s="17"/>
      <c r="K387" s="17"/>
      <c r="L387" s="17"/>
      <c r="M387" s="17"/>
      <c r="N387" s="17"/>
      <c r="O387" s="17"/>
      <c r="P387" s="17"/>
      <c r="Q387" s="17"/>
      <c r="R387" s="1"/>
      <c r="S387" s="1"/>
    </row>
    <row r="388" spans="1:19" x14ac:dyDescent="0.35">
      <c r="A388" s="6"/>
      <c r="B388" s="13"/>
      <c r="C388" s="81"/>
      <c r="D388" s="4"/>
      <c r="E388" s="8"/>
      <c r="F388" s="17"/>
      <c r="G388" s="17"/>
      <c r="H388" s="17"/>
      <c r="I388" s="17"/>
      <c r="J388" s="17"/>
      <c r="K388" s="17"/>
      <c r="L388" s="17"/>
      <c r="M388" s="17"/>
      <c r="N388" s="17"/>
      <c r="O388" s="17"/>
      <c r="P388" s="17"/>
      <c r="Q388" s="17"/>
      <c r="R388" s="1"/>
      <c r="S388" s="1"/>
    </row>
    <row r="389" spans="1:19" x14ac:dyDescent="0.35">
      <c r="A389" s="6"/>
      <c r="B389" s="13"/>
      <c r="C389" s="81"/>
      <c r="D389" s="4"/>
      <c r="E389" s="8"/>
      <c r="F389" s="17"/>
      <c r="G389" s="17"/>
      <c r="H389" s="17"/>
      <c r="I389" s="17"/>
      <c r="J389" s="17"/>
      <c r="K389" s="17"/>
      <c r="L389" s="17"/>
      <c r="M389" s="17"/>
      <c r="N389" s="17"/>
      <c r="O389" s="17"/>
      <c r="P389" s="17"/>
      <c r="Q389" s="17"/>
      <c r="R389" s="1"/>
      <c r="S389" s="1"/>
    </row>
    <row r="390" spans="1:19" x14ac:dyDescent="0.35">
      <c r="A390" s="6"/>
      <c r="B390" s="13"/>
      <c r="C390" s="81"/>
      <c r="D390" s="4"/>
      <c r="E390" s="8"/>
      <c r="F390" s="17"/>
      <c r="G390" s="17"/>
      <c r="H390" s="17"/>
      <c r="I390" s="17"/>
      <c r="J390" s="17"/>
      <c r="K390" s="17"/>
      <c r="L390" s="17"/>
      <c r="M390" s="17"/>
      <c r="N390" s="17"/>
      <c r="O390" s="17"/>
      <c r="P390" s="17"/>
      <c r="Q390" s="17"/>
      <c r="R390" s="1"/>
      <c r="S390" s="1"/>
    </row>
    <row r="391" spans="1:19" x14ac:dyDescent="0.35">
      <c r="A391" s="6"/>
      <c r="B391" s="13"/>
      <c r="C391" s="81"/>
      <c r="D391" s="4"/>
      <c r="E391" s="8"/>
      <c r="F391" s="17"/>
      <c r="G391" s="17"/>
      <c r="H391" s="17"/>
      <c r="I391" s="17"/>
      <c r="J391" s="17"/>
      <c r="K391" s="17"/>
      <c r="L391" s="17"/>
      <c r="M391" s="17"/>
      <c r="N391" s="17"/>
      <c r="O391" s="17"/>
      <c r="P391" s="17"/>
      <c r="Q391" s="17"/>
      <c r="R391" s="1"/>
      <c r="S391" s="1"/>
    </row>
    <row r="392" spans="1:19" x14ac:dyDescent="0.35">
      <c r="A392" s="6"/>
      <c r="B392" s="13"/>
      <c r="C392" s="81"/>
      <c r="D392" s="4"/>
      <c r="E392" s="8"/>
      <c r="F392" s="17"/>
      <c r="G392" s="17"/>
      <c r="H392" s="17"/>
      <c r="I392" s="17"/>
      <c r="J392" s="17"/>
      <c r="K392" s="17"/>
      <c r="L392" s="17"/>
      <c r="M392" s="17"/>
      <c r="N392" s="17"/>
      <c r="O392" s="17"/>
      <c r="P392" s="17"/>
      <c r="Q392" s="17"/>
      <c r="R392" s="1"/>
      <c r="S392" s="1"/>
    </row>
    <row r="393" spans="1:19" x14ac:dyDescent="0.35">
      <c r="A393" s="6"/>
      <c r="B393" s="13"/>
      <c r="C393" s="81"/>
      <c r="D393" s="4"/>
      <c r="E393" s="8"/>
      <c r="F393" s="17"/>
      <c r="G393" s="17"/>
      <c r="H393" s="17"/>
      <c r="I393" s="17"/>
      <c r="J393" s="17"/>
      <c r="K393" s="17"/>
      <c r="L393" s="17"/>
      <c r="M393" s="17"/>
      <c r="N393" s="17"/>
      <c r="O393" s="17"/>
      <c r="P393" s="17"/>
      <c r="Q393" s="17"/>
      <c r="R393" s="1"/>
      <c r="S393" s="1"/>
    </row>
    <row r="394" spans="1:19" x14ac:dyDescent="0.35">
      <c r="A394" s="6"/>
      <c r="B394" s="13"/>
      <c r="C394" s="81"/>
      <c r="D394" s="4"/>
      <c r="E394" s="8"/>
      <c r="F394" s="17"/>
      <c r="G394" s="17"/>
      <c r="H394" s="17"/>
      <c r="I394" s="17"/>
      <c r="J394" s="17"/>
      <c r="K394" s="17"/>
      <c r="L394" s="17"/>
      <c r="M394" s="17"/>
      <c r="N394" s="17"/>
      <c r="O394" s="17"/>
      <c r="P394" s="17"/>
      <c r="Q394" s="17"/>
      <c r="R394" s="1"/>
      <c r="S394" s="1"/>
    </row>
    <row r="395" spans="1:19" x14ac:dyDescent="0.35">
      <c r="A395" s="6"/>
      <c r="B395" s="13"/>
      <c r="C395" s="81"/>
      <c r="D395" s="4"/>
      <c r="E395" s="8"/>
      <c r="F395" s="17"/>
      <c r="G395" s="17"/>
      <c r="H395" s="17"/>
      <c r="I395" s="17"/>
      <c r="J395" s="17"/>
      <c r="K395" s="17"/>
      <c r="L395" s="17"/>
      <c r="M395" s="17"/>
      <c r="N395" s="17"/>
      <c r="O395" s="17"/>
      <c r="P395" s="17"/>
      <c r="Q395" s="17"/>
      <c r="R395" s="1"/>
      <c r="S395" s="1"/>
    </row>
    <row r="396" spans="1:19" x14ac:dyDescent="0.35">
      <c r="A396" s="6"/>
      <c r="B396" s="13"/>
      <c r="C396" s="81"/>
      <c r="D396" s="4"/>
      <c r="E396" s="8"/>
      <c r="F396" s="17"/>
      <c r="G396" s="17"/>
      <c r="H396" s="17"/>
      <c r="I396" s="17"/>
      <c r="J396" s="17"/>
      <c r="K396" s="17"/>
      <c r="L396" s="17"/>
      <c r="M396" s="17"/>
      <c r="N396" s="17"/>
      <c r="O396" s="17"/>
      <c r="P396" s="17"/>
      <c r="Q396" s="17"/>
      <c r="R396" s="1"/>
      <c r="S396" s="1"/>
    </row>
    <row r="397" spans="1:19" x14ac:dyDescent="0.35">
      <c r="A397" s="6"/>
      <c r="B397" s="13"/>
      <c r="C397" s="81"/>
      <c r="D397" s="4"/>
      <c r="E397" s="8"/>
      <c r="F397" s="17"/>
      <c r="G397" s="17"/>
      <c r="H397" s="17"/>
      <c r="I397" s="17"/>
      <c r="J397" s="17"/>
      <c r="K397" s="17"/>
      <c r="L397" s="17"/>
      <c r="M397" s="17"/>
      <c r="N397" s="17"/>
      <c r="O397" s="17"/>
      <c r="P397" s="17"/>
      <c r="Q397" s="17"/>
      <c r="R397" s="1"/>
      <c r="S397" s="1"/>
    </row>
    <row r="398" spans="1:19" x14ac:dyDescent="0.35">
      <c r="A398" s="6"/>
      <c r="B398" s="13"/>
      <c r="C398" s="81"/>
      <c r="D398" s="4"/>
      <c r="E398" s="8"/>
      <c r="F398" s="17"/>
      <c r="G398" s="17"/>
      <c r="H398" s="17"/>
      <c r="I398" s="17"/>
      <c r="J398" s="17"/>
      <c r="K398" s="17"/>
      <c r="L398" s="17"/>
      <c r="M398" s="17"/>
      <c r="N398" s="17"/>
      <c r="O398" s="17"/>
      <c r="P398" s="17"/>
      <c r="Q398" s="17"/>
      <c r="R398" s="1"/>
      <c r="S398" s="1"/>
    </row>
    <row r="399" spans="1:19" x14ac:dyDescent="0.35">
      <c r="A399" s="6"/>
      <c r="B399" s="13"/>
      <c r="C399" s="81"/>
      <c r="D399" s="4"/>
      <c r="E399" s="8"/>
      <c r="F399" s="17"/>
      <c r="G399" s="17"/>
      <c r="H399" s="17"/>
      <c r="I399" s="17"/>
      <c r="J399" s="17"/>
      <c r="K399" s="17"/>
      <c r="L399" s="17"/>
      <c r="M399" s="17"/>
      <c r="N399" s="17"/>
      <c r="O399" s="17"/>
      <c r="P399" s="17"/>
      <c r="Q399" s="17"/>
      <c r="R399" s="1"/>
      <c r="S399" s="1"/>
    </row>
    <row r="400" spans="1:19" x14ac:dyDescent="0.35">
      <c r="A400" s="6"/>
      <c r="B400" s="13"/>
      <c r="C400" s="81"/>
      <c r="D400" s="4"/>
      <c r="E400" s="8"/>
      <c r="F400" s="17"/>
      <c r="G400" s="17"/>
      <c r="H400" s="17"/>
      <c r="I400" s="17"/>
      <c r="J400" s="17"/>
      <c r="K400" s="17"/>
      <c r="L400" s="17"/>
      <c r="M400" s="17"/>
      <c r="N400" s="17"/>
      <c r="O400" s="17"/>
      <c r="P400" s="17"/>
      <c r="Q400" s="17"/>
      <c r="R400" s="1"/>
      <c r="S400" s="1"/>
    </row>
    <row r="401" spans="1:19" x14ac:dyDescent="0.35">
      <c r="A401" s="6"/>
      <c r="B401" s="13"/>
      <c r="C401" s="81"/>
      <c r="D401" s="4"/>
      <c r="E401" s="8"/>
      <c r="F401" s="17"/>
      <c r="G401" s="17"/>
      <c r="H401" s="17"/>
      <c r="I401" s="17"/>
      <c r="J401" s="17"/>
      <c r="K401" s="17"/>
      <c r="L401" s="17"/>
      <c r="M401" s="17"/>
      <c r="N401" s="17"/>
      <c r="O401" s="17"/>
      <c r="P401" s="17"/>
      <c r="Q401" s="17"/>
      <c r="R401" s="1"/>
      <c r="S401" s="1"/>
    </row>
    <row r="402" spans="1:19" x14ac:dyDescent="0.35">
      <c r="A402" s="6"/>
      <c r="B402" s="13"/>
      <c r="C402" s="81"/>
      <c r="D402" s="4"/>
      <c r="E402" s="8"/>
      <c r="F402" s="17"/>
      <c r="G402" s="17"/>
      <c r="H402" s="17"/>
      <c r="I402" s="17"/>
      <c r="J402" s="17"/>
      <c r="K402" s="17"/>
      <c r="L402" s="17"/>
      <c r="M402" s="17"/>
      <c r="N402" s="17"/>
      <c r="O402" s="17"/>
      <c r="P402" s="17"/>
      <c r="Q402" s="17"/>
      <c r="R402" s="1"/>
      <c r="S402" s="1"/>
    </row>
    <row r="403" spans="1:19" x14ac:dyDescent="0.35">
      <c r="A403" s="6"/>
      <c r="B403" s="13"/>
      <c r="C403" s="81"/>
      <c r="D403" s="4"/>
      <c r="E403" s="8"/>
      <c r="F403" s="17"/>
      <c r="G403" s="17"/>
      <c r="H403" s="17"/>
      <c r="I403" s="17"/>
      <c r="J403" s="17"/>
      <c r="K403" s="17"/>
      <c r="L403" s="17"/>
      <c r="M403" s="17"/>
      <c r="N403" s="17"/>
      <c r="O403" s="17"/>
      <c r="P403" s="17"/>
      <c r="Q403" s="17"/>
      <c r="R403" s="1"/>
      <c r="S403" s="1"/>
    </row>
    <row r="404" spans="1:19" x14ac:dyDescent="0.35">
      <c r="A404" s="6"/>
      <c r="B404" s="13"/>
      <c r="C404" s="81"/>
      <c r="D404" s="4"/>
      <c r="E404" s="8"/>
      <c r="F404" s="17"/>
      <c r="G404" s="17"/>
      <c r="H404" s="17"/>
      <c r="I404" s="17"/>
      <c r="J404" s="17"/>
      <c r="K404" s="17"/>
      <c r="L404" s="17"/>
      <c r="M404" s="17"/>
      <c r="N404" s="17"/>
      <c r="O404" s="17"/>
      <c r="P404" s="17"/>
      <c r="Q404" s="17"/>
      <c r="R404" s="1"/>
      <c r="S404" s="1"/>
    </row>
    <row r="405" spans="1:19" x14ac:dyDescent="0.35">
      <c r="A405" s="6"/>
      <c r="B405" s="13"/>
      <c r="C405" s="81"/>
      <c r="D405" s="4"/>
      <c r="E405" s="8"/>
      <c r="F405" s="17"/>
      <c r="G405" s="17"/>
      <c r="H405" s="17"/>
      <c r="I405" s="17"/>
      <c r="J405" s="17"/>
      <c r="K405" s="17"/>
      <c r="L405" s="17"/>
      <c r="M405" s="17"/>
      <c r="N405" s="17"/>
      <c r="O405" s="17"/>
      <c r="P405" s="17"/>
      <c r="Q405" s="17"/>
      <c r="R405" s="1"/>
      <c r="S405" s="1"/>
    </row>
    <row r="406" spans="1:19" x14ac:dyDescent="0.35">
      <c r="A406" s="6"/>
      <c r="B406" s="13"/>
      <c r="C406" s="81"/>
      <c r="D406" s="4"/>
      <c r="E406" s="8"/>
      <c r="F406" s="17"/>
      <c r="G406" s="17"/>
      <c r="H406" s="17"/>
      <c r="I406" s="17"/>
      <c r="J406" s="17"/>
      <c r="K406" s="17"/>
      <c r="L406" s="17"/>
      <c r="M406" s="17"/>
      <c r="N406" s="17"/>
      <c r="O406" s="17"/>
      <c r="P406" s="17"/>
      <c r="Q406" s="17"/>
      <c r="R406" s="1"/>
      <c r="S406" s="1"/>
    </row>
    <row r="407" spans="1:19" x14ac:dyDescent="0.35">
      <c r="A407" s="6"/>
      <c r="B407" s="13"/>
      <c r="C407" s="81"/>
      <c r="D407" s="4"/>
      <c r="E407" s="8"/>
      <c r="F407" s="17"/>
      <c r="G407" s="17"/>
      <c r="H407" s="17"/>
      <c r="I407" s="17"/>
      <c r="J407" s="17"/>
      <c r="K407" s="17"/>
      <c r="L407" s="17"/>
      <c r="M407" s="17"/>
      <c r="N407" s="17"/>
      <c r="O407" s="17"/>
      <c r="P407" s="17"/>
      <c r="Q407" s="17"/>
      <c r="R407" s="1"/>
      <c r="S407" s="1"/>
    </row>
    <row r="408" spans="1:19" x14ac:dyDescent="0.35">
      <c r="A408" s="6"/>
      <c r="B408" s="13"/>
      <c r="C408" s="81"/>
      <c r="D408" s="4"/>
      <c r="E408" s="8"/>
      <c r="F408" s="17"/>
      <c r="G408" s="17"/>
      <c r="H408" s="17"/>
      <c r="I408" s="17"/>
      <c r="J408" s="17"/>
      <c r="K408" s="17"/>
      <c r="L408" s="17"/>
      <c r="M408" s="17"/>
      <c r="N408" s="17"/>
      <c r="O408" s="17"/>
      <c r="P408" s="17"/>
      <c r="Q408" s="17"/>
      <c r="R408" s="1"/>
      <c r="S408" s="1"/>
    </row>
    <row r="409" spans="1:19" x14ac:dyDescent="0.35">
      <c r="A409" s="6"/>
      <c r="B409" s="13"/>
      <c r="C409" s="81"/>
      <c r="D409" s="4"/>
      <c r="E409" s="8"/>
      <c r="F409" s="17"/>
      <c r="G409" s="17"/>
      <c r="H409" s="17"/>
      <c r="I409" s="17"/>
      <c r="J409" s="17"/>
      <c r="K409" s="17"/>
      <c r="L409" s="17"/>
      <c r="M409" s="17"/>
      <c r="N409" s="17"/>
      <c r="O409" s="17"/>
      <c r="P409" s="17"/>
      <c r="Q409" s="17"/>
      <c r="R409" s="1"/>
      <c r="S409" s="1"/>
    </row>
    <row r="410" spans="1:19" x14ac:dyDescent="0.35">
      <c r="A410" s="6"/>
      <c r="B410" s="13"/>
      <c r="C410" s="81"/>
      <c r="D410" s="4"/>
      <c r="E410" s="8"/>
      <c r="F410" s="17"/>
      <c r="G410" s="17"/>
      <c r="H410" s="17"/>
      <c r="I410" s="17"/>
      <c r="J410" s="17"/>
      <c r="K410" s="17"/>
      <c r="L410" s="17"/>
      <c r="M410" s="17"/>
      <c r="N410" s="17"/>
      <c r="O410" s="17"/>
      <c r="P410" s="17"/>
      <c r="Q410" s="17"/>
      <c r="R410" s="1"/>
      <c r="S410" s="1"/>
    </row>
    <row r="411" spans="1:19" x14ac:dyDescent="0.35">
      <c r="A411" s="6"/>
      <c r="B411" s="13"/>
      <c r="C411" s="81"/>
      <c r="D411" s="4"/>
      <c r="E411" s="8"/>
      <c r="F411" s="17"/>
      <c r="G411" s="17"/>
      <c r="H411" s="17"/>
      <c r="I411" s="17"/>
      <c r="J411" s="17"/>
      <c r="K411" s="17"/>
      <c r="L411" s="17"/>
      <c r="M411" s="17"/>
      <c r="N411" s="17"/>
      <c r="O411" s="17"/>
      <c r="P411" s="17"/>
      <c r="Q411" s="17"/>
      <c r="R411" s="1"/>
      <c r="S411" s="1"/>
    </row>
    <row r="412" spans="1:19" x14ac:dyDescent="0.35">
      <c r="A412" s="6"/>
      <c r="B412" s="13"/>
      <c r="C412" s="81"/>
      <c r="D412" s="4"/>
      <c r="E412" s="8"/>
      <c r="F412" s="17"/>
      <c r="G412" s="17"/>
      <c r="H412" s="17"/>
      <c r="I412" s="17"/>
      <c r="J412" s="17"/>
      <c r="K412" s="17"/>
      <c r="L412" s="17"/>
      <c r="M412" s="17"/>
      <c r="N412" s="17"/>
      <c r="O412" s="17"/>
      <c r="P412" s="17"/>
      <c r="Q412" s="17"/>
      <c r="R412" s="1"/>
      <c r="S412" s="1"/>
    </row>
    <row r="413" spans="1:19" x14ac:dyDescent="0.35">
      <c r="A413" s="6"/>
      <c r="B413" s="13"/>
      <c r="C413" s="81"/>
      <c r="D413" s="4"/>
      <c r="E413" s="8"/>
      <c r="F413" s="17"/>
      <c r="G413" s="17"/>
      <c r="H413" s="17"/>
      <c r="I413" s="17"/>
      <c r="J413" s="17"/>
      <c r="K413" s="17"/>
      <c r="L413" s="17"/>
      <c r="M413" s="17"/>
      <c r="N413" s="17"/>
      <c r="O413" s="17"/>
      <c r="P413" s="17"/>
      <c r="Q413" s="17"/>
      <c r="R413" s="1"/>
      <c r="S413" s="1"/>
    </row>
    <row r="414" spans="1:19" x14ac:dyDescent="0.35">
      <c r="A414" s="6"/>
      <c r="B414" s="13"/>
      <c r="C414" s="81"/>
      <c r="D414" s="4"/>
      <c r="E414" s="8"/>
      <c r="F414" s="17"/>
      <c r="G414" s="17"/>
      <c r="H414" s="17"/>
      <c r="I414" s="17"/>
      <c r="J414" s="17"/>
      <c r="K414" s="17"/>
      <c r="L414" s="17"/>
      <c r="M414" s="17"/>
      <c r="N414" s="17"/>
      <c r="O414" s="17"/>
      <c r="P414" s="17"/>
      <c r="Q414" s="17"/>
      <c r="R414" s="1"/>
      <c r="S414" s="1"/>
    </row>
    <row r="415" spans="1:19" x14ac:dyDescent="0.35">
      <c r="A415" s="6"/>
      <c r="B415" s="13"/>
      <c r="C415" s="81"/>
      <c r="D415" s="4"/>
      <c r="E415" s="8"/>
      <c r="F415" s="17"/>
      <c r="G415" s="17"/>
      <c r="H415" s="17"/>
      <c r="I415" s="17"/>
      <c r="J415" s="17"/>
      <c r="K415" s="17"/>
      <c r="L415" s="17"/>
      <c r="M415" s="17"/>
      <c r="N415" s="17"/>
      <c r="O415" s="17"/>
      <c r="P415" s="17"/>
      <c r="Q415" s="17"/>
      <c r="R415" s="1"/>
      <c r="S415" s="1"/>
    </row>
    <row r="416" spans="1:19" x14ac:dyDescent="0.35">
      <c r="A416" s="6"/>
      <c r="B416" s="13"/>
      <c r="C416" s="81"/>
      <c r="D416" s="4"/>
      <c r="E416" s="8"/>
      <c r="F416" s="17"/>
      <c r="G416" s="17"/>
      <c r="H416" s="17"/>
      <c r="I416" s="17"/>
      <c r="J416" s="17"/>
      <c r="K416" s="17"/>
      <c r="L416" s="17"/>
      <c r="M416" s="17"/>
      <c r="N416" s="17"/>
      <c r="O416" s="17"/>
      <c r="P416" s="17"/>
      <c r="Q416" s="17"/>
      <c r="R416" s="1"/>
      <c r="S416" s="1"/>
    </row>
    <row r="417" spans="1:19" x14ac:dyDescent="0.35">
      <c r="A417" s="6"/>
      <c r="B417" s="13"/>
      <c r="C417" s="81"/>
      <c r="D417" s="4"/>
      <c r="E417" s="8"/>
      <c r="F417" s="17"/>
      <c r="G417" s="17"/>
      <c r="H417" s="17"/>
      <c r="I417" s="17"/>
      <c r="J417" s="17"/>
      <c r="K417" s="17"/>
      <c r="L417" s="17"/>
      <c r="M417" s="17"/>
      <c r="N417" s="17"/>
      <c r="O417" s="17"/>
      <c r="P417" s="17"/>
      <c r="Q417" s="17"/>
      <c r="R417" s="1"/>
      <c r="S417" s="1"/>
    </row>
    <row r="418" spans="1:19" x14ac:dyDescent="0.35">
      <c r="A418" s="6"/>
      <c r="B418" s="13"/>
      <c r="C418" s="81"/>
      <c r="D418" s="4"/>
      <c r="E418" s="8"/>
      <c r="F418" s="17"/>
      <c r="G418" s="17"/>
      <c r="H418" s="17"/>
      <c r="I418" s="17"/>
      <c r="J418" s="17"/>
      <c r="K418" s="17"/>
      <c r="L418" s="17"/>
      <c r="M418" s="17"/>
      <c r="N418" s="17"/>
      <c r="O418" s="17"/>
      <c r="P418" s="17"/>
      <c r="Q418" s="17"/>
      <c r="R418" s="1"/>
      <c r="S418" s="1"/>
    </row>
    <row r="419" spans="1:19" x14ac:dyDescent="0.35">
      <c r="A419" s="6"/>
      <c r="B419" s="13"/>
      <c r="C419" s="81"/>
      <c r="D419" s="4"/>
      <c r="E419" s="8"/>
      <c r="F419" s="17"/>
      <c r="G419" s="17"/>
      <c r="H419" s="17"/>
      <c r="I419" s="17"/>
      <c r="J419" s="17"/>
      <c r="K419" s="17"/>
      <c r="L419" s="17"/>
      <c r="M419" s="17"/>
      <c r="N419" s="17"/>
      <c r="O419" s="17"/>
      <c r="P419" s="17"/>
      <c r="Q419" s="17"/>
      <c r="R419" s="1"/>
      <c r="S419" s="1"/>
    </row>
    <row r="420" spans="1:19" x14ac:dyDescent="0.35">
      <c r="A420" s="6"/>
      <c r="B420" s="13"/>
      <c r="C420" s="81"/>
      <c r="D420" s="4"/>
      <c r="E420" s="8"/>
      <c r="F420" s="17"/>
      <c r="G420" s="17"/>
      <c r="H420" s="17"/>
      <c r="I420" s="17"/>
      <c r="J420" s="17"/>
      <c r="K420" s="17"/>
      <c r="L420" s="17"/>
      <c r="M420" s="17"/>
      <c r="N420" s="17"/>
      <c r="O420" s="17"/>
      <c r="P420" s="17"/>
      <c r="Q420" s="17"/>
      <c r="R420" s="1"/>
      <c r="S420" s="1"/>
    </row>
    <row r="421" spans="1:19" x14ac:dyDescent="0.35">
      <c r="A421" s="6"/>
      <c r="B421" s="13"/>
      <c r="C421" s="81"/>
      <c r="D421" s="4"/>
      <c r="E421" s="8"/>
      <c r="F421" s="17"/>
      <c r="G421" s="17"/>
      <c r="H421" s="17"/>
      <c r="I421" s="17"/>
      <c r="J421" s="17"/>
      <c r="K421" s="17"/>
      <c r="L421" s="17"/>
      <c r="M421" s="17"/>
      <c r="N421" s="17"/>
      <c r="O421" s="17"/>
      <c r="P421" s="17"/>
      <c r="Q421" s="17"/>
      <c r="R421" s="1"/>
      <c r="S421" s="1"/>
    </row>
    <row r="422" spans="1:19" x14ac:dyDescent="0.35">
      <c r="A422" s="6"/>
      <c r="B422" s="13"/>
      <c r="C422" s="81"/>
      <c r="D422" s="4"/>
      <c r="E422" s="8"/>
      <c r="F422" s="17"/>
      <c r="G422" s="17"/>
      <c r="H422" s="17"/>
      <c r="I422" s="17"/>
      <c r="J422" s="17"/>
      <c r="K422" s="17"/>
      <c r="L422" s="17"/>
      <c r="M422" s="17"/>
      <c r="N422" s="17"/>
      <c r="O422" s="17"/>
      <c r="P422" s="17"/>
      <c r="Q422" s="17"/>
      <c r="R422" s="1"/>
      <c r="S422" s="1"/>
    </row>
    <row r="423" spans="1:19" x14ac:dyDescent="0.35">
      <c r="A423" s="6"/>
      <c r="B423" s="13"/>
      <c r="C423" s="81"/>
      <c r="D423" s="4"/>
      <c r="E423" s="8"/>
      <c r="F423" s="17"/>
      <c r="G423" s="17"/>
      <c r="H423" s="17"/>
      <c r="I423" s="17"/>
      <c r="J423" s="17"/>
      <c r="K423" s="17"/>
      <c r="L423" s="17"/>
      <c r="M423" s="17"/>
      <c r="N423" s="17"/>
      <c r="O423" s="17"/>
      <c r="P423" s="17"/>
      <c r="Q423" s="17"/>
      <c r="R423" s="1"/>
      <c r="S423" s="1"/>
    </row>
    <row r="424" spans="1:19" x14ac:dyDescent="0.35">
      <c r="A424" s="6"/>
      <c r="B424" s="13"/>
      <c r="C424" s="81"/>
      <c r="D424" s="4"/>
      <c r="E424" s="8"/>
      <c r="F424" s="17"/>
      <c r="G424" s="17"/>
      <c r="H424" s="17"/>
      <c r="I424" s="17"/>
      <c r="J424" s="17"/>
      <c r="K424" s="17"/>
      <c r="L424" s="17"/>
      <c r="M424" s="17"/>
      <c r="N424" s="17"/>
      <c r="O424" s="17"/>
      <c r="P424" s="17"/>
      <c r="Q424" s="17"/>
      <c r="R424" s="1"/>
      <c r="S424" s="1"/>
    </row>
    <row r="425" spans="1:19" x14ac:dyDescent="0.35">
      <c r="A425" s="6"/>
      <c r="B425" s="13"/>
      <c r="C425" s="81"/>
      <c r="D425" s="4"/>
      <c r="E425" s="8"/>
      <c r="F425" s="17"/>
      <c r="G425" s="17"/>
      <c r="H425" s="17"/>
      <c r="I425" s="17"/>
      <c r="J425" s="17"/>
      <c r="K425" s="17"/>
      <c r="L425" s="17"/>
      <c r="M425" s="17"/>
      <c r="N425" s="17"/>
      <c r="O425" s="17"/>
      <c r="P425" s="17"/>
      <c r="Q425" s="17"/>
      <c r="R425" s="1"/>
      <c r="S425" s="1"/>
    </row>
    <row r="426" spans="1:19" x14ac:dyDescent="0.35">
      <c r="A426" s="6"/>
      <c r="B426" s="13"/>
      <c r="C426" s="81"/>
      <c r="D426" s="4"/>
      <c r="E426" s="8"/>
      <c r="F426" s="17"/>
      <c r="G426" s="17"/>
      <c r="H426" s="17"/>
      <c r="I426" s="17"/>
      <c r="J426" s="17"/>
      <c r="K426" s="17"/>
      <c r="L426" s="17"/>
      <c r="M426" s="17"/>
      <c r="N426" s="17"/>
      <c r="O426" s="17"/>
      <c r="P426" s="17"/>
      <c r="Q426" s="17"/>
      <c r="R426" s="1"/>
      <c r="S426" s="1"/>
    </row>
    <row r="427" spans="1:19" x14ac:dyDescent="0.35">
      <c r="A427" s="6"/>
      <c r="B427" s="13"/>
      <c r="C427" s="81"/>
      <c r="D427" s="4"/>
      <c r="E427" s="8"/>
      <c r="F427" s="17"/>
      <c r="G427" s="17"/>
      <c r="H427" s="17"/>
      <c r="I427" s="17"/>
      <c r="J427" s="17"/>
      <c r="K427" s="17"/>
      <c r="L427" s="17"/>
      <c r="M427" s="17"/>
      <c r="N427" s="17"/>
      <c r="O427" s="17"/>
      <c r="P427" s="17"/>
      <c r="Q427" s="17"/>
      <c r="R427" s="1"/>
      <c r="S427" s="1"/>
    </row>
    <row r="428" spans="1:19" x14ac:dyDescent="0.35">
      <c r="A428" s="6"/>
      <c r="B428" s="13"/>
      <c r="C428" s="81"/>
      <c r="D428" s="4"/>
      <c r="E428" s="8"/>
      <c r="F428" s="17"/>
      <c r="G428" s="17"/>
      <c r="H428" s="17"/>
      <c r="I428" s="17"/>
      <c r="J428" s="17"/>
      <c r="K428" s="17"/>
      <c r="L428" s="17"/>
      <c r="M428" s="17"/>
      <c r="N428" s="17"/>
      <c r="O428" s="17"/>
      <c r="P428" s="17"/>
      <c r="Q428" s="17"/>
      <c r="R428" s="1"/>
      <c r="S428" s="1"/>
    </row>
    <row r="429" spans="1:19" x14ac:dyDescent="0.35">
      <c r="A429" s="6"/>
      <c r="B429" s="13"/>
      <c r="C429" s="81"/>
      <c r="D429" s="4"/>
      <c r="E429" s="8"/>
      <c r="F429" s="17"/>
      <c r="G429" s="17"/>
      <c r="H429" s="17"/>
      <c r="I429" s="17"/>
      <c r="J429" s="17"/>
      <c r="K429" s="17"/>
      <c r="L429" s="17"/>
      <c r="M429" s="17"/>
      <c r="N429" s="17"/>
      <c r="O429" s="17"/>
      <c r="P429" s="17"/>
      <c r="Q429" s="17"/>
      <c r="R429" s="1"/>
      <c r="S429" s="1"/>
    </row>
    <row r="430" spans="1:19" x14ac:dyDescent="0.35">
      <c r="A430" s="6"/>
      <c r="B430" s="13"/>
      <c r="C430" s="81"/>
      <c r="D430" s="4"/>
      <c r="E430" s="8"/>
      <c r="F430" s="17"/>
      <c r="G430" s="17"/>
      <c r="H430" s="17"/>
      <c r="I430" s="17"/>
      <c r="J430" s="17"/>
      <c r="K430" s="17"/>
      <c r="L430" s="17"/>
      <c r="M430" s="17"/>
      <c r="N430" s="17"/>
      <c r="O430" s="17"/>
      <c r="P430" s="17"/>
      <c r="Q430" s="17"/>
      <c r="R430" s="1"/>
      <c r="S430" s="1"/>
    </row>
    <row r="431" spans="1:19" x14ac:dyDescent="0.35">
      <c r="A431" s="6"/>
      <c r="B431" s="13"/>
      <c r="C431" s="81"/>
      <c r="D431" s="4"/>
      <c r="E431" s="8"/>
      <c r="F431" s="17"/>
      <c r="G431" s="17"/>
      <c r="H431" s="17"/>
      <c r="I431" s="17"/>
      <c r="J431" s="17"/>
      <c r="K431" s="17"/>
      <c r="L431" s="17"/>
      <c r="M431" s="17"/>
      <c r="N431" s="17"/>
      <c r="O431" s="17"/>
      <c r="P431" s="17"/>
      <c r="Q431" s="17"/>
      <c r="R431" s="1"/>
      <c r="S431" s="1"/>
    </row>
    <row r="432" spans="1:19" x14ac:dyDescent="0.35">
      <c r="A432" s="6"/>
      <c r="B432" s="13"/>
      <c r="C432" s="81"/>
      <c r="D432" s="4"/>
      <c r="E432" s="8"/>
      <c r="F432" s="17"/>
      <c r="G432" s="17"/>
      <c r="H432" s="17"/>
      <c r="I432" s="17"/>
      <c r="J432" s="17"/>
      <c r="K432" s="17"/>
      <c r="L432" s="17"/>
      <c r="M432" s="17"/>
      <c r="N432" s="17"/>
      <c r="O432" s="17"/>
      <c r="P432" s="17"/>
      <c r="Q432" s="17"/>
      <c r="R432" s="1"/>
      <c r="S432" s="1"/>
    </row>
    <row r="433" spans="1:19" x14ac:dyDescent="0.35">
      <c r="A433" s="6"/>
      <c r="B433" s="13"/>
      <c r="C433" s="81"/>
      <c r="D433" s="4"/>
      <c r="E433" s="8"/>
      <c r="F433" s="17"/>
      <c r="G433" s="17"/>
      <c r="H433" s="17"/>
      <c r="I433" s="17"/>
      <c r="J433" s="17"/>
      <c r="K433" s="17"/>
      <c r="L433" s="17"/>
      <c r="M433" s="17"/>
      <c r="N433" s="17"/>
      <c r="O433" s="17"/>
      <c r="P433" s="17"/>
      <c r="Q433" s="17"/>
      <c r="R433" s="1"/>
      <c r="S433" s="1"/>
    </row>
    <row r="434" spans="1:19" x14ac:dyDescent="0.35">
      <c r="A434" s="6"/>
      <c r="B434" s="13"/>
      <c r="C434" s="81"/>
      <c r="D434" s="4"/>
      <c r="E434" s="8"/>
      <c r="F434" s="17"/>
      <c r="G434" s="17"/>
      <c r="H434" s="17"/>
      <c r="I434" s="17"/>
      <c r="J434" s="17"/>
      <c r="K434" s="17"/>
      <c r="L434" s="17"/>
      <c r="M434" s="17"/>
      <c r="N434" s="17"/>
      <c r="O434" s="17"/>
      <c r="P434" s="17"/>
      <c r="Q434" s="17"/>
      <c r="R434" s="1"/>
      <c r="S434" s="1"/>
    </row>
    <row r="435" spans="1:19" x14ac:dyDescent="0.35">
      <c r="A435" s="6"/>
      <c r="B435" s="13"/>
      <c r="C435" s="81"/>
      <c r="D435" s="4"/>
      <c r="E435" s="8"/>
      <c r="F435" s="17"/>
      <c r="G435" s="17"/>
      <c r="H435" s="17"/>
      <c r="I435" s="17"/>
      <c r="J435" s="17"/>
      <c r="K435" s="17"/>
      <c r="L435" s="17"/>
      <c r="M435" s="17"/>
      <c r="N435" s="17"/>
      <c r="O435" s="17"/>
      <c r="P435" s="17"/>
      <c r="Q435" s="17"/>
      <c r="R435" s="1"/>
      <c r="S435" s="1"/>
    </row>
    <row r="436" spans="1:19" x14ac:dyDescent="0.35">
      <c r="A436" s="6"/>
      <c r="B436" s="13"/>
      <c r="C436" s="81"/>
      <c r="D436" s="4"/>
      <c r="E436" s="8"/>
      <c r="F436" s="17"/>
      <c r="G436" s="17"/>
      <c r="H436" s="17"/>
      <c r="I436" s="17"/>
      <c r="J436" s="17"/>
      <c r="K436" s="17"/>
      <c r="L436" s="17"/>
      <c r="M436" s="17"/>
      <c r="N436" s="17"/>
      <c r="O436" s="17"/>
      <c r="P436" s="17"/>
      <c r="Q436" s="17"/>
      <c r="R436" s="1"/>
      <c r="S436" s="1"/>
    </row>
    <row r="437" spans="1:19" x14ac:dyDescent="0.35">
      <c r="A437" s="6"/>
      <c r="B437" s="13"/>
      <c r="C437" s="81"/>
      <c r="D437" s="4"/>
      <c r="E437" s="8"/>
      <c r="F437" s="17"/>
      <c r="G437" s="17"/>
      <c r="H437" s="17"/>
      <c r="I437" s="17"/>
      <c r="J437" s="17"/>
      <c r="K437" s="17"/>
      <c r="L437" s="17"/>
      <c r="M437" s="17"/>
      <c r="N437" s="17"/>
      <c r="O437" s="17"/>
      <c r="P437" s="17"/>
      <c r="Q437" s="17"/>
      <c r="R437" s="1"/>
      <c r="S437" s="1"/>
    </row>
    <row r="438" spans="1:19" x14ac:dyDescent="0.35">
      <c r="A438" s="6"/>
      <c r="B438" s="13"/>
      <c r="C438" s="81"/>
      <c r="D438" s="4"/>
      <c r="E438" s="8"/>
      <c r="F438" s="17"/>
      <c r="G438" s="17"/>
      <c r="H438" s="17"/>
      <c r="I438" s="17"/>
      <c r="J438" s="17"/>
      <c r="K438" s="17"/>
      <c r="L438" s="17"/>
      <c r="M438" s="17"/>
      <c r="N438" s="17"/>
      <c r="O438" s="17"/>
      <c r="P438" s="17"/>
      <c r="Q438" s="17"/>
      <c r="R438" s="1"/>
      <c r="S438" s="1"/>
    </row>
    <row r="439" spans="1:19" x14ac:dyDescent="0.35">
      <c r="A439" s="6"/>
      <c r="B439" s="13"/>
      <c r="C439" s="81"/>
      <c r="D439" s="4"/>
      <c r="E439" s="8"/>
      <c r="F439" s="17"/>
      <c r="G439" s="17"/>
      <c r="H439" s="17"/>
      <c r="I439" s="17"/>
      <c r="J439" s="17"/>
      <c r="K439" s="17"/>
      <c r="L439" s="17"/>
      <c r="M439" s="17"/>
      <c r="N439" s="17"/>
      <c r="O439" s="17"/>
      <c r="P439" s="17"/>
      <c r="Q439" s="17"/>
      <c r="R439" s="1"/>
      <c r="S439" s="1"/>
    </row>
    <row r="440" spans="1:19" x14ac:dyDescent="0.35">
      <c r="A440" s="6"/>
      <c r="B440" s="13"/>
      <c r="C440" s="81"/>
      <c r="D440" s="4"/>
      <c r="E440" s="8"/>
      <c r="F440" s="17"/>
      <c r="G440" s="17"/>
      <c r="H440" s="17"/>
      <c r="I440" s="17"/>
      <c r="J440" s="17"/>
      <c r="K440" s="17"/>
      <c r="L440" s="17"/>
      <c r="M440" s="17"/>
      <c r="N440" s="17"/>
      <c r="O440" s="17"/>
      <c r="P440" s="17"/>
      <c r="Q440" s="17"/>
      <c r="R440" s="1"/>
      <c r="S440" s="1"/>
    </row>
    <row r="441" spans="1:19" x14ac:dyDescent="0.35">
      <c r="A441" s="6"/>
      <c r="B441" s="13"/>
      <c r="C441" s="81"/>
      <c r="D441" s="4"/>
      <c r="E441" s="8"/>
      <c r="F441" s="17"/>
      <c r="G441" s="17"/>
      <c r="H441" s="17"/>
      <c r="I441" s="17"/>
      <c r="J441" s="17"/>
      <c r="K441" s="17"/>
      <c r="L441" s="17"/>
      <c r="M441" s="17"/>
      <c r="N441" s="17"/>
      <c r="O441" s="17"/>
      <c r="P441" s="17"/>
      <c r="Q441" s="17"/>
      <c r="R441" s="1"/>
      <c r="S441" s="1"/>
    </row>
    <row r="442" spans="1:19" x14ac:dyDescent="0.35">
      <c r="A442" s="6"/>
      <c r="B442" s="13"/>
      <c r="C442" s="81"/>
      <c r="D442" s="4"/>
      <c r="E442" s="8"/>
      <c r="F442" s="17"/>
      <c r="G442" s="17"/>
      <c r="H442" s="17"/>
      <c r="I442" s="17"/>
      <c r="J442" s="17"/>
      <c r="K442" s="17"/>
      <c r="L442" s="17"/>
      <c r="M442" s="17"/>
      <c r="N442" s="17"/>
      <c r="O442" s="17"/>
      <c r="P442" s="17"/>
      <c r="Q442" s="17"/>
      <c r="R442" s="1"/>
      <c r="S442" s="1"/>
    </row>
    <row r="443" spans="1:19" x14ac:dyDescent="0.35">
      <c r="A443" s="6"/>
      <c r="B443" s="13"/>
      <c r="C443" s="81"/>
      <c r="D443" s="4"/>
      <c r="E443" s="8"/>
      <c r="F443" s="17"/>
      <c r="G443" s="17"/>
      <c r="H443" s="17"/>
      <c r="I443" s="17"/>
      <c r="J443" s="17"/>
      <c r="K443" s="17"/>
      <c r="L443" s="17"/>
      <c r="M443" s="17"/>
      <c r="N443" s="17"/>
      <c r="O443" s="17"/>
      <c r="P443" s="17"/>
      <c r="Q443" s="17"/>
      <c r="R443" s="1"/>
      <c r="S443" s="1"/>
    </row>
    <row r="444" spans="1:19" x14ac:dyDescent="0.35">
      <c r="A444" s="6"/>
      <c r="B444" s="13"/>
      <c r="C444" s="81"/>
      <c r="D444" s="4"/>
      <c r="E444" s="8"/>
      <c r="F444" s="17"/>
      <c r="G444" s="17"/>
      <c r="H444" s="17"/>
      <c r="I444" s="17"/>
      <c r="J444" s="17"/>
      <c r="K444" s="17"/>
      <c r="L444" s="17"/>
      <c r="M444" s="17"/>
      <c r="N444" s="17"/>
      <c r="O444" s="17"/>
      <c r="P444" s="17"/>
      <c r="Q444" s="17"/>
      <c r="R444" s="1"/>
      <c r="S444" s="1"/>
    </row>
    <row r="445" spans="1:19" x14ac:dyDescent="0.35">
      <c r="A445" s="6"/>
      <c r="B445" s="13"/>
      <c r="C445" s="81"/>
      <c r="D445" s="4"/>
      <c r="E445" s="8"/>
      <c r="F445" s="17"/>
      <c r="G445" s="17"/>
      <c r="H445" s="17"/>
      <c r="I445" s="17"/>
      <c r="J445" s="17"/>
      <c r="K445" s="17"/>
      <c r="L445" s="17"/>
      <c r="M445" s="17"/>
      <c r="N445" s="17"/>
      <c r="O445" s="17"/>
      <c r="P445" s="17"/>
      <c r="Q445" s="17"/>
      <c r="R445" s="1"/>
      <c r="S445" s="1"/>
    </row>
    <row r="446" spans="1:19" x14ac:dyDescent="0.35">
      <c r="A446" s="6"/>
      <c r="B446" s="13"/>
      <c r="C446" s="81"/>
      <c r="D446" s="4"/>
      <c r="E446" s="8"/>
      <c r="F446" s="17"/>
      <c r="G446" s="17"/>
      <c r="H446" s="17"/>
      <c r="I446" s="17"/>
      <c r="J446" s="17"/>
      <c r="K446" s="17"/>
      <c r="L446" s="17"/>
      <c r="M446" s="17"/>
      <c r="N446" s="17"/>
      <c r="O446" s="17"/>
      <c r="P446" s="17"/>
      <c r="Q446" s="17"/>
      <c r="R446" s="1"/>
      <c r="S446" s="1"/>
    </row>
    <row r="447" spans="1:19" x14ac:dyDescent="0.35">
      <c r="A447" s="6"/>
      <c r="B447" s="13"/>
      <c r="C447" s="81"/>
      <c r="D447" s="4"/>
      <c r="E447" s="8"/>
      <c r="F447" s="17"/>
      <c r="G447" s="17"/>
      <c r="H447" s="17"/>
      <c r="I447" s="17"/>
      <c r="J447" s="17"/>
      <c r="K447" s="17"/>
      <c r="L447" s="17"/>
      <c r="M447" s="17"/>
      <c r="N447" s="17"/>
      <c r="O447" s="17"/>
      <c r="P447" s="17"/>
      <c r="Q447" s="17"/>
      <c r="R447" s="1"/>
      <c r="S447" s="1"/>
    </row>
    <row r="448" spans="1:19" x14ac:dyDescent="0.35">
      <c r="A448" s="6"/>
      <c r="B448" s="13"/>
      <c r="C448" s="81"/>
      <c r="D448" s="4"/>
      <c r="E448" s="8"/>
      <c r="F448" s="17"/>
      <c r="G448" s="17"/>
      <c r="H448" s="17"/>
      <c r="I448" s="17"/>
      <c r="J448" s="17"/>
      <c r="K448" s="17"/>
      <c r="L448" s="17"/>
      <c r="M448" s="17"/>
      <c r="N448" s="17"/>
      <c r="O448" s="17"/>
      <c r="P448" s="17"/>
      <c r="Q448" s="17"/>
      <c r="R448" s="1"/>
      <c r="S448" s="1"/>
    </row>
    <row r="449" spans="1:19" x14ac:dyDescent="0.35">
      <c r="A449" s="6"/>
      <c r="B449" s="13"/>
      <c r="C449" s="81"/>
      <c r="D449" s="4"/>
      <c r="E449" s="8"/>
      <c r="F449" s="17"/>
      <c r="G449" s="17"/>
      <c r="H449" s="17"/>
      <c r="I449" s="17"/>
      <c r="J449" s="17"/>
      <c r="K449" s="17"/>
      <c r="L449" s="17"/>
      <c r="M449" s="17"/>
      <c r="N449" s="17"/>
      <c r="O449" s="17"/>
      <c r="P449" s="17"/>
      <c r="Q449" s="17"/>
      <c r="R449" s="1"/>
      <c r="S449" s="1"/>
    </row>
    <row r="450" spans="1:19" x14ac:dyDescent="0.35">
      <c r="A450" s="6"/>
      <c r="B450" s="13"/>
      <c r="C450" s="81"/>
      <c r="D450" s="4"/>
      <c r="E450" s="8"/>
      <c r="F450" s="17"/>
      <c r="G450" s="17"/>
      <c r="H450" s="17"/>
      <c r="I450" s="17"/>
      <c r="J450" s="17"/>
      <c r="K450" s="17"/>
      <c r="L450" s="17"/>
      <c r="M450" s="17"/>
      <c r="N450" s="17"/>
      <c r="O450" s="17"/>
      <c r="P450" s="17"/>
      <c r="Q450" s="17"/>
      <c r="R450" s="1"/>
      <c r="S450" s="1"/>
    </row>
    <row r="451" spans="1:19" x14ac:dyDescent="0.35">
      <c r="A451" s="6"/>
      <c r="B451" s="13"/>
      <c r="C451" s="81"/>
      <c r="D451" s="4"/>
      <c r="E451" s="8"/>
      <c r="F451" s="17"/>
      <c r="G451" s="17"/>
      <c r="H451" s="17"/>
      <c r="I451" s="17"/>
      <c r="J451" s="17"/>
      <c r="K451" s="17"/>
      <c r="L451" s="17"/>
      <c r="M451" s="17"/>
      <c r="N451" s="17"/>
      <c r="O451" s="17"/>
      <c r="P451" s="17"/>
      <c r="Q451" s="17"/>
      <c r="R451" s="1"/>
      <c r="S451" s="1"/>
    </row>
    <row r="452" spans="1:19" x14ac:dyDescent="0.35">
      <c r="A452" s="6"/>
      <c r="B452" s="13"/>
      <c r="C452" s="81"/>
      <c r="D452" s="4"/>
      <c r="E452" s="8"/>
      <c r="F452" s="17"/>
      <c r="G452" s="17"/>
      <c r="H452" s="17"/>
      <c r="I452" s="17"/>
      <c r="J452" s="17"/>
      <c r="K452" s="17"/>
      <c r="L452" s="17"/>
      <c r="M452" s="17"/>
      <c r="N452" s="17"/>
      <c r="O452" s="17"/>
      <c r="P452" s="17"/>
      <c r="Q452" s="17"/>
      <c r="R452" s="1"/>
      <c r="S452" s="1"/>
    </row>
    <row r="453" spans="1:19" x14ac:dyDescent="0.35">
      <c r="A453" s="6"/>
      <c r="B453" s="13"/>
      <c r="C453" s="81"/>
      <c r="D453" s="4"/>
      <c r="E453" s="8"/>
      <c r="F453" s="17"/>
      <c r="G453" s="17"/>
      <c r="H453" s="17"/>
      <c r="I453" s="17"/>
      <c r="J453" s="17"/>
      <c r="K453" s="17"/>
      <c r="L453" s="17"/>
      <c r="M453" s="17"/>
      <c r="N453" s="17"/>
      <c r="O453" s="17"/>
      <c r="P453" s="17"/>
      <c r="Q453" s="17"/>
      <c r="R453" s="1"/>
      <c r="S453" s="1"/>
    </row>
    <row r="454" spans="1:19" x14ac:dyDescent="0.35">
      <c r="A454" s="6"/>
      <c r="B454" s="13"/>
      <c r="C454" s="81"/>
      <c r="D454" s="4"/>
      <c r="E454" s="8"/>
      <c r="F454" s="17"/>
      <c r="G454" s="17"/>
      <c r="H454" s="17"/>
      <c r="I454" s="17"/>
      <c r="J454" s="17"/>
      <c r="K454" s="17"/>
      <c r="L454" s="17"/>
      <c r="M454" s="17"/>
      <c r="N454" s="17"/>
      <c r="O454" s="17"/>
      <c r="P454" s="17"/>
      <c r="Q454" s="17"/>
      <c r="R454" s="1"/>
      <c r="S454" s="1"/>
    </row>
    <row r="455" spans="1:19" x14ac:dyDescent="0.35">
      <c r="A455" s="6"/>
      <c r="B455" s="13"/>
      <c r="C455" s="81"/>
      <c r="D455" s="4"/>
      <c r="E455" s="8"/>
      <c r="F455" s="17"/>
      <c r="G455" s="17"/>
      <c r="H455" s="17"/>
      <c r="I455" s="17"/>
      <c r="J455" s="17"/>
      <c r="K455" s="17"/>
      <c r="L455" s="17"/>
      <c r="M455" s="17"/>
      <c r="N455" s="17"/>
      <c r="O455" s="17"/>
      <c r="P455" s="17"/>
      <c r="Q455" s="17"/>
      <c r="R455" s="1"/>
      <c r="S455" s="1"/>
    </row>
    <row r="456" spans="1:19" x14ac:dyDescent="0.35">
      <c r="A456" s="6"/>
      <c r="B456" s="13"/>
      <c r="C456" s="81"/>
      <c r="D456" s="4"/>
      <c r="E456" s="8"/>
      <c r="F456" s="17"/>
      <c r="G456" s="17"/>
      <c r="H456" s="17"/>
      <c r="I456" s="17"/>
      <c r="J456" s="17"/>
      <c r="K456" s="17"/>
      <c r="L456" s="17"/>
      <c r="M456" s="17"/>
      <c r="N456" s="17"/>
      <c r="O456" s="17"/>
      <c r="P456" s="17"/>
      <c r="Q456" s="17"/>
      <c r="R456" s="1"/>
      <c r="S456" s="1"/>
    </row>
    <row r="457" spans="1:19" x14ac:dyDescent="0.35">
      <c r="A457" s="6"/>
      <c r="B457" s="13"/>
      <c r="C457" s="81"/>
      <c r="D457" s="4"/>
      <c r="E457" s="8"/>
      <c r="F457" s="17"/>
      <c r="G457" s="17"/>
      <c r="H457" s="17"/>
      <c r="I457" s="17"/>
      <c r="J457" s="17"/>
      <c r="K457" s="17"/>
      <c r="L457" s="17"/>
      <c r="M457" s="17"/>
      <c r="N457" s="17"/>
      <c r="O457" s="17"/>
      <c r="P457" s="17"/>
      <c r="Q457" s="17"/>
      <c r="R457" s="1"/>
      <c r="S457" s="1"/>
    </row>
    <row r="458" spans="1:19" x14ac:dyDescent="0.35">
      <c r="A458" s="6"/>
      <c r="B458" s="13"/>
      <c r="C458" s="81"/>
      <c r="D458" s="4"/>
      <c r="E458" s="8"/>
      <c r="F458" s="17"/>
      <c r="G458" s="17"/>
      <c r="H458" s="17"/>
      <c r="I458" s="17"/>
      <c r="J458" s="17"/>
      <c r="K458" s="17"/>
      <c r="L458" s="17"/>
      <c r="M458" s="17"/>
      <c r="N458" s="17"/>
      <c r="O458" s="17"/>
      <c r="P458" s="17"/>
      <c r="Q458" s="17"/>
      <c r="R458" s="1"/>
      <c r="S458" s="1"/>
    </row>
    <row r="459" spans="1:19" x14ac:dyDescent="0.35">
      <c r="A459" s="6"/>
      <c r="B459" s="13"/>
      <c r="C459" s="81"/>
      <c r="D459" s="4"/>
      <c r="E459" s="8"/>
      <c r="F459" s="17"/>
      <c r="G459" s="17"/>
      <c r="H459" s="17"/>
      <c r="I459" s="17"/>
      <c r="J459" s="17"/>
      <c r="K459" s="17"/>
      <c r="L459" s="17"/>
      <c r="M459" s="17"/>
      <c r="N459" s="17"/>
      <c r="O459" s="17"/>
      <c r="P459" s="17"/>
      <c r="Q459" s="17"/>
      <c r="R459" s="1"/>
      <c r="S459" s="1"/>
    </row>
    <row r="460" spans="1:19" x14ac:dyDescent="0.35">
      <c r="A460" s="6"/>
      <c r="B460" s="13"/>
      <c r="C460" s="81"/>
      <c r="D460" s="4"/>
      <c r="E460" s="8"/>
      <c r="F460" s="17"/>
      <c r="G460" s="17"/>
      <c r="H460" s="17"/>
      <c r="I460" s="17"/>
      <c r="J460" s="17"/>
      <c r="K460" s="17"/>
      <c r="L460" s="17"/>
      <c r="M460" s="17"/>
      <c r="N460" s="17"/>
      <c r="O460" s="17"/>
      <c r="P460" s="17"/>
      <c r="Q460" s="17"/>
      <c r="R460" s="1"/>
      <c r="S460" s="1"/>
    </row>
    <row r="461" spans="1:19" x14ac:dyDescent="0.35">
      <c r="A461" s="6"/>
      <c r="B461" s="13"/>
      <c r="C461" s="81"/>
      <c r="D461" s="4"/>
      <c r="E461" s="8"/>
      <c r="F461" s="17"/>
      <c r="G461" s="17"/>
      <c r="H461" s="17"/>
      <c r="I461" s="17"/>
      <c r="J461" s="17"/>
      <c r="K461" s="17"/>
      <c r="L461" s="17"/>
      <c r="M461" s="17"/>
      <c r="N461" s="17"/>
      <c r="O461" s="17"/>
      <c r="P461" s="17"/>
      <c r="Q461" s="17"/>
      <c r="R461" s="1"/>
      <c r="S461" s="1"/>
    </row>
    <row r="462" spans="1:19" x14ac:dyDescent="0.35">
      <c r="A462" s="6"/>
      <c r="B462" s="13"/>
      <c r="C462" s="81"/>
      <c r="D462" s="4"/>
      <c r="E462" s="8"/>
      <c r="F462" s="17"/>
      <c r="G462" s="17"/>
      <c r="H462" s="17"/>
      <c r="I462" s="17"/>
      <c r="J462" s="17"/>
      <c r="K462" s="17"/>
      <c r="L462" s="17"/>
      <c r="M462" s="17"/>
      <c r="N462" s="17"/>
      <c r="O462" s="17"/>
      <c r="P462" s="17"/>
      <c r="Q462" s="17"/>
      <c r="R462" s="1"/>
      <c r="S462" s="1"/>
    </row>
    <row r="463" spans="1:19" x14ac:dyDescent="0.35">
      <c r="A463" s="6"/>
      <c r="B463" s="13"/>
      <c r="C463" s="81"/>
      <c r="D463" s="4"/>
      <c r="E463" s="8"/>
      <c r="F463" s="17"/>
      <c r="G463" s="17"/>
      <c r="H463" s="17"/>
      <c r="I463" s="17"/>
      <c r="J463" s="17"/>
      <c r="K463" s="17"/>
      <c r="L463" s="17"/>
      <c r="M463" s="17"/>
      <c r="N463" s="17"/>
      <c r="O463" s="17"/>
      <c r="P463" s="17"/>
      <c r="Q463" s="17"/>
      <c r="R463" s="1"/>
      <c r="S463" s="1"/>
    </row>
    <row r="464" spans="1:19" x14ac:dyDescent="0.35">
      <c r="A464" s="6"/>
      <c r="B464" s="13"/>
      <c r="C464" s="81"/>
      <c r="D464" s="4"/>
      <c r="E464" s="8"/>
      <c r="F464" s="17"/>
      <c r="G464" s="17"/>
      <c r="H464" s="17"/>
      <c r="I464" s="17"/>
      <c r="J464" s="17"/>
      <c r="K464" s="17"/>
      <c r="L464" s="17"/>
      <c r="M464" s="17"/>
      <c r="N464" s="17"/>
      <c r="O464" s="17"/>
      <c r="P464" s="17"/>
      <c r="Q464" s="17"/>
      <c r="R464" s="1"/>
      <c r="S464" s="1"/>
    </row>
    <row r="465" spans="1:19" x14ac:dyDescent="0.35">
      <c r="A465" s="6"/>
      <c r="B465" s="13"/>
      <c r="C465" s="81"/>
      <c r="D465" s="4"/>
      <c r="E465" s="8"/>
      <c r="F465" s="17"/>
      <c r="G465" s="17"/>
      <c r="H465" s="17"/>
      <c r="I465" s="17"/>
      <c r="J465" s="17"/>
      <c r="K465" s="17"/>
      <c r="L465" s="17"/>
      <c r="M465" s="17"/>
      <c r="N465" s="17"/>
      <c r="O465" s="17"/>
      <c r="P465" s="17"/>
      <c r="Q465" s="17"/>
      <c r="R465" s="1"/>
      <c r="S465" s="1"/>
    </row>
    <row r="466" spans="1:19" x14ac:dyDescent="0.35">
      <c r="A466" s="6"/>
      <c r="B466" s="13"/>
      <c r="C466" s="81"/>
      <c r="D466" s="4"/>
      <c r="E466" s="8"/>
      <c r="F466" s="17"/>
      <c r="G466" s="17"/>
      <c r="H466" s="17"/>
      <c r="I466" s="17"/>
      <c r="J466" s="17"/>
      <c r="K466" s="17"/>
      <c r="L466" s="17"/>
      <c r="M466" s="17"/>
      <c r="N466" s="17"/>
      <c r="O466" s="17"/>
      <c r="P466" s="17"/>
      <c r="Q466" s="17"/>
      <c r="R466" s="1"/>
      <c r="S466" s="1"/>
    </row>
    <row r="467" spans="1:19" x14ac:dyDescent="0.35">
      <c r="A467" s="6"/>
      <c r="B467" s="13"/>
      <c r="C467" s="81"/>
      <c r="D467" s="4"/>
      <c r="E467" s="8"/>
      <c r="F467" s="17"/>
      <c r="G467" s="17"/>
      <c r="H467" s="17"/>
      <c r="I467" s="17"/>
      <c r="J467" s="17"/>
      <c r="K467" s="17"/>
      <c r="L467" s="17"/>
      <c r="M467" s="17"/>
      <c r="N467" s="17"/>
      <c r="O467" s="17"/>
      <c r="P467" s="17"/>
      <c r="Q467" s="17"/>
      <c r="R467" s="1"/>
      <c r="S467" s="1"/>
    </row>
    <row r="468" spans="1:19" x14ac:dyDescent="0.35">
      <c r="A468" s="6"/>
      <c r="B468" s="13"/>
      <c r="C468" s="81"/>
      <c r="D468" s="4"/>
      <c r="E468" s="8"/>
      <c r="F468" s="17"/>
      <c r="G468" s="17"/>
      <c r="H468" s="17"/>
      <c r="I468" s="17"/>
      <c r="J468" s="17"/>
      <c r="K468" s="17"/>
      <c r="L468" s="17"/>
      <c r="M468" s="17"/>
      <c r="N468" s="17"/>
      <c r="O468" s="17"/>
      <c r="P468" s="17"/>
      <c r="Q468" s="17"/>
      <c r="R468" s="1"/>
      <c r="S468" s="1"/>
    </row>
    <row r="469" spans="1:19" x14ac:dyDescent="0.35">
      <c r="A469" s="6"/>
      <c r="B469" s="13"/>
      <c r="C469" s="81"/>
      <c r="D469" s="4"/>
      <c r="E469" s="8"/>
      <c r="F469" s="17"/>
      <c r="G469" s="17"/>
      <c r="H469" s="17"/>
      <c r="I469" s="17"/>
      <c r="J469" s="17"/>
      <c r="K469" s="17"/>
      <c r="L469" s="17"/>
      <c r="M469" s="17"/>
      <c r="N469" s="17"/>
      <c r="O469" s="17"/>
      <c r="P469" s="17"/>
      <c r="Q469" s="17"/>
      <c r="R469" s="1"/>
      <c r="S469" s="1"/>
    </row>
    <row r="470" spans="1:19" x14ac:dyDescent="0.35">
      <c r="A470" s="6"/>
      <c r="B470" s="13"/>
      <c r="C470" s="81"/>
      <c r="D470" s="4"/>
      <c r="E470" s="8"/>
      <c r="F470" s="17"/>
      <c r="G470" s="17"/>
      <c r="H470" s="17"/>
      <c r="I470" s="17"/>
      <c r="J470" s="17"/>
      <c r="K470" s="17"/>
      <c r="L470" s="17"/>
      <c r="M470" s="17"/>
      <c r="N470" s="17"/>
      <c r="O470" s="17"/>
      <c r="P470" s="17"/>
      <c r="Q470" s="17"/>
      <c r="R470" s="1"/>
      <c r="S470" s="1"/>
    </row>
    <row r="471" spans="1:19" x14ac:dyDescent="0.35">
      <c r="A471" s="6"/>
      <c r="B471" s="13"/>
      <c r="C471" s="81"/>
      <c r="D471" s="4"/>
      <c r="E471" s="8"/>
      <c r="F471" s="17"/>
      <c r="G471" s="17"/>
      <c r="H471" s="17"/>
      <c r="I471" s="17"/>
      <c r="J471" s="17"/>
      <c r="K471" s="17"/>
      <c r="L471" s="17"/>
      <c r="M471" s="17"/>
      <c r="N471" s="17"/>
      <c r="O471" s="17"/>
      <c r="P471" s="17"/>
      <c r="Q471" s="17"/>
      <c r="R471" s="1"/>
      <c r="S471" s="1"/>
    </row>
    <row r="472" spans="1:19" x14ac:dyDescent="0.35">
      <c r="A472" s="6"/>
      <c r="B472" s="13"/>
      <c r="C472" s="81"/>
      <c r="D472" s="4"/>
      <c r="E472" s="8"/>
      <c r="F472" s="17"/>
      <c r="G472" s="17"/>
      <c r="H472" s="17"/>
      <c r="I472" s="17"/>
      <c r="J472" s="17"/>
      <c r="K472" s="17"/>
      <c r="L472" s="17"/>
      <c r="M472" s="17"/>
      <c r="N472" s="17"/>
      <c r="O472" s="17"/>
      <c r="P472" s="17"/>
      <c r="Q472" s="17"/>
      <c r="R472" s="1"/>
      <c r="S472" s="1"/>
    </row>
    <row r="473" spans="1:19" x14ac:dyDescent="0.35">
      <c r="A473" s="6"/>
      <c r="B473" s="13"/>
      <c r="C473" s="81"/>
      <c r="D473" s="4"/>
      <c r="E473" s="8"/>
      <c r="F473" s="17"/>
      <c r="G473" s="17"/>
      <c r="H473" s="17"/>
      <c r="I473" s="17"/>
      <c r="J473" s="17"/>
      <c r="K473" s="17"/>
      <c r="L473" s="17"/>
      <c r="M473" s="17"/>
      <c r="N473" s="17"/>
      <c r="O473" s="17"/>
      <c r="P473" s="17"/>
      <c r="Q473" s="17"/>
      <c r="R473" s="1"/>
      <c r="S473" s="1"/>
    </row>
    <row r="474" spans="1:19" x14ac:dyDescent="0.35">
      <c r="A474" s="6"/>
      <c r="B474" s="13"/>
      <c r="C474" s="81"/>
      <c r="D474" s="4"/>
      <c r="E474" s="8"/>
      <c r="F474" s="17"/>
      <c r="G474" s="17"/>
      <c r="H474" s="17"/>
      <c r="I474" s="17"/>
      <c r="J474" s="17"/>
      <c r="K474" s="17"/>
      <c r="L474" s="17"/>
      <c r="M474" s="17"/>
      <c r="N474" s="17"/>
      <c r="O474" s="17"/>
      <c r="P474" s="17"/>
      <c r="Q474" s="17"/>
      <c r="R474" s="1"/>
      <c r="S474" s="1"/>
    </row>
    <row r="475" spans="1:19" x14ac:dyDescent="0.35">
      <c r="A475" s="6"/>
      <c r="B475" s="13"/>
      <c r="C475" s="81"/>
      <c r="D475" s="4"/>
      <c r="E475" s="8"/>
      <c r="F475" s="17"/>
      <c r="G475" s="17"/>
      <c r="H475" s="17"/>
      <c r="I475" s="17"/>
      <c r="J475" s="17"/>
      <c r="K475" s="17"/>
      <c r="L475" s="17"/>
      <c r="M475" s="17"/>
      <c r="N475" s="17"/>
      <c r="O475" s="17"/>
      <c r="P475" s="17"/>
      <c r="Q475" s="17"/>
      <c r="R475" s="1"/>
      <c r="S475" s="1"/>
    </row>
    <row r="476" spans="1:19" x14ac:dyDescent="0.35">
      <c r="A476" s="6"/>
      <c r="B476" s="13"/>
      <c r="C476" s="81"/>
      <c r="D476" s="4"/>
      <c r="E476" s="8"/>
      <c r="F476" s="17"/>
      <c r="G476" s="17"/>
      <c r="H476" s="17"/>
      <c r="I476" s="17"/>
      <c r="J476" s="17"/>
      <c r="K476" s="17"/>
      <c r="L476" s="17"/>
      <c r="M476" s="17"/>
      <c r="N476" s="17"/>
      <c r="O476" s="17"/>
      <c r="P476" s="17"/>
      <c r="Q476" s="17"/>
      <c r="R476" s="1"/>
      <c r="S476" s="1"/>
    </row>
    <row r="477" spans="1:19" x14ac:dyDescent="0.35">
      <c r="A477" s="6"/>
      <c r="B477" s="13"/>
      <c r="C477" s="81"/>
      <c r="D477" s="4"/>
      <c r="E477" s="8"/>
      <c r="F477" s="17"/>
      <c r="G477" s="17"/>
      <c r="H477" s="17"/>
      <c r="I477" s="17"/>
      <c r="J477" s="17"/>
      <c r="K477" s="17"/>
      <c r="L477" s="17"/>
      <c r="M477" s="17"/>
      <c r="N477" s="17"/>
      <c r="O477" s="17"/>
      <c r="P477" s="17"/>
      <c r="Q477" s="17"/>
      <c r="R477" s="1"/>
      <c r="S477" s="1"/>
    </row>
    <row r="478" spans="1:19" x14ac:dyDescent="0.35">
      <c r="A478" s="6"/>
      <c r="B478" s="13"/>
      <c r="C478" s="81"/>
      <c r="D478" s="4"/>
      <c r="E478" s="8"/>
      <c r="F478" s="17"/>
      <c r="G478" s="17"/>
      <c r="H478" s="17"/>
      <c r="I478" s="17"/>
      <c r="J478" s="17"/>
      <c r="K478" s="17"/>
      <c r="L478" s="17"/>
      <c r="M478" s="17"/>
      <c r="N478" s="17"/>
      <c r="O478" s="17"/>
      <c r="P478" s="17"/>
      <c r="Q478" s="17"/>
      <c r="R478" s="1"/>
      <c r="S478" s="1"/>
    </row>
    <row r="479" spans="1:19" x14ac:dyDescent="0.35">
      <c r="A479" s="6"/>
      <c r="B479" s="13"/>
      <c r="C479" s="81"/>
      <c r="D479" s="4"/>
      <c r="E479" s="8"/>
      <c r="F479" s="17"/>
      <c r="G479" s="17"/>
      <c r="H479" s="17"/>
      <c r="I479" s="17"/>
      <c r="J479" s="17"/>
      <c r="K479" s="17"/>
      <c r="L479" s="17"/>
      <c r="M479" s="17"/>
      <c r="N479" s="17"/>
      <c r="O479" s="17"/>
      <c r="P479" s="17"/>
      <c r="Q479" s="17"/>
      <c r="R479" s="1"/>
      <c r="S479" s="1"/>
    </row>
    <row r="480" spans="1:19" x14ac:dyDescent="0.35">
      <c r="A480" s="6"/>
      <c r="B480" s="13"/>
      <c r="C480" s="81"/>
      <c r="D480" s="4"/>
      <c r="E480" s="8"/>
      <c r="F480" s="17"/>
      <c r="G480" s="17"/>
      <c r="H480" s="17"/>
      <c r="I480" s="17"/>
      <c r="J480" s="17"/>
      <c r="K480" s="17"/>
      <c r="L480" s="17"/>
      <c r="M480" s="17"/>
      <c r="N480" s="17"/>
      <c r="O480" s="17"/>
      <c r="P480" s="17"/>
      <c r="Q480" s="17"/>
      <c r="R480" s="1"/>
      <c r="S480" s="1"/>
    </row>
    <row r="481" spans="1:19" x14ac:dyDescent="0.35">
      <c r="A481" s="6"/>
      <c r="B481" s="13"/>
      <c r="C481" s="81"/>
      <c r="D481" s="4"/>
      <c r="E481" s="8"/>
      <c r="F481" s="17"/>
      <c r="G481" s="17"/>
      <c r="H481" s="17"/>
      <c r="I481" s="17"/>
      <c r="J481" s="17"/>
      <c r="K481" s="17"/>
      <c r="L481" s="17"/>
      <c r="M481" s="17"/>
      <c r="N481" s="17"/>
      <c r="O481" s="17"/>
      <c r="P481" s="17"/>
      <c r="Q481" s="17"/>
      <c r="R481" s="1"/>
      <c r="S481" s="1"/>
    </row>
    <row r="482" spans="1:19" x14ac:dyDescent="0.35">
      <c r="A482" s="6"/>
      <c r="B482" s="13"/>
      <c r="C482" s="81"/>
      <c r="D482" s="4"/>
      <c r="E482" s="8"/>
      <c r="F482" s="17"/>
      <c r="G482" s="17"/>
      <c r="H482" s="17"/>
      <c r="I482" s="17"/>
      <c r="J482" s="17"/>
      <c r="K482" s="17"/>
      <c r="L482" s="17"/>
      <c r="M482" s="17"/>
      <c r="N482" s="17"/>
      <c r="O482" s="17"/>
      <c r="P482" s="17"/>
      <c r="Q482" s="17"/>
      <c r="R482" s="1"/>
      <c r="S482" s="1"/>
    </row>
    <row r="483" spans="1:19" x14ac:dyDescent="0.35">
      <c r="A483" s="6"/>
      <c r="B483" s="13"/>
      <c r="C483" s="81"/>
      <c r="D483" s="4"/>
      <c r="E483" s="8"/>
      <c r="F483" s="17"/>
      <c r="G483" s="17"/>
      <c r="H483" s="17"/>
      <c r="I483" s="17"/>
      <c r="J483" s="17"/>
      <c r="K483" s="17"/>
      <c r="L483" s="17"/>
      <c r="M483" s="17"/>
      <c r="N483" s="17"/>
      <c r="O483" s="17"/>
      <c r="P483" s="17"/>
      <c r="Q483" s="17"/>
      <c r="R483" s="1"/>
      <c r="S483" s="1"/>
    </row>
    <row r="484" spans="1:19" x14ac:dyDescent="0.35">
      <c r="A484" s="6"/>
      <c r="B484" s="13"/>
      <c r="C484" s="81"/>
      <c r="D484" s="4"/>
      <c r="E484" s="8"/>
      <c r="F484" s="17"/>
      <c r="G484" s="17"/>
      <c r="H484" s="17"/>
      <c r="I484" s="17"/>
      <c r="J484" s="17"/>
      <c r="K484" s="17"/>
      <c r="L484" s="17"/>
      <c r="M484" s="17"/>
      <c r="N484" s="17"/>
      <c r="O484" s="17"/>
      <c r="P484" s="17"/>
      <c r="Q484" s="17"/>
      <c r="R484" s="1"/>
      <c r="S484" s="1"/>
    </row>
    <row r="485" spans="1:19" x14ac:dyDescent="0.35">
      <c r="A485" s="6"/>
      <c r="B485" s="13"/>
      <c r="C485" s="81"/>
      <c r="D485" s="4"/>
      <c r="E485" s="8"/>
      <c r="F485" s="17"/>
      <c r="G485" s="17"/>
      <c r="H485" s="17"/>
      <c r="I485" s="17"/>
      <c r="J485" s="17"/>
      <c r="K485" s="17"/>
      <c r="L485" s="17"/>
      <c r="M485" s="17"/>
      <c r="N485" s="17"/>
      <c r="O485" s="17"/>
      <c r="P485" s="17"/>
      <c r="Q485" s="17"/>
      <c r="R485" s="1"/>
      <c r="S485" s="1"/>
    </row>
    <row r="486" spans="1:19" x14ac:dyDescent="0.35">
      <c r="A486" s="6"/>
      <c r="B486" s="13"/>
      <c r="C486" s="81"/>
      <c r="D486" s="4"/>
      <c r="E486" s="8"/>
      <c r="F486" s="17"/>
      <c r="G486" s="17"/>
      <c r="H486" s="17"/>
      <c r="I486" s="17"/>
      <c r="J486" s="17"/>
      <c r="K486" s="17"/>
      <c r="L486" s="17"/>
      <c r="M486" s="17"/>
      <c r="N486" s="17"/>
      <c r="O486" s="17"/>
      <c r="P486" s="17"/>
      <c r="Q486" s="17"/>
      <c r="R486" s="1"/>
      <c r="S486" s="1"/>
    </row>
    <row r="487" spans="1:19" x14ac:dyDescent="0.35">
      <c r="A487" s="6"/>
      <c r="B487" s="13"/>
      <c r="C487" s="81"/>
      <c r="D487" s="4"/>
      <c r="E487" s="8"/>
      <c r="F487" s="17"/>
      <c r="G487" s="17"/>
      <c r="H487" s="17"/>
      <c r="I487" s="17"/>
      <c r="J487" s="17"/>
      <c r="K487" s="17"/>
      <c r="L487" s="17"/>
      <c r="M487" s="17"/>
      <c r="N487" s="17"/>
      <c r="O487" s="17"/>
      <c r="P487" s="17"/>
      <c r="Q487" s="17"/>
      <c r="R487" s="1"/>
      <c r="S487" s="1"/>
    </row>
    <row r="488" spans="1:19" x14ac:dyDescent="0.35">
      <c r="A488" s="6"/>
      <c r="B488" s="13"/>
      <c r="C488" s="81"/>
      <c r="D488" s="4"/>
      <c r="E488" s="8"/>
      <c r="F488" s="17"/>
      <c r="G488" s="17"/>
      <c r="H488" s="17"/>
      <c r="I488" s="17"/>
      <c r="J488" s="17"/>
      <c r="K488" s="17"/>
      <c r="L488" s="17"/>
      <c r="M488" s="17"/>
      <c r="N488" s="17"/>
      <c r="O488" s="17"/>
      <c r="P488" s="17"/>
      <c r="Q488" s="17"/>
      <c r="R488" s="1"/>
      <c r="S488" s="1"/>
    </row>
    <row r="489" spans="1:19" x14ac:dyDescent="0.35">
      <c r="A489" s="6"/>
      <c r="B489" s="13"/>
      <c r="C489" s="81"/>
      <c r="D489" s="4"/>
      <c r="E489" s="8"/>
      <c r="F489" s="17"/>
      <c r="G489" s="17"/>
      <c r="H489" s="17"/>
      <c r="I489" s="17"/>
      <c r="J489" s="17"/>
      <c r="K489" s="17"/>
      <c r="L489" s="17"/>
      <c r="M489" s="17"/>
      <c r="N489" s="17"/>
      <c r="O489" s="17"/>
      <c r="P489" s="17"/>
      <c r="Q489" s="17"/>
      <c r="R489" s="1"/>
      <c r="S489" s="1"/>
    </row>
    <row r="490" spans="1:19" x14ac:dyDescent="0.35">
      <c r="A490" s="6"/>
      <c r="B490" s="13"/>
      <c r="C490" s="81"/>
      <c r="D490" s="4"/>
      <c r="E490" s="8"/>
      <c r="F490" s="17"/>
      <c r="G490" s="17"/>
      <c r="H490" s="17"/>
      <c r="I490" s="17"/>
      <c r="J490" s="17"/>
      <c r="K490" s="17"/>
      <c r="L490" s="17"/>
      <c r="M490" s="17"/>
      <c r="N490" s="17"/>
      <c r="O490" s="17"/>
      <c r="P490" s="17"/>
      <c r="Q490" s="17"/>
      <c r="R490" s="1"/>
      <c r="S490" s="1"/>
    </row>
    <row r="491" spans="1:19" x14ac:dyDescent="0.35">
      <c r="A491" s="6"/>
      <c r="B491" s="13"/>
      <c r="C491" s="81"/>
      <c r="D491" s="4"/>
      <c r="E491" s="8"/>
      <c r="F491" s="17"/>
      <c r="G491" s="17"/>
      <c r="H491" s="17"/>
      <c r="I491" s="17"/>
      <c r="J491" s="17"/>
      <c r="K491" s="17"/>
      <c r="L491" s="17"/>
      <c r="M491" s="17"/>
      <c r="N491" s="17"/>
      <c r="O491" s="17"/>
      <c r="P491" s="17"/>
      <c r="Q491" s="17"/>
      <c r="R491" s="1"/>
      <c r="S491" s="1"/>
    </row>
    <row r="492" spans="1:19" x14ac:dyDescent="0.35">
      <c r="A492" s="6"/>
      <c r="B492" s="13"/>
      <c r="C492" s="81"/>
      <c r="D492" s="4"/>
      <c r="E492" s="8"/>
      <c r="F492" s="17"/>
      <c r="G492" s="17"/>
      <c r="H492" s="17"/>
      <c r="I492" s="17"/>
      <c r="J492" s="17"/>
      <c r="K492" s="17"/>
      <c r="L492" s="17"/>
      <c r="M492" s="17"/>
      <c r="N492" s="17"/>
      <c r="O492" s="17"/>
      <c r="P492" s="17"/>
      <c r="Q492" s="17"/>
      <c r="R492" s="1"/>
      <c r="S492" s="1"/>
    </row>
    <row r="493" spans="1:19" x14ac:dyDescent="0.35">
      <c r="A493" s="6"/>
      <c r="B493" s="13"/>
      <c r="C493" s="81"/>
      <c r="D493" s="4"/>
      <c r="E493" s="8"/>
      <c r="F493" s="17"/>
      <c r="G493" s="17"/>
      <c r="H493" s="17"/>
      <c r="I493" s="17"/>
      <c r="J493" s="17"/>
      <c r="K493" s="17"/>
      <c r="L493" s="17"/>
      <c r="M493" s="17"/>
      <c r="N493" s="17"/>
      <c r="O493" s="17"/>
      <c r="P493" s="17"/>
      <c r="Q493" s="17"/>
      <c r="R493" s="1"/>
      <c r="S493" s="1"/>
    </row>
    <row r="494" spans="1:19" x14ac:dyDescent="0.35">
      <c r="A494" s="6"/>
      <c r="B494" s="13"/>
      <c r="C494" s="81"/>
      <c r="D494" s="4"/>
      <c r="E494" s="8"/>
      <c r="F494" s="17"/>
      <c r="G494" s="17"/>
      <c r="H494" s="17"/>
      <c r="I494" s="17"/>
      <c r="J494" s="17"/>
      <c r="K494" s="17"/>
      <c r="L494" s="17"/>
      <c r="M494" s="17"/>
      <c r="N494" s="17"/>
      <c r="O494" s="17"/>
      <c r="P494" s="17"/>
      <c r="Q494" s="17"/>
      <c r="R494" s="1"/>
      <c r="S494" s="1"/>
    </row>
    <row r="495" spans="1:19" x14ac:dyDescent="0.35">
      <c r="A495" s="6"/>
      <c r="B495" s="13"/>
      <c r="C495" s="81"/>
      <c r="D495" s="4"/>
      <c r="E495" s="8"/>
      <c r="F495" s="17"/>
      <c r="G495" s="17"/>
      <c r="H495" s="17"/>
      <c r="I495" s="17"/>
      <c r="J495" s="17"/>
      <c r="K495" s="17"/>
      <c r="L495" s="17"/>
      <c r="M495" s="17"/>
      <c r="N495" s="17"/>
      <c r="O495" s="17"/>
      <c r="P495" s="17"/>
      <c r="Q495" s="17"/>
      <c r="R495" s="1"/>
      <c r="S495" s="1"/>
    </row>
    <row r="496" spans="1:19" x14ac:dyDescent="0.35">
      <c r="A496" s="6"/>
      <c r="B496" s="13"/>
      <c r="C496" s="81"/>
      <c r="D496" s="4"/>
      <c r="E496" s="8"/>
      <c r="F496" s="17"/>
      <c r="G496" s="17"/>
      <c r="H496" s="17"/>
      <c r="I496" s="17"/>
      <c r="J496" s="17"/>
      <c r="K496" s="17"/>
      <c r="L496" s="17"/>
      <c r="M496" s="17"/>
      <c r="N496" s="17"/>
      <c r="O496" s="17"/>
      <c r="P496" s="17"/>
      <c r="Q496" s="17"/>
      <c r="R496" s="1"/>
      <c r="S496" s="1"/>
    </row>
    <row r="497" spans="1:19" x14ac:dyDescent="0.35">
      <c r="A497" s="6"/>
      <c r="B497" s="13"/>
      <c r="C497" s="81"/>
      <c r="D497" s="4"/>
      <c r="E497" s="8"/>
      <c r="F497" s="17"/>
      <c r="G497" s="17"/>
      <c r="H497" s="17"/>
      <c r="I497" s="17"/>
      <c r="J497" s="17"/>
      <c r="K497" s="17"/>
      <c r="L497" s="17"/>
      <c r="M497" s="17"/>
      <c r="N497" s="17"/>
      <c r="O497" s="17"/>
      <c r="P497" s="17"/>
      <c r="Q497" s="17"/>
      <c r="R497" s="1"/>
      <c r="S497" s="1"/>
    </row>
    <row r="498" spans="1:19" x14ac:dyDescent="0.35">
      <c r="A498" s="6"/>
      <c r="B498" s="13"/>
      <c r="C498" s="81"/>
      <c r="D498" s="4"/>
      <c r="E498" s="8"/>
      <c r="F498" s="17"/>
      <c r="G498" s="17"/>
      <c r="H498" s="17"/>
      <c r="I498" s="17"/>
      <c r="J498" s="17"/>
      <c r="K498" s="17"/>
      <c r="L498" s="17"/>
      <c r="M498" s="17"/>
      <c r="N498" s="17"/>
      <c r="O498" s="17"/>
      <c r="P498" s="17"/>
      <c r="Q498" s="17"/>
      <c r="R498" s="1"/>
      <c r="S498" s="1"/>
    </row>
    <row r="499" spans="1:19" x14ac:dyDescent="0.35">
      <c r="A499" s="6"/>
      <c r="B499" s="13"/>
      <c r="C499" s="81"/>
      <c r="D499" s="4"/>
      <c r="E499" s="8"/>
      <c r="F499" s="17"/>
      <c r="G499" s="17"/>
      <c r="H499" s="17"/>
      <c r="I499" s="17"/>
      <c r="J499" s="17"/>
      <c r="K499" s="17"/>
      <c r="L499" s="17"/>
      <c r="M499" s="17"/>
      <c r="N499" s="17"/>
      <c r="O499" s="17"/>
      <c r="P499" s="17"/>
      <c r="Q499" s="17"/>
      <c r="R499" s="1"/>
      <c r="S499" s="1"/>
    </row>
    <row r="500" spans="1:19" x14ac:dyDescent="0.35">
      <c r="A500" s="6"/>
      <c r="B500" s="13"/>
      <c r="C500" s="81"/>
      <c r="D500" s="4"/>
      <c r="E500" s="8"/>
      <c r="F500" s="17"/>
      <c r="G500" s="17"/>
      <c r="H500" s="17"/>
      <c r="I500" s="17"/>
      <c r="J500" s="17"/>
      <c r="K500" s="17"/>
      <c r="L500" s="17"/>
      <c r="M500" s="17"/>
      <c r="N500" s="17"/>
      <c r="O500" s="17"/>
      <c r="P500" s="17"/>
      <c r="Q500" s="17"/>
      <c r="R500" s="1"/>
      <c r="S500" s="1"/>
    </row>
    <row r="501" spans="1:19" x14ac:dyDescent="0.35">
      <c r="A501" s="6"/>
      <c r="B501" s="13"/>
      <c r="C501" s="81"/>
      <c r="D501" s="4"/>
      <c r="E501" s="8"/>
      <c r="F501" s="17"/>
      <c r="G501" s="17"/>
      <c r="H501" s="17"/>
      <c r="I501" s="17"/>
      <c r="J501" s="17"/>
      <c r="K501" s="17"/>
      <c r="L501" s="17"/>
      <c r="M501" s="17"/>
      <c r="N501" s="17"/>
      <c r="O501" s="17"/>
      <c r="P501" s="17"/>
      <c r="Q501" s="17"/>
      <c r="R501" s="1"/>
      <c r="S501" s="1"/>
    </row>
    <row r="502" spans="1:19" x14ac:dyDescent="0.35">
      <c r="A502" s="6"/>
      <c r="B502" s="13"/>
      <c r="C502" s="81"/>
      <c r="D502" s="4"/>
      <c r="E502" s="8"/>
      <c r="F502" s="17"/>
      <c r="G502" s="17"/>
      <c r="H502" s="17"/>
      <c r="I502" s="17"/>
      <c r="J502" s="17"/>
      <c r="K502" s="17"/>
      <c r="L502" s="17"/>
      <c r="M502" s="17"/>
      <c r="N502" s="17"/>
      <c r="O502" s="17"/>
      <c r="P502" s="17"/>
      <c r="Q502" s="17"/>
      <c r="R502" s="1"/>
      <c r="S502" s="1"/>
    </row>
    <row r="503" spans="1:19" x14ac:dyDescent="0.35">
      <c r="A503" s="6"/>
      <c r="B503" s="13"/>
      <c r="C503" s="81"/>
      <c r="D503" s="4"/>
      <c r="E503" s="8"/>
      <c r="F503" s="17"/>
      <c r="G503" s="17"/>
      <c r="H503" s="17"/>
      <c r="I503" s="17"/>
      <c r="J503" s="17"/>
      <c r="K503" s="17"/>
      <c r="L503" s="17"/>
      <c r="M503" s="17"/>
      <c r="N503" s="17"/>
      <c r="O503" s="17"/>
      <c r="P503" s="17"/>
      <c r="Q503" s="17"/>
      <c r="R503" s="1"/>
      <c r="S503" s="1"/>
    </row>
    <row r="504" spans="1:19" x14ac:dyDescent="0.35">
      <c r="A504" s="6"/>
      <c r="B504" s="13"/>
      <c r="C504" s="81"/>
      <c r="D504" s="4"/>
      <c r="E504" s="8"/>
      <c r="F504" s="17"/>
      <c r="G504" s="17"/>
      <c r="H504" s="17"/>
      <c r="I504" s="17"/>
      <c r="J504" s="17"/>
      <c r="K504" s="17"/>
      <c r="L504" s="17"/>
      <c r="M504" s="17"/>
      <c r="N504" s="17"/>
      <c r="O504" s="17"/>
      <c r="P504" s="17"/>
      <c r="Q504" s="17"/>
      <c r="R504" s="1"/>
      <c r="S504" s="1"/>
    </row>
    <row r="505" spans="1:19" x14ac:dyDescent="0.35">
      <c r="A505" s="6"/>
      <c r="B505" s="13"/>
      <c r="C505" s="81"/>
      <c r="D505" s="4"/>
      <c r="E505" s="8"/>
      <c r="F505" s="17"/>
      <c r="G505" s="17"/>
      <c r="H505" s="17"/>
      <c r="I505" s="17"/>
      <c r="J505" s="17"/>
      <c r="K505" s="17"/>
      <c r="L505" s="17"/>
      <c r="M505" s="17"/>
      <c r="N505" s="17"/>
      <c r="O505" s="17"/>
      <c r="P505" s="17"/>
      <c r="Q505" s="17"/>
      <c r="R505" s="1"/>
      <c r="S505" s="1"/>
    </row>
    <row r="506" spans="1:19" x14ac:dyDescent="0.35">
      <c r="A506" s="6"/>
      <c r="B506" s="13"/>
      <c r="C506" s="81"/>
      <c r="D506" s="4"/>
      <c r="E506" s="8"/>
      <c r="F506" s="17"/>
      <c r="G506" s="17"/>
      <c r="H506" s="17"/>
      <c r="I506" s="17"/>
      <c r="J506" s="17"/>
      <c r="K506" s="17"/>
      <c r="L506" s="17"/>
      <c r="M506" s="17"/>
      <c r="N506" s="17"/>
      <c r="O506" s="17"/>
      <c r="P506" s="17"/>
      <c r="Q506" s="17"/>
      <c r="R506" s="1"/>
      <c r="S506" s="1"/>
    </row>
    <row r="507" spans="1:19" x14ac:dyDescent="0.35">
      <c r="A507" s="6"/>
      <c r="B507" s="13"/>
      <c r="C507" s="81"/>
      <c r="D507" s="4"/>
      <c r="E507" s="8"/>
      <c r="F507" s="17"/>
      <c r="G507" s="17"/>
      <c r="H507" s="17"/>
      <c r="I507" s="17"/>
      <c r="J507" s="17"/>
      <c r="K507" s="17"/>
      <c r="L507" s="17"/>
      <c r="M507" s="17"/>
      <c r="N507" s="17"/>
      <c r="O507" s="17"/>
      <c r="P507" s="17"/>
      <c r="Q507" s="17"/>
      <c r="R507" s="1"/>
      <c r="S507" s="1"/>
    </row>
    <row r="508" spans="1:19" x14ac:dyDescent="0.35">
      <c r="A508" s="6"/>
      <c r="B508" s="13"/>
      <c r="C508" s="81"/>
      <c r="D508" s="4"/>
      <c r="E508" s="8"/>
      <c r="F508" s="17"/>
      <c r="G508" s="17"/>
      <c r="H508" s="17"/>
      <c r="I508" s="17"/>
      <c r="J508" s="17"/>
      <c r="K508" s="17"/>
      <c r="L508" s="17"/>
      <c r="M508" s="17"/>
      <c r="N508" s="17"/>
      <c r="O508" s="17"/>
      <c r="P508" s="17"/>
      <c r="Q508" s="17"/>
      <c r="R508" s="1"/>
      <c r="S508" s="1"/>
    </row>
    <row r="509" spans="1:19" x14ac:dyDescent="0.35">
      <c r="A509" s="6"/>
      <c r="B509" s="13"/>
      <c r="C509" s="81"/>
      <c r="D509" s="4"/>
      <c r="E509" s="8"/>
      <c r="F509" s="17"/>
      <c r="G509" s="17"/>
      <c r="H509" s="17"/>
      <c r="I509" s="17"/>
      <c r="J509" s="17"/>
      <c r="K509" s="17"/>
      <c r="L509" s="17"/>
      <c r="M509" s="17"/>
      <c r="N509" s="17"/>
      <c r="O509" s="17"/>
      <c r="P509" s="17"/>
      <c r="Q509" s="17"/>
      <c r="R509" s="1"/>
      <c r="S509" s="1"/>
    </row>
    <row r="510" spans="1:19" x14ac:dyDescent="0.35">
      <c r="A510" s="6"/>
      <c r="B510" s="13"/>
      <c r="C510" s="81"/>
      <c r="D510" s="4"/>
      <c r="E510" s="8"/>
      <c r="F510" s="17"/>
      <c r="G510" s="17"/>
      <c r="H510" s="17"/>
      <c r="I510" s="17"/>
      <c r="J510" s="17"/>
      <c r="K510" s="17"/>
      <c r="L510" s="17"/>
      <c r="M510" s="17"/>
      <c r="N510" s="17"/>
      <c r="O510" s="17"/>
      <c r="P510" s="17"/>
      <c r="Q510" s="17"/>
      <c r="R510" s="1"/>
      <c r="S510" s="1"/>
    </row>
    <row r="511" spans="1:19" x14ac:dyDescent="0.35">
      <c r="A511" s="6"/>
      <c r="B511" s="13"/>
      <c r="C511" s="81"/>
      <c r="D511" s="4"/>
      <c r="E511" s="8"/>
      <c r="F511" s="17"/>
      <c r="G511" s="17"/>
      <c r="H511" s="17"/>
      <c r="I511" s="17"/>
      <c r="J511" s="17"/>
      <c r="K511" s="17"/>
      <c r="L511" s="17"/>
      <c r="M511" s="17"/>
      <c r="N511" s="17"/>
      <c r="O511" s="17"/>
      <c r="P511" s="17"/>
      <c r="Q511" s="17"/>
      <c r="R511" s="1"/>
      <c r="S511" s="1"/>
    </row>
    <row r="512" spans="1:19" x14ac:dyDescent="0.35">
      <c r="A512" s="6"/>
      <c r="B512" s="13"/>
      <c r="C512" s="81"/>
      <c r="D512" s="4"/>
      <c r="E512" s="8"/>
      <c r="F512" s="17"/>
      <c r="G512" s="17"/>
      <c r="H512" s="17"/>
      <c r="I512" s="17"/>
      <c r="J512" s="17"/>
      <c r="K512" s="17"/>
      <c r="L512" s="17"/>
      <c r="M512" s="17"/>
      <c r="N512" s="17"/>
      <c r="O512" s="17"/>
      <c r="P512" s="17"/>
      <c r="Q512" s="17"/>
      <c r="R512" s="1"/>
      <c r="S512" s="1"/>
    </row>
    <row r="513" spans="1:19" x14ac:dyDescent="0.35">
      <c r="A513" s="6"/>
      <c r="B513" s="13"/>
      <c r="C513" s="81"/>
      <c r="D513" s="4"/>
      <c r="E513" s="8"/>
      <c r="F513" s="17"/>
      <c r="G513" s="17"/>
      <c r="H513" s="17"/>
      <c r="I513" s="17"/>
      <c r="J513" s="17"/>
      <c r="K513" s="17"/>
      <c r="L513" s="17"/>
      <c r="M513" s="17"/>
      <c r="N513" s="17"/>
      <c r="O513" s="17"/>
      <c r="P513" s="17"/>
      <c r="Q513" s="17"/>
      <c r="R513" s="1"/>
      <c r="S513" s="1"/>
    </row>
    <row r="514" spans="1:19" x14ac:dyDescent="0.35">
      <c r="A514" s="6"/>
      <c r="B514" s="13"/>
      <c r="C514" s="81"/>
      <c r="D514" s="4"/>
      <c r="E514" s="8"/>
      <c r="F514" s="17"/>
      <c r="G514" s="17"/>
      <c r="H514" s="17"/>
      <c r="I514" s="17"/>
      <c r="J514" s="17"/>
      <c r="K514" s="17"/>
      <c r="L514" s="17"/>
      <c r="M514" s="17"/>
      <c r="N514" s="17"/>
      <c r="O514" s="17"/>
      <c r="P514" s="17"/>
      <c r="Q514" s="17"/>
      <c r="R514" s="1"/>
      <c r="S514" s="1"/>
    </row>
    <row r="515" spans="1:19" x14ac:dyDescent="0.35">
      <c r="A515" s="6"/>
      <c r="B515" s="13"/>
      <c r="C515" s="81"/>
      <c r="D515" s="4"/>
      <c r="E515" s="8"/>
      <c r="F515" s="17"/>
      <c r="G515" s="17"/>
      <c r="H515" s="17"/>
      <c r="I515" s="17"/>
      <c r="J515" s="17"/>
      <c r="K515" s="17"/>
      <c r="L515" s="17"/>
      <c r="M515" s="17"/>
      <c r="N515" s="17"/>
      <c r="O515" s="17"/>
      <c r="P515" s="17"/>
      <c r="Q515" s="17"/>
      <c r="R515" s="1"/>
      <c r="S515" s="1"/>
    </row>
    <row r="516" spans="1:19" x14ac:dyDescent="0.35">
      <c r="A516" s="6"/>
      <c r="B516" s="13"/>
      <c r="C516" s="81"/>
      <c r="D516" s="4"/>
      <c r="E516" s="8"/>
      <c r="F516" s="17"/>
      <c r="G516" s="17"/>
      <c r="H516" s="17"/>
      <c r="I516" s="17"/>
      <c r="J516" s="17"/>
      <c r="K516" s="17"/>
      <c r="L516" s="17"/>
      <c r="M516" s="17"/>
      <c r="N516" s="17"/>
      <c r="O516" s="17"/>
      <c r="P516" s="17"/>
      <c r="Q516" s="17"/>
      <c r="R516" s="1"/>
      <c r="S516" s="1"/>
    </row>
    <row r="517" spans="1:19" x14ac:dyDescent="0.35">
      <c r="A517" s="6"/>
      <c r="B517" s="13"/>
      <c r="C517" s="81"/>
      <c r="D517" s="4"/>
      <c r="E517" s="8"/>
      <c r="F517" s="17"/>
      <c r="G517" s="17"/>
      <c r="H517" s="17"/>
      <c r="I517" s="17"/>
      <c r="J517" s="17"/>
      <c r="K517" s="17"/>
      <c r="L517" s="17"/>
      <c r="M517" s="17"/>
      <c r="N517" s="17"/>
      <c r="O517" s="17"/>
      <c r="P517" s="17"/>
      <c r="Q517" s="17"/>
      <c r="R517" s="1"/>
      <c r="S517" s="1"/>
    </row>
    <row r="518" spans="1:19" x14ac:dyDescent="0.35">
      <c r="A518" s="6"/>
      <c r="B518" s="13"/>
      <c r="C518" s="81"/>
      <c r="D518" s="4"/>
      <c r="E518" s="8"/>
      <c r="F518" s="17"/>
      <c r="G518" s="17"/>
      <c r="H518" s="17"/>
      <c r="I518" s="17"/>
      <c r="J518" s="17"/>
      <c r="K518" s="17"/>
      <c r="L518" s="17"/>
      <c r="M518" s="17"/>
      <c r="N518" s="17"/>
      <c r="O518" s="17"/>
      <c r="P518" s="17"/>
      <c r="Q518" s="17"/>
      <c r="R518" s="1"/>
      <c r="S518" s="1"/>
    </row>
    <row r="519" spans="1:19" x14ac:dyDescent="0.35">
      <c r="A519" s="6"/>
      <c r="B519" s="13"/>
      <c r="C519" s="81"/>
      <c r="D519" s="4"/>
      <c r="E519" s="8"/>
      <c r="F519" s="17"/>
      <c r="G519" s="17"/>
      <c r="H519" s="17"/>
      <c r="I519" s="17"/>
      <c r="J519" s="17"/>
      <c r="K519" s="17"/>
      <c r="L519" s="17"/>
      <c r="M519" s="17"/>
      <c r="N519" s="17"/>
      <c r="O519" s="17"/>
      <c r="P519" s="17"/>
      <c r="Q519" s="17"/>
      <c r="R519" s="1"/>
      <c r="S519" s="1"/>
    </row>
    <row r="520" spans="1:19" x14ac:dyDescent="0.35">
      <c r="A520" s="6"/>
      <c r="B520" s="13"/>
      <c r="C520" s="81"/>
      <c r="D520" s="4"/>
      <c r="E520" s="8"/>
      <c r="F520" s="17"/>
      <c r="G520" s="17"/>
      <c r="H520" s="17"/>
      <c r="I520" s="17"/>
      <c r="J520" s="17"/>
      <c r="K520" s="17"/>
      <c r="L520" s="17"/>
      <c r="M520" s="17"/>
      <c r="N520" s="17"/>
      <c r="O520" s="17"/>
      <c r="P520" s="17"/>
      <c r="Q520" s="17"/>
      <c r="R520" s="1"/>
      <c r="S520" s="1"/>
    </row>
    <row r="521" spans="1:19" x14ac:dyDescent="0.35">
      <c r="A521" s="6"/>
      <c r="B521" s="13"/>
      <c r="C521" s="81"/>
      <c r="D521" s="4"/>
      <c r="E521" s="8"/>
      <c r="F521" s="17"/>
      <c r="G521" s="17"/>
      <c r="H521" s="17"/>
      <c r="I521" s="17"/>
      <c r="J521" s="17"/>
      <c r="K521" s="17"/>
      <c r="L521" s="17"/>
      <c r="M521" s="17"/>
      <c r="N521" s="17"/>
      <c r="O521" s="17"/>
      <c r="P521" s="17"/>
      <c r="Q521" s="17"/>
      <c r="R521" s="1"/>
      <c r="S521" s="1"/>
    </row>
    <row r="522" spans="1:19" x14ac:dyDescent="0.35">
      <c r="A522" s="6"/>
      <c r="B522" s="13"/>
      <c r="C522" s="81"/>
      <c r="D522" s="4"/>
      <c r="E522" s="8"/>
      <c r="F522" s="17"/>
      <c r="G522" s="17"/>
      <c r="H522" s="17"/>
      <c r="I522" s="17"/>
      <c r="J522" s="17"/>
      <c r="K522" s="17"/>
      <c r="L522" s="17"/>
      <c r="M522" s="17"/>
      <c r="N522" s="17"/>
      <c r="O522" s="17"/>
      <c r="P522" s="17"/>
      <c r="Q522" s="17"/>
      <c r="R522" s="1"/>
      <c r="S522" s="1"/>
    </row>
    <row r="523" spans="1:19" x14ac:dyDescent="0.35">
      <c r="A523" s="6"/>
      <c r="B523" s="13"/>
      <c r="C523" s="81"/>
      <c r="D523" s="4"/>
      <c r="E523" s="8"/>
      <c r="F523" s="17"/>
      <c r="G523" s="17"/>
      <c r="H523" s="17"/>
      <c r="I523" s="17"/>
      <c r="J523" s="17"/>
      <c r="K523" s="17"/>
      <c r="L523" s="17"/>
      <c r="M523" s="17"/>
      <c r="N523" s="17"/>
      <c r="O523" s="17"/>
      <c r="P523" s="17"/>
      <c r="Q523" s="17"/>
      <c r="R523" s="1"/>
      <c r="S523" s="1"/>
    </row>
    <row r="524" spans="1:19" x14ac:dyDescent="0.35">
      <c r="A524" s="6"/>
      <c r="B524" s="13"/>
      <c r="C524" s="81"/>
      <c r="D524" s="4"/>
      <c r="E524" s="8"/>
      <c r="F524" s="17"/>
      <c r="G524" s="17"/>
      <c r="H524" s="17"/>
      <c r="I524" s="17"/>
      <c r="J524" s="17"/>
      <c r="K524" s="17"/>
      <c r="L524" s="17"/>
      <c r="M524" s="17"/>
      <c r="N524" s="17"/>
      <c r="O524" s="17"/>
      <c r="P524" s="17"/>
      <c r="Q524" s="17"/>
      <c r="R524" s="1"/>
      <c r="S524" s="1"/>
    </row>
    <row r="525" spans="1:19" x14ac:dyDescent="0.35">
      <c r="A525" s="6"/>
      <c r="B525" s="13"/>
      <c r="C525" s="81"/>
      <c r="D525" s="4"/>
      <c r="E525" s="8"/>
      <c r="F525" s="17"/>
      <c r="G525" s="17"/>
      <c r="H525" s="17"/>
      <c r="I525" s="17"/>
      <c r="J525" s="17"/>
      <c r="K525" s="17"/>
      <c r="L525" s="17"/>
      <c r="M525" s="17"/>
      <c r="N525" s="17"/>
      <c r="O525" s="17"/>
      <c r="P525" s="17"/>
      <c r="Q525" s="17"/>
      <c r="R525" s="1"/>
      <c r="S525" s="1"/>
    </row>
    <row r="526" spans="1:19" x14ac:dyDescent="0.35">
      <c r="A526" s="6"/>
      <c r="B526" s="13"/>
      <c r="C526" s="81"/>
      <c r="D526" s="4"/>
      <c r="E526" s="8"/>
      <c r="F526" s="17"/>
      <c r="G526" s="17"/>
      <c r="H526" s="17"/>
      <c r="I526" s="17"/>
      <c r="J526" s="17"/>
      <c r="K526" s="17"/>
      <c r="L526" s="17"/>
      <c r="M526" s="17"/>
      <c r="N526" s="17"/>
      <c r="O526" s="17"/>
      <c r="P526" s="17"/>
      <c r="Q526" s="17"/>
      <c r="R526" s="1"/>
      <c r="S526" s="1"/>
    </row>
    <row r="527" spans="1:19" x14ac:dyDescent="0.35">
      <c r="A527" s="6"/>
      <c r="B527" s="13"/>
      <c r="C527" s="81"/>
      <c r="D527" s="4"/>
      <c r="E527" s="8"/>
      <c r="F527" s="17"/>
      <c r="G527" s="17"/>
      <c r="H527" s="17"/>
      <c r="I527" s="17"/>
      <c r="J527" s="17"/>
      <c r="K527" s="17"/>
      <c r="L527" s="17"/>
      <c r="M527" s="17"/>
      <c r="N527" s="17"/>
      <c r="O527" s="17"/>
      <c r="P527" s="17"/>
      <c r="Q527" s="17"/>
      <c r="R527" s="1"/>
      <c r="S527" s="1"/>
    </row>
    <row r="528" spans="1:19" x14ac:dyDescent="0.35">
      <c r="A528" s="6"/>
      <c r="B528" s="13"/>
      <c r="C528" s="81"/>
      <c r="D528" s="4"/>
      <c r="E528" s="8"/>
      <c r="F528" s="17"/>
      <c r="G528" s="17"/>
      <c r="H528" s="17"/>
      <c r="I528" s="17"/>
      <c r="J528" s="17"/>
      <c r="K528" s="17"/>
      <c r="L528" s="17"/>
      <c r="M528" s="17"/>
      <c r="N528" s="17"/>
      <c r="O528" s="17"/>
      <c r="P528" s="17"/>
      <c r="Q528" s="17"/>
      <c r="R528" s="1"/>
      <c r="S528" s="1"/>
    </row>
    <row r="529" spans="1:19" x14ac:dyDescent="0.35">
      <c r="A529" s="6"/>
      <c r="B529" s="13"/>
      <c r="C529" s="81"/>
      <c r="D529" s="4"/>
      <c r="E529" s="8"/>
      <c r="F529" s="17"/>
      <c r="G529" s="17"/>
      <c r="H529" s="17"/>
      <c r="I529" s="17"/>
      <c r="J529" s="17"/>
      <c r="K529" s="17"/>
      <c r="L529" s="17"/>
      <c r="M529" s="17"/>
      <c r="N529" s="17"/>
      <c r="O529" s="17"/>
      <c r="P529" s="17"/>
      <c r="Q529" s="17"/>
      <c r="R529" s="1"/>
      <c r="S529" s="1"/>
    </row>
    <row r="530" spans="1:19" x14ac:dyDescent="0.35">
      <c r="A530" s="6"/>
      <c r="B530" s="13"/>
      <c r="C530" s="81"/>
      <c r="D530" s="4"/>
      <c r="E530" s="8"/>
      <c r="F530" s="17"/>
      <c r="G530" s="17"/>
      <c r="H530" s="17"/>
      <c r="I530" s="17"/>
      <c r="J530" s="17"/>
      <c r="K530" s="17"/>
      <c r="L530" s="17"/>
      <c r="M530" s="17"/>
      <c r="N530" s="17"/>
      <c r="O530" s="17"/>
      <c r="P530" s="17"/>
      <c r="Q530" s="17"/>
      <c r="R530" s="1"/>
      <c r="S530" s="1"/>
    </row>
    <row r="531" spans="1:19" x14ac:dyDescent="0.35">
      <c r="A531" s="6"/>
      <c r="B531" s="13"/>
      <c r="C531" s="81"/>
      <c r="D531" s="4"/>
      <c r="E531" s="8"/>
      <c r="F531" s="17"/>
      <c r="G531" s="17"/>
      <c r="H531" s="17"/>
      <c r="I531" s="17"/>
      <c r="J531" s="17"/>
      <c r="K531" s="17"/>
      <c r="L531" s="17"/>
      <c r="M531" s="17"/>
      <c r="N531" s="17"/>
      <c r="O531" s="17"/>
      <c r="P531" s="17"/>
      <c r="Q531" s="17"/>
      <c r="R531" s="1"/>
      <c r="S531" s="1"/>
    </row>
    <row r="532" spans="1:19" x14ac:dyDescent="0.35">
      <c r="A532" s="6"/>
      <c r="B532" s="13"/>
      <c r="C532" s="81"/>
      <c r="D532" s="4"/>
      <c r="E532" s="8"/>
      <c r="F532" s="17"/>
      <c r="G532" s="17"/>
      <c r="H532" s="17"/>
      <c r="I532" s="17"/>
      <c r="J532" s="17"/>
      <c r="K532" s="17"/>
      <c r="L532" s="17"/>
      <c r="M532" s="17"/>
      <c r="N532" s="17"/>
      <c r="O532" s="17"/>
      <c r="P532" s="17"/>
      <c r="Q532" s="17"/>
      <c r="R532" s="1"/>
      <c r="S532" s="1"/>
    </row>
    <row r="533" spans="1:19" x14ac:dyDescent="0.35">
      <c r="A533" s="6"/>
      <c r="B533" s="13"/>
      <c r="C533" s="81"/>
      <c r="D533" s="4"/>
      <c r="E533" s="8"/>
      <c r="F533" s="17"/>
      <c r="G533" s="17"/>
      <c r="H533" s="17"/>
      <c r="I533" s="17"/>
      <c r="J533" s="17"/>
      <c r="K533" s="17"/>
      <c r="L533" s="17"/>
      <c r="M533" s="17"/>
      <c r="N533" s="17"/>
      <c r="O533" s="17"/>
      <c r="P533" s="17"/>
      <c r="Q533" s="17"/>
      <c r="R533" s="1"/>
      <c r="S533" s="1"/>
    </row>
    <row r="534" spans="1:19" x14ac:dyDescent="0.35">
      <c r="A534" s="6"/>
      <c r="B534" s="13"/>
      <c r="C534" s="81"/>
      <c r="D534" s="4"/>
      <c r="E534" s="8"/>
      <c r="F534" s="17"/>
      <c r="G534" s="17"/>
      <c r="H534" s="17"/>
      <c r="I534" s="17"/>
      <c r="J534" s="17"/>
      <c r="K534" s="17"/>
      <c r="L534" s="17"/>
      <c r="M534" s="17"/>
      <c r="N534" s="17"/>
      <c r="O534" s="17"/>
      <c r="P534" s="17"/>
      <c r="Q534" s="17"/>
      <c r="R534" s="1"/>
      <c r="S534" s="1"/>
    </row>
    <row r="535" spans="1:19" x14ac:dyDescent="0.35">
      <c r="A535" s="6"/>
      <c r="B535" s="13"/>
      <c r="C535" s="81"/>
      <c r="D535" s="4"/>
      <c r="E535" s="8"/>
      <c r="F535" s="17"/>
      <c r="G535" s="17"/>
      <c r="H535" s="17"/>
      <c r="I535" s="17"/>
      <c r="J535" s="17"/>
      <c r="K535" s="17"/>
      <c r="L535" s="17"/>
      <c r="M535" s="17"/>
      <c r="N535" s="17"/>
      <c r="O535" s="17"/>
      <c r="P535" s="17"/>
      <c r="Q535" s="17"/>
      <c r="R535" s="1"/>
      <c r="S535" s="1"/>
    </row>
    <row r="536" spans="1:19" x14ac:dyDescent="0.35">
      <c r="A536" s="6"/>
      <c r="B536" s="13"/>
      <c r="C536" s="81"/>
      <c r="D536" s="4"/>
      <c r="E536" s="8"/>
      <c r="F536" s="17"/>
      <c r="G536" s="17"/>
      <c r="H536" s="17"/>
      <c r="I536" s="17"/>
      <c r="J536" s="17"/>
      <c r="K536" s="17"/>
      <c r="L536" s="17"/>
      <c r="M536" s="17"/>
      <c r="N536" s="17"/>
      <c r="O536" s="17"/>
      <c r="P536" s="17"/>
      <c r="Q536" s="17"/>
      <c r="R536" s="1"/>
      <c r="S536" s="1"/>
    </row>
    <row r="537" spans="1:19" x14ac:dyDescent="0.35">
      <c r="A537" s="6"/>
      <c r="B537" s="13"/>
      <c r="C537" s="81"/>
      <c r="D537" s="4"/>
      <c r="E537" s="8"/>
      <c r="F537" s="17"/>
      <c r="G537" s="17"/>
      <c r="H537" s="17"/>
      <c r="I537" s="17"/>
      <c r="J537" s="17"/>
      <c r="K537" s="17"/>
      <c r="L537" s="17"/>
      <c r="M537" s="17"/>
      <c r="N537" s="17"/>
      <c r="O537" s="17"/>
      <c r="P537" s="17"/>
      <c r="Q537" s="17"/>
      <c r="R537" s="1"/>
      <c r="S537" s="1"/>
    </row>
    <row r="538" spans="1:19" x14ac:dyDescent="0.35">
      <c r="A538" s="6"/>
      <c r="B538" s="13"/>
      <c r="C538" s="81"/>
      <c r="D538" s="4"/>
      <c r="E538" s="8"/>
      <c r="F538" s="17"/>
      <c r="G538" s="17"/>
      <c r="H538" s="17"/>
      <c r="I538" s="17"/>
      <c r="J538" s="17"/>
      <c r="K538" s="17"/>
      <c r="L538" s="17"/>
      <c r="M538" s="17"/>
      <c r="N538" s="17"/>
      <c r="O538" s="17"/>
      <c r="P538" s="17"/>
      <c r="Q538" s="17"/>
      <c r="R538" s="1"/>
      <c r="S538" s="1"/>
    </row>
    <row r="539" spans="1:19" x14ac:dyDescent="0.35">
      <c r="A539" s="6"/>
      <c r="B539" s="13"/>
      <c r="C539" s="81"/>
      <c r="D539" s="4"/>
      <c r="E539" s="8"/>
      <c r="F539" s="17"/>
      <c r="G539" s="17"/>
      <c r="H539" s="17"/>
      <c r="I539" s="17"/>
      <c r="J539" s="17"/>
      <c r="K539" s="17"/>
      <c r="L539" s="17"/>
      <c r="M539" s="17"/>
      <c r="N539" s="17"/>
      <c r="O539" s="17"/>
      <c r="P539" s="17"/>
      <c r="Q539" s="17"/>
      <c r="R539" s="1"/>
      <c r="S539" s="1"/>
    </row>
    <row r="540" spans="1:19" x14ac:dyDescent="0.35">
      <c r="A540" s="6"/>
      <c r="B540" s="13"/>
      <c r="C540" s="81"/>
      <c r="D540" s="4"/>
      <c r="E540" s="8"/>
      <c r="F540" s="17"/>
      <c r="G540" s="17"/>
      <c r="H540" s="17"/>
      <c r="I540" s="17"/>
      <c r="J540" s="17"/>
      <c r="K540" s="17"/>
      <c r="L540" s="17"/>
      <c r="M540" s="17"/>
      <c r="N540" s="17"/>
      <c r="O540" s="17"/>
      <c r="P540" s="17"/>
      <c r="Q540" s="17"/>
      <c r="R540" s="1"/>
      <c r="S540" s="1"/>
    </row>
    <row r="541" spans="1:19" x14ac:dyDescent="0.35">
      <c r="A541" s="6"/>
      <c r="B541" s="13"/>
      <c r="C541" s="81"/>
      <c r="D541" s="4"/>
      <c r="E541" s="8"/>
      <c r="F541" s="17"/>
      <c r="G541" s="17"/>
      <c r="H541" s="17"/>
      <c r="I541" s="17"/>
      <c r="J541" s="17"/>
      <c r="K541" s="17"/>
      <c r="L541" s="17"/>
      <c r="M541" s="17"/>
      <c r="N541" s="17"/>
      <c r="O541" s="17"/>
      <c r="P541" s="17"/>
      <c r="Q541" s="17"/>
      <c r="R541" s="1"/>
      <c r="S541" s="1"/>
    </row>
    <row r="542" spans="1:19" x14ac:dyDescent="0.35">
      <c r="A542" s="6"/>
      <c r="B542" s="13"/>
      <c r="C542" s="81"/>
      <c r="D542" s="4"/>
      <c r="E542" s="8"/>
      <c r="F542" s="17"/>
      <c r="G542" s="17"/>
      <c r="H542" s="17"/>
      <c r="I542" s="17"/>
      <c r="J542" s="17"/>
      <c r="K542" s="17"/>
      <c r="L542" s="17"/>
      <c r="M542" s="17"/>
      <c r="N542" s="17"/>
      <c r="O542" s="17"/>
      <c r="P542" s="17"/>
      <c r="Q542" s="17"/>
      <c r="R542" s="1"/>
      <c r="S542" s="1"/>
    </row>
    <row r="543" spans="1:19" x14ac:dyDescent="0.35">
      <c r="A543" s="6"/>
      <c r="B543" s="13"/>
      <c r="C543" s="81"/>
      <c r="D543" s="4"/>
      <c r="E543" s="8"/>
      <c r="F543" s="17"/>
      <c r="G543" s="17"/>
      <c r="H543" s="17"/>
      <c r="I543" s="17"/>
      <c r="J543" s="17"/>
      <c r="K543" s="17"/>
      <c r="L543" s="17"/>
      <c r="M543" s="17"/>
      <c r="N543" s="17"/>
      <c r="O543" s="17"/>
      <c r="P543" s="17"/>
      <c r="Q543" s="17"/>
      <c r="R543" s="1"/>
      <c r="S543" s="1"/>
    </row>
    <row r="544" spans="1:19" x14ac:dyDescent="0.35">
      <c r="A544" s="6"/>
      <c r="B544" s="13"/>
      <c r="C544" s="81"/>
      <c r="D544" s="4"/>
      <c r="E544" s="8"/>
      <c r="F544" s="17"/>
      <c r="G544" s="17"/>
      <c r="H544" s="17"/>
      <c r="I544" s="17"/>
      <c r="J544" s="17"/>
      <c r="K544" s="17"/>
      <c r="L544" s="17"/>
      <c r="M544" s="17"/>
      <c r="N544" s="17"/>
      <c r="O544" s="17"/>
      <c r="P544" s="17"/>
      <c r="Q544" s="17"/>
      <c r="R544" s="1"/>
      <c r="S544" s="1"/>
    </row>
    <row r="545" spans="1:19" x14ac:dyDescent="0.35">
      <c r="A545" s="6"/>
      <c r="B545" s="13"/>
      <c r="C545" s="81"/>
      <c r="D545" s="4"/>
      <c r="E545" s="8"/>
      <c r="F545" s="17"/>
      <c r="G545" s="17"/>
      <c r="H545" s="17"/>
      <c r="I545" s="17"/>
      <c r="J545" s="17"/>
      <c r="K545" s="17"/>
      <c r="L545" s="17"/>
      <c r="M545" s="17"/>
      <c r="N545" s="17"/>
      <c r="O545" s="17"/>
      <c r="P545" s="17"/>
      <c r="Q545" s="17"/>
      <c r="R545" s="1"/>
      <c r="S545" s="1"/>
    </row>
    <row r="546" spans="1:19" x14ac:dyDescent="0.35">
      <c r="A546" s="6"/>
      <c r="B546" s="13"/>
      <c r="C546" s="81"/>
      <c r="D546" s="4"/>
      <c r="E546" s="8"/>
      <c r="F546" s="17"/>
      <c r="G546" s="17"/>
      <c r="H546" s="17"/>
      <c r="I546" s="17"/>
      <c r="J546" s="17"/>
      <c r="K546" s="17"/>
      <c r="L546" s="17"/>
      <c r="M546" s="17"/>
      <c r="N546" s="17"/>
      <c r="O546" s="17"/>
      <c r="P546" s="17"/>
      <c r="Q546" s="17"/>
      <c r="R546" s="1"/>
      <c r="S546" s="1"/>
    </row>
    <row r="547" spans="1:19" x14ac:dyDescent="0.35">
      <c r="A547" s="6"/>
      <c r="B547" s="13"/>
      <c r="C547" s="81"/>
      <c r="D547" s="4"/>
      <c r="E547" s="8"/>
      <c r="F547" s="17"/>
      <c r="G547" s="17"/>
      <c r="H547" s="17"/>
      <c r="I547" s="17"/>
      <c r="J547" s="17"/>
      <c r="K547" s="17"/>
      <c r="L547" s="17"/>
      <c r="M547" s="17"/>
      <c r="N547" s="17"/>
      <c r="O547" s="17"/>
      <c r="P547" s="17"/>
      <c r="Q547" s="17"/>
      <c r="R547" s="1"/>
      <c r="S547" s="1"/>
    </row>
    <row r="548" spans="1:19" x14ac:dyDescent="0.35">
      <c r="A548" s="6"/>
      <c r="B548" s="13"/>
      <c r="C548" s="81"/>
      <c r="D548" s="4"/>
      <c r="E548" s="8"/>
      <c r="F548" s="17"/>
      <c r="G548" s="17"/>
      <c r="H548" s="17"/>
      <c r="I548" s="17"/>
      <c r="J548" s="17"/>
      <c r="K548" s="17"/>
      <c r="L548" s="17"/>
      <c r="M548" s="17"/>
      <c r="N548" s="17"/>
      <c r="O548" s="17"/>
      <c r="P548" s="17"/>
      <c r="Q548" s="17"/>
      <c r="R548" s="1"/>
      <c r="S548" s="1"/>
    </row>
    <row r="549" spans="1:19" x14ac:dyDescent="0.35">
      <c r="A549" s="6"/>
      <c r="B549" s="13"/>
      <c r="C549" s="81"/>
      <c r="D549" s="4"/>
      <c r="E549" s="8"/>
      <c r="F549" s="17"/>
      <c r="G549" s="17"/>
      <c r="H549" s="17"/>
      <c r="I549" s="17"/>
      <c r="J549" s="17"/>
      <c r="K549" s="17"/>
      <c r="L549" s="17"/>
      <c r="M549" s="17"/>
      <c r="N549" s="17"/>
      <c r="O549" s="17"/>
      <c r="P549" s="17"/>
      <c r="Q549" s="17"/>
      <c r="R549" s="1"/>
      <c r="S549" s="1"/>
    </row>
    <row r="550" spans="1:19" x14ac:dyDescent="0.35">
      <c r="A550" s="6"/>
      <c r="B550" s="13"/>
      <c r="C550" s="81"/>
      <c r="D550" s="4"/>
      <c r="E550" s="8"/>
      <c r="F550" s="17"/>
      <c r="G550" s="17"/>
      <c r="H550" s="17"/>
      <c r="I550" s="17"/>
      <c r="J550" s="17"/>
      <c r="K550" s="17"/>
      <c r="L550" s="17"/>
      <c r="M550" s="17"/>
      <c r="N550" s="17"/>
      <c r="O550" s="17"/>
      <c r="P550" s="17"/>
      <c r="Q550" s="17"/>
      <c r="R550" s="1"/>
      <c r="S550" s="1"/>
    </row>
    <row r="551" spans="1:19" x14ac:dyDescent="0.35">
      <c r="A551" s="6"/>
      <c r="B551" s="13"/>
      <c r="C551" s="81"/>
      <c r="D551" s="4"/>
      <c r="E551" s="8"/>
      <c r="F551" s="17"/>
      <c r="G551" s="17"/>
      <c r="H551" s="17"/>
      <c r="I551" s="17"/>
      <c r="J551" s="17"/>
      <c r="K551" s="17"/>
      <c r="L551" s="17"/>
      <c r="M551" s="17"/>
      <c r="N551" s="17"/>
      <c r="O551" s="17"/>
      <c r="P551" s="17"/>
      <c r="Q551" s="17"/>
      <c r="R551" s="1"/>
      <c r="S551" s="1"/>
    </row>
    <row r="552" spans="1:19" x14ac:dyDescent="0.35">
      <c r="A552" s="6"/>
      <c r="B552" s="13"/>
      <c r="C552" s="81"/>
      <c r="D552" s="4"/>
      <c r="E552" s="8"/>
      <c r="F552" s="17"/>
      <c r="G552" s="17"/>
      <c r="H552" s="17"/>
      <c r="I552" s="17"/>
      <c r="J552" s="17"/>
      <c r="K552" s="17"/>
      <c r="L552" s="17"/>
      <c r="M552" s="17"/>
      <c r="N552" s="17"/>
      <c r="O552" s="17"/>
      <c r="P552" s="17"/>
      <c r="Q552" s="17"/>
      <c r="R552" s="1"/>
      <c r="S552" s="1"/>
    </row>
    <row r="553" spans="1:19" x14ac:dyDescent="0.35">
      <c r="A553" s="6"/>
      <c r="B553" s="13"/>
      <c r="C553" s="81"/>
      <c r="D553" s="4"/>
      <c r="E553" s="8"/>
      <c r="F553" s="17"/>
      <c r="G553" s="17"/>
      <c r="H553" s="17"/>
      <c r="I553" s="17"/>
      <c r="J553" s="17"/>
      <c r="K553" s="17"/>
      <c r="L553" s="17"/>
      <c r="M553" s="17"/>
      <c r="N553" s="17"/>
      <c r="O553" s="17"/>
      <c r="P553" s="17"/>
      <c r="Q553" s="17"/>
      <c r="R553" s="1"/>
      <c r="S553" s="1"/>
    </row>
    <row r="554" spans="1:19" x14ac:dyDescent="0.35">
      <c r="A554" s="6"/>
      <c r="B554" s="13"/>
      <c r="C554" s="81"/>
      <c r="D554" s="4"/>
      <c r="E554" s="8"/>
      <c r="F554" s="17"/>
      <c r="G554" s="17"/>
      <c r="H554" s="17"/>
      <c r="I554" s="17"/>
      <c r="J554" s="17"/>
      <c r="K554" s="17"/>
      <c r="L554" s="17"/>
      <c r="M554" s="17"/>
      <c r="N554" s="17"/>
      <c r="O554" s="17"/>
      <c r="P554" s="17"/>
      <c r="Q554" s="17"/>
      <c r="R554" s="1"/>
      <c r="S554" s="1"/>
    </row>
    <row r="555" spans="1:19" x14ac:dyDescent="0.35">
      <c r="A555" s="6"/>
      <c r="B555" s="13"/>
      <c r="C555" s="81"/>
      <c r="D555" s="4"/>
      <c r="E555" s="8"/>
      <c r="F555" s="17"/>
      <c r="G555" s="17"/>
      <c r="H555" s="17"/>
      <c r="I555" s="17"/>
      <c r="J555" s="17"/>
      <c r="K555" s="17"/>
      <c r="L555" s="17"/>
      <c r="M555" s="17"/>
      <c r="N555" s="17"/>
      <c r="O555" s="17"/>
      <c r="P555" s="17"/>
      <c r="Q555" s="17"/>
      <c r="R555" s="1"/>
      <c r="S555" s="1"/>
    </row>
    <row r="556" spans="1:19" x14ac:dyDescent="0.35">
      <c r="A556" s="6"/>
      <c r="B556" s="13"/>
      <c r="C556" s="81"/>
      <c r="D556" s="4"/>
      <c r="E556" s="8"/>
      <c r="F556" s="17"/>
      <c r="G556" s="17"/>
      <c r="H556" s="17"/>
      <c r="I556" s="17"/>
      <c r="J556" s="17"/>
      <c r="K556" s="17"/>
      <c r="L556" s="17"/>
      <c r="M556" s="17"/>
      <c r="N556" s="17"/>
      <c r="O556" s="17"/>
      <c r="P556" s="17"/>
      <c r="Q556" s="17"/>
      <c r="R556" s="1"/>
      <c r="S556" s="1"/>
    </row>
    <row r="557" spans="1:19" x14ac:dyDescent="0.35">
      <c r="A557" s="6"/>
      <c r="B557" s="13"/>
      <c r="C557" s="81"/>
      <c r="D557" s="4"/>
      <c r="E557" s="8"/>
      <c r="F557" s="17"/>
      <c r="G557" s="17"/>
      <c r="H557" s="17"/>
      <c r="I557" s="17"/>
      <c r="J557" s="17"/>
      <c r="K557" s="17"/>
      <c r="L557" s="17"/>
      <c r="M557" s="17"/>
      <c r="N557" s="17"/>
      <c r="O557" s="17"/>
      <c r="P557" s="17"/>
      <c r="Q557" s="17"/>
      <c r="R557" s="1"/>
      <c r="S557" s="1"/>
    </row>
    <row r="558" spans="1:19" x14ac:dyDescent="0.35">
      <c r="A558" s="6"/>
      <c r="B558" s="13"/>
      <c r="C558" s="81"/>
      <c r="D558" s="4"/>
      <c r="E558" s="8"/>
      <c r="F558" s="17"/>
      <c r="G558" s="17"/>
      <c r="H558" s="17"/>
      <c r="I558" s="17"/>
      <c r="J558" s="17"/>
      <c r="K558" s="17"/>
      <c r="L558" s="17"/>
      <c r="M558" s="17"/>
      <c r="N558" s="17"/>
      <c r="O558" s="17"/>
      <c r="P558" s="17"/>
      <c r="Q558" s="17"/>
      <c r="R558" s="1"/>
      <c r="S558" s="1"/>
    </row>
    <row r="559" spans="1:19" x14ac:dyDescent="0.35">
      <c r="A559" s="6"/>
      <c r="B559" s="13"/>
      <c r="C559" s="81"/>
      <c r="D559" s="4"/>
      <c r="E559" s="8"/>
      <c r="F559" s="17"/>
      <c r="G559" s="17"/>
      <c r="H559" s="17"/>
      <c r="I559" s="17"/>
      <c r="J559" s="17"/>
      <c r="K559" s="17"/>
      <c r="L559" s="17"/>
      <c r="M559" s="17"/>
      <c r="N559" s="17"/>
      <c r="O559" s="17"/>
      <c r="P559" s="17"/>
      <c r="Q559" s="17"/>
      <c r="R559" s="1"/>
      <c r="S559" s="1"/>
    </row>
    <row r="560" spans="1:19" x14ac:dyDescent="0.35">
      <c r="A560" s="6"/>
      <c r="B560" s="13"/>
      <c r="C560" s="81"/>
      <c r="D560" s="4"/>
      <c r="E560" s="8"/>
      <c r="F560" s="17"/>
      <c r="G560" s="17"/>
      <c r="H560" s="17"/>
      <c r="I560" s="17"/>
      <c r="J560" s="17"/>
      <c r="K560" s="17"/>
      <c r="L560" s="17"/>
      <c r="M560" s="17"/>
      <c r="N560" s="17"/>
      <c r="O560" s="17"/>
      <c r="P560" s="17"/>
      <c r="Q560" s="17"/>
      <c r="R560" s="1"/>
      <c r="S560" s="1"/>
    </row>
    <row r="561" spans="1:19" x14ac:dyDescent="0.35">
      <c r="A561" s="6"/>
      <c r="B561" s="13"/>
      <c r="C561" s="81"/>
      <c r="D561" s="4"/>
      <c r="E561" s="8"/>
      <c r="F561" s="17"/>
      <c r="G561" s="17"/>
      <c r="H561" s="17"/>
      <c r="I561" s="17"/>
      <c r="J561" s="17"/>
      <c r="K561" s="17"/>
      <c r="L561" s="17"/>
      <c r="M561" s="17"/>
      <c r="N561" s="17"/>
      <c r="O561" s="17"/>
      <c r="P561" s="17"/>
      <c r="Q561" s="17"/>
      <c r="R561" s="1"/>
      <c r="S561" s="1"/>
    </row>
    <row r="562" spans="1:19" x14ac:dyDescent="0.35">
      <c r="A562" s="6"/>
      <c r="B562" s="13"/>
      <c r="C562" s="81"/>
      <c r="D562" s="4"/>
      <c r="E562" s="8"/>
      <c r="F562" s="17"/>
      <c r="G562" s="17"/>
      <c r="H562" s="17"/>
      <c r="I562" s="17"/>
      <c r="J562" s="17"/>
      <c r="K562" s="17"/>
      <c r="L562" s="17"/>
      <c r="M562" s="17"/>
      <c r="N562" s="17"/>
      <c r="O562" s="17"/>
      <c r="P562" s="17"/>
      <c r="Q562" s="17"/>
      <c r="R562" s="1"/>
      <c r="S562" s="1"/>
    </row>
    <row r="563" spans="1:19" x14ac:dyDescent="0.35">
      <c r="A563" s="6"/>
      <c r="B563" s="13"/>
      <c r="C563" s="81"/>
      <c r="D563" s="4"/>
      <c r="E563" s="8"/>
      <c r="F563" s="17"/>
      <c r="G563" s="17"/>
      <c r="H563" s="17"/>
      <c r="I563" s="17"/>
      <c r="J563" s="17"/>
      <c r="K563" s="17"/>
      <c r="L563" s="17"/>
      <c r="M563" s="17"/>
      <c r="N563" s="17"/>
      <c r="O563" s="17"/>
      <c r="P563" s="17"/>
      <c r="Q563" s="17"/>
      <c r="R563" s="1"/>
      <c r="S563" s="1"/>
    </row>
    <row r="564" spans="1:19" x14ac:dyDescent="0.35">
      <c r="A564" s="6"/>
      <c r="B564" s="13"/>
      <c r="C564" s="81"/>
      <c r="D564" s="4"/>
      <c r="E564" s="8"/>
      <c r="F564" s="17"/>
      <c r="G564" s="17"/>
      <c r="H564" s="17"/>
      <c r="I564" s="17"/>
      <c r="J564" s="17"/>
      <c r="K564" s="17"/>
      <c r="L564" s="17"/>
      <c r="M564" s="17"/>
      <c r="N564" s="17"/>
      <c r="O564" s="17"/>
      <c r="P564" s="17"/>
      <c r="Q564" s="17"/>
      <c r="R564" s="1"/>
      <c r="S564" s="1"/>
    </row>
    <row r="565" spans="1:19" x14ac:dyDescent="0.35">
      <c r="A565" s="6"/>
      <c r="B565" s="13"/>
      <c r="C565" s="81"/>
      <c r="D565" s="4"/>
      <c r="E565" s="8"/>
      <c r="F565" s="17"/>
      <c r="G565" s="17"/>
      <c r="H565" s="17"/>
      <c r="I565" s="17"/>
      <c r="J565" s="17"/>
      <c r="K565" s="17"/>
      <c r="L565" s="17"/>
      <c r="M565" s="17"/>
      <c r="N565" s="17"/>
      <c r="O565" s="17"/>
      <c r="P565" s="17"/>
      <c r="Q565" s="17"/>
      <c r="R565" s="1"/>
      <c r="S565" s="1"/>
    </row>
    <row r="566" spans="1:19" x14ac:dyDescent="0.35">
      <c r="A566" s="6"/>
      <c r="B566" s="13"/>
      <c r="C566" s="81"/>
      <c r="D566" s="4"/>
      <c r="E566" s="8"/>
      <c r="F566" s="17"/>
      <c r="G566" s="17"/>
      <c r="H566" s="17"/>
      <c r="I566" s="17"/>
      <c r="J566" s="17"/>
      <c r="K566" s="17"/>
      <c r="L566" s="17"/>
      <c r="M566" s="17"/>
      <c r="N566" s="17"/>
      <c r="O566" s="17"/>
      <c r="P566" s="17"/>
      <c r="Q566" s="17"/>
      <c r="R566" s="1"/>
      <c r="S566" s="1"/>
    </row>
    <row r="567" spans="1:19" x14ac:dyDescent="0.35">
      <c r="A567" s="6"/>
      <c r="B567" s="13"/>
      <c r="C567" s="81"/>
      <c r="D567" s="4"/>
      <c r="E567" s="8"/>
      <c r="F567" s="17"/>
      <c r="G567" s="17"/>
      <c r="H567" s="17"/>
      <c r="I567" s="17"/>
      <c r="J567" s="17"/>
      <c r="K567" s="17"/>
      <c r="L567" s="17"/>
      <c r="M567" s="17"/>
      <c r="N567" s="17"/>
      <c r="O567" s="17"/>
      <c r="P567" s="17"/>
      <c r="Q567" s="17"/>
      <c r="R567" s="1"/>
      <c r="S567" s="1"/>
    </row>
    <row r="568" spans="1:19" x14ac:dyDescent="0.35">
      <c r="A568" s="6"/>
      <c r="B568" s="13"/>
      <c r="C568" s="81"/>
      <c r="D568" s="4"/>
      <c r="E568" s="8"/>
      <c r="F568" s="17"/>
      <c r="G568" s="17"/>
      <c r="H568" s="17"/>
      <c r="I568" s="17"/>
      <c r="J568" s="17"/>
      <c r="K568" s="17"/>
      <c r="L568" s="17"/>
      <c r="M568" s="17"/>
      <c r="N568" s="17"/>
      <c r="O568" s="17"/>
      <c r="P568" s="17"/>
      <c r="Q568" s="17"/>
      <c r="R568" s="1"/>
      <c r="S568" s="1"/>
    </row>
    <row r="569" spans="1:19" x14ac:dyDescent="0.35">
      <c r="A569" s="6"/>
      <c r="B569" s="13"/>
      <c r="C569" s="81"/>
      <c r="D569" s="4"/>
      <c r="E569" s="8"/>
      <c r="F569" s="17"/>
      <c r="G569" s="17"/>
      <c r="H569" s="17"/>
      <c r="I569" s="17"/>
      <c r="J569" s="17"/>
      <c r="K569" s="17"/>
      <c r="L569" s="17"/>
      <c r="M569" s="17"/>
      <c r="N569" s="17"/>
      <c r="O569" s="17"/>
      <c r="P569" s="17"/>
      <c r="Q569" s="17"/>
      <c r="R569" s="1"/>
      <c r="S569" s="1"/>
    </row>
    <row r="570" spans="1:19" x14ac:dyDescent="0.35">
      <c r="A570" s="6"/>
      <c r="B570" s="13"/>
      <c r="C570" s="81"/>
      <c r="D570" s="4"/>
      <c r="E570" s="8"/>
      <c r="F570" s="17"/>
      <c r="G570" s="17"/>
      <c r="H570" s="17"/>
      <c r="I570" s="17"/>
      <c r="J570" s="17"/>
      <c r="K570" s="17"/>
      <c r="L570" s="17"/>
      <c r="M570" s="17"/>
      <c r="N570" s="17"/>
      <c r="O570" s="17"/>
      <c r="P570" s="17"/>
      <c r="Q570" s="17"/>
      <c r="R570" s="1"/>
      <c r="S570" s="1"/>
    </row>
    <row r="571" spans="1:19" x14ac:dyDescent="0.35">
      <c r="A571" s="6"/>
      <c r="B571" s="13"/>
      <c r="C571" s="81"/>
      <c r="D571" s="4"/>
      <c r="E571" s="8"/>
      <c r="F571" s="17"/>
      <c r="G571" s="17"/>
      <c r="H571" s="17"/>
      <c r="I571" s="17"/>
      <c r="J571" s="17"/>
      <c r="K571" s="17"/>
      <c r="L571" s="17"/>
      <c r="M571" s="17"/>
      <c r="N571" s="17"/>
      <c r="O571" s="17"/>
      <c r="P571" s="17"/>
      <c r="Q571" s="17"/>
      <c r="R571" s="1"/>
      <c r="S571" s="1"/>
    </row>
    <row r="572" spans="1:19" x14ac:dyDescent="0.35">
      <c r="A572" s="6"/>
      <c r="B572" s="13"/>
      <c r="C572" s="81"/>
      <c r="D572" s="4"/>
      <c r="E572" s="8"/>
      <c r="F572" s="17"/>
      <c r="G572" s="17"/>
      <c r="H572" s="17"/>
      <c r="I572" s="17"/>
      <c r="J572" s="17"/>
      <c r="K572" s="17"/>
      <c r="L572" s="17"/>
      <c r="M572" s="17"/>
      <c r="N572" s="17"/>
      <c r="O572" s="17"/>
      <c r="P572" s="17"/>
      <c r="Q572" s="17"/>
      <c r="R572" s="1"/>
      <c r="S572" s="1"/>
    </row>
    <row r="573" spans="1:19" x14ac:dyDescent="0.35">
      <c r="A573" s="6"/>
      <c r="B573" s="13"/>
      <c r="C573" s="81"/>
      <c r="D573" s="4"/>
      <c r="E573" s="8"/>
      <c r="F573" s="17"/>
      <c r="G573" s="17"/>
      <c r="H573" s="17"/>
      <c r="I573" s="17"/>
      <c r="J573" s="17"/>
      <c r="K573" s="17"/>
      <c r="L573" s="17"/>
      <c r="M573" s="17"/>
      <c r="N573" s="17"/>
      <c r="O573" s="17"/>
      <c r="P573" s="17"/>
      <c r="Q573" s="17"/>
      <c r="R573" s="1"/>
      <c r="S573" s="1"/>
    </row>
    <row r="574" spans="1:19" x14ac:dyDescent="0.35">
      <c r="A574" s="6"/>
      <c r="B574" s="13"/>
      <c r="C574" s="81"/>
      <c r="D574" s="4"/>
      <c r="E574" s="8"/>
      <c r="F574" s="17"/>
      <c r="G574" s="17"/>
      <c r="H574" s="17"/>
      <c r="I574" s="17"/>
      <c r="J574" s="17"/>
      <c r="K574" s="17"/>
      <c r="L574" s="17"/>
      <c r="M574" s="17"/>
      <c r="N574" s="17"/>
      <c r="O574" s="17"/>
      <c r="P574" s="17"/>
      <c r="Q574" s="17"/>
      <c r="R574" s="1"/>
      <c r="S574" s="1"/>
    </row>
    <row r="575" spans="1:19" x14ac:dyDescent="0.35">
      <c r="A575" s="6"/>
      <c r="B575" s="13"/>
      <c r="C575" s="81"/>
      <c r="D575" s="4"/>
      <c r="E575" s="8"/>
      <c r="F575" s="17"/>
      <c r="G575" s="17"/>
      <c r="H575" s="17"/>
      <c r="I575" s="17"/>
      <c r="J575" s="17"/>
      <c r="K575" s="17"/>
      <c r="L575" s="17"/>
      <c r="M575" s="17"/>
      <c r="N575" s="17"/>
      <c r="O575" s="17"/>
      <c r="P575" s="17"/>
      <c r="Q575" s="17"/>
      <c r="R575" s="1"/>
      <c r="S575" s="1"/>
    </row>
    <row r="576" spans="1:19" x14ac:dyDescent="0.35">
      <c r="A576" s="6"/>
      <c r="B576" s="13"/>
      <c r="C576" s="81"/>
      <c r="D576" s="4"/>
      <c r="E576" s="8"/>
      <c r="F576" s="17"/>
      <c r="G576" s="17"/>
      <c r="H576" s="17"/>
      <c r="I576" s="17"/>
      <c r="J576" s="17"/>
      <c r="K576" s="17"/>
      <c r="L576" s="17"/>
      <c r="M576" s="17"/>
      <c r="N576" s="17"/>
      <c r="O576" s="17"/>
      <c r="P576" s="17"/>
      <c r="Q576" s="17"/>
      <c r="R576" s="1"/>
      <c r="S576" s="1"/>
    </row>
    <row r="577" spans="1:19" x14ac:dyDescent="0.35">
      <c r="A577" s="6"/>
      <c r="B577" s="13"/>
      <c r="C577" s="81"/>
      <c r="D577" s="4"/>
      <c r="E577" s="8"/>
      <c r="F577" s="17"/>
      <c r="G577" s="17"/>
      <c r="H577" s="17"/>
      <c r="I577" s="17"/>
      <c r="J577" s="17"/>
      <c r="K577" s="17"/>
      <c r="L577" s="17"/>
      <c r="M577" s="17"/>
      <c r="N577" s="17"/>
      <c r="O577" s="17"/>
      <c r="P577" s="17"/>
      <c r="Q577" s="17"/>
      <c r="R577" s="1"/>
      <c r="S577" s="1"/>
    </row>
    <row r="578" spans="1:19" x14ac:dyDescent="0.35">
      <c r="A578" s="6"/>
      <c r="B578" s="13"/>
      <c r="C578" s="81"/>
      <c r="D578" s="4"/>
      <c r="E578" s="8"/>
      <c r="F578" s="17"/>
      <c r="G578" s="17"/>
      <c r="H578" s="17"/>
      <c r="I578" s="17"/>
      <c r="J578" s="17"/>
      <c r="K578" s="17"/>
      <c r="L578" s="17"/>
      <c r="M578" s="17"/>
      <c r="N578" s="17"/>
      <c r="O578" s="17"/>
      <c r="P578" s="17"/>
      <c r="Q578" s="17"/>
      <c r="R578" s="1"/>
      <c r="S578" s="1"/>
    </row>
    <row r="579" spans="1:19" x14ac:dyDescent="0.35">
      <c r="A579" s="6"/>
      <c r="B579" s="13"/>
      <c r="C579" s="81"/>
      <c r="D579" s="4"/>
      <c r="E579" s="8"/>
      <c r="F579" s="17"/>
      <c r="G579" s="17"/>
      <c r="H579" s="17"/>
      <c r="I579" s="17"/>
      <c r="J579" s="17"/>
      <c r="K579" s="17"/>
      <c r="L579" s="17"/>
      <c r="M579" s="17"/>
      <c r="N579" s="17"/>
      <c r="O579" s="17"/>
      <c r="P579" s="17"/>
      <c r="Q579" s="17"/>
      <c r="R579" s="1"/>
      <c r="S579" s="1"/>
    </row>
    <row r="580" spans="1:19" x14ac:dyDescent="0.35">
      <c r="A580" s="6"/>
      <c r="B580" s="13"/>
      <c r="C580" s="81"/>
      <c r="D580" s="4"/>
      <c r="E580" s="8"/>
      <c r="F580" s="17"/>
      <c r="G580" s="17"/>
      <c r="H580" s="17"/>
      <c r="I580" s="17"/>
      <c r="J580" s="17"/>
      <c r="K580" s="17"/>
      <c r="L580" s="17"/>
      <c r="M580" s="17"/>
      <c r="N580" s="17"/>
      <c r="O580" s="17"/>
      <c r="P580" s="17"/>
      <c r="Q580" s="17"/>
      <c r="R580" s="1"/>
      <c r="S580" s="1"/>
    </row>
    <row r="581" spans="1:19" x14ac:dyDescent="0.35">
      <c r="A581" s="6"/>
      <c r="B581" s="13"/>
      <c r="C581" s="81"/>
      <c r="D581" s="4"/>
      <c r="E581" s="8"/>
      <c r="F581" s="17"/>
      <c r="G581" s="17"/>
      <c r="H581" s="17"/>
      <c r="I581" s="17"/>
      <c r="J581" s="17"/>
      <c r="K581" s="17"/>
      <c r="L581" s="17"/>
      <c r="M581" s="17"/>
      <c r="N581" s="17"/>
      <c r="O581" s="17"/>
      <c r="P581" s="17"/>
      <c r="Q581" s="17"/>
      <c r="R581" s="1"/>
      <c r="S581" s="1"/>
    </row>
    <row r="582" spans="1:19" x14ac:dyDescent="0.35">
      <c r="A582" s="6"/>
      <c r="B582" s="13"/>
      <c r="C582" s="81"/>
      <c r="D582" s="4"/>
      <c r="E582" s="8"/>
      <c r="F582" s="17"/>
      <c r="G582" s="17"/>
      <c r="H582" s="17"/>
      <c r="I582" s="17"/>
      <c r="J582" s="17"/>
      <c r="K582" s="17"/>
      <c r="L582" s="17"/>
      <c r="M582" s="17"/>
      <c r="N582" s="17"/>
      <c r="O582" s="17"/>
      <c r="P582" s="17"/>
      <c r="Q582" s="17"/>
      <c r="R582" s="1"/>
      <c r="S582" s="1"/>
    </row>
    <row r="583" spans="1:19" x14ac:dyDescent="0.35">
      <c r="A583" s="6"/>
      <c r="B583" s="13"/>
      <c r="C583" s="81"/>
      <c r="D583" s="4"/>
      <c r="E583" s="8"/>
      <c r="F583" s="17"/>
      <c r="G583" s="17"/>
      <c r="H583" s="17"/>
      <c r="I583" s="17"/>
      <c r="J583" s="17"/>
      <c r="K583" s="17"/>
      <c r="L583" s="17"/>
      <c r="M583" s="17"/>
      <c r="N583" s="17"/>
      <c r="O583" s="17"/>
      <c r="P583" s="17"/>
      <c r="Q583" s="17"/>
      <c r="R583" s="1"/>
      <c r="S583" s="1"/>
    </row>
    <row r="584" spans="1:19" x14ac:dyDescent="0.35">
      <c r="A584" s="6"/>
      <c r="B584" s="13"/>
      <c r="C584" s="81"/>
      <c r="D584" s="4"/>
      <c r="E584" s="8"/>
      <c r="F584" s="17"/>
      <c r="G584" s="17"/>
      <c r="H584" s="17"/>
      <c r="I584" s="17"/>
      <c r="J584" s="17"/>
      <c r="K584" s="17"/>
      <c r="L584" s="17"/>
      <c r="M584" s="17"/>
      <c r="N584" s="17"/>
      <c r="O584" s="17"/>
      <c r="P584" s="17"/>
      <c r="Q584" s="17"/>
      <c r="R584" s="1"/>
      <c r="S584" s="1"/>
    </row>
    <row r="585" spans="1:19" x14ac:dyDescent="0.35">
      <c r="A585" s="6"/>
      <c r="B585" s="13"/>
      <c r="C585" s="81"/>
      <c r="D585" s="4"/>
      <c r="E585" s="8"/>
      <c r="F585" s="17"/>
      <c r="G585" s="17"/>
      <c r="H585" s="17"/>
      <c r="I585" s="17"/>
      <c r="J585" s="17"/>
      <c r="K585" s="17"/>
      <c r="L585" s="17"/>
      <c r="M585" s="17"/>
      <c r="N585" s="17"/>
      <c r="O585" s="17"/>
      <c r="P585" s="17"/>
      <c r="Q585" s="17"/>
      <c r="R585" s="1"/>
      <c r="S585" s="1"/>
    </row>
    <row r="586" spans="1:19" x14ac:dyDescent="0.35">
      <c r="A586" s="6"/>
      <c r="B586" s="13"/>
      <c r="C586" s="81"/>
      <c r="D586" s="4"/>
      <c r="E586" s="8"/>
      <c r="F586" s="17"/>
      <c r="G586" s="17"/>
      <c r="H586" s="17"/>
      <c r="I586" s="17"/>
      <c r="J586" s="17"/>
      <c r="K586" s="17"/>
      <c r="L586" s="17"/>
      <c r="M586" s="17"/>
      <c r="N586" s="17"/>
      <c r="O586" s="17"/>
      <c r="P586" s="17"/>
      <c r="Q586" s="17"/>
      <c r="R586" s="1"/>
      <c r="S586" s="1"/>
    </row>
    <row r="587" spans="1:19" x14ac:dyDescent="0.35">
      <c r="A587" s="6"/>
      <c r="B587" s="13"/>
      <c r="C587" s="81"/>
      <c r="D587" s="4"/>
      <c r="E587" s="8"/>
      <c r="F587" s="17"/>
      <c r="G587" s="17"/>
      <c r="H587" s="17"/>
      <c r="I587" s="17"/>
      <c r="J587" s="17"/>
      <c r="K587" s="17"/>
      <c r="L587" s="17"/>
      <c r="M587" s="17"/>
      <c r="N587" s="17"/>
      <c r="O587" s="17"/>
      <c r="P587" s="17"/>
      <c r="Q587" s="17"/>
      <c r="R587" s="1"/>
      <c r="S587" s="1"/>
    </row>
    <row r="588" spans="1:19" x14ac:dyDescent="0.35">
      <c r="A588" s="6"/>
      <c r="B588" s="13"/>
      <c r="C588" s="81"/>
      <c r="D588" s="4"/>
      <c r="E588" s="8"/>
      <c r="F588" s="17"/>
      <c r="G588" s="17"/>
      <c r="H588" s="17"/>
      <c r="I588" s="17"/>
      <c r="J588" s="17"/>
      <c r="K588" s="17"/>
      <c r="L588" s="17"/>
      <c r="M588" s="17"/>
      <c r="N588" s="17"/>
      <c r="O588" s="17"/>
      <c r="P588" s="17"/>
      <c r="Q588" s="17"/>
      <c r="R588" s="1"/>
      <c r="S588" s="1"/>
    </row>
    <row r="589" spans="1:19" x14ac:dyDescent="0.35">
      <c r="A589" s="6"/>
      <c r="B589" s="13"/>
      <c r="C589" s="81"/>
      <c r="D589" s="4"/>
      <c r="E589" s="8"/>
      <c r="F589" s="17"/>
      <c r="G589" s="17"/>
      <c r="H589" s="17"/>
      <c r="I589" s="17"/>
      <c r="J589" s="17"/>
      <c r="K589" s="17"/>
      <c r="L589" s="17"/>
      <c r="M589" s="17"/>
      <c r="N589" s="17"/>
      <c r="O589" s="17"/>
      <c r="P589" s="17"/>
      <c r="Q589" s="17"/>
      <c r="R589" s="1"/>
      <c r="S589" s="1"/>
    </row>
    <row r="590" spans="1:19" x14ac:dyDescent="0.35">
      <c r="A590" s="6"/>
      <c r="B590" s="13"/>
      <c r="C590" s="81"/>
      <c r="D590" s="4"/>
      <c r="E590" s="8"/>
      <c r="F590" s="17"/>
      <c r="G590" s="17"/>
      <c r="H590" s="17"/>
      <c r="I590" s="17"/>
      <c r="J590" s="17"/>
      <c r="K590" s="17"/>
      <c r="L590" s="17"/>
      <c r="M590" s="17"/>
      <c r="N590" s="17"/>
      <c r="O590" s="17"/>
      <c r="P590" s="17"/>
      <c r="Q590" s="17"/>
      <c r="R590" s="1"/>
      <c r="S590" s="1"/>
    </row>
    <row r="591" spans="1:19" x14ac:dyDescent="0.35">
      <c r="A591" s="6"/>
      <c r="B591" s="13"/>
      <c r="C591" s="81"/>
      <c r="D591" s="4"/>
      <c r="E591" s="8"/>
      <c r="F591" s="17"/>
      <c r="G591" s="17"/>
      <c r="H591" s="17"/>
      <c r="I591" s="17"/>
      <c r="J591" s="17"/>
      <c r="K591" s="17"/>
      <c r="L591" s="17"/>
      <c r="M591" s="17"/>
      <c r="N591" s="17"/>
      <c r="O591" s="17"/>
      <c r="P591" s="17"/>
      <c r="Q591" s="17"/>
      <c r="R591" s="1"/>
      <c r="S591" s="1"/>
    </row>
    <row r="592" spans="1:19" x14ac:dyDescent="0.35">
      <c r="A592" s="6"/>
      <c r="B592" s="13"/>
      <c r="C592" s="81"/>
      <c r="D592" s="4"/>
      <c r="E592" s="8"/>
      <c r="F592" s="17"/>
      <c r="G592" s="17"/>
      <c r="H592" s="17"/>
      <c r="I592" s="17"/>
      <c r="J592" s="17"/>
      <c r="K592" s="17"/>
      <c r="L592" s="17"/>
      <c r="M592" s="17"/>
      <c r="N592" s="17"/>
      <c r="O592" s="17"/>
      <c r="P592" s="17"/>
      <c r="Q592" s="17"/>
      <c r="R592" s="1"/>
      <c r="S592" s="1"/>
    </row>
    <row r="593" spans="1:19" x14ac:dyDescent="0.35">
      <c r="A593" s="6"/>
      <c r="B593" s="13"/>
      <c r="C593" s="81"/>
      <c r="D593" s="4"/>
      <c r="E593" s="8"/>
      <c r="F593" s="17"/>
      <c r="G593" s="17"/>
      <c r="H593" s="17"/>
      <c r="I593" s="17"/>
      <c r="J593" s="17"/>
      <c r="K593" s="17"/>
      <c r="L593" s="17"/>
      <c r="M593" s="17"/>
      <c r="N593" s="17"/>
      <c r="O593" s="17"/>
      <c r="P593" s="17"/>
      <c r="Q593" s="17"/>
      <c r="R593" s="1"/>
      <c r="S593" s="1"/>
    </row>
    <row r="594" spans="1:19" x14ac:dyDescent="0.35">
      <c r="A594" s="6"/>
      <c r="B594" s="13"/>
      <c r="C594" s="81"/>
      <c r="D594" s="4"/>
      <c r="E594" s="8"/>
      <c r="F594" s="17"/>
      <c r="G594" s="17"/>
      <c r="H594" s="17"/>
      <c r="I594" s="17"/>
      <c r="J594" s="17"/>
      <c r="K594" s="17"/>
      <c r="L594" s="17"/>
      <c r="M594" s="17"/>
      <c r="N594" s="17"/>
      <c r="O594" s="17"/>
      <c r="P594" s="17"/>
      <c r="Q594" s="17"/>
      <c r="R594" s="1"/>
      <c r="S594" s="1"/>
    </row>
    <row r="595" spans="1:19" x14ac:dyDescent="0.35">
      <c r="A595" s="6"/>
      <c r="B595" s="13"/>
      <c r="C595" s="81"/>
      <c r="D595" s="4"/>
      <c r="E595" s="8"/>
      <c r="F595" s="17"/>
      <c r="G595" s="17"/>
      <c r="H595" s="17"/>
      <c r="I595" s="17"/>
      <c r="J595" s="17"/>
      <c r="K595" s="17"/>
      <c r="L595" s="17"/>
      <c r="M595" s="17"/>
      <c r="N595" s="17"/>
      <c r="O595" s="17"/>
      <c r="P595" s="17"/>
      <c r="Q595" s="17"/>
      <c r="R595" s="1"/>
      <c r="S595" s="1"/>
    </row>
    <row r="596" spans="1:19" x14ac:dyDescent="0.35">
      <c r="A596" s="6"/>
      <c r="B596" s="13"/>
      <c r="C596" s="81"/>
      <c r="D596" s="4"/>
      <c r="E596" s="8"/>
      <c r="F596" s="17"/>
      <c r="G596" s="17"/>
      <c r="H596" s="17"/>
      <c r="I596" s="17"/>
      <c r="J596" s="17"/>
      <c r="K596" s="17"/>
      <c r="L596" s="17"/>
      <c r="M596" s="17"/>
      <c r="N596" s="17"/>
      <c r="O596" s="17"/>
      <c r="P596" s="17"/>
      <c r="Q596" s="17"/>
      <c r="R596" s="1"/>
      <c r="S596" s="1"/>
    </row>
    <row r="597" spans="1:19" x14ac:dyDescent="0.35">
      <c r="A597" s="6"/>
      <c r="B597" s="13"/>
      <c r="C597" s="81"/>
      <c r="D597" s="4"/>
      <c r="E597" s="8"/>
      <c r="F597" s="17"/>
      <c r="G597" s="17"/>
      <c r="H597" s="17"/>
      <c r="I597" s="17"/>
      <c r="J597" s="17"/>
      <c r="K597" s="17"/>
      <c r="L597" s="17"/>
      <c r="M597" s="17"/>
      <c r="N597" s="17"/>
      <c r="O597" s="17"/>
      <c r="P597" s="17"/>
      <c r="Q597" s="17"/>
      <c r="R597" s="1"/>
      <c r="S597" s="1"/>
    </row>
    <row r="598" spans="1:19" x14ac:dyDescent="0.35">
      <c r="A598" s="6"/>
      <c r="B598" s="13"/>
      <c r="C598" s="81"/>
      <c r="D598" s="4"/>
      <c r="E598" s="8"/>
      <c r="F598" s="17"/>
      <c r="G598" s="17"/>
      <c r="H598" s="17"/>
      <c r="I598" s="17"/>
      <c r="J598" s="17"/>
      <c r="K598" s="17"/>
      <c r="L598" s="17"/>
      <c r="M598" s="17"/>
      <c r="N598" s="17"/>
      <c r="O598" s="17"/>
      <c r="P598" s="17"/>
      <c r="Q598" s="17"/>
      <c r="R598" s="1"/>
      <c r="S598" s="1"/>
    </row>
    <row r="599" spans="1:19" x14ac:dyDescent="0.35">
      <c r="A599" s="6"/>
      <c r="B599" s="13"/>
      <c r="C599" s="81"/>
      <c r="D599" s="4"/>
      <c r="E599" s="8"/>
      <c r="F599" s="17"/>
      <c r="G599" s="17"/>
      <c r="H599" s="17"/>
      <c r="I599" s="17"/>
      <c r="J599" s="17"/>
      <c r="K599" s="17"/>
      <c r="L599" s="17"/>
      <c r="M599" s="17"/>
      <c r="N599" s="17"/>
      <c r="O599" s="17"/>
      <c r="P599" s="17"/>
      <c r="Q599" s="17"/>
      <c r="R599" s="1"/>
      <c r="S599" s="1"/>
    </row>
    <row r="600" spans="1:19" x14ac:dyDescent="0.35">
      <c r="A600" s="6"/>
      <c r="B600" s="13"/>
      <c r="C600" s="81"/>
      <c r="D600" s="4"/>
      <c r="E600" s="8"/>
      <c r="F600" s="17"/>
      <c r="G600" s="17"/>
      <c r="H600" s="17"/>
      <c r="I600" s="17"/>
      <c r="J600" s="17"/>
      <c r="K600" s="17"/>
      <c r="L600" s="17"/>
      <c r="M600" s="17"/>
      <c r="N600" s="17"/>
      <c r="O600" s="17"/>
      <c r="P600" s="17"/>
      <c r="Q600" s="17"/>
      <c r="R600" s="1"/>
      <c r="S600" s="1"/>
    </row>
    <row r="601" spans="1:19" x14ac:dyDescent="0.35">
      <c r="A601" s="6"/>
      <c r="B601" s="13"/>
      <c r="C601" s="81"/>
      <c r="D601" s="4"/>
      <c r="E601" s="8"/>
      <c r="F601" s="17"/>
      <c r="G601" s="17"/>
      <c r="H601" s="17"/>
      <c r="I601" s="17"/>
      <c r="J601" s="17"/>
      <c r="K601" s="17"/>
      <c r="L601" s="17"/>
      <c r="M601" s="17"/>
      <c r="N601" s="17"/>
      <c r="O601" s="17"/>
      <c r="P601" s="17"/>
      <c r="Q601" s="17"/>
      <c r="R601" s="1"/>
      <c r="S601" s="1"/>
    </row>
    <row r="602" spans="1:19" x14ac:dyDescent="0.35">
      <c r="A602" s="6"/>
      <c r="B602" s="13"/>
      <c r="C602" s="81"/>
      <c r="D602" s="4"/>
      <c r="E602" s="8"/>
      <c r="F602" s="17"/>
      <c r="G602" s="17"/>
      <c r="H602" s="17"/>
      <c r="I602" s="17"/>
      <c r="J602" s="17"/>
      <c r="K602" s="17"/>
      <c r="L602" s="17"/>
      <c r="M602" s="17"/>
      <c r="N602" s="17"/>
      <c r="O602" s="17"/>
      <c r="P602" s="17"/>
      <c r="Q602" s="17"/>
      <c r="R602" s="1"/>
      <c r="S602" s="1"/>
    </row>
    <row r="603" spans="1:19" x14ac:dyDescent="0.35">
      <c r="A603" s="6"/>
      <c r="B603" s="13"/>
      <c r="C603" s="81"/>
      <c r="D603" s="4"/>
      <c r="E603" s="8"/>
      <c r="F603" s="17"/>
      <c r="G603" s="17"/>
      <c r="H603" s="17"/>
      <c r="I603" s="17"/>
      <c r="J603" s="17"/>
      <c r="K603" s="17"/>
      <c r="L603" s="17"/>
      <c r="M603" s="17"/>
      <c r="N603" s="17"/>
      <c r="O603" s="17"/>
      <c r="P603" s="17"/>
      <c r="Q603" s="17"/>
      <c r="R603" s="1"/>
      <c r="S603" s="1"/>
    </row>
    <row r="604" spans="1:19" x14ac:dyDescent="0.35">
      <c r="A604" s="6"/>
      <c r="B604" s="13"/>
      <c r="C604" s="81"/>
      <c r="D604" s="4"/>
      <c r="E604" s="8"/>
      <c r="F604" s="17"/>
      <c r="G604" s="17"/>
      <c r="H604" s="17"/>
      <c r="I604" s="17"/>
      <c r="J604" s="17"/>
      <c r="K604" s="17"/>
      <c r="L604" s="17"/>
      <c r="M604" s="17"/>
      <c r="N604" s="17"/>
      <c r="O604" s="17"/>
      <c r="P604" s="17"/>
      <c r="Q604" s="17"/>
      <c r="R604" s="1"/>
      <c r="S604" s="1"/>
    </row>
    <row r="605" spans="1:19" x14ac:dyDescent="0.35">
      <c r="A605" s="6"/>
      <c r="B605" s="13"/>
      <c r="C605" s="81"/>
      <c r="D605" s="4"/>
      <c r="E605" s="8"/>
      <c r="F605" s="17"/>
      <c r="G605" s="17"/>
      <c r="H605" s="17"/>
      <c r="I605" s="17"/>
      <c r="J605" s="17"/>
      <c r="K605" s="17"/>
      <c r="L605" s="17"/>
      <c r="M605" s="17"/>
      <c r="N605" s="17"/>
      <c r="O605" s="17"/>
      <c r="P605" s="17"/>
      <c r="Q605" s="17"/>
      <c r="R605" s="1"/>
      <c r="S605" s="1"/>
    </row>
    <row r="606" spans="1:19" x14ac:dyDescent="0.35">
      <c r="A606" s="6"/>
      <c r="B606" s="13"/>
      <c r="C606" s="81"/>
      <c r="D606" s="4"/>
      <c r="E606" s="8"/>
      <c r="F606" s="17"/>
      <c r="G606" s="17"/>
      <c r="H606" s="17"/>
      <c r="I606" s="17"/>
      <c r="J606" s="17"/>
      <c r="K606" s="17"/>
      <c r="L606" s="17"/>
      <c r="M606" s="17"/>
      <c r="N606" s="17"/>
      <c r="O606" s="17"/>
      <c r="P606" s="17"/>
      <c r="Q606" s="17"/>
      <c r="R606" s="1"/>
      <c r="S606" s="1"/>
    </row>
    <row r="607" spans="1:19" x14ac:dyDescent="0.35">
      <c r="A607" s="6"/>
      <c r="B607" s="13"/>
      <c r="C607" s="81"/>
      <c r="D607" s="4"/>
      <c r="E607" s="8"/>
      <c r="F607" s="17"/>
      <c r="G607" s="17"/>
      <c r="H607" s="17"/>
      <c r="I607" s="17"/>
      <c r="J607" s="17"/>
      <c r="K607" s="17"/>
      <c r="L607" s="17"/>
      <c r="M607" s="17"/>
      <c r="N607" s="17"/>
      <c r="O607" s="17"/>
      <c r="P607" s="17"/>
      <c r="Q607" s="17"/>
      <c r="R607" s="1"/>
      <c r="S607" s="1"/>
    </row>
    <row r="608" spans="1:19" x14ac:dyDescent="0.35">
      <c r="A608" s="6"/>
      <c r="B608" s="13"/>
      <c r="C608" s="81"/>
      <c r="D608" s="4"/>
      <c r="E608" s="8"/>
      <c r="F608" s="17"/>
      <c r="G608" s="17"/>
      <c r="H608" s="17"/>
      <c r="I608" s="17"/>
      <c r="J608" s="17"/>
      <c r="K608" s="17"/>
      <c r="L608" s="17"/>
      <c r="M608" s="17"/>
      <c r="N608" s="17"/>
      <c r="O608" s="17"/>
      <c r="P608" s="17"/>
      <c r="Q608" s="17"/>
      <c r="R608" s="1"/>
      <c r="S608" s="1"/>
    </row>
    <row r="609" spans="1:19" x14ac:dyDescent="0.35">
      <c r="A609" s="6"/>
      <c r="B609" s="13"/>
      <c r="C609" s="81"/>
      <c r="D609" s="4"/>
      <c r="E609" s="8"/>
      <c r="F609" s="17"/>
      <c r="G609" s="17"/>
      <c r="H609" s="17"/>
      <c r="I609" s="17"/>
      <c r="J609" s="17"/>
      <c r="K609" s="17"/>
      <c r="L609" s="17"/>
      <c r="M609" s="17"/>
      <c r="N609" s="17"/>
      <c r="O609" s="17"/>
      <c r="P609" s="17"/>
      <c r="Q609" s="17"/>
      <c r="R609" s="1"/>
      <c r="S609" s="1"/>
    </row>
    <row r="610" spans="1:19" x14ac:dyDescent="0.35">
      <c r="A610" s="6"/>
      <c r="B610" s="13"/>
      <c r="C610" s="81"/>
      <c r="D610" s="4"/>
      <c r="E610" s="8"/>
      <c r="F610" s="17"/>
      <c r="G610" s="17"/>
      <c r="H610" s="17"/>
      <c r="I610" s="17"/>
      <c r="J610" s="17"/>
      <c r="K610" s="17"/>
      <c r="L610" s="17"/>
      <c r="M610" s="17"/>
      <c r="N610" s="17"/>
      <c r="O610" s="17"/>
      <c r="P610" s="17"/>
      <c r="Q610" s="17"/>
      <c r="R610" s="1"/>
      <c r="S610" s="1"/>
    </row>
    <row r="611" spans="1:19" x14ac:dyDescent="0.35">
      <c r="A611" s="6"/>
      <c r="B611" s="13"/>
      <c r="C611" s="81"/>
      <c r="D611" s="4"/>
      <c r="E611" s="8"/>
      <c r="F611" s="17"/>
      <c r="G611" s="17"/>
      <c r="H611" s="17"/>
      <c r="I611" s="17"/>
      <c r="J611" s="17"/>
      <c r="K611" s="17"/>
      <c r="L611" s="17"/>
      <c r="M611" s="17"/>
      <c r="N611" s="17"/>
      <c r="O611" s="17"/>
      <c r="P611" s="17"/>
      <c r="Q611" s="17"/>
      <c r="R611" s="1"/>
      <c r="S611" s="1"/>
    </row>
    <row r="612" spans="1:19" x14ac:dyDescent="0.35">
      <c r="A612" s="6"/>
      <c r="B612" s="13"/>
      <c r="C612" s="81"/>
      <c r="D612" s="4"/>
      <c r="E612" s="8"/>
      <c r="F612" s="17"/>
      <c r="G612" s="17"/>
      <c r="H612" s="17"/>
      <c r="I612" s="17"/>
      <c r="J612" s="17"/>
      <c r="K612" s="17"/>
      <c r="L612" s="17"/>
      <c r="M612" s="17"/>
      <c r="N612" s="17"/>
      <c r="O612" s="17"/>
      <c r="P612" s="17"/>
      <c r="Q612" s="17"/>
      <c r="R612" s="1"/>
      <c r="S612" s="1"/>
    </row>
    <row r="613" spans="1:19" x14ac:dyDescent="0.35">
      <c r="A613" s="6"/>
      <c r="B613" s="13"/>
      <c r="C613" s="81"/>
      <c r="D613" s="4"/>
      <c r="E613" s="8"/>
      <c r="F613" s="17"/>
      <c r="G613" s="17"/>
      <c r="H613" s="17"/>
      <c r="I613" s="17"/>
      <c r="J613" s="17"/>
      <c r="K613" s="17"/>
      <c r="L613" s="17"/>
      <c r="M613" s="17"/>
      <c r="N613" s="17"/>
      <c r="O613" s="17"/>
      <c r="P613" s="17"/>
      <c r="Q613" s="17"/>
      <c r="R613" s="1"/>
      <c r="S613" s="1"/>
    </row>
    <row r="614" spans="1:19" x14ac:dyDescent="0.35">
      <c r="A614" s="6"/>
      <c r="B614" s="13"/>
      <c r="C614" s="81"/>
      <c r="D614" s="4"/>
      <c r="E614" s="8"/>
      <c r="F614" s="17"/>
      <c r="G614" s="17"/>
      <c r="H614" s="17"/>
      <c r="I614" s="17"/>
      <c r="J614" s="17"/>
      <c r="K614" s="17"/>
      <c r="L614" s="17"/>
      <c r="M614" s="17"/>
      <c r="N614" s="17"/>
      <c r="O614" s="17"/>
      <c r="P614" s="17"/>
      <c r="Q614" s="17"/>
      <c r="R614" s="1"/>
      <c r="S614" s="1"/>
    </row>
    <row r="615" spans="1:19" x14ac:dyDescent="0.35">
      <c r="A615" s="6"/>
      <c r="B615" s="13"/>
      <c r="C615" s="81"/>
      <c r="D615" s="4"/>
      <c r="E615" s="8"/>
      <c r="F615" s="17"/>
      <c r="G615" s="17"/>
      <c r="H615" s="17"/>
      <c r="I615" s="17"/>
      <c r="J615" s="17"/>
      <c r="K615" s="17"/>
      <c r="L615" s="17"/>
      <c r="M615" s="17"/>
      <c r="N615" s="17"/>
      <c r="O615" s="17"/>
      <c r="P615" s="17"/>
      <c r="Q615" s="17"/>
      <c r="R615" s="1"/>
      <c r="S615" s="1"/>
    </row>
    <row r="616" spans="1:19" x14ac:dyDescent="0.35">
      <c r="A616" s="6"/>
      <c r="B616" s="13"/>
      <c r="C616" s="81"/>
      <c r="D616" s="4"/>
      <c r="E616" s="8"/>
      <c r="F616" s="17"/>
      <c r="G616" s="17"/>
      <c r="H616" s="17"/>
      <c r="I616" s="17"/>
      <c r="J616" s="17"/>
      <c r="K616" s="17"/>
      <c r="L616" s="17"/>
      <c r="M616" s="17"/>
      <c r="N616" s="17"/>
      <c r="O616" s="17"/>
      <c r="P616" s="17"/>
      <c r="Q616" s="17"/>
      <c r="R616" s="1"/>
      <c r="S616" s="1"/>
    </row>
    <row r="617" spans="1:19" x14ac:dyDescent="0.35">
      <c r="A617" s="6"/>
      <c r="B617" s="13"/>
      <c r="C617" s="81"/>
      <c r="D617" s="4"/>
      <c r="E617" s="8"/>
      <c r="F617" s="17"/>
      <c r="G617" s="17"/>
      <c r="H617" s="17"/>
      <c r="I617" s="17"/>
      <c r="J617" s="17"/>
      <c r="K617" s="17"/>
      <c r="L617" s="17"/>
      <c r="M617" s="17"/>
      <c r="N617" s="17"/>
      <c r="O617" s="17"/>
      <c r="P617" s="17"/>
      <c r="Q617" s="17"/>
      <c r="R617" s="1"/>
      <c r="S617" s="1"/>
    </row>
    <row r="618" spans="1:19" x14ac:dyDescent="0.35">
      <c r="A618" s="6"/>
      <c r="B618" s="13"/>
      <c r="C618" s="81"/>
      <c r="D618" s="4"/>
      <c r="E618" s="8"/>
      <c r="F618" s="17"/>
      <c r="G618" s="17"/>
      <c r="H618" s="17"/>
      <c r="I618" s="17"/>
      <c r="J618" s="17"/>
      <c r="K618" s="17"/>
      <c r="L618" s="17"/>
      <c r="M618" s="17"/>
      <c r="N618" s="17"/>
      <c r="O618" s="17"/>
      <c r="P618" s="17"/>
      <c r="Q618" s="17"/>
      <c r="R618" s="1"/>
      <c r="S618" s="1"/>
    </row>
    <row r="619" spans="1:19" x14ac:dyDescent="0.35">
      <c r="A619" s="6"/>
      <c r="B619" s="13"/>
      <c r="C619" s="81"/>
      <c r="D619" s="4"/>
      <c r="E619" s="8"/>
      <c r="F619" s="17"/>
      <c r="G619" s="17"/>
      <c r="H619" s="17"/>
      <c r="I619" s="17"/>
      <c r="J619" s="17"/>
      <c r="K619" s="17"/>
      <c r="L619" s="17"/>
      <c r="M619" s="17"/>
      <c r="N619" s="17"/>
      <c r="O619" s="17"/>
      <c r="P619" s="17"/>
      <c r="Q619" s="17"/>
      <c r="R619" s="1"/>
      <c r="S619" s="1"/>
    </row>
    <row r="620" spans="1:19" x14ac:dyDescent="0.35">
      <c r="A620" s="6"/>
      <c r="B620" s="13"/>
      <c r="C620" s="81"/>
      <c r="D620" s="4"/>
      <c r="E620" s="8"/>
      <c r="F620" s="17"/>
      <c r="G620" s="17"/>
      <c r="H620" s="17"/>
      <c r="I620" s="17"/>
      <c r="J620" s="17"/>
      <c r="K620" s="17"/>
      <c r="L620" s="17"/>
      <c r="M620" s="17"/>
      <c r="N620" s="17"/>
      <c r="O620" s="17"/>
      <c r="P620" s="17"/>
      <c r="Q620" s="17"/>
      <c r="R620" s="1"/>
      <c r="S620" s="1"/>
    </row>
    <row r="621" spans="1:19" x14ac:dyDescent="0.35">
      <c r="A621" s="6"/>
      <c r="B621" s="13"/>
      <c r="C621" s="81"/>
      <c r="D621" s="4"/>
      <c r="E621" s="8"/>
      <c r="F621" s="17"/>
      <c r="G621" s="17"/>
      <c r="H621" s="17"/>
      <c r="I621" s="17"/>
      <c r="J621" s="17"/>
      <c r="K621" s="17"/>
      <c r="L621" s="17"/>
      <c r="M621" s="17"/>
      <c r="N621" s="17"/>
      <c r="O621" s="17"/>
      <c r="P621" s="17"/>
      <c r="Q621" s="17"/>
      <c r="R621" s="1"/>
      <c r="S621" s="1"/>
    </row>
    <row r="622" spans="1:19" x14ac:dyDescent="0.35">
      <c r="A622" s="6"/>
      <c r="B622" s="13"/>
      <c r="C622" s="81"/>
      <c r="D622" s="4"/>
      <c r="E622" s="8"/>
      <c r="F622" s="17"/>
      <c r="G622" s="17"/>
      <c r="H622" s="17"/>
      <c r="I622" s="17"/>
      <c r="J622" s="17"/>
      <c r="K622" s="17"/>
      <c r="L622" s="17"/>
      <c r="M622" s="17"/>
      <c r="N622" s="17"/>
      <c r="O622" s="17"/>
      <c r="P622" s="17"/>
      <c r="Q622" s="17"/>
      <c r="R622" s="1"/>
      <c r="S622" s="1"/>
    </row>
    <row r="623" spans="1:19" x14ac:dyDescent="0.35">
      <c r="A623" s="6"/>
      <c r="B623" s="13"/>
      <c r="C623" s="81"/>
      <c r="D623" s="4"/>
      <c r="E623" s="8"/>
      <c r="F623" s="17"/>
      <c r="G623" s="17"/>
      <c r="H623" s="17"/>
      <c r="I623" s="17"/>
      <c r="J623" s="17"/>
      <c r="K623" s="17"/>
      <c r="L623" s="17"/>
      <c r="M623" s="17"/>
      <c r="N623" s="17"/>
      <c r="O623" s="17"/>
      <c r="P623" s="17"/>
      <c r="Q623" s="17"/>
      <c r="R623" s="1"/>
      <c r="S623" s="1"/>
    </row>
    <row r="624" spans="1:19" x14ac:dyDescent="0.35">
      <c r="A624" s="6"/>
      <c r="B624" s="13"/>
      <c r="C624" s="81"/>
      <c r="D624" s="4"/>
      <c r="E624" s="8"/>
      <c r="F624" s="17"/>
      <c r="G624" s="17"/>
      <c r="H624" s="17"/>
      <c r="I624" s="17"/>
      <c r="J624" s="17"/>
      <c r="K624" s="17"/>
      <c r="L624" s="17"/>
      <c r="M624" s="17"/>
      <c r="N624" s="17"/>
      <c r="O624" s="17"/>
      <c r="P624" s="17"/>
      <c r="Q624" s="17"/>
      <c r="R624" s="1"/>
      <c r="S624" s="1"/>
    </row>
    <row r="625" spans="1:19" x14ac:dyDescent="0.35">
      <c r="A625" s="6"/>
      <c r="B625" s="13"/>
      <c r="C625" s="81"/>
      <c r="D625" s="4"/>
      <c r="E625" s="8"/>
      <c r="F625" s="17"/>
      <c r="G625" s="17"/>
      <c r="H625" s="17"/>
      <c r="I625" s="17"/>
      <c r="J625" s="17"/>
      <c r="K625" s="17"/>
      <c r="L625" s="17"/>
      <c r="M625" s="17"/>
      <c r="N625" s="17"/>
      <c r="O625" s="17"/>
      <c r="P625" s="17"/>
      <c r="Q625" s="17"/>
      <c r="R625" s="1"/>
      <c r="S625" s="1"/>
    </row>
    <row r="626" spans="1:19" x14ac:dyDescent="0.35">
      <c r="A626" s="6"/>
      <c r="B626" s="13"/>
      <c r="C626" s="81"/>
      <c r="D626" s="4"/>
      <c r="E626" s="8"/>
      <c r="F626" s="17"/>
      <c r="G626" s="17"/>
      <c r="H626" s="17"/>
      <c r="I626" s="17"/>
      <c r="J626" s="17"/>
      <c r="K626" s="17"/>
      <c r="L626" s="17"/>
      <c r="M626" s="17"/>
      <c r="N626" s="17"/>
      <c r="O626" s="17"/>
      <c r="P626" s="17"/>
      <c r="Q626" s="17"/>
      <c r="R626" s="1"/>
      <c r="S626" s="1"/>
    </row>
    <row r="627" spans="1:19" x14ac:dyDescent="0.35">
      <c r="A627" s="6"/>
      <c r="B627" s="13"/>
      <c r="C627" s="81"/>
      <c r="D627" s="4"/>
      <c r="E627" s="8"/>
      <c r="F627" s="17"/>
      <c r="G627" s="17"/>
      <c r="H627" s="17"/>
      <c r="I627" s="17"/>
      <c r="J627" s="17"/>
      <c r="K627" s="17"/>
      <c r="L627" s="17"/>
      <c r="M627" s="17"/>
      <c r="N627" s="17"/>
      <c r="O627" s="17"/>
      <c r="P627" s="17"/>
      <c r="Q627" s="17"/>
      <c r="R627" s="1"/>
      <c r="S627" s="1"/>
    </row>
    <row r="628" spans="1:19" x14ac:dyDescent="0.35">
      <c r="A628" s="6"/>
      <c r="B628" s="13"/>
      <c r="C628" s="81"/>
      <c r="D628" s="4"/>
      <c r="E628" s="8"/>
      <c r="F628" s="17"/>
      <c r="G628" s="17"/>
      <c r="H628" s="17"/>
      <c r="I628" s="17"/>
      <c r="J628" s="17"/>
      <c r="K628" s="17"/>
      <c r="L628" s="17"/>
      <c r="M628" s="17"/>
      <c r="N628" s="17"/>
      <c r="O628" s="17"/>
      <c r="P628" s="17"/>
      <c r="Q628" s="17"/>
      <c r="R628" s="1"/>
      <c r="S628" s="1"/>
    </row>
    <row r="629" spans="1:19" x14ac:dyDescent="0.35">
      <c r="A629" s="6"/>
      <c r="B629" s="13"/>
      <c r="C629" s="81"/>
      <c r="D629" s="4"/>
      <c r="E629" s="8"/>
      <c r="F629" s="17"/>
      <c r="G629" s="17"/>
      <c r="H629" s="17"/>
      <c r="I629" s="17"/>
      <c r="J629" s="17"/>
      <c r="K629" s="17"/>
      <c r="L629" s="17"/>
      <c r="M629" s="17"/>
      <c r="N629" s="17"/>
      <c r="O629" s="17"/>
      <c r="P629" s="17"/>
      <c r="Q629" s="17"/>
      <c r="R629" s="1"/>
      <c r="S629" s="1"/>
    </row>
    <row r="630" spans="1:19" x14ac:dyDescent="0.35">
      <c r="A630" s="6"/>
      <c r="B630" s="13"/>
      <c r="C630" s="81"/>
      <c r="D630" s="4"/>
      <c r="E630" s="8"/>
      <c r="F630" s="17"/>
      <c r="G630" s="17"/>
      <c r="H630" s="17"/>
      <c r="I630" s="17"/>
      <c r="J630" s="17"/>
      <c r="K630" s="17"/>
      <c r="L630" s="17"/>
      <c r="M630" s="17"/>
      <c r="N630" s="17"/>
      <c r="O630" s="17"/>
      <c r="P630" s="17"/>
      <c r="Q630" s="17"/>
      <c r="R630" s="1"/>
      <c r="S630" s="1"/>
    </row>
    <row r="631" spans="1:19" x14ac:dyDescent="0.35">
      <c r="A631" s="6"/>
      <c r="B631" s="13"/>
      <c r="C631" s="81"/>
      <c r="D631" s="4"/>
      <c r="E631" s="8"/>
      <c r="F631" s="17"/>
      <c r="G631" s="17"/>
      <c r="H631" s="17"/>
      <c r="I631" s="17"/>
      <c r="J631" s="17"/>
      <c r="K631" s="17"/>
      <c r="L631" s="17"/>
      <c r="M631" s="17"/>
      <c r="N631" s="17"/>
      <c r="O631" s="17"/>
      <c r="P631" s="17"/>
      <c r="Q631" s="17"/>
      <c r="R631" s="1"/>
      <c r="S631" s="1"/>
    </row>
    <row r="632" spans="1:19" x14ac:dyDescent="0.35">
      <c r="A632" s="6"/>
      <c r="B632" s="13"/>
      <c r="C632" s="81"/>
      <c r="D632" s="4"/>
      <c r="E632" s="8"/>
      <c r="F632" s="17"/>
      <c r="G632" s="17"/>
      <c r="H632" s="17"/>
      <c r="I632" s="17"/>
      <c r="J632" s="17"/>
      <c r="K632" s="17"/>
      <c r="L632" s="17"/>
      <c r="M632" s="17"/>
      <c r="N632" s="17"/>
      <c r="O632" s="17"/>
      <c r="P632" s="17"/>
      <c r="Q632" s="17"/>
      <c r="R632" s="1"/>
      <c r="S632" s="1"/>
    </row>
    <row r="633" spans="1:19" x14ac:dyDescent="0.35">
      <c r="A633" s="6"/>
      <c r="B633" s="13"/>
      <c r="C633" s="81"/>
      <c r="D633" s="4"/>
      <c r="E633" s="8"/>
      <c r="F633" s="17"/>
      <c r="G633" s="17"/>
      <c r="H633" s="17"/>
      <c r="I633" s="17"/>
      <c r="J633" s="17"/>
      <c r="K633" s="17"/>
      <c r="L633" s="17"/>
      <c r="M633" s="17"/>
      <c r="N633" s="17"/>
      <c r="O633" s="17"/>
      <c r="P633" s="17"/>
      <c r="Q633" s="17"/>
      <c r="R633" s="1"/>
      <c r="S633" s="1"/>
    </row>
    <row r="634" spans="1:19" x14ac:dyDescent="0.35">
      <c r="A634" s="6"/>
      <c r="B634" s="13"/>
      <c r="C634" s="81"/>
      <c r="D634" s="4"/>
      <c r="E634" s="8"/>
      <c r="F634" s="17"/>
      <c r="G634" s="17"/>
      <c r="H634" s="17"/>
      <c r="I634" s="17"/>
      <c r="J634" s="17"/>
      <c r="K634" s="17"/>
      <c r="L634" s="17"/>
      <c r="M634" s="17"/>
      <c r="N634" s="17"/>
      <c r="O634" s="17"/>
      <c r="P634" s="17"/>
      <c r="Q634" s="17"/>
      <c r="R634" s="1"/>
      <c r="S634" s="1"/>
    </row>
    <row r="635" spans="1:19" x14ac:dyDescent="0.35">
      <c r="A635" s="6"/>
      <c r="B635" s="13"/>
      <c r="C635" s="81"/>
      <c r="D635" s="4"/>
      <c r="E635" s="8"/>
      <c r="F635" s="17"/>
      <c r="G635" s="17"/>
      <c r="H635" s="17"/>
      <c r="I635" s="17"/>
      <c r="J635" s="17"/>
      <c r="K635" s="17"/>
      <c r="L635" s="17"/>
      <c r="M635" s="17"/>
      <c r="N635" s="17"/>
      <c r="O635" s="17"/>
      <c r="P635" s="17"/>
      <c r="Q635" s="17"/>
      <c r="R635" s="1"/>
      <c r="S635" s="1"/>
    </row>
    <row r="636" spans="1:19" x14ac:dyDescent="0.35">
      <c r="A636" s="6"/>
      <c r="B636" s="13"/>
      <c r="C636" s="81"/>
      <c r="D636" s="4"/>
      <c r="E636" s="8"/>
      <c r="F636" s="17"/>
      <c r="G636" s="17"/>
      <c r="H636" s="17"/>
      <c r="I636" s="17"/>
      <c r="J636" s="17"/>
      <c r="K636" s="17"/>
      <c r="L636" s="17"/>
      <c r="M636" s="17"/>
      <c r="N636" s="17"/>
      <c r="O636" s="17"/>
      <c r="P636" s="17"/>
      <c r="Q636" s="17"/>
      <c r="R636" s="1"/>
      <c r="S636" s="1"/>
    </row>
    <row r="637" spans="1:19" x14ac:dyDescent="0.35">
      <c r="A637" s="6"/>
      <c r="B637" s="13"/>
      <c r="C637" s="81"/>
      <c r="D637" s="4"/>
      <c r="E637" s="8"/>
      <c r="F637" s="17"/>
      <c r="G637" s="17"/>
      <c r="H637" s="17"/>
      <c r="I637" s="17"/>
      <c r="J637" s="17"/>
      <c r="K637" s="17"/>
      <c r="L637" s="17"/>
      <c r="M637" s="17"/>
      <c r="N637" s="17"/>
      <c r="O637" s="17"/>
      <c r="P637" s="17"/>
      <c r="Q637" s="17"/>
      <c r="R637" s="1"/>
      <c r="S637" s="1"/>
    </row>
    <row r="638" spans="1:19" x14ac:dyDescent="0.35">
      <c r="A638" s="6"/>
      <c r="B638" s="13"/>
      <c r="C638" s="81"/>
      <c r="D638" s="4"/>
      <c r="E638" s="8"/>
      <c r="F638" s="17"/>
      <c r="G638" s="17"/>
      <c r="H638" s="17"/>
      <c r="I638" s="17"/>
      <c r="J638" s="17"/>
      <c r="K638" s="17"/>
      <c r="L638" s="17"/>
      <c r="M638" s="17"/>
      <c r="N638" s="17"/>
      <c r="O638" s="17"/>
      <c r="P638" s="17"/>
      <c r="Q638" s="17"/>
      <c r="R638" s="1"/>
      <c r="S638" s="1"/>
    </row>
    <row r="639" spans="1:19" x14ac:dyDescent="0.35">
      <c r="A639" s="6"/>
      <c r="B639" s="13"/>
      <c r="C639" s="81"/>
      <c r="D639" s="4"/>
      <c r="E639" s="8"/>
      <c r="F639" s="17"/>
      <c r="G639" s="17"/>
      <c r="H639" s="17"/>
      <c r="I639" s="17"/>
      <c r="J639" s="17"/>
      <c r="K639" s="17"/>
      <c r="L639" s="17"/>
      <c r="M639" s="17"/>
      <c r="N639" s="17"/>
      <c r="O639" s="17"/>
      <c r="P639" s="17"/>
      <c r="Q639" s="17"/>
      <c r="R639" s="1"/>
      <c r="S639" s="1"/>
    </row>
    <row r="640" spans="1:19" x14ac:dyDescent="0.35">
      <c r="A640" s="6"/>
      <c r="B640" s="13"/>
      <c r="C640" s="81"/>
      <c r="D640" s="4"/>
      <c r="E640" s="8"/>
      <c r="F640" s="17"/>
      <c r="G640" s="17"/>
      <c r="H640" s="17"/>
      <c r="I640" s="17"/>
      <c r="J640" s="17"/>
      <c r="K640" s="17"/>
      <c r="L640" s="17"/>
      <c r="M640" s="17"/>
      <c r="N640" s="17"/>
      <c r="O640" s="17"/>
      <c r="P640" s="17"/>
      <c r="Q640" s="17"/>
      <c r="R640" s="1"/>
      <c r="S640" s="1"/>
    </row>
    <row r="641" spans="1:19" x14ac:dyDescent="0.35">
      <c r="A641" s="6"/>
      <c r="B641" s="13"/>
      <c r="C641" s="81"/>
      <c r="D641" s="4"/>
      <c r="E641" s="8"/>
      <c r="F641" s="17"/>
      <c r="G641" s="17"/>
      <c r="H641" s="17"/>
      <c r="I641" s="17"/>
      <c r="J641" s="17"/>
      <c r="K641" s="17"/>
      <c r="L641" s="17"/>
      <c r="M641" s="17"/>
      <c r="N641" s="17"/>
      <c r="O641" s="17"/>
      <c r="P641" s="17"/>
      <c r="Q641" s="17"/>
      <c r="R641" s="1"/>
      <c r="S641" s="1"/>
    </row>
    <row r="642" spans="1:19" x14ac:dyDescent="0.35">
      <c r="A642" s="6"/>
      <c r="B642" s="13"/>
      <c r="C642" s="81"/>
      <c r="D642" s="4"/>
      <c r="E642" s="8"/>
      <c r="F642" s="17"/>
      <c r="G642" s="17"/>
      <c r="H642" s="17"/>
      <c r="I642" s="17"/>
      <c r="J642" s="17"/>
      <c r="K642" s="17"/>
      <c r="L642" s="17"/>
      <c r="M642" s="17"/>
      <c r="N642" s="17"/>
      <c r="O642" s="17"/>
      <c r="P642" s="17"/>
      <c r="Q642" s="17"/>
      <c r="R642" s="1"/>
      <c r="S642" s="1"/>
    </row>
    <row r="643" spans="1:19" x14ac:dyDescent="0.35">
      <c r="A643" s="6"/>
      <c r="B643" s="13"/>
      <c r="C643" s="81"/>
      <c r="D643" s="4"/>
      <c r="E643" s="8"/>
      <c r="F643" s="17"/>
      <c r="G643" s="17"/>
      <c r="H643" s="17"/>
      <c r="I643" s="17"/>
      <c r="J643" s="17"/>
      <c r="K643" s="17"/>
      <c r="L643" s="17"/>
      <c r="M643" s="17"/>
      <c r="N643" s="17"/>
      <c r="O643" s="17"/>
      <c r="P643" s="17"/>
      <c r="Q643" s="17"/>
      <c r="R643" s="1"/>
      <c r="S643" s="1"/>
    </row>
    <row r="644" spans="1:19" x14ac:dyDescent="0.35">
      <c r="A644" s="6"/>
      <c r="B644" s="13"/>
      <c r="C644" s="81"/>
      <c r="D644" s="4"/>
      <c r="E644" s="8"/>
      <c r="F644" s="17"/>
      <c r="G644" s="17"/>
      <c r="H644" s="17"/>
      <c r="I644" s="17"/>
      <c r="J644" s="17"/>
      <c r="K644" s="17"/>
      <c r="L644" s="17"/>
      <c r="M644" s="17"/>
      <c r="N644" s="17"/>
      <c r="O644" s="17"/>
      <c r="P644" s="17"/>
      <c r="Q644" s="17"/>
      <c r="R644" s="1"/>
      <c r="S644" s="1"/>
    </row>
    <row r="645" spans="1:19" x14ac:dyDescent="0.35">
      <c r="A645" s="6"/>
      <c r="B645" s="13"/>
      <c r="C645" s="81"/>
      <c r="D645" s="4"/>
      <c r="E645" s="8"/>
      <c r="F645" s="17"/>
      <c r="G645" s="17"/>
      <c r="H645" s="17"/>
      <c r="I645" s="17"/>
      <c r="J645" s="17"/>
      <c r="K645" s="17"/>
      <c r="L645" s="17"/>
      <c r="M645" s="17"/>
      <c r="N645" s="17"/>
      <c r="O645" s="17"/>
      <c r="P645" s="17"/>
      <c r="Q645" s="17"/>
      <c r="R645" s="1"/>
      <c r="S645" s="1"/>
    </row>
    <row r="646" spans="1:19" x14ac:dyDescent="0.35">
      <c r="A646" s="6"/>
      <c r="B646" s="13"/>
      <c r="C646" s="81"/>
      <c r="D646" s="4"/>
      <c r="E646" s="8"/>
      <c r="F646" s="17"/>
      <c r="G646" s="17"/>
      <c r="H646" s="17"/>
      <c r="I646" s="17"/>
      <c r="J646" s="17"/>
      <c r="K646" s="17"/>
      <c r="L646" s="17"/>
      <c r="M646" s="17"/>
      <c r="N646" s="17"/>
      <c r="O646" s="17"/>
      <c r="P646" s="17"/>
      <c r="Q646" s="17"/>
      <c r="R646" s="1"/>
      <c r="S646" s="1"/>
    </row>
    <row r="647" spans="1:19" x14ac:dyDescent="0.35">
      <c r="A647" s="6"/>
      <c r="B647" s="13"/>
      <c r="C647" s="81"/>
      <c r="D647" s="4"/>
      <c r="E647" s="8"/>
      <c r="F647" s="17"/>
      <c r="G647" s="17"/>
      <c r="H647" s="17"/>
      <c r="I647" s="17"/>
      <c r="J647" s="17"/>
      <c r="K647" s="17"/>
      <c r="L647" s="17"/>
      <c r="M647" s="17"/>
      <c r="N647" s="17"/>
      <c r="O647" s="17"/>
      <c r="P647" s="17"/>
      <c r="Q647" s="17"/>
      <c r="R647" s="1"/>
      <c r="S647" s="1"/>
    </row>
    <row r="648" spans="1:19" x14ac:dyDescent="0.35">
      <c r="A648" s="6"/>
      <c r="B648" s="13"/>
      <c r="C648" s="81"/>
      <c r="D648" s="4"/>
      <c r="E648" s="8"/>
      <c r="F648" s="17"/>
      <c r="G648" s="17"/>
      <c r="H648" s="17"/>
      <c r="I648" s="17"/>
      <c r="J648" s="17"/>
      <c r="K648" s="17"/>
      <c r="L648" s="17"/>
      <c r="M648" s="17"/>
      <c r="N648" s="17"/>
      <c r="O648" s="17"/>
      <c r="P648" s="17"/>
      <c r="Q648" s="17"/>
      <c r="R648" s="1"/>
      <c r="S648" s="1"/>
    </row>
    <row r="649" spans="1:19" x14ac:dyDescent="0.35">
      <c r="A649" s="6"/>
      <c r="B649" s="13"/>
      <c r="C649" s="81"/>
      <c r="D649" s="4"/>
      <c r="E649" s="8"/>
      <c r="F649" s="17"/>
      <c r="G649" s="17"/>
      <c r="H649" s="17"/>
      <c r="I649" s="17"/>
      <c r="J649" s="17"/>
      <c r="K649" s="17"/>
      <c r="L649" s="17"/>
      <c r="M649" s="17"/>
      <c r="N649" s="17"/>
      <c r="O649" s="17"/>
      <c r="P649" s="17"/>
      <c r="Q649" s="17"/>
      <c r="R649" s="1"/>
      <c r="S649" s="1"/>
    </row>
    <row r="650" spans="1:19" x14ac:dyDescent="0.35">
      <c r="A650" s="6"/>
      <c r="B650" s="13"/>
      <c r="C650" s="81"/>
      <c r="D650" s="4"/>
      <c r="E650" s="8"/>
      <c r="F650" s="17"/>
      <c r="G650" s="17"/>
      <c r="H650" s="17"/>
      <c r="I650" s="17"/>
      <c r="J650" s="17"/>
      <c r="K650" s="17"/>
      <c r="L650" s="17"/>
      <c r="M650" s="17"/>
      <c r="N650" s="17"/>
      <c r="O650" s="17"/>
      <c r="P650" s="17"/>
      <c r="Q650" s="17"/>
      <c r="R650" s="1"/>
      <c r="S650" s="1"/>
    </row>
    <row r="651" spans="1:19" x14ac:dyDescent="0.35">
      <c r="A651" s="6"/>
      <c r="B651" s="13"/>
      <c r="C651" s="81"/>
      <c r="D651" s="4"/>
      <c r="E651" s="8"/>
      <c r="F651" s="17"/>
      <c r="G651" s="17"/>
      <c r="H651" s="17"/>
      <c r="I651" s="17"/>
      <c r="J651" s="17"/>
      <c r="K651" s="17"/>
      <c r="L651" s="17"/>
      <c r="M651" s="17"/>
      <c r="N651" s="17"/>
      <c r="O651" s="17"/>
      <c r="P651" s="17"/>
      <c r="Q651" s="17"/>
      <c r="R651" s="1"/>
      <c r="S651" s="1"/>
    </row>
    <row r="652" spans="1:19" x14ac:dyDescent="0.35">
      <c r="A652" s="6"/>
      <c r="B652" s="13"/>
      <c r="C652" s="81"/>
      <c r="D652" s="4"/>
      <c r="E652" s="8"/>
      <c r="F652" s="17"/>
      <c r="G652" s="17"/>
      <c r="H652" s="17"/>
      <c r="I652" s="17"/>
      <c r="J652" s="17"/>
      <c r="K652" s="17"/>
      <c r="L652" s="17"/>
      <c r="M652" s="17"/>
      <c r="N652" s="17"/>
      <c r="O652" s="17"/>
      <c r="P652" s="17"/>
      <c r="Q652" s="17"/>
      <c r="R652" s="1"/>
      <c r="S652" s="1"/>
    </row>
    <row r="653" spans="1:19" x14ac:dyDescent="0.35">
      <c r="A653" s="6"/>
      <c r="B653" s="13"/>
      <c r="C653" s="81"/>
      <c r="D653" s="4"/>
      <c r="E653" s="8"/>
      <c r="F653" s="17"/>
      <c r="G653" s="17"/>
      <c r="H653" s="17"/>
      <c r="I653" s="17"/>
      <c r="J653" s="17"/>
      <c r="K653" s="17"/>
      <c r="L653" s="17"/>
      <c r="M653" s="17"/>
      <c r="N653" s="17"/>
      <c r="O653" s="17"/>
      <c r="P653" s="17"/>
      <c r="Q653" s="17"/>
      <c r="R653" s="1"/>
      <c r="S653" s="1"/>
    </row>
    <row r="654" spans="1:19" x14ac:dyDescent="0.35">
      <c r="A654" s="6"/>
      <c r="B654" s="13"/>
      <c r="C654" s="81"/>
      <c r="D654" s="4"/>
      <c r="E654" s="8"/>
      <c r="F654" s="17"/>
      <c r="G654" s="17"/>
      <c r="H654" s="17"/>
      <c r="I654" s="17"/>
      <c r="J654" s="17"/>
      <c r="K654" s="17"/>
      <c r="L654" s="17"/>
      <c r="M654" s="17"/>
      <c r="N654" s="17"/>
      <c r="O654" s="17"/>
      <c r="P654" s="17"/>
      <c r="Q654" s="17"/>
      <c r="R654" s="1"/>
      <c r="S654" s="1"/>
    </row>
    <row r="655" spans="1:19" x14ac:dyDescent="0.35">
      <c r="A655" s="6"/>
      <c r="B655" s="13"/>
      <c r="C655" s="81"/>
      <c r="D655" s="4"/>
      <c r="E655" s="8"/>
      <c r="F655" s="17"/>
      <c r="G655" s="17"/>
      <c r="H655" s="17"/>
      <c r="I655" s="17"/>
      <c r="J655" s="17"/>
      <c r="K655" s="17"/>
      <c r="L655" s="17"/>
      <c r="M655" s="17"/>
      <c r="N655" s="17"/>
      <c r="O655" s="17"/>
      <c r="P655" s="17"/>
      <c r="Q655" s="17"/>
      <c r="R655" s="1"/>
      <c r="S655" s="1"/>
    </row>
    <row r="656" spans="1:19" x14ac:dyDescent="0.35">
      <c r="A656" s="6"/>
      <c r="B656" s="13"/>
      <c r="C656" s="81"/>
      <c r="D656" s="4"/>
      <c r="E656" s="8"/>
      <c r="F656" s="17"/>
      <c r="G656" s="17"/>
      <c r="H656" s="17"/>
      <c r="I656" s="17"/>
      <c r="J656" s="17"/>
      <c r="K656" s="17"/>
      <c r="L656" s="17"/>
      <c r="M656" s="17"/>
      <c r="N656" s="17"/>
      <c r="O656" s="17"/>
      <c r="P656" s="17"/>
      <c r="Q656" s="17"/>
      <c r="R656" s="1"/>
      <c r="S656" s="1"/>
    </row>
    <row r="657" spans="1:19" x14ac:dyDescent="0.35">
      <c r="A657" s="6"/>
      <c r="B657" s="13"/>
      <c r="C657" s="81"/>
      <c r="D657" s="4"/>
      <c r="E657" s="8"/>
      <c r="F657" s="17"/>
      <c r="G657" s="17"/>
      <c r="H657" s="17"/>
      <c r="I657" s="17"/>
      <c r="J657" s="17"/>
      <c r="K657" s="17"/>
      <c r="L657" s="17"/>
      <c r="M657" s="17"/>
      <c r="N657" s="17"/>
      <c r="O657" s="17"/>
      <c r="P657" s="17"/>
      <c r="Q657" s="17"/>
      <c r="R657" s="1"/>
      <c r="S657" s="1"/>
    </row>
    <row r="658" spans="1:19" x14ac:dyDescent="0.35">
      <c r="A658" s="6"/>
      <c r="B658" s="13"/>
      <c r="C658" s="81"/>
      <c r="D658" s="4"/>
      <c r="E658" s="8"/>
      <c r="F658" s="17"/>
      <c r="G658" s="17"/>
      <c r="H658" s="17"/>
      <c r="I658" s="17"/>
      <c r="J658" s="17"/>
      <c r="K658" s="17"/>
      <c r="L658" s="17"/>
      <c r="M658" s="17"/>
      <c r="N658" s="17"/>
      <c r="O658" s="17"/>
      <c r="P658" s="17"/>
      <c r="Q658" s="17"/>
      <c r="R658" s="1"/>
      <c r="S658" s="1"/>
    </row>
    <row r="659" spans="1:19" x14ac:dyDescent="0.35">
      <c r="A659" s="6"/>
      <c r="B659" s="13"/>
      <c r="C659" s="81"/>
      <c r="D659" s="4"/>
      <c r="E659" s="8"/>
      <c r="F659" s="17"/>
      <c r="G659" s="17"/>
      <c r="H659" s="17"/>
      <c r="I659" s="17"/>
      <c r="J659" s="17"/>
      <c r="K659" s="17"/>
      <c r="L659" s="17"/>
      <c r="M659" s="17"/>
      <c r="N659" s="17"/>
      <c r="O659" s="17"/>
      <c r="P659" s="17"/>
      <c r="Q659" s="17"/>
      <c r="R659" s="1"/>
      <c r="S659" s="1"/>
    </row>
    <row r="660" spans="1:19" x14ac:dyDescent="0.35">
      <c r="A660" s="6"/>
      <c r="B660" s="13"/>
      <c r="C660" s="81"/>
      <c r="D660" s="4"/>
      <c r="E660" s="8"/>
      <c r="F660" s="17"/>
      <c r="G660" s="17"/>
      <c r="H660" s="17"/>
      <c r="I660" s="17"/>
      <c r="J660" s="17"/>
      <c r="K660" s="17"/>
      <c r="L660" s="17"/>
      <c r="M660" s="17"/>
      <c r="N660" s="17"/>
      <c r="O660" s="17"/>
      <c r="P660" s="17"/>
      <c r="Q660" s="17"/>
      <c r="R660" s="1"/>
      <c r="S660" s="1"/>
    </row>
    <row r="661" spans="1:19" x14ac:dyDescent="0.35">
      <c r="A661" s="6"/>
      <c r="B661" s="13"/>
      <c r="C661" s="81"/>
      <c r="D661" s="4"/>
      <c r="E661" s="8"/>
      <c r="F661" s="17"/>
      <c r="G661" s="17"/>
      <c r="H661" s="17"/>
      <c r="I661" s="17"/>
      <c r="J661" s="17"/>
      <c r="K661" s="17"/>
      <c r="L661" s="17"/>
      <c r="M661" s="17"/>
      <c r="N661" s="17"/>
      <c r="O661" s="17"/>
      <c r="P661" s="17"/>
      <c r="Q661" s="17"/>
      <c r="R661" s="1"/>
      <c r="S661" s="1"/>
    </row>
    <row r="662" spans="1:19" x14ac:dyDescent="0.35">
      <c r="A662" s="6"/>
      <c r="B662" s="13"/>
      <c r="C662" s="81"/>
      <c r="D662" s="4"/>
      <c r="E662" s="8"/>
      <c r="F662" s="17"/>
      <c r="G662" s="17"/>
      <c r="H662" s="17"/>
      <c r="I662" s="17"/>
      <c r="J662" s="17"/>
      <c r="K662" s="17"/>
      <c r="L662" s="17"/>
      <c r="M662" s="17"/>
      <c r="N662" s="17"/>
      <c r="O662" s="17"/>
      <c r="P662" s="17"/>
      <c r="Q662" s="17"/>
      <c r="R662" s="1"/>
      <c r="S662" s="1"/>
    </row>
    <row r="663" spans="1:19" x14ac:dyDescent="0.35">
      <c r="A663" s="6"/>
      <c r="B663" s="13"/>
      <c r="C663" s="81"/>
      <c r="D663" s="4"/>
      <c r="E663" s="8"/>
      <c r="F663" s="17"/>
      <c r="G663" s="17"/>
      <c r="H663" s="17"/>
      <c r="I663" s="17"/>
      <c r="J663" s="17"/>
      <c r="K663" s="17"/>
      <c r="L663" s="17"/>
      <c r="M663" s="17"/>
      <c r="N663" s="17"/>
      <c r="O663" s="17"/>
      <c r="P663" s="17"/>
      <c r="Q663" s="17"/>
      <c r="R663" s="1"/>
      <c r="S663" s="1"/>
    </row>
    <row r="664" spans="1:19" x14ac:dyDescent="0.35">
      <c r="A664" s="6"/>
      <c r="B664" s="13"/>
      <c r="C664" s="81"/>
      <c r="D664" s="4"/>
      <c r="E664" s="8"/>
      <c r="F664" s="17"/>
      <c r="G664" s="17"/>
      <c r="H664" s="17"/>
      <c r="I664" s="17"/>
      <c r="J664" s="17"/>
      <c r="K664" s="17"/>
      <c r="L664" s="17"/>
      <c r="M664" s="17"/>
      <c r="N664" s="17"/>
      <c r="O664" s="17"/>
      <c r="P664" s="17"/>
      <c r="Q664" s="17"/>
      <c r="R664" s="1"/>
      <c r="S664" s="1"/>
    </row>
    <row r="665" spans="1:19" x14ac:dyDescent="0.35">
      <c r="A665" s="6"/>
      <c r="B665" s="13"/>
      <c r="C665" s="81"/>
      <c r="D665" s="4"/>
      <c r="E665" s="8"/>
      <c r="F665" s="17"/>
      <c r="G665" s="17"/>
      <c r="H665" s="17"/>
      <c r="I665" s="17"/>
      <c r="J665" s="17"/>
      <c r="K665" s="17"/>
      <c r="L665" s="17"/>
      <c r="M665" s="17"/>
      <c r="N665" s="17"/>
      <c r="O665" s="17"/>
      <c r="P665" s="17"/>
      <c r="Q665" s="17"/>
      <c r="R665" s="1"/>
      <c r="S665" s="1"/>
    </row>
    <row r="666" spans="1:19" x14ac:dyDescent="0.35">
      <c r="A666" s="6"/>
      <c r="B666" s="13"/>
      <c r="C666" s="81"/>
      <c r="D666" s="4"/>
      <c r="E666" s="8"/>
      <c r="F666" s="17"/>
      <c r="G666" s="17"/>
      <c r="H666" s="17"/>
      <c r="I666" s="17"/>
      <c r="J666" s="17"/>
      <c r="K666" s="17"/>
      <c r="L666" s="17"/>
      <c r="M666" s="17"/>
      <c r="N666" s="17"/>
      <c r="O666" s="17"/>
      <c r="P666" s="17"/>
      <c r="Q666" s="17"/>
      <c r="R666" s="1"/>
      <c r="S666" s="1"/>
    </row>
    <row r="667" spans="1:19" x14ac:dyDescent="0.35">
      <c r="A667" s="6"/>
      <c r="B667" s="13"/>
      <c r="C667" s="81"/>
      <c r="D667" s="4"/>
      <c r="E667" s="8"/>
      <c r="F667" s="17"/>
      <c r="G667" s="17"/>
      <c r="H667" s="17"/>
      <c r="I667" s="17"/>
      <c r="J667" s="17"/>
      <c r="K667" s="17"/>
      <c r="L667" s="17"/>
      <c r="M667" s="17"/>
      <c r="N667" s="17"/>
      <c r="O667" s="17"/>
      <c r="P667" s="17"/>
      <c r="Q667" s="17"/>
      <c r="R667" s="1"/>
      <c r="S667" s="1"/>
    </row>
    <row r="668" spans="1:19" x14ac:dyDescent="0.35">
      <c r="A668" s="6"/>
      <c r="B668" s="13"/>
      <c r="C668" s="81"/>
      <c r="D668" s="4"/>
      <c r="E668" s="8"/>
      <c r="F668" s="17"/>
      <c r="G668" s="17"/>
      <c r="H668" s="17"/>
      <c r="I668" s="17"/>
      <c r="J668" s="17"/>
      <c r="K668" s="17"/>
      <c r="L668" s="17"/>
      <c r="M668" s="17"/>
      <c r="N668" s="17"/>
      <c r="O668" s="17"/>
      <c r="P668" s="17"/>
      <c r="Q668" s="17"/>
      <c r="R668" s="1"/>
      <c r="S668" s="1"/>
    </row>
    <row r="669" spans="1:19" x14ac:dyDescent="0.35">
      <c r="A669" s="6"/>
      <c r="B669" s="13"/>
      <c r="C669" s="81"/>
      <c r="D669" s="4"/>
      <c r="E669" s="8"/>
      <c r="F669" s="17"/>
      <c r="G669" s="17"/>
      <c r="H669" s="17"/>
      <c r="I669" s="17"/>
      <c r="J669" s="17"/>
      <c r="K669" s="17"/>
      <c r="L669" s="17"/>
      <c r="M669" s="17"/>
      <c r="N669" s="17"/>
      <c r="O669" s="17"/>
      <c r="P669" s="17"/>
      <c r="Q669" s="17"/>
      <c r="R669" s="1"/>
      <c r="S669" s="1"/>
    </row>
    <row r="670" spans="1:19" x14ac:dyDescent="0.35">
      <c r="A670" s="6"/>
      <c r="B670" s="13"/>
      <c r="C670" s="81"/>
      <c r="D670" s="4"/>
      <c r="E670" s="8"/>
      <c r="F670" s="17"/>
      <c r="G670" s="17"/>
      <c r="H670" s="17"/>
      <c r="I670" s="17"/>
      <c r="J670" s="17"/>
      <c r="K670" s="17"/>
      <c r="L670" s="17"/>
      <c r="M670" s="17"/>
      <c r="N670" s="17"/>
      <c r="O670" s="17"/>
      <c r="P670" s="17"/>
      <c r="Q670" s="17"/>
      <c r="R670" s="1"/>
      <c r="S670" s="1"/>
    </row>
    <row r="671" spans="1:19" x14ac:dyDescent="0.35">
      <c r="A671" s="6"/>
      <c r="B671" s="13"/>
      <c r="C671" s="81"/>
      <c r="D671" s="4"/>
      <c r="E671" s="8"/>
      <c r="F671" s="17"/>
      <c r="G671" s="17"/>
      <c r="H671" s="17"/>
      <c r="I671" s="17"/>
      <c r="J671" s="17"/>
      <c r="K671" s="17"/>
      <c r="L671" s="17"/>
      <c r="M671" s="17"/>
      <c r="N671" s="17"/>
      <c r="O671" s="17"/>
      <c r="P671" s="17"/>
      <c r="Q671" s="17"/>
      <c r="R671" s="1"/>
      <c r="S671" s="1"/>
    </row>
    <row r="672" spans="1:19" x14ac:dyDescent="0.35">
      <c r="A672" s="6"/>
      <c r="B672" s="13"/>
      <c r="C672" s="81"/>
      <c r="D672" s="4"/>
      <c r="E672" s="8"/>
      <c r="F672" s="17"/>
      <c r="G672" s="17"/>
      <c r="H672" s="17"/>
      <c r="I672" s="17"/>
      <c r="J672" s="17"/>
      <c r="K672" s="17"/>
      <c r="L672" s="17"/>
      <c r="M672" s="17"/>
      <c r="N672" s="17"/>
      <c r="O672" s="17"/>
      <c r="P672" s="17"/>
      <c r="Q672" s="17"/>
      <c r="R672" s="1"/>
      <c r="S672" s="1"/>
    </row>
    <row r="673" spans="1:19" x14ac:dyDescent="0.35">
      <c r="A673" s="6"/>
      <c r="B673" s="13"/>
      <c r="C673" s="81"/>
      <c r="D673" s="4"/>
      <c r="E673" s="8"/>
      <c r="F673" s="17"/>
      <c r="G673" s="17"/>
      <c r="H673" s="17"/>
      <c r="I673" s="17"/>
      <c r="J673" s="17"/>
      <c r="K673" s="17"/>
      <c r="L673" s="17"/>
      <c r="M673" s="17"/>
      <c r="N673" s="17"/>
      <c r="O673" s="17"/>
      <c r="P673" s="17"/>
      <c r="Q673" s="17"/>
      <c r="R673" s="1"/>
      <c r="S673" s="1"/>
    </row>
    <row r="674" spans="1:19" x14ac:dyDescent="0.35">
      <c r="A674" s="6"/>
      <c r="B674" s="13"/>
      <c r="C674" s="81"/>
      <c r="D674" s="4"/>
      <c r="E674" s="8"/>
      <c r="F674" s="17"/>
      <c r="G674" s="17"/>
      <c r="H674" s="17"/>
      <c r="I674" s="17"/>
      <c r="J674" s="17"/>
      <c r="K674" s="17"/>
      <c r="L674" s="17"/>
      <c r="M674" s="17"/>
      <c r="N674" s="17"/>
      <c r="O674" s="17"/>
      <c r="P674" s="17"/>
      <c r="Q674" s="17"/>
      <c r="R674" s="1"/>
      <c r="S674" s="1"/>
    </row>
    <row r="675" spans="1:19" x14ac:dyDescent="0.35">
      <c r="A675" s="6"/>
      <c r="B675" s="13"/>
      <c r="C675" s="81"/>
      <c r="D675" s="4"/>
      <c r="E675" s="8"/>
      <c r="F675" s="17"/>
      <c r="G675" s="17"/>
      <c r="H675" s="17"/>
      <c r="I675" s="17"/>
      <c r="J675" s="17"/>
      <c r="K675" s="17"/>
      <c r="L675" s="17"/>
      <c r="M675" s="17"/>
      <c r="N675" s="17"/>
      <c r="O675" s="17"/>
      <c r="P675" s="17"/>
      <c r="Q675" s="17"/>
      <c r="R675" s="1"/>
      <c r="S675" s="1"/>
    </row>
    <row r="676" spans="1:19" x14ac:dyDescent="0.35">
      <c r="A676" s="6"/>
      <c r="B676" s="13"/>
      <c r="C676" s="81"/>
      <c r="D676" s="4"/>
      <c r="E676" s="8"/>
      <c r="F676" s="17"/>
      <c r="G676" s="17"/>
      <c r="H676" s="17"/>
      <c r="I676" s="17"/>
      <c r="J676" s="17"/>
      <c r="K676" s="17"/>
      <c r="L676" s="17"/>
      <c r="M676" s="17"/>
      <c r="N676" s="17"/>
      <c r="O676" s="17"/>
      <c r="P676" s="17"/>
      <c r="Q676" s="17"/>
      <c r="R676" s="1"/>
      <c r="S676" s="1"/>
    </row>
    <row r="677" spans="1:19" x14ac:dyDescent="0.35">
      <c r="A677" s="6"/>
      <c r="B677" s="13"/>
      <c r="C677" s="81"/>
      <c r="D677" s="4"/>
      <c r="E677" s="8"/>
      <c r="F677" s="17"/>
      <c r="G677" s="17"/>
      <c r="H677" s="17"/>
      <c r="I677" s="17"/>
      <c r="J677" s="17"/>
      <c r="K677" s="17"/>
      <c r="L677" s="17"/>
      <c r="M677" s="17"/>
      <c r="N677" s="17"/>
      <c r="O677" s="17"/>
      <c r="P677" s="17"/>
      <c r="Q677" s="17"/>
      <c r="R677" s="1"/>
      <c r="S677" s="1"/>
    </row>
    <row r="678" spans="1:19" x14ac:dyDescent="0.35">
      <c r="A678" s="6"/>
      <c r="B678" s="13"/>
      <c r="C678" s="81"/>
      <c r="D678" s="4"/>
      <c r="E678" s="8"/>
      <c r="F678" s="17"/>
      <c r="G678" s="17"/>
      <c r="H678" s="17"/>
      <c r="I678" s="17"/>
      <c r="J678" s="17"/>
      <c r="K678" s="17"/>
      <c r="L678" s="17"/>
      <c r="M678" s="17"/>
      <c r="N678" s="17"/>
      <c r="O678" s="17"/>
      <c r="P678" s="17"/>
      <c r="Q678" s="17"/>
      <c r="R678" s="1"/>
      <c r="S678" s="1"/>
    </row>
    <row r="679" spans="1:19" x14ac:dyDescent="0.35">
      <c r="A679" s="6"/>
      <c r="B679" s="13"/>
      <c r="C679" s="81"/>
      <c r="D679" s="4"/>
      <c r="E679" s="8"/>
      <c r="F679" s="17"/>
      <c r="G679" s="17"/>
      <c r="H679" s="17"/>
      <c r="I679" s="17"/>
      <c r="J679" s="17"/>
      <c r="K679" s="17"/>
      <c r="L679" s="17"/>
      <c r="M679" s="17"/>
      <c r="N679" s="17"/>
      <c r="O679" s="17"/>
      <c r="P679" s="17"/>
      <c r="Q679" s="17"/>
      <c r="R679" s="1"/>
      <c r="S679" s="1"/>
    </row>
    <row r="680" spans="1:19" x14ac:dyDescent="0.35">
      <c r="A680" s="6"/>
      <c r="B680" s="13"/>
      <c r="C680" s="81"/>
      <c r="D680" s="4"/>
      <c r="E680" s="8"/>
      <c r="F680" s="17"/>
      <c r="G680" s="17"/>
      <c r="H680" s="17"/>
      <c r="I680" s="17"/>
      <c r="J680" s="17"/>
      <c r="K680" s="17"/>
      <c r="L680" s="17"/>
      <c r="M680" s="17"/>
      <c r="N680" s="17"/>
      <c r="O680" s="17"/>
      <c r="P680" s="17"/>
      <c r="Q680" s="17"/>
      <c r="R680" s="1"/>
      <c r="S680" s="1"/>
    </row>
    <row r="681" spans="1:19" x14ac:dyDescent="0.35">
      <c r="A681" s="6"/>
      <c r="B681" s="13"/>
      <c r="C681" s="81"/>
      <c r="D681" s="4"/>
      <c r="E681" s="8"/>
      <c r="F681" s="17"/>
      <c r="G681" s="17"/>
      <c r="H681" s="17"/>
      <c r="I681" s="17"/>
      <c r="J681" s="17"/>
      <c r="K681" s="17"/>
      <c r="L681" s="17"/>
      <c r="M681" s="17"/>
      <c r="N681" s="17"/>
      <c r="O681" s="17"/>
      <c r="P681" s="17"/>
      <c r="Q681" s="17"/>
      <c r="R681" s="1"/>
      <c r="S681" s="1"/>
    </row>
    <row r="682" spans="1:19" x14ac:dyDescent="0.35">
      <c r="A682" s="6"/>
      <c r="B682" s="13"/>
      <c r="C682" s="81"/>
      <c r="D682" s="4"/>
      <c r="E682" s="8"/>
      <c r="F682" s="17"/>
      <c r="G682" s="17"/>
      <c r="H682" s="17"/>
      <c r="I682" s="17"/>
      <c r="J682" s="17"/>
      <c r="K682" s="17"/>
      <c r="L682" s="17"/>
      <c r="M682" s="17"/>
      <c r="N682" s="17"/>
      <c r="O682" s="17"/>
      <c r="P682" s="17"/>
      <c r="Q682" s="17"/>
      <c r="R682" s="1"/>
      <c r="S682" s="1"/>
    </row>
    <row r="683" spans="1:19" x14ac:dyDescent="0.35">
      <c r="A683" s="6"/>
      <c r="B683" s="13"/>
      <c r="C683" s="81"/>
      <c r="D683" s="4"/>
      <c r="E683" s="8"/>
      <c r="F683" s="17"/>
      <c r="G683" s="17"/>
      <c r="H683" s="17"/>
      <c r="I683" s="17"/>
      <c r="J683" s="17"/>
      <c r="K683" s="17"/>
      <c r="L683" s="17"/>
      <c r="M683" s="17"/>
      <c r="N683" s="17"/>
      <c r="O683" s="17"/>
      <c r="P683" s="17"/>
      <c r="Q683" s="17"/>
      <c r="R683" s="1"/>
      <c r="S683" s="1"/>
    </row>
    <row r="684" spans="1:19" x14ac:dyDescent="0.35">
      <c r="A684" s="6"/>
      <c r="B684" s="13"/>
      <c r="C684" s="81"/>
      <c r="D684" s="4"/>
      <c r="E684" s="8"/>
      <c r="F684" s="17"/>
      <c r="G684" s="17"/>
      <c r="H684" s="17"/>
      <c r="I684" s="17"/>
      <c r="J684" s="17"/>
      <c r="K684" s="17"/>
      <c r="L684" s="17"/>
      <c r="M684" s="17"/>
      <c r="N684" s="17"/>
      <c r="O684" s="17"/>
      <c r="P684" s="17"/>
      <c r="Q684" s="17"/>
      <c r="R684" s="1"/>
      <c r="S684" s="1"/>
    </row>
    <row r="685" spans="1:19" x14ac:dyDescent="0.35">
      <c r="A685" s="6"/>
      <c r="B685" s="13"/>
      <c r="C685" s="81"/>
      <c r="D685" s="4"/>
      <c r="E685" s="8"/>
      <c r="F685" s="17"/>
      <c r="G685" s="17"/>
      <c r="H685" s="17"/>
      <c r="I685" s="17"/>
      <c r="J685" s="17"/>
      <c r="K685" s="17"/>
      <c r="L685" s="17"/>
      <c r="M685" s="17"/>
      <c r="N685" s="17"/>
      <c r="O685" s="17"/>
      <c r="P685" s="17"/>
      <c r="Q685" s="17"/>
      <c r="R685" s="1"/>
      <c r="S685" s="1"/>
    </row>
    <row r="686" spans="1:19" x14ac:dyDescent="0.35">
      <c r="A686" s="6"/>
      <c r="B686" s="13"/>
      <c r="C686" s="81"/>
      <c r="D686" s="4"/>
      <c r="E686" s="8"/>
      <c r="F686" s="17"/>
      <c r="G686" s="17"/>
      <c r="H686" s="17"/>
      <c r="I686" s="17"/>
      <c r="J686" s="17"/>
      <c r="K686" s="17"/>
      <c r="L686" s="17"/>
      <c r="M686" s="17"/>
      <c r="N686" s="17"/>
      <c r="O686" s="17"/>
      <c r="P686" s="17"/>
      <c r="Q686" s="17"/>
      <c r="R686" s="1"/>
      <c r="S686" s="1"/>
    </row>
    <row r="687" spans="1:19" x14ac:dyDescent="0.35">
      <c r="A687" s="6"/>
      <c r="B687" s="13"/>
      <c r="C687" s="81"/>
      <c r="D687" s="4"/>
      <c r="E687" s="8"/>
      <c r="F687" s="17"/>
      <c r="G687" s="17"/>
      <c r="H687" s="17"/>
      <c r="I687" s="17"/>
      <c r="J687" s="17"/>
      <c r="K687" s="17"/>
      <c r="L687" s="17"/>
      <c r="M687" s="17"/>
      <c r="N687" s="17"/>
      <c r="O687" s="17"/>
      <c r="P687" s="17"/>
      <c r="Q687" s="17"/>
      <c r="R687" s="1"/>
      <c r="S687" s="1"/>
    </row>
    <row r="688" spans="1:19" x14ac:dyDescent="0.35">
      <c r="A688" s="6"/>
      <c r="B688" s="13"/>
      <c r="C688" s="81"/>
      <c r="D688" s="4"/>
      <c r="E688" s="8"/>
      <c r="F688" s="17"/>
      <c r="G688" s="17"/>
      <c r="H688" s="17"/>
      <c r="I688" s="17"/>
      <c r="J688" s="17"/>
      <c r="K688" s="17"/>
      <c r="L688" s="17"/>
      <c r="M688" s="17"/>
      <c r="N688" s="17"/>
      <c r="O688" s="17"/>
      <c r="P688" s="17"/>
      <c r="Q688" s="17"/>
      <c r="R688" s="1"/>
      <c r="S688" s="1"/>
    </row>
    <row r="689" spans="1:19" x14ac:dyDescent="0.35">
      <c r="A689" s="6"/>
      <c r="B689" s="13"/>
      <c r="C689" s="81"/>
      <c r="D689" s="4"/>
      <c r="E689" s="8"/>
      <c r="F689" s="17"/>
      <c r="G689" s="17"/>
      <c r="H689" s="17"/>
      <c r="I689" s="17"/>
      <c r="J689" s="17"/>
      <c r="K689" s="17"/>
      <c r="L689" s="17"/>
      <c r="M689" s="17"/>
      <c r="N689" s="17"/>
      <c r="O689" s="17"/>
      <c r="P689" s="17"/>
      <c r="Q689" s="17"/>
      <c r="R689" s="1"/>
      <c r="S689" s="1"/>
    </row>
    <row r="690" spans="1:19" x14ac:dyDescent="0.35">
      <c r="A690" s="6"/>
      <c r="B690" s="13"/>
      <c r="C690" s="81"/>
      <c r="D690" s="4"/>
      <c r="E690" s="8"/>
      <c r="F690" s="17"/>
      <c r="G690" s="17"/>
      <c r="H690" s="17"/>
      <c r="I690" s="17"/>
      <c r="J690" s="17"/>
      <c r="K690" s="17"/>
      <c r="L690" s="17"/>
      <c r="M690" s="17"/>
      <c r="N690" s="17"/>
      <c r="O690" s="17"/>
      <c r="P690" s="17"/>
      <c r="Q690" s="17"/>
      <c r="R690" s="1"/>
      <c r="S690" s="1"/>
    </row>
    <row r="691" spans="1:19" x14ac:dyDescent="0.35">
      <c r="A691" s="6"/>
      <c r="B691" s="13"/>
      <c r="C691" s="81"/>
      <c r="D691" s="4"/>
      <c r="E691" s="8"/>
      <c r="F691" s="17"/>
      <c r="G691" s="17"/>
      <c r="H691" s="17"/>
      <c r="I691" s="17"/>
      <c r="J691" s="17"/>
      <c r="K691" s="17"/>
      <c r="L691" s="17"/>
      <c r="M691" s="17"/>
      <c r="N691" s="17"/>
      <c r="O691" s="17"/>
      <c r="P691" s="17"/>
      <c r="Q691" s="17"/>
      <c r="R691" s="1"/>
      <c r="S691" s="1"/>
    </row>
    <row r="692" spans="1:19" x14ac:dyDescent="0.35">
      <c r="A692" s="6"/>
      <c r="B692" s="13"/>
      <c r="C692" s="81"/>
      <c r="D692" s="4"/>
      <c r="E692" s="8"/>
      <c r="F692" s="17"/>
      <c r="G692" s="17"/>
      <c r="H692" s="17"/>
      <c r="I692" s="17"/>
      <c r="J692" s="17"/>
      <c r="K692" s="17"/>
      <c r="L692" s="17"/>
      <c r="M692" s="17"/>
      <c r="N692" s="17"/>
      <c r="O692" s="17"/>
      <c r="P692" s="17"/>
      <c r="Q692" s="17"/>
      <c r="R692" s="1"/>
      <c r="S692" s="1"/>
    </row>
    <row r="693" spans="1:19" x14ac:dyDescent="0.35">
      <c r="A693" s="6"/>
      <c r="B693" s="13"/>
      <c r="C693" s="81"/>
      <c r="D693" s="4"/>
      <c r="E693" s="8"/>
      <c r="F693" s="17"/>
      <c r="G693" s="17"/>
      <c r="H693" s="17"/>
      <c r="I693" s="17"/>
      <c r="J693" s="17"/>
      <c r="K693" s="17"/>
      <c r="L693" s="17"/>
      <c r="M693" s="17"/>
      <c r="N693" s="17"/>
      <c r="O693" s="17"/>
      <c r="P693" s="17"/>
      <c r="Q693" s="17"/>
      <c r="R693" s="1"/>
      <c r="S693" s="1"/>
    </row>
    <row r="694" spans="1:19" x14ac:dyDescent="0.35">
      <c r="A694" s="6"/>
      <c r="B694" s="13"/>
      <c r="C694" s="81"/>
      <c r="D694" s="4"/>
      <c r="E694" s="8"/>
      <c r="F694" s="17"/>
      <c r="G694" s="17"/>
      <c r="H694" s="17"/>
      <c r="I694" s="17"/>
      <c r="J694" s="17"/>
      <c r="K694" s="17"/>
      <c r="L694" s="17"/>
      <c r="M694" s="17"/>
      <c r="N694" s="17"/>
      <c r="O694" s="17"/>
      <c r="P694" s="17"/>
      <c r="Q694" s="17"/>
      <c r="R694" s="1"/>
      <c r="S694" s="1"/>
    </row>
    <row r="695" spans="1:19" x14ac:dyDescent="0.35">
      <c r="A695" s="6"/>
      <c r="B695" s="13"/>
      <c r="C695" s="81"/>
      <c r="D695" s="4"/>
      <c r="E695" s="8"/>
      <c r="F695" s="17"/>
      <c r="G695" s="17"/>
      <c r="H695" s="17"/>
      <c r="I695" s="17"/>
      <c r="J695" s="17"/>
      <c r="K695" s="17"/>
      <c r="L695" s="17"/>
      <c r="M695" s="17"/>
      <c r="N695" s="17"/>
      <c r="O695" s="17"/>
      <c r="P695" s="17"/>
      <c r="Q695" s="17"/>
      <c r="R695" s="1"/>
      <c r="S695" s="1"/>
    </row>
    <row r="696" spans="1:19" x14ac:dyDescent="0.35">
      <c r="A696" s="6"/>
      <c r="B696" s="13"/>
      <c r="C696" s="81"/>
      <c r="D696" s="4"/>
      <c r="E696" s="8"/>
      <c r="F696" s="17"/>
      <c r="G696" s="17"/>
      <c r="H696" s="17"/>
      <c r="I696" s="17"/>
      <c r="J696" s="17"/>
      <c r="K696" s="17"/>
      <c r="L696" s="17"/>
      <c r="M696" s="17"/>
      <c r="N696" s="17"/>
      <c r="O696" s="17"/>
      <c r="P696" s="17"/>
      <c r="Q696" s="17"/>
      <c r="R696" s="1"/>
      <c r="S696" s="1"/>
    </row>
    <row r="697" spans="1:19" x14ac:dyDescent="0.35">
      <c r="A697" s="6"/>
      <c r="B697" s="13"/>
      <c r="C697" s="81"/>
      <c r="D697" s="4"/>
      <c r="E697" s="8"/>
      <c r="F697" s="17"/>
      <c r="G697" s="17"/>
      <c r="H697" s="17"/>
      <c r="I697" s="17"/>
      <c r="J697" s="17"/>
      <c r="K697" s="17"/>
      <c r="L697" s="17"/>
      <c r="M697" s="17"/>
      <c r="N697" s="17"/>
      <c r="O697" s="17"/>
      <c r="P697" s="17"/>
      <c r="Q697" s="17"/>
      <c r="R697" s="1"/>
      <c r="S697" s="1"/>
    </row>
    <row r="698" spans="1:19" x14ac:dyDescent="0.35">
      <c r="A698" s="6"/>
      <c r="B698" s="13"/>
      <c r="C698" s="81"/>
      <c r="D698" s="4"/>
      <c r="E698" s="8"/>
      <c r="F698" s="17"/>
      <c r="G698" s="17"/>
      <c r="H698" s="17"/>
      <c r="I698" s="17"/>
      <c r="J698" s="17"/>
      <c r="K698" s="17"/>
      <c r="L698" s="17"/>
      <c r="M698" s="17"/>
      <c r="N698" s="17"/>
      <c r="O698" s="17"/>
      <c r="P698" s="17"/>
      <c r="Q698" s="17"/>
      <c r="R698" s="1"/>
      <c r="S698" s="1"/>
    </row>
    <row r="699" spans="1:19" x14ac:dyDescent="0.35">
      <c r="A699" s="6"/>
      <c r="B699" s="13"/>
      <c r="C699" s="81"/>
      <c r="D699" s="4"/>
      <c r="E699" s="8"/>
      <c r="F699" s="17"/>
      <c r="G699" s="17"/>
      <c r="H699" s="17"/>
      <c r="I699" s="17"/>
      <c r="J699" s="17"/>
      <c r="K699" s="17"/>
      <c r="L699" s="17"/>
      <c r="M699" s="17"/>
      <c r="N699" s="17"/>
      <c r="O699" s="17"/>
      <c r="P699" s="17"/>
      <c r="Q699" s="17"/>
      <c r="R699" s="1"/>
      <c r="S699" s="1"/>
    </row>
    <row r="700" spans="1:19" x14ac:dyDescent="0.35">
      <c r="A700" s="6"/>
      <c r="B700" s="13"/>
      <c r="C700" s="81"/>
      <c r="D700" s="4"/>
      <c r="E700" s="8"/>
      <c r="F700" s="17"/>
      <c r="G700" s="17"/>
      <c r="H700" s="17"/>
      <c r="I700" s="17"/>
      <c r="J700" s="17"/>
      <c r="K700" s="17"/>
      <c r="L700" s="17"/>
      <c r="M700" s="17"/>
      <c r="N700" s="17"/>
      <c r="O700" s="17"/>
      <c r="P700" s="17"/>
      <c r="Q700" s="17"/>
      <c r="R700" s="1"/>
      <c r="S700" s="1"/>
    </row>
    <row r="701" spans="1:19" x14ac:dyDescent="0.35">
      <c r="A701" s="6"/>
      <c r="B701" s="13"/>
      <c r="C701" s="81"/>
      <c r="D701" s="4"/>
      <c r="E701" s="8"/>
      <c r="F701" s="17"/>
      <c r="G701" s="17"/>
      <c r="H701" s="17"/>
      <c r="I701" s="17"/>
      <c r="J701" s="17"/>
      <c r="K701" s="17"/>
      <c r="L701" s="17"/>
      <c r="M701" s="17"/>
      <c r="N701" s="17"/>
      <c r="O701" s="17"/>
      <c r="P701" s="17"/>
      <c r="Q701" s="17"/>
      <c r="R701" s="1"/>
      <c r="S701" s="1"/>
    </row>
    <row r="702" spans="1:19" x14ac:dyDescent="0.35">
      <c r="A702" s="6"/>
      <c r="B702" s="13"/>
      <c r="C702" s="81"/>
      <c r="D702" s="4"/>
      <c r="E702" s="8"/>
      <c r="F702" s="17"/>
      <c r="G702" s="17"/>
      <c r="H702" s="17"/>
      <c r="I702" s="17"/>
      <c r="J702" s="17"/>
      <c r="K702" s="17"/>
      <c r="L702" s="17"/>
      <c r="M702" s="17"/>
      <c r="N702" s="17"/>
      <c r="O702" s="17"/>
      <c r="P702" s="17"/>
      <c r="Q702" s="17"/>
      <c r="R702" s="1"/>
      <c r="S702" s="1"/>
    </row>
    <row r="703" spans="1:19" x14ac:dyDescent="0.35">
      <c r="A703" s="6"/>
      <c r="B703" s="13"/>
      <c r="C703" s="81"/>
      <c r="D703" s="4"/>
      <c r="E703" s="8"/>
      <c r="F703" s="17"/>
      <c r="G703" s="17"/>
      <c r="H703" s="17"/>
      <c r="I703" s="17"/>
      <c r="J703" s="17"/>
      <c r="K703" s="17"/>
      <c r="L703" s="17"/>
      <c r="M703" s="17"/>
      <c r="N703" s="17"/>
      <c r="O703" s="17"/>
      <c r="P703" s="17"/>
      <c r="Q703" s="17"/>
      <c r="R703" s="1"/>
      <c r="S703" s="1"/>
    </row>
    <row r="704" spans="1:19" x14ac:dyDescent="0.35">
      <c r="A704" s="6"/>
      <c r="B704" s="13"/>
      <c r="C704" s="81"/>
      <c r="D704" s="4"/>
      <c r="E704" s="8"/>
      <c r="F704" s="17"/>
      <c r="G704" s="17"/>
      <c r="H704" s="17"/>
      <c r="I704" s="17"/>
      <c r="J704" s="17"/>
      <c r="K704" s="17"/>
      <c r="L704" s="17"/>
      <c r="M704" s="17"/>
      <c r="N704" s="17"/>
      <c r="O704" s="17"/>
      <c r="P704" s="17"/>
      <c r="Q704" s="17"/>
      <c r="R704" s="1"/>
      <c r="S704" s="1"/>
    </row>
    <row r="705" spans="1:19" x14ac:dyDescent="0.35">
      <c r="A705" s="6"/>
      <c r="B705" s="13"/>
      <c r="C705" s="81"/>
      <c r="D705" s="4"/>
      <c r="E705" s="8"/>
      <c r="F705" s="17"/>
      <c r="G705" s="17"/>
      <c r="H705" s="17"/>
      <c r="I705" s="17"/>
      <c r="J705" s="17"/>
      <c r="K705" s="17"/>
      <c r="L705" s="17"/>
      <c r="M705" s="17"/>
      <c r="N705" s="17"/>
      <c r="O705" s="17"/>
      <c r="P705" s="17"/>
      <c r="Q705" s="17"/>
      <c r="R705" s="1"/>
      <c r="S705" s="1"/>
    </row>
    <row r="706" spans="1:19" x14ac:dyDescent="0.35">
      <c r="A706" s="6"/>
      <c r="B706" s="13"/>
      <c r="C706" s="81"/>
      <c r="D706" s="4"/>
      <c r="E706" s="8"/>
      <c r="F706" s="17"/>
      <c r="G706" s="17"/>
      <c r="H706" s="17"/>
      <c r="I706" s="17"/>
      <c r="J706" s="17"/>
      <c r="K706" s="17"/>
      <c r="L706" s="17"/>
      <c r="M706" s="17"/>
      <c r="N706" s="17"/>
      <c r="O706" s="17"/>
      <c r="P706" s="17"/>
      <c r="Q706" s="17"/>
      <c r="R706" s="1"/>
      <c r="S706" s="1"/>
    </row>
    <row r="707" spans="1:19" x14ac:dyDescent="0.35">
      <c r="A707" s="6"/>
      <c r="B707" s="13"/>
      <c r="C707" s="81"/>
      <c r="D707" s="4"/>
      <c r="E707" s="8"/>
      <c r="F707" s="17"/>
      <c r="G707" s="17"/>
      <c r="H707" s="17"/>
      <c r="I707" s="17"/>
      <c r="J707" s="17"/>
      <c r="K707" s="17"/>
      <c r="L707" s="17"/>
      <c r="M707" s="17"/>
      <c r="N707" s="17"/>
      <c r="O707" s="17"/>
      <c r="P707" s="17"/>
      <c r="Q707" s="17"/>
      <c r="R707" s="1"/>
      <c r="S707" s="1"/>
    </row>
    <row r="708" spans="1:19" x14ac:dyDescent="0.35">
      <c r="A708" s="6"/>
      <c r="B708" s="13"/>
      <c r="C708" s="81"/>
      <c r="D708" s="4"/>
      <c r="E708" s="8"/>
      <c r="F708" s="17"/>
      <c r="G708" s="17"/>
      <c r="H708" s="17"/>
      <c r="I708" s="17"/>
      <c r="J708" s="17"/>
      <c r="K708" s="17"/>
      <c r="L708" s="17"/>
      <c r="M708" s="17"/>
      <c r="N708" s="17"/>
      <c r="O708" s="17"/>
      <c r="P708" s="17"/>
      <c r="Q708" s="17"/>
      <c r="R708" s="1"/>
      <c r="S708" s="1"/>
    </row>
    <row r="709" spans="1:19" x14ac:dyDescent="0.35">
      <c r="A709" s="6"/>
      <c r="B709" s="13"/>
      <c r="C709" s="81"/>
      <c r="D709" s="4"/>
      <c r="E709" s="8"/>
      <c r="F709" s="17"/>
      <c r="G709" s="17"/>
      <c r="H709" s="17"/>
      <c r="I709" s="17"/>
      <c r="J709" s="17"/>
      <c r="K709" s="17"/>
      <c r="L709" s="17"/>
      <c r="M709" s="17"/>
      <c r="N709" s="17"/>
      <c r="O709" s="17"/>
      <c r="P709" s="17"/>
      <c r="Q709" s="17"/>
      <c r="R709" s="1"/>
      <c r="S709" s="1"/>
    </row>
    <row r="710" spans="1:19" x14ac:dyDescent="0.35">
      <c r="A710" s="6"/>
      <c r="B710" s="13"/>
      <c r="C710" s="81"/>
      <c r="D710" s="4"/>
      <c r="E710" s="8"/>
      <c r="F710" s="17"/>
      <c r="G710" s="17"/>
      <c r="H710" s="17"/>
      <c r="I710" s="17"/>
      <c r="J710" s="17"/>
      <c r="K710" s="17"/>
      <c r="L710" s="17"/>
      <c r="M710" s="17"/>
      <c r="N710" s="17"/>
      <c r="O710" s="17"/>
      <c r="P710" s="17"/>
      <c r="Q710" s="17"/>
      <c r="R710" s="1"/>
      <c r="S710" s="1"/>
    </row>
    <row r="711" spans="1:19" x14ac:dyDescent="0.35">
      <c r="A711" s="6"/>
      <c r="B711" s="13"/>
      <c r="C711" s="81"/>
      <c r="D711" s="4"/>
      <c r="E711" s="8"/>
      <c r="F711" s="17"/>
      <c r="G711" s="17"/>
      <c r="H711" s="17"/>
      <c r="I711" s="17"/>
      <c r="J711" s="17"/>
      <c r="K711" s="17"/>
      <c r="L711" s="17"/>
      <c r="M711" s="17"/>
      <c r="N711" s="17"/>
      <c r="O711" s="17"/>
      <c r="P711" s="17"/>
      <c r="Q711" s="17"/>
      <c r="R711" s="1"/>
      <c r="S711" s="1"/>
    </row>
    <row r="712" spans="1:19" x14ac:dyDescent="0.35">
      <c r="A712" s="6"/>
      <c r="B712" s="13"/>
      <c r="C712" s="81"/>
      <c r="D712" s="4"/>
      <c r="E712" s="8"/>
      <c r="F712" s="17"/>
      <c r="G712" s="17"/>
      <c r="H712" s="17"/>
      <c r="I712" s="17"/>
      <c r="J712" s="17"/>
      <c r="K712" s="17"/>
      <c r="L712" s="17"/>
      <c r="M712" s="17"/>
      <c r="N712" s="17"/>
      <c r="O712" s="17"/>
      <c r="P712" s="17"/>
      <c r="Q712" s="17"/>
      <c r="R712" s="1"/>
      <c r="S712" s="1"/>
    </row>
    <row r="713" spans="1:19" x14ac:dyDescent="0.35">
      <c r="A713" s="6"/>
      <c r="B713" s="13"/>
      <c r="C713" s="81"/>
      <c r="D713" s="4"/>
      <c r="E713" s="8"/>
      <c r="F713" s="17"/>
      <c r="G713" s="17"/>
      <c r="H713" s="17"/>
      <c r="I713" s="17"/>
      <c r="J713" s="17"/>
      <c r="K713" s="17"/>
      <c r="L713" s="17"/>
      <c r="M713" s="17"/>
      <c r="N713" s="17"/>
      <c r="O713" s="17"/>
      <c r="P713" s="17"/>
      <c r="Q713" s="17"/>
      <c r="R713" s="1"/>
      <c r="S713" s="1"/>
    </row>
    <row r="714" spans="1:19" x14ac:dyDescent="0.35">
      <c r="A714" s="6"/>
      <c r="B714" s="13"/>
      <c r="C714" s="81"/>
      <c r="D714" s="4"/>
      <c r="E714" s="8"/>
      <c r="F714" s="17"/>
      <c r="G714" s="17"/>
      <c r="H714" s="17"/>
      <c r="I714" s="17"/>
      <c r="J714" s="17"/>
      <c r="K714" s="17"/>
      <c r="L714" s="17"/>
      <c r="M714" s="17"/>
      <c r="N714" s="17"/>
      <c r="O714" s="17"/>
      <c r="P714" s="17"/>
      <c r="Q714" s="17"/>
      <c r="R714" s="1"/>
      <c r="S714" s="1"/>
    </row>
    <row r="715" spans="1:19" x14ac:dyDescent="0.35">
      <c r="A715" s="6"/>
      <c r="B715" s="13"/>
      <c r="C715" s="81"/>
      <c r="D715" s="4"/>
      <c r="E715" s="8"/>
      <c r="F715" s="17"/>
      <c r="G715" s="17"/>
      <c r="H715" s="17"/>
      <c r="I715" s="17"/>
      <c r="J715" s="17"/>
      <c r="K715" s="17"/>
      <c r="L715" s="17"/>
      <c r="M715" s="17"/>
      <c r="N715" s="17"/>
      <c r="O715" s="17"/>
      <c r="P715" s="17"/>
      <c r="Q715" s="17"/>
      <c r="R715" s="1"/>
      <c r="S715" s="1"/>
    </row>
    <row r="716" spans="1:19" x14ac:dyDescent="0.35">
      <c r="A716" s="6"/>
      <c r="B716" s="13"/>
      <c r="C716" s="81"/>
      <c r="D716" s="4"/>
      <c r="E716" s="8"/>
      <c r="F716" s="17"/>
      <c r="G716" s="17"/>
      <c r="H716" s="17"/>
      <c r="I716" s="17"/>
      <c r="J716" s="17"/>
      <c r="K716" s="17"/>
      <c r="L716" s="17"/>
      <c r="M716" s="17"/>
      <c r="N716" s="17"/>
      <c r="O716" s="17"/>
      <c r="P716" s="17"/>
      <c r="Q716" s="17"/>
      <c r="R716" s="1"/>
      <c r="S716" s="1"/>
    </row>
    <row r="717" spans="1:19" x14ac:dyDescent="0.35">
      <c r="A717" s="6"/>
      <c r="B717" s="13"/>
      <c r="C717" s="81"/>
      <c r="D717" s="4"/>
      <c r="E717" s="8"/>
      <c r="F717" s="17"/>
      <c r="G717" s="17"/>
      <c r="H717" s="17"/>
      <c r="I717" s="17"/>
      <c r="J717" s="17"/>
      <c r="K717" s="17"/>
      <c r="L717" s="17"/>
      <c r="M717" s="17"/>
      <c r="N717" s="17"/>
      <c r="O717" s="17"/>
      <c r="P717" s="17"/>
      <c r="Q717" s="17"/>
      <c r="R717" s="1"/>
      <c r="S717" s="1"/>
    </row>
    <row r="718" spans="1:19" x14ac:dyDescent="0.35">
      <c r="A718" s="6"/>
      <c r="B718" s="13"/>
      <c r="C718" s="81"/>
      <c r="D718" s="4"/>
      <c r="E718" s="8"/>
      <c r="F718" s="17"/>
      <c r="G718" s="17"/>
      <c r="H718" s="17"/>
      <c r="I718" s="17"/>
      <c r="J718" s="17"/>
      <c r="K718" s="17"/>
      <c r="L718" s="17"/>
      <c r="M718" s="17"/>
      <c r="N718" s="17"/>
      <c r="O718" s="17"/>
      <c r="P718" s="17"/>
      <c r="Q718" s="17"/>
      <c r="R718" s="1"/>
      <c r="S718" s="1"/>
    </row>
    <row r="719" spans="1:19" x14ac:dyDescent="0.35">
      <c r="A719" s="6"/>
      <c r="B719" s="13"/>
      <c r="C719" s="81"/>
      <c r="D719" s="4"/>
      <c r="E719" s="8"/>
      <c r="F719" s="17"/>
      <c r="G719" s="17"/>
      <c r="H719" s="17"/>
      <c r="I719" s="17"/>
      <c r="J719" s="17"/>
      <c r="K719" s="17"/>
      <c r="L719" s="17"/>
      <c r="M719" s="17"/>
      <c r="N719" s="17"/>
      <c r="O719" s="17"/>
      <c r="P719" s="17"/>
      <c r="Q719" s="17"/>
      <c r="R719" s="1"/>
      <c r="S719" s="1"/>
    </row>
    <row r="720" spans="1:19" x14ac:dyDescent="0.35">
      <c r="A720" s="6"/>
      <c r="B720" s="13"/>
      <c r="C720" s="81"/>
      <c r="D720" s="4"/>
      <c r="E720" s="8"/>
      <c r="F720" s="17"/>
      <c r="G720" s="17"/>
      <c r="H720" s="17"/>
      <c r="I720" s="17"/>
      <c r="J720" s="17"/>
      <c r="K720" s="17"/>
      <c r="L720" s="17"/>
      <c r="M720" s="17"/>
      <c r="N720" s="17"/>
      <c r="O720" s="17"/>
      <c r="P720" s="17"/>
      <c r="Q720" s="17"/>
      <c r="R720" s="1"/>
      <c r="S720" s="1"/>
    </row>
    <row r="721" spans="1:19" x14ac:dyDescent="0.35">
      <c r="A721" s="6"/>
      <c r="B721" s="13"/>
      <c r="C721" s="81"/>
      <c r="D721" s="4"/>
      <c r="E721" s="8"/>
      <c r="F721" s="17"/>
      <c r="G721" s="17"/>
      <c r="H721" s="17"/>
      <c r="I721" s="17"/>
      <c r="J721" s="17"/>
      <c r="K721" s="17"/>
      <c r="L721" s="17"/>
      <c r="M721" s="17"/>
      <c r="N721" s="17"/>
      <c r="O721" s="17"/>
      <c r="P721" s="17"/>
      <c r="Q721" s="17"/>
      <c r="R721" s="1"/>
      <c r="S721" s="1"/>
    </row>
    <row r="722" spans="1:19" x14ac:dyDescent="0.35">
      <c r="A722" s="6"/>
      <c r="B722" s="13"/>
      <c r="C722" s="81"/>
      <c r="D722" s="4"/>
      <c r="E722" s="8"/>
      <c r="F722" s="17"/>
      <c r="G722" s="17"/>
      <c r="H722" s="17"/>
      <c r="I722" s="17"/>
      <c r="J722" s="17"/>
      <c r="K722" s="17"/>
      <c r="L722" s="17"/>
      <c r="M722" s="17"/>
      <c r="N722" s="17"/>
      <c r="O722" s="17"/>
      <c r="P722" s="17"/>
      <c r="Q722" s="17"/>
      <c r="R722" s="1"/>
      <c r="S722" s="1"/>
    </row>
    <row r="723" spans="1:19" x14ac:dyDescent="0.35">
      <c r="A723" s="6"/>
      <c r="B723" s="13"/>
      <c r="C723" s="81"/>
      <c r="D723" s="4"/>
      <c r="E723" s="8"/>
      <c r="F723" s="17"/>
      <c r="G723" s="17"/>
      <c r="H723" s="17"/>
      <c r="I723" s="17"/>
      <c r="J723" s="17"/>
      <c r="K723" s="17"/>
      <c r="L723" s="17"/>
      <c r="M723" s="17"/>
      <c r="N723" s="17"/>
      <c r="O723" s="17"/>
      <c r="P723" s="17"/>
      <c r="Q723" s="17"/>
      <c r="R723" s="1"/>
      <c r="S723" s="1"/>
    </row>
    <row r="724" spans="1:19" x14ac:dyDescent="0.35">
      <c r="A724" s="6"/>
      <c r="B724" s="13"/>
      <c r="C724" s="81"/>
      <c r="D724" s="4"/>
      <c r="E724" s="8"/>
      <c r="F724" s="17"/>
      <c r="G724" s="17"/>
      <c r="H724" s="17"/>
      <c r="I724" s="17"/>
      <c r="J724" s="17"/>
      <c r="K724" s="17"/>
      <c r="L724" s="17"/>
      <c r="M724" s="17"/>
      <c r="N724" s="17"/>
      <c r="O724" s="17"/>
      <c r="P724" s="17"/>
      <c r="Q724" s="17"/>
      <c r="R724" s="1"/>
      <c r="S724" s="1"/>
    </row>
    <row r="725" spans="1:19" x14ac:dyDescent="0.35">
      <c r="A725" s="6"/>
      <c r="B725" s="13"/>
      <c r="C725" s="81"/>
      <c r="D725" s="4"/>
      <c r="E725" s="8"/>
      <c r="F725" s="17"/>
      <c r="G725" s="17"/>
      <c r="H725" s="17"/>
      <c r="I725" s="17"/>
      <c r="J725" s="17"/>
      <c r="K725" s="17"/>
      <c r="L725" s="17"/>
      <c r="M725" s="17"/>
      <c r="N725" s="17"/>
      <c r="O725" s="17"/>
      <c r="P725" s="17"/>
      <c r="Q725" s="17"/>
      <c r="R725" s="1"/>
      <c r="S725" s="1"/>
    </row>
    <row r="726" spans="1:19" x14ac:dyDescent="0.35">
      <c r="A726" s="6"/>
      <c r="B726" s="13"/>
      <c r="C726" s="81"/>
      <c r="D726" s="4"/>
      <c r="E726" s="8"/>
      <c r="F726" s="17"/>
      <c r="G726" s="17"/>
      <c r="H726" s="17"/>
      <c r="I726" s="17"/>
      <c r="J726" s="17"/>
      <c r="K726" s="17"/>
      <c r="L726" s="17"/>
      <c r="M726" s="17"/>
      <c r="N726" s="17"/>
      <c r="O726" s="17"/>
      <c r="P726" s="17"/>
      <c r="Q726" s="17"/>
      <c r="R726" s="1"/>
      <c r="S726" s="1"/>
    </row>
    <row r="727" spans="1:19" x14ac:dyDescent="0.35">
      <c r="A727" s="6"/>
      <c r="B727" s="13"/>
      <c r="C727" s="81"/>
      <c r="D727" s="4"/>
      <c r="E727" s="8"/>
      <c r="F727" s="17"/>
      <c r="G727" s="17"/>
      <c r="H727" s="17"/>
      <c r="I727" s="17"/>
      <c r="J727" s="17"/>
      <c r="K727" s="17"/>
      <c r="L727" s="17"/>
      <c r="M727" s="17"/>
      <c r="N727" s="17"/>
      <c r="O727" s="17"/>
      <c r="P727" s="17"/>
      <c r="Q727" s="17"/>
      <c r="R727" s="1"/>
      <c r="S727" s="1"/>
    </row>
    <row r="728" spans="1:19" x14ac:dyDescent="0.35">
      <c r="A728" s="6"/>
      <c r="B728" s="13"/>
      <c r="C728" s="81"/>
      <c r="D728" s="4"/>
      <c r="E728" s="8"/>
      <c r="F728" s="17"/>
      <c r="G728" s="17"/>
      <c r="H728" s="17"/>
      <c r="I728" s="17"/>
      <c r="J728" s="17"/>
      <c r="K728" s="17"/>
      <c r="L728" s="17"/>
      <c r="M728" s="17"/>
      <c r="N728" s="17"/>
      <c r="O728" s="17"/>
      <c r="P728" s="17"/>
      <c r="Q728" s="17"/>
      <c r="R728" s="1"/>
      <c r="S728" s="1"/>
    </row>
    <row r="729" spans="1:19" x14ac:dyDescent="0.35">
      <c r="A729" s="6"/>
      <c r="B729" s="13"/>
      <c r="C729" s="81"/>
      <c r="D729" s="4"/>
      <c r="E729" s="8"/>
      <c r="F729" s="17"/>
      <c r="G729" s="17"/>
      <c r="H729" s="17"/>
      <c r="I729" s="17"/>
      <c r="J729" s="17"/>
      <c r="K729" s="17"/>
      <c r="L729" s="17"/>
      <c r="M729" s="17"/>
      <c r="N729" s="17"/>
      <c r="O729" s="17"/>
      <c r="P729" s="17"/>
      <c r="Q729" s="17"/>
      <c r="R729" s="1"/>
      <c r="S729" s="1"/>
    </row>
    <row r="730" spans="1:19" x14ac:dyDescent="0.35">
      <c r="A730" s="6"/>
      <c r="B730" s="13"/>
      <c r="C730" s="81"/>
      <c r="D730" s="4"/>
      <c r="E730" s="8"/>
      <c r="F730" s="17"/>
      <c r="G730" s="17"/>
      <c r="H730" s="17"/>
      <c r="I730" s="17"/>
      <c r="J730" s="17"/>
      <c r="K730" s="17"/>
      <c r="L730" s="17"/>
      <c r="M730" s="17"/>
      <c r="N730" s="17"/>
      <c r="O730" s="17"/>
      <c r="P730" s="17"/>
      <c r="Q730" s="17"/>
      <c r="R730" s="1"/>
      <c r="S730" s="1"/>
    </row>
    <row r="731" spans="1:19" x14ac:dyDescent="0.35">
      <c r="A731" s="6"/>
      <c r="B731" s="13"/>
      <c r="C731" s="81"/>
      <c r="D731" s="4"/>
      <c r="E731" s="8"/>
      <c r="F731" s="17"/>
      <c r="G731" s="17"/>
      <c r="H731" s="17"/>
      <c r="I731" s="17"/>
      <c r="J731" s="17"/>
      <c r="K731" s="17"/>
      <c r="L731" s="17"/>
      <c r="M731" s="17"/>
      <c r="N731" s="17"/>
      <c r="O731" s="17"/>
      <c r="P731" s="17"/>
      <c r="Q731" s="17"/>
      <c r="R731" s="1"/>
      <c r="S731" s="1"/>
    </row>
    <row r="732" spans="1:19" x14ac:dyDescent="0.35">
      <c r="A732" s="6"/>
      <c r="B732" s="13"/>
      <c r="C732" s="81"/>
      <c r="D732" s="4"/>
      <c r="E732" s="8"/>
      <c r="F732" s="17"/>
      <c r="G732" s="17"/>
      <c r="H732" s="17"/>
      <c r="I732" s="17"/>
      <c r="J732" s="17"/>
      <c r="K732" s="17"/>
      <c r="L732" s="17"/>
      <c r="M732" s="17"/>
      <c r="N732" s="17"/>
      <c r="O732" s="17"/>
      <c r="P732" s="17"/>
      <c r="Q732" s="17"/>
      <c r="R732" s="1"/>
      <c r="S732" s="1"/>
    </row>
    <row r="733" spans="1:19" x14ac:dyDescent="0.35">
      <c r="A733" s="6"/>
      <c r="B733" s="13"/>
      <c r="C733" s="81"/>
      <c r="D733" s="4"/>
      <c r="E733" s="8"/>
      <c r="F733" s="17"/>
      <c r="G733" s="17"/>
      <c r="H733" s="17"/>
      <c r="I733" s="17"/>
      <c r="J733" s="17"/>
      <c r="K733" s="17"/>
      <c r="L733" s="17"/>
      <c r="M733" s="17"/>
      <c r="N733" s="17"/>
      <c r="O733" s="17"/>
      <c r="P733" s="17"/>
      <c r="Q733" s="17"/>
      <c r="R733" s="1"/>
      <c r="S733" s="1"/>
    </row>
    <row r="734" spans="1:19" x14ac:dyDescent="0.35">
      <c r="A734" s="6"/>
      <c r="B734" s="13"/>
      <c r="C734" s="81"/>
      <c r="D734" s="4"/>
      <c r="E734" s="8"/>
      <c r="F734" s="17"/>
      <c r="G734" s="17"/>
      <c r="H734" s="17"/>
      <c r="I734" s="17"/>
      <c r="J734" s="17"/>
      <c r="K734" s="17"/>
      <c r="L734" s="17"/>
      <c r="M734" s="17"/>
      <c r="N734" s="17"/>
      <c r="O734" s="17"/>
      <c r="P734" s="17"/>
      <c r="Q734" s="17"/>
      <c r="R734" s="1"/>
      <c r="S734" s="1"/>
    </row>
    <row r="735" spans="1:19" x14ac:dyDescent="0.35">
      <c r="A735" s="6"/>
      <c r="B735" s="13"/>
      <c r="C735" s="81"/>
      <c r="D735" s="4"/>
      <c r="E735" s="8"/>
      <c r="F735" s="17"/>
      <c r="G735" s="17"/>
      <c r="H735" s="17"/>
      <c r="I735" s="17"/>
      <c r="J735" s="17"/>
      <c r="K735" s="17"/>
      <c r="L735" s="17"/>
      <c r="M735" s="17"/>
      <c r="N735" s="17"/>
      <c r="O735" s="17"/>
      <c r="P735" s="17"/>
      <c r="Q735" s="17"/>
      <c r="R735" s="1"/>
      <c r="S735" s="1"/>
    </row>
    <row r="736" spans="1:19" x14ac:dyDescent="0.35">
      <c r="A736" s="6"/>
      <c r="B736" s="13"/>
      <c r="C736" s="81"/>
      <c r="D736" s="4"/>
      <c r="E736" s="8"/>
      <c r="F736" s="17"/>
      <c r="G736" s="17"/>
      <c r="H736" s="17"/>
      <c r="I736" s="17"/>
      <c r="J736" s="17"/>
      <c r="K736" s="17"/>
      <c r="L736" s="17"/>
      <c r="M736" s="17"/>
      <c r="N736" s="17"/>
      <c r="O736" s="17"/>
      <c r="P736" s="17"/>
      <c r="Q736" s="17"/>
      <c r="R736" s="1"/>
      <c r="S736" s="1"/>
    </row>
    <row r="737" spans="1:19" x14ac:dyDescent="0.35">
      <c r="A737" s="6"/>
      <c r="B737" s="13"/>
      <c r="C737" s="81"/>
      <c r="D737" s="4"/>
      <c r="E737" s="8"/>
      <c r="F737" s="17"/>
      <c r="G737" s="17"/>
      <c r="H737" s="17"/>
      <c r="I737" s="17"/>
      <c r="J737" s="17"/>
      <c r="K737" s="17"/>
      <c r="L737" s="17"/>
      <c r="M737" s="17"/>
      <c r="N737" s="17"/>
      <c r="O737" s="17"/>
      <c r="P737" s="17"/>
      <c r="Q737" s="17"/>
      <c r="R737" s="1"/>
      <c r="S737" s="1"/>
    </row>
    <row r="738" spans="1:19" x14ac:dyDescent="0.35">
      <c r="A738" s="6"/>
      <c r="B738" s="13"/>
      <c r="C738" s="81"/>
      <c r="D738" s="4"/>
      <c r="E738" s="8"/>
      <c r="F738" s="17"/>
      <c r="G738" s="17"/>
      <c r="H738" s="17"/>
      <c r="I738" s="17"/>
      <c r="J738" s="17"/>
      <c r="K738" s="17"/>
      <c r="L738" s="17"/>
      <c r="M738" s="17"/>
      <c r="N738" s="17"/>
      <c r="O738" s="17"/>
      <c r="P738" s="17"/>
      <c r="Q738" s="17"/>
      <c r="R738" s="1"/>
      <c r="S738" s="1"/>
    </row>
    <row r="739" spans="1:19" x14ac:dyDescent="0.35">
      <c r="A739" s="6"/>
      <c r="B739" s="13"/>
      <c r="C739" s="81"/>
      <c r="D739" s="4"/>
      <c r="E739" s="8"/>
      <c r="F739" s="17"/>
      <c r="G739" s="17"/>
      <c r="H739" s="17"/>
      <c r="I739" s="17"/>
      <c r="J739" s="17"/>
      <c r="K739" s="17"/>
      <c r="L739" s="17"/>
      <c r="M739" s="17"/>
      <c r="N739" s="17"/>
      <c r="O739" s="17"/>
      <c r="P739" s="17"/>
      <c r="Q739" s="17"/>
      <c r="R739" s="1"/>
      <c r="S739" s="1"/>
    </row>
    <row r="740" spans="1:19" x14ac:dyDescent="0.35">
      <c r="A740" s="6"/>
      <c r="B740" s="13"/>
      <c r="C740" s="81"/>
      <c r="D740" s="4"/>
      <c r="E740" s="8"/>
      <c r="F740" s="17"/>
      <c r="G740" s="17"/>
      <c r="H740" s="17"/>
      <c r="I740" s="17"/>
      <c r="J740" s="17"/>
      <c r="K740" s="17"/>
      <c r="L740" s="17"/>
      <c r="M740" s="17"/>
      <c r="N740" s="17"/>
      <c r="O740" s="17"/>
      <c r="P740" s="17"/>
      <c r="Q740" s="17"/>
      <c r="R740" s="1"/>
      <c r="S740" s="1"/>
    </row>
    <row r="741" spans="1:19" x14ac:dyDescent="0.35">
      <c r="A741" s="6"/>
      <c r="B741" s="13"/>
      <c r="C741" s="81"/>
      <c r="D741" s="4"/>
      <c r="E741" s="8"/>
      <c r="F741" s="17"/>
      <c r="G741" s="17"/>
      <c r="H741" s="17"/>
      <c r="I741" s="17"/>
      <c r="J741" s="17"/>
      <c r="K741" s="17"/>
      <c r="L741" s="17"/>
      <c r="M741" s="17"/>
      <c r="N741" s="17"/>
      <c r="O741" s="17"/>
      <c r="P741" s="17"/>
      <c r="Q741" s="17"/>
      <c r="R741" s="1"/>
      <c r="S741" s="1"/>
    </row>
    <row r="742" spans="1:19" x14ac:dyDescent="0.35">
      <c r="A742" s="6"/>
      <c r="B742" s="13"/>
      <c r="C742" s="81"/>
      <c r="D742" s="4"/>
      <c r="E742" s="8"/>
      <c r="F742" s="17"/>
      <c r="G742" s="17"/>
      <c r="H742" s="17"/>
      <c r="I742" s="17"/>
      <c r="J742" s="17"/>
      <c r="K742" s="17"/>
      <c r="L742" s="17"/>
      <c r="M742" s="17"/>
      <c r="N742" s="17"/>
      <c r="O742" s="17"/>
      <c r="P742" s="17"/>
      <c r="Q742" s="17"/>
      <c r="R742" s="1"/>
      <c r="S742" s="1"/>
    </row>
    <row r="743" spans="1:19" x14ac:dyDescent="0.35">
      <c r="A743" s="6"/>
      <c r="B743" s="13"/>
      <c r="C743" s="81"/>
      <c r="D743" s="4"/>
      <c r="E743" s="8"/>
      <c r="F743" s="17"/>
      <c r="G743" s="17"/>
      <c r="H743" s="17"/>
      <c r="I743" s="17"/>
      <c r="J743" s="17"/>
      <c r="K743" s="17"/>
      <c r="L743" s="17"/>
      <c r="M743" s="17"/>
      <c r="N743" s="17"/>
      <c r="O743" s="17"/>
      <c r="P743" s="17"/>
      <c r="Q743" s="17"/>
      <c r="R743" s="1"/>
      <c r="S743" s="1"/>
    </row>
    <row r="744" spans="1:19" x14ac:dyDescent="0.35">
      <c r="A744" s="6"/>
      <c r="B744" s="13"/>
      <c r="C744" s="81"/>
      <c r="D744" s="4"/>
      <c r="E744" s="8"/>
      <c r="F744" s="17"/>
      <c r="G744" s="17"/>
      <c r="H744" s="17"/>
      <c r="I744" s="17"/>
      <c r="J744" s="17"/>
      <c r="K744" s="17"/>
      <c r="L744" s="17"/>
      <c r="M744" s="17"/>
      <c r="N744" s="17"/>
      <c r="O744" s="17"/>
      <c r="P744" s="17"/>
      <c r="Q744" s="17"/>
      <c r="R744" s="1"/>
      <c r="S744" s="1"/>
    </row>
    <row r="745" spans="1:19" x14ac:dyDescent="0.35">
      <c r="A745" s="6"/>
      <c r="B745" s="13"/>
      <c r="C745" s="81"/>
      <c r="D745" s="4"/>
      <c r="E745" s="8"/>
      <c r="F745" s="17"/>
      <c r="G745" s="17"/>
      <c r="H745" s="17"/>
      <c r="I745" s="17"/>
      <c r="J745" s="17"/>
      <c r="K745" s="17"/>
      <c r="L745" s="17"/>
      <c r="M745" s="17"/>
      <c r="N745" s="17"/>
      <c r="O745" s="17"/>
      <c r="P745" s="17"/>
      <c r="Q745" s="17"/>
      <c r="R745" s="1"/>
      <c r="S745" s="1"/>
    </row>
    <row r="746" spans="1:19" x14ac:dyDescent="0.35">
      <c r="A746" s="6"/>
      <c r="B746" s="13"/>
      <c r="C746" s="81"/>
      <c r="D746" s="4"/>
      <c r="E746" s="8"/>
      <c r="F746" s="17"/>
      <c r="G746" s="17"/>
      <c r="H746" s="17"/>
      <c r="I746" s="17"/>
      <c r="J746" s="17"/>
      <c r="K746" s="17"/>
      <c r="L746" s="17"/>
      <c r="M746" s="17"/>
      <c r="N746" s="17"/>
      <c r="O746" s="17"/>
      <c r="P746" s="17"/>
      <c r="Q746" s="17"/>
      <c r="R746" s="1"/>
      <c r="S746" s="1"/>
    </row>
    <row r="747" spans="1:19" x14ac:dyDescent="0.35">
      <c r="A747" s="6"/>
      <c r="B747" s="13"/>
      <c r="C747" s="81"/>
      <c r="D747" s="4"/>
      <c r="E747" s="8"/>
      <c r="F747" s="17"/>
      <c r="G747" s="17"/>
      <c r="H747" s="17"/>
      <c r="I747" s="17"/>
      <c r="J747" s="17"/>
      <c r="K747" s="17"/>
      <c r="L747" s="17"/>
      <c r="M747" s="17"/>
      <c r="N747" s="17"/>
      <c r="O747" s="17"/>
      <c r="P747" s="17"/>
      <c r="Q747" s="17"/>
      <c r="R747" s="1"/>
      <c r="S747" s="1"/>
    </row>
    <row r="748" spans="1:19" x14ac:dyDescent="0.35">
      <c r="A748" s="6"/>
      <c r="B748" s="13"/>
      <c r="C748" s="81"/>
      <c r="D748" s="4"/>
      <c r="E748" s="8"/>
      <c r="F748" s="17"/>
      <c r="G748" s="17"/>
      <c r="H748" s="17"/>
      <c r="I748" s="17"/>
      <c r="J748" s="17"/>
      <c r="K748" s="17"/>
      <c r="L748" s="17"/>
      <c r="M748" s="17"/>
      <c r="N748" s="17"/>
      <c r="O748" s="17"/>
      <c r="P748" s="17"/>
      <c r="Q748" s="17"/>
      <c r="R748" s="1"/>
      <c r="S748" s="1"/>
    </row>
    <row r="749" spans="1:19" x14ac:dyDescent="0.35">
      <c r="A749" s="6"/>
      <c r="B749" s="13"/>
      <c r="C749" s="81"/>
      <c r="D749" s="4"/>
      <c r="E749" s="8"/>
      <c r="F749" s="17"/>
      <c r="G749" s="17"/>
      <c r="H749" s="17"/>
      <c r="I749" s="17"/>
      <c r="J749" s="17"/>
      <c r="K749" s="17"/>
      <c r="L749" s="17"/>
      <c r="M749" s="17"/>
      <c r="N749" s="17"/>
      <c r="O749" s="17"/>
      <c r="P749" s="17"/>
      <c r="Q749" s="17"/>
      <c r="R749" s="1"/>
      <c r="S749" s="1"/>
    </row>
    <row r="750" spans="1:19" x14ac:dyDescent="0.35">
      <c r="A750" s="6"/>
      <c r="B750" s="13"/>
      <c r="C750" s="81"/>
      <c r="D750" s="4"/>
      <c r="E750" s="8"/>
      <c r="F750" s="17"/>
      <c r="G750" s="17"/>
      <c r="H750" s="17"/>
      <c r="I750" s="17"/>
      <c r="J750" s="17"/>
      <c r="K750" s="17"/>
      <c r="L750" s="17"/>
      <c r="M750" s="17"/>
      <c r="N750" s="17"/>
      <c r="O750" s="17"/>
      <c r="P750" s="17"/>
      <c r="Q750" s="17"/>
      <c r="R750" s="1"/>
      <c r="S750" s="1"/>
    </row>
    <row r="751" spans="1:19" x14ac:dyDescent="0.35">
      <c r="A751" s="6"/>
      <c r="B751" s="13"/>
      <c r="C751" s="81"/>
      <c r="D751" s="4"/>
      <c r="E751" s="8"/>
      <c r="F751" s="17"/>
      <c r="G751" s="17"/>
      <c r="H751" s="17"/>
      <c r="I751" s="17"/>
      <c r="J751" s="17"/>
      <c r="K751" s="17"/>
      <c r="L751" s="17"/>
      <c r="M751" s="17"/>
      <c r="N751" s="17"/>
      <c r="O751" s="17"/>
      <c r="P751" s="17"/>
      <c r="Q751" s="17"/>
      <c r="R751" s="1"/>
      <c r="S751" s="1"/>
    </row>
    <row r="752" spans="1:19" x14ac:dyDescent="0.35">
      <c r="A752" s="6"/>
      <c r="B752" s="13"/>
      <c r="C752" s="81"/>
      <c r="D752" s="4"/>
      <c r="E752" s="8"/>
      <c r="F752" s="17"/>
      <c r="G752" s="17"/>
      <c r="H752" s="17"/>
      <c r="I752" s="17"/>
      <c r="J752" s="17"/>
      <c r="K752" s="17"/>
      <c r="L752" s="17"/>
      <c r="M752" s="17"/>
      <c r="N752" s="17"/>
      <c r="O752" s="17"/>
      <c r="P752" s="17"/>
      <c r="Q752" s="17"/>
      <c r="R752" s="1"/>
      <c r="S752" s="1"/>
    </row>
    <row r="753" spans="1:19" x14ac:dyDescent="0.35">
      <c r="A753" s="6"/>
      <c r="B753" s="13"/>
      <c r="C753" s="81"/>
      <c r="D753" s="4"/>
      <c r="E753" s="8"/>
      <c r="F753" s="17"/>
      <c r="G753" s="17"/>
      <c r="H753" s="17"/>
      <c r="I753" s="17"/>
      <c r="J753" s="17"/>
      <c r="K753" s="17"/>
      <c r="L753" s="17"/>
      <c r="M753" s="17"/>
      <c r="N753" s="17"/>
      <c r="O753" s="17"/>
      <c r="P753" s="17"/>
      <c r="Q753" s="17"/>
      <c r="R753" s="1"/>
      <c r="S753" s="1"/>
    </row>
    <row r="754" spans="1:19" x14ac:dyDescent="0.35">
      <c r="A754" s="6"/>
      <c r="B754" s="13"/>
      <c r="C754" s="81"/>
      <c r="D754" s="4"/>
      <c r="E754" s="8"/>
      <c r="F754" s="17"/>
      <c r="G754" s="17"/>
      <c r="H754" s="17"/>
      <c r="I754" s="17"/>
      <c r="J754" s="17"/>
      <c r="K754" s="17"/>
      <c r="L754" s="17"/>
      <c r="M754" s="17"/>
      <c r="N754" s="17"/>
      <c r="O754" s="17"/>
      <c r="P754" s="17"/>
      <c r="Q754" s="17"/>
      <c r="R754" s="1"/>
      <c r="S754" s="1"/>
    </row>
    <row r="755" spans="1:19" x14ac:dyDescent="0.35">
      <c r="A755" s="6"/>
      <c r="B755" s="13"/>
      <c r="C755" s="81"/>
      <c r="D755" s="4"/>
      <c r="E755" s="8"/>
      <c r="F755" s="17"/>
      <c r="G755" s="17"/>
      <c r="H755" s="17"/>
      <c r="I755" s="17"/>
      <c r="J755" s="17"/>
      <c r="K755" s="17"/>
      <c r="L755" s="17"/>
      <c r="M755" s="17"/>
      <c r="N755" s="17"/>
      <c r="O755" s="17"/>
      <c r="P755" s="17"/>
      <c r="Q755" s="17"/>
      <c r="R755" s="1"/>
      <c r="S755" s="1"/>
    </row>
    <row r="756" spans="1:19" x14ac:dyDescent="0.35">
      <c r="A756" s="6"/>
      <c r="B756" s="13"/>
      <c r="C756" s="81"/>
      <c r="D756" s="4"/>
      <c r="E756" s="8"/>
      <c r="F756" s="17"/>
      <c r="G756" s="17"/>
      <c r="H756" s="17"/>
      <c r="I756" s="17"/>
      <c r="J756" s="17"/>
      <c r="K756" s="17"/>
      <c r="L756" s="17"/>
      <c r="M756" s="17"/>
      <c r="N756" s="17"/>
      <c r="O756" s="17"/>
      <c r="P756" s="17"/>
      <c r="Q756" s="17"/>
      <c r="R756" s="1"/>
      <c r="S756" s="1"/>
    </row>
    <row r="757" spans="1:19" x14ac:dyDescent="0.35">
      <c r="A757" s="6"/>
      <c r="B757" s="13"/>
      <c r="C757" s="81"/>
      <c r="D757" s="4"/>
      <c r="E757" s="8"/>
      <c r="F757" s="17"/>
      <c r="G757" s="17"/>
      <c r="H757" s="17"/>
      <c r="I757" s="17"/>
      <c r="J757" s="17"/>
      <c r="K757" s="17"/>
      <c r="L757" s="17"/>
      <c r="M757" s="17"/>
      <c r="N757" s="17"/>
      <c r="O757" s="17"/>
      <c r="P757" s="17"/>
      <c r="Q757" s="17"/>
      <c r="R757" s="1"/>
      <c r="S757" s="1"/>
    </row>
    <row r="758" spans="1:19" x14ac:dyDescent="0.35">
      <c r="A758" s="6"/>
      <c r="B758" s="13"/>
      <c r="C758" s="81"/>
      <c r="D758" s="4"/>
      <c r="E758" s="8"/>
      <c r="F758" s="17"/>
      <c r="G758" s="17"/>
      <c r="H758" s="17"/>
      <c r="I758" s="17"/>
      <c r="J758" s="17"/>
      <c r="K758" s="17"/>
      <c r="L758" s="17"/>
      <c r="M758" s="17"/>
      <c r="N758" s="17"/>
      <c r="O758" s="17"/>
      <c r="P758" s="17"/>
      <c r="Q758" s="17"/>
      <c r="R758" s="1"/>
      <c r="S758" s="1"/>
    </row>
    <row r="759" spans="1:19" x14ac:dyDescent="0.35">
      <c r="A759" s="6"/>
      <c r="B759" s="13"/>
      <c r="C759" s="81"/>
      <c r="D759" s="4"/>
      <c r="E759" s="8"/>
      <c r="F759" s="17"/>
      <c r="G759" s="17"/>
      <c r="H759" s="17"/>
      <c r="I759" s="17"/>
      <c r="J759" s="17"/>
      <c r="K759" s="17"/>
      <c r="L759" s="17"/>
      <c r="M759" s="17"/>
      <c r="N759" s="17"/>
      <c r="O759" s="17"/>
      <c r="P759" s="17"/>
      <c r="Q759" s="17"/>
      <c r="R759" s="1"/>
      <c r="S759" s="1"/>
    </row>
    <row r="760" spans="1:19" x14ac:dyDescent="0.35">
      <c r="A760" s="6"/>
      <c r="B760" s="13"/>
      <c r="C760" s="81"/>
      <c r="D760" s="4"/>
      <c r="E760" s="8"/>
      <c r="F760" s="17"/>
      <c r="G760" s="17"/>
      <c r="H760" s="17"/>
      <c r="I760" s="17"/>
      <c r="J760" s="17"/>
      <c r="K760" s="17"/>
      <c r="L760" s="17"/>
      <c r="M760" s="17"/>
      <c r="N760" s="17"/>
      <c r="O760" s="17"/>
      <c r="P760" s="17"/>
      <c r="Q760" s="17"/>
      <c r="R760" s="1"/>
      <c r="S760" s="1"/>
    </row>
    <row r="761" spans="1:19" x14ac:dyDescent="0.35">
      <c r="A761" s="6"/>
      <c r="B761" s="13"/>
      <c r="C761" s="81"/>
      <c r="D761" s="4"/>
      <c r="E761" s="8"/>
      <c r="F761" s="17"/>
      <c r="G761" s="17"/>
      <c r="H761" s="17"/>
      <c r="I761" s="17"/>
      <c r="J761" s="17"/>
      <c r="K761" s="17"/>
      <c r="L761" s="17"/>
      <c r="M761" s="17"/>
      <c r="N761" s="17"/>
      <c r="O761" s="17"/>
      <c r="P761" s="17"/>
      <c r="Q761" s="17"/>
      <c r="R761" s="1"/>
      <c r="S761" s="1"/>
    </row>
    <row r="762" spans="1:19" x14ac:dyDescent="0.35">
      <c r="A762" s="6"/>
      <c r="B762" s="13"/>
      <c r="C762" s="81"/>
      <c r="D762" s="4"/>
      <c r="E762" s="8"/>
      <c r="F762" s="17"/>
      <c r="G762" s="17"/>
      <c r="H762" s="17"/>
      <c r="I762" s="17"/>
      <c r="J762" s="17"/>
      <c r="K762" s="17"/>
      <c r="L762" s="17"/>
      <c r="M762" s="17"/>
      <c r="N762" s="17"/>
      <c r="O762" s="17"/>
      <c r="P762" s="17"/>
      <c r="Q762" s="17"/>
      <c r="R762" s="1"/>
      <c r="S762" s="1"/>
    </row>
    <row r="763" spans="1:19" x14ac:dyDescent="0.35">
      <c r="A763" s="6"/>
      <c r="B763" s="13"/>
      <c r="C763" s="81"/>
      <c r="D763" s="4"/>
      <c r="E763" s="8"/>
      <c r="F763" s="17"/>
      <c r="G763" s="17"/>
      <c r="H763" s="17"/>
      <c r="I763" s="17"/>
      <c r="J763" s="17"/>
      <c r="K763" s="17"/>
      <c r="L763" s="17"/>
      <c r="M763" s="17"/>
      <c r="N763" s="17"/>
      <c r="O763" s="17"/>
      <c r="P763" s="17"/>
      <c r="Q763" s="17"/>
      <c r="R763" s="1"/>
      <c r="S763" s="1"/>
    </row>
    <row r="764" spans="1:19" x14ac:dyDescent="0.35">
      <c r="A764" s="6"/>
      <c r="B764" s="13"/>
      <c r="C764" s="81"/>
      <c r="D764" s="4"/>
      <c r="E764" s="8"/>
      <c r="F764" s="17"/>
      <c r="G764" s="17"/>
      <c r="H764" s="17"/>
      <c r="I764" s="17"/>
      <c r="J764" s="17"/>
      <c r="K764" s="17"/>
      <c r="L764" s="17"/>
      <c r="M764" s="17"/>
      <c r="N764" s="17"/>
      <c r="O764" s="17"/>
      <c r="P764" s="17"/>
      <c r="Q764" s="17"/>
      <c r="R764" s="1"/>
      <c r="S764" s="1"/>
    </row>
    <row r="765" spans="1:19" x14ac:dyDescent="0.35">
      <c r="A765" s="6"/>
      <c r="B765" s="13"/>
      <c r="C765" s="81"/>
      <c r="D765" s="4"/>
      <c r="E765" s="8"/>
      <c r="F765" s="17"/>
      <c r="G765" s="17"/>
      <c r="H765" s="17"/>
      <c r="I765" s="17"/>
      <c r="J765" s="17"/>
      <c r="K765" s="17"/>
      <c r="L765" s="17"/>
      <c r="M765" s="17"/>
      <c r="N765" s="17"/>
      <c r="O765" s="17"/>
      <c r="P765" s="17"/>
      <c r="Q765" s="17"/>
      <c r="R765" s="1"/>
      <c r="S765" s="1"/>
    </row>
    <row r="766" spans="1:19" x14ac:dyDescent="0.35">
      <c r="A766" s="6"/>
      <c r="B766" s="13"/>
      <c r="C766" s="81"/>
      <c r="D766" s="4"/>
      <c r="E766" s="8"/>
      <c r="F766" s="17"/>
      <c r="G766" s="17"/>
      <c r="H766" s="17"/>
      <c r="I766" s="17"/>
      <c r="J766" s="17"/>
      <c r="K766" s="17"/>
      <c r="L766" s="17"/>
      <c r="M766" s="17"/>
      <c r="N766" s="17"/>
      <c r="O766" s="17"/>
      <c r="P766" s="17"/>
      <c r="Q766" s="17"/>
      <c r="R766" s="1"/>
      <c r="S766" s="1"/>
    </row>
    <row r="767" spans="1:19" x14ac:dyDescent="0.35">
      <c r="A767" s="6"/>
      <c r="B767" s="13"/>
      <c r="C767" s="81"/>
      <c r="D767" s="4"/>
      <c r="E767" s="8"/>
      <c r="F767" s="17"/>
      <c r="G767" s="17"/>
      <c r="H767" s="17"/>
      <c r="I767" s="17"/>
      <c r="J767" s="17"/>
      <c r="K767" s="17"/>
      <c r="L767" s="17"/>
      <c r="M767" s="17"/>
      <c r="N767" s="17"/>
      <c r="O767" s="17"/>
      <c r="P767" s="17"/>
      <c r="Q767" s="17"/>
      <c r="R767" s="1"/>
      <c r="S767" s="1"/>
    </row>
    <row r="768" spans="1:19" x14ac:dyDescent="0.35">
      <c r="A768" s="6"/>
      <c r="B768" s="13"/>
      <c r="C768" s="81"/>
      <c r="D768" s="4"/>
      <c r="E768" s="8"/>
      <c r="F768" s="17"/>
      <c r="G768" s="17"/>
      <c r="H768" s="17"/>
      <c r="I768" s="17"/>
      <c r="J768" s="17"/>
      <c r="K768" s="17"/>
      <c r="L768" s="17"/>
      <c r="M768" s="17"/>
      <c r="N768" s="17"/>
      <c r="O768" s="17"/>
      <c r="P768" s="17"/>
      <c r="Q768" s="17"/>
      <c r="R768" s="1"/>
      <c r="S768" s="1"/>
    </row>
    <row r="769" spans="1:19" x14ac:dyDescent="0.35">
      <c r="A769" s="6"/>
      <c r="B769" s="13"/>
      <c r="C769" s="81"/>
      <c r="D769" s="4"/>
      <c r="E769" s="8"/>
      <c r="F769" s="17"/>
      <c r="G769" s="17"/>
      <c r="H769" s="17"/>
      <c r="I769" s="17"/>
      <c r="J769" s="17"/>
      <c r="K769" s="17"/>
      <c r="L769" s="17"/>
      <c r="M769" s="17"/>
      <c r="N769" s="17"/>
      <c r="O769" s="17"/>
      <c r="P769" s="17"/>
      <c r="Q769" s="17"/>
      <c r="R769" s="1"/>
      <c r="S769" s="1"/>
    </row>
    <row r="770" spans="1:19" x14ac:dyDescent="0.35">
      <c r="A770" s="6"/>
      <c r="B770" s="13"/>
      <c r="C770" s="81"/>
      <c r="D770" s="4"/>
      <c r="E770" s="8"/>
      <c r="F770" s="17"/>
      <c r="G770" s="17"/>
      <c r="H770" s="17"/>
      <c r="I770" s="17"/>
      <c r="J770" s="17"/>
      <c r="K770" s="17"/>
      <c r="L770" s="17"/>
      <c r="M770" s="17"/>
      <c r="N770" s="17"/>
      <c r="O770" s="17"/>
      <c r="P770" s="17"/>
      <c r="Q770" s="17"/>
      <c r="R770" s="1"/>
      <c r="S770" s="1"/>
    </row>
    <row r="771" spans="1:19" x14ac:dyDescent="0.35">
      <c r="A771" s="6"/>
      <c r="B771" s="13"/>
      <c r="C771" s="81"/>
      <c r="D771" s="4"/>
      <c r="E771" s="8"/>
      <c r="F771" s="17"/>
      <c r="G771" s="17"/>
      <c r="H771" s="17"/>
      <c r="I771" s="17"/>
      <c r="J771" s="17"/>
      <c r="K771" s="17"/>
      <c r="L771" s="17"/>
      <c r="M771" s="17"/>
      <c r="N771" s="17"/>
      <c r="O771" s="17"/>
      <c r="P771" s="17"/>
      <c r="Q771" s="17"/>
      <c r="R771" s="1"/>
      <c r="S771" s="1"/>
    </row>
    <row r="772" spans="1:19" x14ac:dyDescent="0.35">
      <c r="A772" s="6"/>
      <c r="B772" s="13"/>
      <c r="C772" s="81"/>
      <c r="D772" s="4"/>
      <c r="E772" s="8"/>
      <c r="F772" s="17"/>
      <c r="G772" s="17"/>
      <c r="H772" s="17"/>
      <c r="I772" s="17"/>
      <c r="J772" s="17"/>
      <c r="K772" s="17"/>
      <c r="L772" s="17"/>
      <c r="M772" s="17"/>
      <c r="N772" s="17"/>
      <c r="O772" s="17"/>
      <c r="P772" s="17"/>
      <c r="Q772" s="17"/>
      <c r="R772" s="1"/>
      <c r="S772" s="1"/>
    </row>
    <row r="773" spans="1:19" x14ac:dyDescent="0.35">
      <c r="A773" s="6"/>
      <c r="B773" s="13"/>
      <c r="C773" s="81"/>
      <c r="D773" s="4"/>
      <c r="E773" s="8"/>
      <c r="F773" s="17"/>
      <c r="G773" s="17"/>
      <c r="H773" s="17"/>
      <c r="I773" s="17"/>
      <c r="J773" s="17"/>
      <c r="K773" s="17"/>
      <c r="L773" s="17"/>
      <c r="M773" s="17"/>
      <c r="N773" s="17"/>
      <c r="O773" s="17"/>
      <c r="P773" s="17"/>
      <c r="Q773" s="17"/>
      <c r="R773" s="1"/>
      <c r="S773" s="1"/>
    </row>
    <row r="774" spans="1:19" x14ac:dyDescent="0.35">
      <c r="A774" s="6"/>
      <c r="B774" s="13"/>
      <c r="C774" s="81"/>
      <c r="D774" s="4"/>
      <c r="E774" s="8"/>
      <c r="F774" s="17"/>
      <c r="G774" s="17"/>
      <c r="H774" s="17"/>
      <c r="I774" s="17"/>
      <c r="J774" s="17"/>
      <c r="K774" s="17"/>
      <c r="L774" s="17"/>
      <c r="M774" s="17"/>
      <c r="N774" s="17"/>
      <c r="O774" s="17"/>
      <c r="P774" s="17"/>
      <c r="Q774" s="17"/>
      <c r="R774" s="1"/>
      <c r="S774" s="1"/>
    </row>
    <row r="775" spans="1:19" x14ac:dyDescent="0.35">
      <c r="A775" s="6"/>
      <c r="B775" s="13"/>
      <c r="C775" s="81"/>
      <c r="D775" s="4"/>
      <c r="E775" s="8"/>
      <c r="F775" s="17"/>
      <c r="G775" s="17"/>
      <c r="H775" s="17"/>
      <c r="I775" s="17"/>
      <c r="J775" s="17"/>
      <c r="K775" s="17"/>
      <c r="L775" s="17"/>
      <c r="M775" s="17"/>
      <c r="N775" s="17"/>
      <c r="O775" s="17"/>
      <c r="P775" s="17"/>
      <c r="Q775" s="17"/>
      <c r="R775" s="1"/>
      <c r="S775" s="1"/>
    </row>
    <row r="776" spans="1:19" x14ac:dyDescent="0.35">
      <c r="A776" s="6"/>
      <c r="B776" s="13"/>
      <c r="C776" s="81"/>
      <c r="D776" s="4"/>
      <c r="E776" s="8"/>
      <c r="F776" s="17"/>
      <c r="G776" s="17"/>
      <c r="H776" s="17"/>
      <c r="I776" s="17"/>
      <c r="J776" s="17"/>
      <c r="K776" s="17"/>
      <c r="L776" s="17"/>
      <c r="M776" s="17"/>
      <c r="N776" s="17"/>
      <c r="O776" s="17"/>
      <c r="P776" s="17"/>
      <c r="Q776" s="17"/>
      <c r="R776" s="1"/>
      <c r="S776" s="1"/>
    </row>
    <row r="777" spans="1:19" x14ac:dyDescent="0.35">
      <c r="A777" s="6"/>
      <c r="B777" s="13"/>
      <c r="C777" s="81"/>
      <c r="D777" s="4"/>
      <c r="E777" s="8"/>
      <c r="F777" s="17"/>
      <c r="G777" s="17"/>
      <c r="H777" s="17"/>
      <c r="I777" s="17"/>
      <c r="J777" s="17"/>
      <c r="K777" s="17"/>
      <c r="L777" s="17"/>
      <c r="M777" s="17"/>
      <c r="N777" s="17"/>
      <c r="O777" s="17"/>
      <c r="P777" s="17"/>
      <c r="Q777" s="17"/>
      <c r="R777" s="1"/>
      <c r="S777" s="1"/>
    </row>
    <row r="778" spans="1:19" x14ac:dyDescent="0.35">
      <c r="A778" s="6"/>
      <c r="B778" s="13"/>
      <c r="C778" s="81"/>
      <c r="D778" s="4"/>
      <c r="E778" s="8"/>
      <c r="F778" s="17"/>
      <c r="G778" s="17"/>
      <c r="H778" s="17"/>
      <c r="I778" s="17"/>
      <c r="J778" s="17"/>
      <c r="K778" s="17"/>
      <c r="L778" s="17"/>
      <c r="M778" s="17"/>
      <c r="N778" s="17"/>
      <c r="O778" s="17"/>
      <c r="P778" s="17"/>
      <c r="Q778" s="17"/>
      <c r="R778" s="1"/>
      <c r="S778" s="1"/>
    </row>
    <row r="779" spans="1:19" x14ac:dyDescent="0.35">
      <c r="A779" s="6"/>
      <c r="B779" s="13"/>
      <c r="C779" s="81"/>
      <c r="D779" s="4"/>
      <c r="E779" s="8"/>
      <c r="F779" s="17"/>
      <c r="G779" s="17"/>
      <c r="H779" s="17"/>
      <c r="I779" s="17"/>
      <c r="J779" s="17"/>
      <c r="K779" s="17"/>
      <c r="L779" s="17"/>
      <c r="M779" s="17"/>
      <c r="N779" s="17"/>
      <c r="O779" s="17"/>
      <c r="P779" s="17"/>
      <c r="Q779" s="17"/>
      <c r="R779" s="1"/>
      <c r="S779" s="1"/>
    </row>
    <row r="780" spans="1:19" x14ac:dyDescent="0.35">
      <c r="A780" s="6"/>
      <c r="B780" s="13"/>
      <c r="C780" s="81"/>
      <c r="D780" s="4"/>
      <c r="E780" s="8"/>
      <c r="F780" s="17"/>
      <c r="G780" s="17"/>
      <c r="H780" s="17"/>
      <c r="I780" s="17"/>
      <c r="J780" s="17"/>
      <c r="K780" s="17"/>
      <c r="L780" s="17"/>
      <c r="M780" s="17"/>
      <c r="N780" s="17"/>
      <c r="O780" s="17"/>
      <c r="P780" s="17"/>
      <c r="Q780" s="17"/>
      <c r="R780" s="1"/>
      <c r="S780" s="1"/>
    </row>
    <row r="781" spans="1:19" x14ac:dyDescent="0.35">
      <c r="A781" s="6"/>
      <c r="B781" s="13"/>
      <c r="C781" s="81"/>
      <c r="D781" s="4"/>
      <c r="E781" s="8"/>
      <c r="F781" s="17"/>
      <c r="G781" s="17"/>
      <c r="H781" s="17"/>
      <c r="I781" s="17"/>
      <c r="J781" s="17"/>
      <c r="K781" s="17"/>
      <c r="L781" s="17"/>
      <c r="M781" s="17"/>
      <c r="N781" s="17"/>
      <c r="O781" s="17"/>
      <c r="P781" s="17"/>
      <c r="Q781" s="17"/>
      <c r="R781" s="1"/>
      <c r="S781" s="1"/>
    </row>
    <row r="782" spans="1:19" x14ac:dyDescent="0.35">
      <c r="A782" s="6"/>
      <c r="B782" s="13"/>
      <c r="C782" s="81"/>
      <c r="D782" s="4"/>
      <c r="E782" s="8"/>
      <c r="F782" s="17"/>
      <c r="G782" s="17"/>
      <c r="H782" s="17"/>
      <c r="I782" s="17"/>
      <c r="J782" s="17"/>
      <c r="K782" s="17"/>
      <c r="L782" s="17"/>
      <c r="M782" s="17"/>
      <c r="N782" s="17"/>
      <c r="O782" s="17"/>
      <c r="P782" s="17"/>
      <c r="Q782" s="17"/>
      <c r="R782" s="1"/>
      <c r="S782" s="1"/>
    </row>
    <row r="783" spans="1:19" x14ac:dyDescent="0.35">
      <c r="A783" s="6"/>
      <c r="B783" s="13"/>
      <c r="C783" s="81"/>
      <c r="D783" s="4"/>
      <c r="E783" s="8"/>
      <c r="F783" s="17"/>
      <c r="G783" s="17"/>
      <c r="H783" s="17"/>
      <c r="I783" s="17"/>
      <c r="J783" s="17"/>
      <c r="K783" s="17"/>
      <c r="L783" s="17"/>
      <c r="M783" s="17"/>
      <c r="N783" s="17"/>
      <c r="O783" s="17"/>
      <c r="P783" s="17"/>
      <c r="Q783" s="17"/>
      <c r="R783" s="1"/>
      <c r="S783" s="1"/>
    </row>
    <row r="784" spans="1:19" x14ac:dyDescent="0.35">
      <c r="A784" s="6"/>
      <c r="B784" s="13"/>
      <c r="C784" s="81"/>
      <c r="D784" s="4"/>
      <c r="E784" s="8"/>
      <c r="F784" s="17"/>
      <c r="G784" s="17"/>
      <c r="H784" s="17"/>
      <c r="I784" s="17"/>
      <c r="J784" s="17"/>
      <c r="K784" s="17"/>
      <c r="L784" s="17"/>
      <c r="M784" s="17"/>
      <c r="N784" s="17"/>
      <c r="O784" s="17"/>
      <c r="P784" s="17"/>
      <c r="Q784" s="17"/>
      <c r="R784" s="1"/>
      <c r="S784" s="1"/>
    </row>
    <row r="785" spans="1:19" x14ac:dyDescent="0.35">
      <c r="A785" s="6"/>
      <c r="B785" s="13"/>
      <c r="C785" s="81"/>
      <c r="D785" s="4"/>
      <c r="E785" s="8"/>
      <c r="F785" s="17"/>
      <c r="G785" s="17"/>
      <c r="H785" s="17"/>
      <c r="I785" s="17"/>
      <c r="J785" s="17"/>
      <c r="K785" s="17"/>
      <c r="L785" s="17"/>
      <c r="M785" s="17"/>
      <c r="N785" s="17"/>
      <c r="O785" s="17"/>
      <c r="P785" s="17"/>
      <c r="Q785" s="17"/>
      <c r="R785" s="1"/>
      <c r="S785" s="1"/>
    </row>
    <row r="786" spans="1:19" x14ac:dyDescent="0.35">
      <c r="A786" s="6"/>
      <c r="B786" s="13"/>
      <c r="C786" s="81"/>
      <c r="D786" s="4"/>
      <c r="E786" s="8"/>
      <c r="F786" s="17"/>
      <c r="G786" s="17"/>
      <c r="H786" s="17"/>
      <c r="I786" s="17"/>
      <c r="J786" s="17"/>
      <c r="K786" s="17"/>
      <c r="L786" s="17"/>
      <c r="M786" s="17"/>
      <c r="N786" s="17"/>
      <c r="O786" s="17"/>
      <c r="P786" s="17"/>
      <c r="Q786" s="17"/>
      <c r="R786" s="1"/>
      <c r="S786" s="1"/>
    </row>
    <row r="787" spans="1:19" x14ac:dyDescent="0.35">
      <c r="A787" s="6"/>
      <c r="B787" s="13"/>
      <c r="C787" s="81"/>
      <c r="D787" s="4"/>
      <c r="E787" s="8"/>
      <c r="F787" s="17"/>
      <c r="G787" s="17"/>
      <c r="H787" s="17"/>
      <c r="I787" s="17"/>
      <c r="J787" s="17"/>
      <c r="K787" s="17"/>
      <c r="L787" s="17"/>
      <c r="M787" s="17"/>
      <c r="N787" s="17"/>
      <c r="O787" s="17"/>
      <c r="P787" s="17"/>
      <c r="Q787" s="17"/>
      <c r="R787" s="1"/>
      <c r="S787" s="1"/>
    </row>
    <row r="788" spans="1:19" x14ac:dyDescent="0.35">
      <c r="A788" s="6"/>
      <c r="B788" s="13"/>
      <c r="C788" s="81"/>
      <c r="D788" s="4"/>
      <c r="E788" s="8"/>
      <c r="F788" s="17"/>
      <c r="G788" s="17"/>
      <c r="H788" s="17"/>
      <c r="I788" s="17"/>
      <c r="J788" s="17"/>
      <c r="K788" s="17"/>
      <c r="L788" s="17"/>
      <c r="M788" s="17"/>
      <c r="N788" s="17"/>
      <c r="O788" s="17"/>
      <c r="P788" s="17"/>
      <c r="Q788" s="17"/>
      <c r="R788" s="1"/>
      <c r="S788" s="1"/>
    </row>
    <row r="789" spans="1:19" x14ac:dyDescent="0.35">
      <c r="A789" s="6"/>
      <c r="B789" s="13"/>
      <c r="C789" s="81"/>
      <c r="D789" s="4"/>
      <c r="E789" s="8"/>
      <c r="F789" s="17"/>
      <c r="G789" s="17"/>
      <c r="H789" s="17"/>
      <c r="I789" s="17"/>
      <c r="J789" s="17"/>
      <c r="K789" s="17"/>
      <c r="L789" s="17"/>
      <c r="M789" s="17"/>
      <c r="N789" s="17"/>
      <c r="O789" s="17"/>
      <c r="P789" s="17"/>
      <c r="Q789" s="17"/>
      <c r="R789" s="1"/>
      <c r="S789" s="1"/>
    </row>
    <row r="790" spans="1:19" x14ac:dyDescent="0.35">
      <c r="A790" s="6"/>
      <c r="B790" s="13"/>
      <c r="C790" s="81"/>
      <c r="D790" s="4"/>
      <c r="E790" s="8"/>
      <c r="F790" s="17"/>
      <c r="G790" s="17"/>
      <c r="H790" s="17"/>
      <c r="I790" s="17"/>
      <c r="J790" s="17"/>
      <c r="K790" s="17"/>
      <c r="L790" s="17"/>
      <c r="M790" s="17"/>
      <c r="N790" s="17"/>
      <c r="O790" s="17"/>
      <c r="P790" s="17"/>
      <c r="Q790" s="17"/>
      <c r="R790" s="1"/>
      <c r="S790" s="1"/>
    </row>
    <row r="791" spans="1:19" x14ac:dyDescent="0.35">
      <c r="A791" s="6"/>
      <c r="B791" s="13"/>
      <c r="C791" s="81"/>
      <c r="D791" s="4"/>
      <c r="E791" s="8"/>
      <c r="F791" s="17"/>
      <c r="G791" s="17"/>
      <c r="H791" s="17"/>
      <c r="I791" s="17"/>
      <c r="J791" s="17"/>
      <c r="K791" s="17"/>
      <c r="L791" s="17"/>
      <c r="M791" s="17"/>
      <c r="N791" s="17"/>
      <c r="O791" s="17"/>
      <c r="P791" s="17"/>
      <c r="Q791" s="17"/>
      <c r="R791" s="1"/>
      <c r="S791" s="1"/>
    </row>
    <row r="792" spans="1:19" x14ac:dyDescent="0.35">
      <c r="A792" s="6"/>
      <c r="B792" s="13"/>
      <c r="C792" s="81"/>
      <c r="D792" s="4"/>
      <c r="E792" s="8"/>
      <c r="F792" s="17"/>
      <c r="G792" s="17"/>
      <c r="H792" s="17"/>
      <c r="I792" s="17"/>
      <c r="J792" s="17"/>
      <c r="K792" s="17"/>
      <c r="L792" s="17"/>
      <c r="M792" s="17"/>
      <c r="N792" s="17"/>
      <c r="O792" s="17"/>
      <c r="P792" s="17"/>
      <c r="Q792" s="17"/>
      <c r="R792" s="1"/>
      <c r="S792" s="1"/>
    </row>
    <row r="793" spans="1:19" x14ac:dyDescent="0.35">
      <c r="A793" s="6"/>
      <c r="B793" s="13"/>
      <c r="C793" s="81"/>
      <c r="D793" s="4"/>
      <c r="E793" s="8"/>
      <c r="F793" s="17"/>
      <c r="G793" s="17"/>
      <c r="H793" s="17"/>
      <c r="I793" s="17"/>
      <c r="J793" s="17"/>
      <c r="K793" s="17"/>
      <c r="L793" s="17"/>
      <c r="M793" s="17"/>
      <c r="N793" s="17"/>
      <c r="O793" s="17"/>
      <c r="P793" s="17"/>
      <c r="Q793" s="17"/>
      <c r="R793" s="1"/>
      <c r="S793" s="1"/>
    </row>
    <row r="794" spans="1:19" x14ac:dyDescent="0.35">
      <c r="A794" s="6"/>
      <c r="B794" s="13"/>
      <c r="C794" s="81"/>
      <c r="D794" s="4"/>
      <c r="E794" s="8"/>
      <c r="F794" s="17"/>
      <c r="G794" s="17"/>
      <c r="H794" s="17"/>
      <c r="I794" s="17"/>
      <c r="J794" s="17"/>
      <c r="K794" s="17"/>
      <c r="L794" s="17"/>
      <c r="M794" s="17"/>
      <c r="N794" s="17"/>
      <c r="O794" s="17"/>
      <c r="P794" s="17"/>
      <c r="Q794" s="17"/>
      <c r="R794" s="1"/>
      <c r="S794" s="1"/>
    </row>
    <row r="795" spans="1:19" x14ac:dyDescent="0.35">
      <c r="A795" s="6"/>
      <c r="B795" s="13"/>
      <c r="C795" s="81"/>
      <c r="D795" s="4"/>
      <c r="E795" s="8"/>
      <c r="F795" s="17"/>
      <c r="G795" s="17"/>
      <c r="H795" s="17"/>
      <c r="I795" s="17"/>
      <c r="J795" s="17"/>
      <c r="K795" s="17"/>
      <c r="L795" s="17"/>
      <c r="M795" s="17"/>
      <c r="N795" s="17"/>
      <c r="O795" s="17"/>
      <c r="P795" s="17"/>
      <c r="Q795" s="17"/>
      <c r="R795" s="1"/>
      <c r="S795" s="1"/>
    </row>
    <row r="796" spans="1:19" x14ac:dyDescent="0.35">
      <c r="A796" s="6"/>
      <c r="B796" s="13"/>
      <c r="C796" s="81"/>
      <c r="D796" s="4"/>
      <c r="E796" s="8"/>
      <c r="F796" s="17"/>
      <c r="G796" s="17"/>
      <c r="H796" s="17"/>
      <c r="I796" s="17"/>
      <c r="J796" s="17"/>
      <c r="K796" s="17"/>
      <c r="L796" s="17"/>
      <c r="M796" s="17"/>
      <c r="N796" s="17"/>
      <c r="O796" s="17"/>
      <c r="P796" s="17"/>
      <c r="Q796" s="17"/>
      <c r="R796" s="1"/>
      <c r="S796" s="1"/>
    </row>
    <row r="797" spans="1:19" x14ac:dyDescent="0.35">
      <c r="A797" s="6"/>
      <c r="B797" s="13"/>
      <c r="C797" s="81"/>
      <c r="D797" s="4"/>
      <c r="E797" s="8"/>
      <c r="F797" s="17"/>
      <c r="G797" s="17"/>
      <c r="H797" s="17"/>
      <c r="I797" s="17"/>
      <c r="J797" s="17"/>
      <c r="K797" s="17"/>
      <c r="L797" s="17"/>
      <c r="M797" s="17"/>
      <c r="N797" s="17"/>
      <c r="O797" s="17"/>
      <c r="P797" s="17"/>
      <c r="Q797" s="17"/>
      <c r="R797" s="1"/>
      <c r="S797" s="1"/>
    </row>
    <row r="798" spans="1:19" x14ac:dyDescent="0.35">
      <c r="A798" s="6"/>
      <c r="B798" s="13"/>
      <c r="C798" s="81"/>
      <c r="D798" s="4"/>
      <c r="E798" s="8"/>
      <c r="F798" s="17"/>
      <c r="G798" s="17"/>
      <c r="H798" s="17"/>
      <c r="I798" s="17"/>
      <c r="J798" s="17"/>
      <c r="K798" s="17"/>
      <c r="L798" s="17"/>
      <c r="M798" s="17"/>
      <c r="N798" s="17"/>
      <c r="O798" s="17"/>
      <c r="P798" s="17"/>
      <c r="Q798" s="17"/>
      <c r="R798" s="1"/>
      <c r="S798" s="1"/>
    </row>
    <row r="799" spans="1:19" x14ac:dyDescent="0.35">
      <c r="A799" s="6"/>
      <c r="B799" s="13"/>
      <c r="C799" s="81"/>
      <c r="D799" s="4"/>
      <c r="E799" s="8"/>
      <c r="F799" s="17"/>
      <c r="G799" s="17"/>
      <c r="H799" s="17"/>
      <c r="I799" s="17"/>
      <c r="J799" s="17"/>
      <c r="K799" s="17"/>
      <c r="L799" s="17"/>
      <c r="M799" s="17"/>
      <c r="N799" s="17"/>
      <c r="O799" s="17"/>
      <c r="P799" s="17"/>
      <c r="Q799" s="17"/>
      <c r="R799" s="1"/>
      <c r="S799" s="1"/>
    </row>
    <row r="800" spans="1:19" x14ac:dyDescent="0.35">
      <c r="A800" s="6"/>
      <c r="B800" s="13"/>
      <c r="C800" s="81"/>
      <c r="D800" s="4"/>
      <c r="E800" s="8"/>
      <c r="F800" s="17"/>
      <c r="G800" s="17"/>
      <c r="H800" s="17"/>
      <c r="I800" s="17"/>
      <c r="J800" s="17"/>
      <c r="K800" s="17"/>
      <c r="L800" s="17"/>
      <c r="M800" s="17"/>
      <c r="N800" s="17"/>
      <c r="O800" s="17"/>
      <c r="P800" s="17"/>
      <c r="Q800" s="17"/>
      <c r="R800" s="1"/>
      <c r="S800" s="1"/>
    </row>
    <row r="801" spans="1:19" x14ac:dyDescent="0.35">
      <c r="A801" s="6"/>
      <c r="B801" s="13"/>
      <c r="C801" s="81"/>
      <c r="D801" s="4"/>
      <c r="E801" s="8"/>
      <c r="F801" s="17"/>
      <c r="G801" s="17"/>
      <c r="H801" s="17"/>
      <c r="I801" s="17"/>
      <c r="J801" s="17"/>
      <c r="K801" s="17"/>
      <c r="L801" s="17"/>
      <c r="M801" s="17"/>
      <c r="N801" s="17"/>
      <c r="O801" s="17"/>
      <c r="P801" s="17"/>
      <c r="Q801" s="17"/>
      <c r="R801" s="1"/>
      <c r="S801" s="1"/>
    </row>
    <row r="802" spans="1:19" x14ac:dyDescent="0.35">
      <c r="A802" s="6"/>
      <c r="B802" s="13"/>
      <c r="C802" s="81"/>
      <c r="D802" s="4"/>
      <c r="E802" s="8"/>
      <c r="F802" s="17"/>
      <c r="G802" s="17"/>
      <c r="H802" s="17"/>
      <c r="I802" s="17"/>
      <c r="J802" s="17"/>
      <c r="K802" s="17"/>
      <c r="L802" s="17"/>
      <c r="M802" s="17"/>
      <c r="N802" s="17"/>
      <c r="O802" s="17"/>
      <c r="P802" s="17"/>
      <c r="Q802" s="17"/>
      <c r="R802" s="1"/>
      <c r="S802" s="1"/>
    </row>
    <row r="803" spans="1:19" x14ac:dyDescent="0.35">
      <c r="A803" s="6"/>
      <c r="B803" s="13"/>
      <c r="C803" s="81"/>
      <c r="D803" s="4"/>
      <c r="E803" s="8"/>
      <c r="F803" s="17"/>
      <c r="G803" s="17"/>
      <c r="H803" s="17"/>
      <c r="I803" s="17"/>
      <c r="J803" s="17"/>
      <c r="K803" s="17"/>
      <c r="L803" s="17"/>
      <c r="M803" s="17"/>
      <c r="N803" s="17"/>
      <c r="O803" s="17"/>
      <c r="P803" s="17"/>
      <c r="Q803" s="17"/>
      <c r="R803" s="1"/>
      <c r="S803" s="1"/>
    </row>
    <row r="804" spans="1:19" x14ac:dyDescent="0.35">
      <c r="A804" s="6"/>
      <c r="B804" s="13"/>
      <c r="C804" s="81"/>
      <c r="D804" s="4"/>
      <c r="E804" s="8"/>
      <c r="F804" s="17"/>
      <c r="G804" s="17"/>
      <c r="H804" s="17"/>
      <c r="I804" s="17"/>
      <c r="J804" s="17"/>
      <c r="K804" s="17"/>
      <c r="L804" s="17"/>
      <c r="M804" s="17"/>
      <c r="N804" s="17"/>
      <c r="O804" s="17"/>
      <c r="P804" s="17"/>
      <c r="Q804" s="17"/>
      <c r="R804" s="1"/>
      <c r="S804" s="1"/>
    </row>
    <row r="805" spans="1:19" x14ac:dyDescent="0.35">
      <c r="A805" s="6"/>
      <c r="B805" s="13"/>
      <c r="C805" s="81"/>
      <c r="D805" s="4"/>
      <c r="E805" s="8"/>
      <c r="F805" s="17"/>
      <c r="G805" s="17"/>
      <c r="H805" s="17"/>
      <c r="I805" s="17"/>
      <c r="J805" s="17"/>
      <c r="K805" s="17"/>
      <c r="L805" s="17"/>
      <c r="M805" s="17"/>
      <c r="N805" s="17"/>
      <c r="O805" s="17"/>
      <c r="P805" s="17"/>
      <c r="Q805" s="17"/>
      <c r="R805" s="1"/>
      <c r="S805" s="1"/>
    </row>
    <row r="806" spans="1:19" x14ac:dyDescent="0.35">
      <c r="A806" s="6"/>
      <c r="B806" s="13"/>
      <c r="C806" s="81"/>
      <c r="D806" s="4"/>
      <c r="E806" s="8"/>
      <c r="F806" s="17"/>
      <c r="G806" s="17"/>
      <c r="H806" s="17"/>
      <c r="I806" s="17"/>
      <c r="J806" s="17"/>
      <c r="K806" s="17"/>
      <c r="L806" s="17"/>
      <c r="M806" s="17"/>
      <c r="N806" s="17"/>
      <c r="O806" s="17"/>
      <c r="P806" s="17"/>
      <c r="Q806" s="17"/>
      <c r="R806" s="1"/>
      <c r="S806" s="1"/>
    </row>
    <row r="807" spans="1:19" x14ac:dyDescent="0.35">
      <c r="A807" s="6"/>
      <c r="B807" s="13"/>
      <c r="C807" s="81"/>
      <c r="D807" s="4"/>
      <c r="E807" s="8"/>
      <c r="F807" s="17"/>
      <c r="G807" s="17"/>
      <c r="H807" s="17"/>
      <c r="I807" s="17"/>
      <c r="J807" s="17"/>
      <c r="K807" s="17"/>
      <c r="L807" s="17"/>
      <c r="M807" s="17"/>
      <c r="N807" s="17"/>
      <c r="O807" s="17"/>
      <c r="P807" s="17"/>
      <c r="Q807" s="17"/>
      <c r="R807" s="1"/>
      <c r="S807" s="1"/>
    </row>
    <row r="808" spans="1:19" x14ac:dyDescent="0.35">
      <c r="A808" s="6"/>
      <c r="B808" s="13"/>
      <c r="C808" s="81"/>
      <c r="D808" s="4"/>
      <c r="E808" s="8"/>
      <c r="F808" s="17"/>
      <c r="G808" s="17"/>
      <c r="H808" s="17"/>
      <c r="I808" s="17"/>
      <c r="J808" s="17"/>
      <c r="K808" s="17"/>
      <c r="L808" s="17"/>
      <c r="M808" s="17"/>
      <c r="N808" s="17"/>
      <c r="O808" s="17"/>
      <c r="P808" s="17"/>
      <c r="Q808" s="17"/>
      <c r="R808" s="1"/>
      <c r="S808" s="1"/>
    </row>
    <row r="809" spans="1:19" x14ac:dyDescent="0.35">
      <c r="A809" s="6"/>
      <c r="B809" s="13"/>
      <c r="C809" s="81"/>
      <c r="D809" s="4"/>
      <c r="E809" s="8"/>
      <c r="F809" s="17"/>
      <c r="G809" s="17"/>
      <c r="H809" s="17"/>
      <c r="I809" s="17"/>
      <c r="J809" s="17"/>
      <c r="K809" s="17"/>
      <c r="L809" s="17"/>
      <c r="M809" s="17"/>
      <c r="N809" s="17"/>
      <c r="O809" s="17"/>
      <c r="P809" s="17"/>
      <c r="Q809" s="17"/>
      <c r="R809" s="1"/>
      <c r="S809" s="1"/>
    </row>
    <row r="810" spans="1:19" x14ac:dyDescent="0.35">
      <c r="A810" s="6"/>
      <c r="B810" s="13"/>
      <c r="C810" s="81"/>
      <c r="D810" s="4"/>
      <c r="E810" s="8"/>
      <c r="F810" s="17"/>
      <c r="G810" s="17"/>
      <c r="H810" s="17"/>
      <c r="I810" s="17"/>
      <c r="J810" s="17"/>
      <c r="K810" s="17"/>
      <c r="L810" s="17"/>
      <c r="M810" s="17"/>
      <c r="N810" s="17"/>
      <c r="O810" s="17"/>
      <c r="P810" s="17"/>
      <c r="Q810" s="17"/>
      <c r="R810" s="1"/>
      <c r="S810" s="1"/>
    </row>
    <row r="811" spans="1:19" x14ac:dyDescent="0.35">
      <c r="A811" s="6"/>
      <c r="B811" s="13"/>
      <c r="C811" s="81"/>
      <c r="D811" s="4"/>
      <c r="E811" s="8"/>
      <c r="F811" s="17"/>
      <c r="G811" s="17"/>
      <c r="H811" s="17"/>
      <c r="I811" s="17"/>
      <c r="J811" s="17"/>
      <c r="K811" s="17"/>
      <c r="L811" s="17"/>
      <c r="M811" s="17"/>
      <c r="N811" s="17"/>
      <c r="O811" s="17"/>
      <c r="P811" s="17"/>
      <c r="Q811" s="17"/>
      <c r="R811" s="1"/>
      <c r="S811" s="1"/>
    </row>
    <row r="812" spans="1:19" x14ac:dyDescent="0.35">
      <c r="A812" s="6"/>
      <c r="B812" s="13"/>
      <c r="C812" s="81"/>
      <c r="D812" s="4"/>
      <c r="E812" s="8"/>
      <c r="F812" s="17"/>
      <c r="G812" s="17"/>
      <c r="H812" s="17"/>
      <c r="I812" s="17"/>
      <c r="J812" s="17"/>
      <c r="K812" s="17"/>
      <c r="L812" s="17"/>
      <c r="M812" s="17"/>
      <c r="N812" s="17"/>
      <c r="O812" s="17"/>
      <c r="P812" s="17"/>
      <c r="Q812" s="17"/>
      <c r="R812" s="1"/>
      <c r="S812" s="1"/>
    </row>
    <row r="813" spans="1:19" x14ac:dyDescent="0.35">
      <c r="A813" s="6"/>
      <c r="B813" s="13"/>
      <c r="C813" s="81"/>
      <c r="D813" s="4"/>
      <c r="E813" s="8"/>
      <c r="F813" s="17"/>
      <c r="G813" s="17"/>
      <c r="H813" s="17"/>
      <c r="I813" s="17"/>
      <c r="J813" s="17"/>
      <c r="K813" s="17"/>
      <c r="L813" s="17"/>
      <c r="M813" s="17"/>
      <c r="N813" s="17"/>
      <c r="O813" s="17"/>
      <c r="P813" s="17"/>
      <c r="Q813" s="17"/>
      <c r="R813" s="1"/>
      <c r="S813" s="1"/>
    </row>
    <row r="814" spans="1:19" x14ac:dyDescent="0.35">
      <c r="A814" s="6"/>
      <c r="B814" s="13"/>
      <c r="C814" s="81"/>
      <c r="D814" s="4"/>
      <c r="E814" s="8"/>
      <c r="F814" s="17"/>
      <c r="G814" s="17"/>
      <c r="H814" s="17"/>
      <c r="I814" s="17"/>
      <c r="J814" s="17"/>
      <c r="K814" s="17"/>
      <c r="L814" s="17"/>
      <c r="M814" s="17"/>
      <c r="N814" s="17"/>
      <c r="O814" s="17"/>
      <c r="P814" s="17"/>
      <c r="Q814" s="17"/>
      <c r="R814" s="1"/>
      <c r="S814" s="1"/>
    </row>
    <row r="815" spans="1:19" x14ac:dyDescent="0.35">
      <c r="A815" s="6"/>
      <c r="B815" s="13"/>
      <c r="C815" s="81"/>
      <c r="D815" s="4"/>
      <c r="E815" s="8"/>
      <c r="F815" s="17"/>
      <c r="G815" s="17"/>
      <c r="H815" s="17"/>
      <c r="I815" s="17"/>
      <c r="J815" s="17"/>
      <c r="K815" s="17"/>
      <c r="L815" s="17"/>
      <c r="M815" s="17"/>
      <c r="N815" s="17"/>
      <c r="O815" s="17"/>
      <c r="P815" s="17"/>
      <c r="Q815" s="17"/>
      <c r="R815" s="1"/>
      <c r="S815" s="1"/>
    </row>
    <row r="816" spans="1:19" x14ac:dyDescent="0.35">
      <c r="A816" s="6"/>
      <c r="B816" s="13"/>
      <c r="C816" s="81"/>
      <c r="D816" s="4"/>
      <c r="E816" s="8"/>
      <c r="F816" s="17"/>
      <c r="G816" s="17"/>
      <c r="H816" s="17"/>
      <c r="I816" s="17"/>
      <c r="J816" s="17"/>
      <c r="K816" s="17"/>
      <c r="L816" s="17"/>
      <c r="M816" s="17"/>
      <c r="N816" s="17"/>
      <c r="O816" s="17"/>
      <c r="P816" s="17"/>
      <c r="Q816" s="17"/>
      <c r="R816" s="1"/>
      <c r="S816" s="1"/>
    </row>
    <row r="817" spans="1:19" x14ac:dyDescent="0.35">
      <c r="A817" s="6"/>
      <c r="B817" s="13"/>
      <c r="C817" s="81"/>
      <c r="D817" s="4"/>
      <c r="E817" s="8"/>
      <c r="F817" s="17"/>
      <c r="G817" s="17"/>
      <c r="H817" s="17"/>
      <c r="I817" s="17"/>
      <c r="J817" s="17"/>
      <c r="K817" s="17"/>
      <c r="L817" s="17"/>
      <c r="M817" s="17"/>
      <c r="N817" s="17"/>
      <c r="O817" s="17"/>
      <c r="P817" s="17"/>
      <c r="Q817" s="17"/>
      <c r="R817" s="1"/>
      <c r="S817" s="1"/>
    </row>
    <row r="818" spans="1:19" x14ac:dyDescent="0.35">
      <c r="A818" s="6"/>
      <c r="B818" s="13"/>
      <c r="C818" s="81"/>
      <c r="D818" s="4"/>
      <c r="E818" s="8"/>
      <c r="F818" s="17"/>
      <c r="G818" s="17"/>
      <c r="H818" s="17"/>
      <c r="I818" s="17"/>
      <c r="J818" s="17"/>
      <c r="K818" s="17"/>
      <c r="L818" s="17"/>
      <c r="M818" s="17"/>
      <c r="N818" s="17"/>
      <c r="O818" s="17"/>
      <c r="P818" s="17"/>
      <c r="Q818" s="17"/>
      <c r="R818" s="1"/>
      <c r="S818" s="1"/>
    </row>
    <row r="819" spans="1:19" x14ac:dyDescent="0.35">
      <c r="A819" s="6"/>
      <c r="B819" s="13"/>
      <c r="C819" s="81"/>
      <c r="D819" s="4"/>
      <c r="E819" s="8"/>
      <c r="F819" s="17"/>
      <c r="G819" s="17"/>
      <c r="H819" s="17"/>
      <c r="I819" s="17"/>
      <c r="J819" s="17"/>
      <c r="K819" s="17"/>
      <c r="L819" s="17"/>
      <c r="M819" s="17"/>
      <c r="N819" s="17"/>
      <c r="O819" s="17"/>
      <c r="P819" s="17"/>
      <c r="Q819" s="17"/>
      <c r="R819" s="1"/>
      <c r="S819" s="1"/>
    </row>
    <row r="820" spans="1:19" x14ac:dyDescent="0.35">
      <c r="A820" s="6"/>
      <c r="B820" s="13"/>
      <c r="C820" s="81"/>
      <c r="D820" s="4"/>
      <c r="E820" s="8"/>
      <c r="F820" s="17"/>
      <c r="G820" s="17"/>
      <c r="H820" s="17"/>
      <c r="I820" s="17"/>
      <c r="J820" s="17"/>
      <c r="K820" s="17"/>
      <c r="L820" s="17"/>
      <c r="M820" s="17"/>
      <c r="N820" s="17"/>
      <c r="O820" s="17"/>
      <c r="P820" s="17"/>
      <c r="Q820" s="17"/>
      <c r="R820" s="1"/>
      <c r="S820" s="1"/>
    </row>
    <row r="821" spans="1:19" x14ac:dyDescent="0.35">
      <c r="A821" s="6"/>
      <c r="B821" s="13"/>
      <c r="C821" s="81"/>
      <c r="D821" s="4"/>
      <c r="E821" s="8"/>
      <c r="F821" s="17"/>
      <c r="G821" s="17"/>
      <c r="H821" s="17"/>
      <c r="I821" s="17"/>
      <c r="J821" s="17"/>
      <c r="K821" s="17"/>
      <c r="L821" s="17"/>
      <c r="M821" s="17"/>
      <c r="N821" s="17"/>
      <c r="O821" s="17"/>
      <c r="P821" s="17"/>
      <c r="Q821" s="17"/>
      <c r="R821" s="1"/>
      <c r="S821" s="1"/>
    </row>
    <row r="822" spans="1:19" x14ac:dyDescent="0.35">
      <c r="A822" s="6"/>
      <c r="B822" s="13"/>
      <c r="C822" s="81"/>
      <c r="D822" s="4"/>
      <c r="E822" s="8"/>
      <c r="F822" s="17"/>
      <c r="G822" s="17"/>
      <c r="H822" s="17"/>
      <c r="I822" s="17"/>
      <c r="J822" s="17"/>
      <c r="K822" s="17"/>
      <c r="L822" s="17"/>
      <c r="M822" s="17"/>
      <c r="N822" s="17"/>
      <c r="O822" s="17"/>
      <c r="P822" s="17"/>
      <c r="Q822" s="17"/>
      <c r="R822" s="1"/>
      <c r="S822" s="1"/>
    </row>
    <row r="823" spans="1:19" x14ac:dyDescent="0.35">
      <c r="A823" s="6"/>
      <c r="B823" s="13"/>
      <c r="C823" s="81"/>
      <c r="D823" s="4"/>
      <c r="E823" s="8"/>
      <c r="F823" s="17"/>
      <c r="G823" s="17"/>
      <c r="H823" s="17"/>
      <c r="I823" s="17"/>
      <c r="J823" s="17"/>
      <c r="K823" s="17"/>
      <c r="L823" s="17"/>
      <c r="M823" s="17"/>
      <c r="N823" s="17"/>
      <c r="O823" s="17"/>
      <c r="P823" s="17"/>
      <c r="Q823" s="17"/>
      <c r="R823" s="1"/>
      <c r="S823" s="1"/>
    </row>
    <row r="824" spans="1:19" x14ac:dyDescent="0.35">
      <c r="A824" s="6"/>
      <c r="B824" s="13"/>
      <c r="C824" s="81"/>
      <c r="D824" s="4"/>
      <c r="E824" s="8"/>
      <c r="F824" s="17"/>
      <c r="G824" s="17"/>
      <c r="H824" s="17"/>
      <c r="I824" s="17"/>
      <c r="J824" s="17"/>
      <c r="K824" s="17"/>
      <c r="L824" s="17"/>
      <c r="M824" s="17"/>
      <c r="N824" s="17"/>
      <c r="O824" s="17"/>
      <c r="P824" s="17"/>
      <c r="Q824" s="17"/>
      <c r="R824" s="1"/>
      <c r="S824" s="1"/>
    </row>
    <row r="825" spans="1:19" x14ac:dyDescent="0.35">
      <c r="A825" s="6"/>
      <c r="B825" s="13"/>
      <c r="C825" s="81"/>
      <c r="D825" s="4"/>
      <c r="E825" s="8"/>
      <c r="F825" s="17"/>
      <c r="G825" s="17"/>
      <c r="H825" s="17"/>
      <c r="I825" s="17"/>
      <c r="J825" s="17"/>
      <c r="K825" s="17"/>
      <c r="L825" s="17"/>
      <c r="M825" s="17"/>
      <c r="N825" s="17"/>
      <c r="O825" s="17"/>
      <c r="P825" s="17"/>
      <c r="Q825" s="17"/>
      <c r="R825" s="1"/>
      <c r="S825" s="1"/>
    </row>
    <row r="826" spans="1:19" x14ac:dyDescent="0.35">
      <c r="A826" s="6"/>
      <c r="B826" s="13"/>
      <c r="C826" s="81"/>
      <c r="D826" s="4"/>
      <c r="E826" s="8"/>
      <c r="F826" s="17"/>
      <c r="G826" s="17"/>
      <c r="H826" s="17"/>
      <c r="I826" s="17"/>
      <c r="J826" s="17"/>
      <c r="K826" s="17"/>
      <c r="L826" s="17"/>
      <c r="M826" s="17"/>
      <c r="N826" s="17"/>
      <c r="O826" s="17"/>
      <c r="P826" s="17"/>
      <c r="Q826" s="17"/>
      <c r="R826" s="1"/>
      <c r="S826" s="1"/>
    </row>
    <row r="827" spans="1:19" x14ac:dyDescent="0.35">
      <c r="A827" s="6"/>
      <c r="B827" s="13"/>
      <c r="C827" s="81"/>
      <c r="D827" s="4"/>
      <c r="E827" s="8"/>
      <c r="F827" s="17"/>
      <c r="G827" s="17"/>
      <c r="H827" s="17"/>
      <c r="I827" s="17"/>
      <c r="J827" s="17"/>
      <c r="K827" s="17"/>
      <c r="L827" s="17"/>
      <c r="M827" s="17"/>
      <c r="N827" s="17"/>
      <c r="O827" s="17"/>
      <c r="P827" s="17"/>
      <c r="Q827" s="17"/>
      <c r="R827" s="1"/>
      <c r="S827" s="1"/>
    </row>
    <row r="828" spans="1:19" x14ac:dyDescent="0.35">
      <c r="A828" s="6"/>
      <c r="B828" s="13"/>
      <c r="C828" s="81"/>
      <c r="D828" s="4"/>
      <c r="E828" s="8"/>
      <c r="F828" s="17"/>
      <c r="G828" s="17"/>
      <c r="H828" s="17"/>
      <c r="I828" s="17"/>
      <c r="J828" s="17"/>
      <c r="K828" s="17"/>
      <c r="L828" s="17"/>
      <c r="M828" s="17"/>
      <c r="N828" s="17"/>
      <c r="O828" s="17"/>
      <c r="P828" s="17"/>
      <c r="Q828" s="17"/>
      <c r="R828" s="1"/>
      <c r="S828" s="1"/>
    </row>
    <row r="829" spans="1:19" x14ac:dyDescent="0.35">
      <c r="A829" s="6"/>
      <c r="B829" s="13"/>
      <c r="C829" s="81"/>
      <c r="D829" s="4"/>
      <c r="E829" s="8"/>
      <c r="F829" s="17"/>
      <c r="G829" s="17"/>
      <c r="H829" s="17"/>
      <c r="I829" s="17"/>
      <c r="J829" s="17"/>
      <c r="K829" s="17"/>
      <c r="L829" s="17"/>
      <c r="M829" s="17"/>
      <c r="N829" s="17"/>
      <c r="O829" s="17"/>
      <c r="P829" s="17"/>
      <c r="Q829" s="17"/>
      <c r="R829" s="1"/>
      <c r="S829" s="1"/>
    </row>
    <row r="830" spans="1:19" x14ac:dyDescent="0.35">
      <c r="A830" s="6"/>
      <c r="B830" s="13"/>
      <c r="C830" s="81"/>
      <c r="D830" s="4"/>
      <c r="E830" s="8"/>
      <c r="F830" s="17"/>
      <c r="G830" s="17"/>
      <c r="H830" s="17"/>
      <c r="I830" s="17"/>
      <c r="J830" s="17"/>
      <c r="K830" s="17"/>
      <c r="L830" s="17"/>
      <c r="M830" s="17"/>
      <c r="N830" s="17"/>
      <c r="O830" s="17"/>
      <c r="P830" s="17"/>
      <c r="Q830" s="17"/>
      <c r="R830" s="1"/>
      <c r="S830" s="1"/>
    </row>
    <row r="831" spans="1:19" x14ac:dyDescent="0.35">
      <c r="A831" s="6"/>
      <c r="B831" s="13"/>
      <c r="C831" s="81"/>
      <c r="D831" s="4"/>
      <c r="E831" s="8"/>
      <c r="F831" s="17"/>
      <c r="G831" s="17"/>
      <c r="H831" s="17"/>
      <c r="I831" s="17"/>
      <c r="J831" s="17"/>
      <c r="K831" s="17"/>
      <c r="L831" s="17"/>
      <c r="M831" s="17"/>
      <c r="N831" s="17"/>
      <c r="O831" s="17"/>
      <c r="P831" s="17"/>
      <c r="Q831" s="17"/>
      <c r="R831" s="1"/>
      <c r="S831" s="1"/>
    </row>
    <row r="832" spans="1:19" x14ac:dyDescent="0.35">
      <c r="A832" s="6"/>
      <c r="B832" s="13"/>
      <c r="C832" s="81"/>
      <c r="D832" s="4"/>
      <c r="E832" s="8"/>
      <c r="F832" s="17"/>
      <c r="G832" s="17"/>
      <c r="H832" s="17"/>
      <c r="I832" s="17"/>
      <c r="J832" s="17"/>
      <c r="K832" s="17"/>
      <c r="L832" s="17"/>
      <c r="M832" s="17"/>
      <c r="N832" s="17"/>
      <c r="O832" s="17"/>
      <c r="P832" s="17"/>
      <c r="Q832" s="17"/>
      <c r="R832" s="1"/>
      <c r="S832" s="1"/>
    </row>
    <row r="833" spans="1:19" x14ac:dyDescent="0.35">
      <c r="A833" s="6"/>
      <c r="B833" s="13"/>
      <c r="C833" s="81"/>
      <c r="D833" s="4"/>
      <c r="E833" s="8"/>
      <c r="F833" s="17"/>
      <c r="G833" s="17"/>
      <c r="H833" s="17"/>
      <c r="I833" s="17"/>
      <c r="J833" s="17"/>
      <c r="K833" s="17"/>
      <c r="L833" s="17"/>
      <c r="M833" s="17"/>
      <c r="N833" s="17"/>
      <c r="O833" s="17"/>
      <c r="P833" s="17"/>
      <c r="Q833" s="17"/>
      <c r="R833" s="1"/>
      <c r="S833" s="1"/>
    </row>
    <row r="834" spans="1:19" x14ac:dyDescent="0.35">
      <c r="A834" s="6"/>
      <c r="B834" s="13"/>
      <c r="C834" s="81"/>
      <c r="D834" s="4"/>
      <c r="E834" s="8"/>
      <c r="F834" s="17"/>
      <c r="G834" s="17"/>
      <c r="H834" s="17"/>
      <c r="I834" s="17"/>
      <c r="J834" s="17"/>
      <c r="K834" s="17"/>
      <c r="L834" s="17"/>
      <c r="M834" s="17"/>
      <c r="N834" s="17"/>
      <c r="O834" s="17"/>
      <c r="P834" s="17"/>
      <c r="Q834" s="17"/>
      <c r="R834" s="1"/>
      <c r="S834" s="1"/>
    </row>
    <row r="835" spans="1:19" x14ac:dyDescent="0.35">
      <c r="A835" s="6"/>
      <c r="B835" s="13"/>
      <c r="C835" s="81"/>
      <c r="D835" s="4"/>
      <c r="E835" s="8"/>
      <c r="F835" s="17"/>
      <c r="G835" s="17"/>
      <c r="H835" s="17"/>
      <c r="I835" s="17"/>
      <c r="J835" s="17"/>
      <c r="K835" s="17"/>
      <c r="L835" s="17"/>
      <c r="M835" s="17"/>
      <c r="N835" s="17"/>
      <c r="O835" s="17"/>
      <c r="P835" s="17"/>
      <c r="Q835" s="17"/>
      <c r="R835" s="1"/>
      <c r="S835" s="1"/>
    </row>
    <row r="836" spans="1:19" x14ac:dyDescent="0.35">
      <c r="A836" s="6"/>
      <c r="B836" s="13"/>
      <c r="C836" s="81"/>
      <c r="D836" s="4"/>
      <c r="E836" s="8"/>
      <c r="F836" s="17"/>
      <c r="G836" s="17"/>
      <c r="H836" s="17"/>
      <c r="I836" s="17"/>
      <c r="J836" s="17"/>
      <c r="K836" s="17"/>
      <c r="L836" s="17"/>
      <c r="M836" s="17"/>
      <c r="N836" s="17"/>
      <c r="O836" s="17"/>
      <c r="P836" s="17"/>
      <c r="Q836" s="17"/>
      <c r="R836" s="1"/>
      <c r="S836" s="1"/>
    </row>
    <row r="837" spans="1:19" x14ac:dyDescent="0.35">
      <c r="A837" s="6"/>
      <c r="B837" s="13"/>
      <c r="C837" s="81"/>
      <c r="D837" s="4"/>
      <c r="E837" s="8"/>
      <c r="F837" s="17"/>
      <c r="G837" s="17"/>
      <c r="H837" s="17"/>
      <c r="I837" s="17"/>
      <c r="J837" s="17"/>
      <c r="K837" s="17"/>
      <c r="L837" s="17"/>
      <c r="M837" s="17"/>
      <c r="N837" s="17"/>
      <c r="O837" s="17"/>
      <c r="P837" s="17"/>
      <c r="Q837" s="17"/>
      <c r="R837" s="1"/>
      <c r="S837" s="1"/>
    </row>
    <row r="838" spans="1:19" x14ac:dyDescent="0.35">
      <c r="A838" s="6"/>
      <c r="B838" s="13"/>
      <c r="C838" s="81"/>
      <c r="D838" s="4"/>
      <c r="E838" s="8"/>
      <c r="F838" s="17"/>
      <c r="G838" s="17"/>
      <c r="H838" s="17"/>
      <c r="I838" s="17"/>
      <c r="J838" s="17"/>
      <c r="K838" s="17"/>
      <c r="L838" s="17"/>
      <c r="M838" s="17"/>
      <c r="N838" s="17"/>
      <c r="O838" s="17"/>
      <c r="P838" s="17"/>
      <c r="Q838" s="17"/>
      <c r="R838" s="1"/>
      <c r="S838" s="1"/>
    </row>
    <row r="839" spans="1:19" x14ac:dyDescent="0.35">
      <c r="A839" s="6"/>
      <c r="B839" s="13"/>
      <c r="C839" s="81"/>
      <c r="D839" s="4"/>
      <c r="E839" s="8"/>
      <c r="F839" s="17"/>
      <c r="G839" s="17"/>
      <c r="H839" s="17"/>
      <c r="I839" s="17"/>
      <c r="J839" s="17"/>
      <c r="K839" s="17"/>
      <c r="L839" s="17"/>
      <c r="M839" s="17"/>
      <c r="N839" s="17"/>
      <c r="O839" s="17"/>
      <c r="P839" s="17"/>
      <c r="Q839" s="17"/>
      <c r="R839" s="1"/>
      <c r="S839" s="1"/>
    </row>
    <row r="840" spans="1:19" x14ac:dyDescent="0.35">
      <c r="A840" s="6"/>
      <c r="B840" s="13"/>
      <c r="C840" s="81"/>
      <c r="D840" s="4"/>
      <c r="E840" s="8"/>
      <c r="F840" s="17"/>
      <c r="G840" s="17"/>
      <c r="H840" s="17"/>
      <c r="I840" s="17"/>
      <c r="J840" s="17"/>
      <c r="K840" s="17"/>
      <c r="L840" s="17"/>
      <c r="M840" s="17"/>
      <c r="N840" s="17"/>
      <c r="O840" s="17"/>
      <c r="P840" s="17"/>
      <c r="Q840" s="17"/>
      <c r="R840" s="1"/>
      <c r="S840" s="1"/>
    </row>
    <row r="841" spans="1:19" x14ac:dyDescent="0.35">
      <c r="A841" s="6"/>
      <c r="B841" s="13"/>
      <c r="C841" s="81"/>
      <c r="D841" s="4"/>
      <c r="E841" s="8"/>
      <c r="F841" s="17"/>
      <c r="G841" s="17"/>
      <c r="H841" s="17"/>
      <c r="I841" s="17"/>
      <c r="J841" s="17"/>
      <c r="K841" s="17"/>
      <c r="L841" s="17"/>
      <c r="M841" s="17"/>
      <c r="N841" s="17"/>
      <c r="O841" s="17"/>
      <c r="P841" s="17"/>
      <c r="Q841" s="17"/>
      <c r="R841" s="1"/>
      <c r="S841" s="1"/>
    </row>
    <row r="842" spans="1:19" x14ac:dyDescent="0.35">
      <c r="A842" s="6"/>
      <c r="B842" s="13"/>
      <c r="C842" s="81"/>
      <c r="D842" s="4"/>
      <c r="E842" s="8"/>
      <c r="F842" s="17"/>
      <c r="G842" s="17"/>
      <c r="H842" s="17"/>
      <c r="I842" s="17"/>
      <c r="J842" s="17"/>
      <c r="K842" s="17"/>
      <c r="L842" s="17"/>
      <c r="M842" s="17"/>
      <c r="N842" s="17"/>
      <c r="O842" s="17"/>
      <c r="P842" s="17"/>
      <c r="Q842" s="17"/>
      <c r="R842" s="1"/>
      <c r="S842" s="1"/>
    </row>
    <row r="843" spans="1:19" x14ac:dyDescent="0.35">
      <c r="A843" s="6"/>
      <c r="B843" s="13"/>
      <c r="C843" s="81"/>
      <c r="D843" s="4"/>
      <c r="E843" s="8"/>
      <c r="F843" s="17"/>
      <c r="G843" s="17"/>
      <c r="H843" s="17"/>
      <c r="I843" s="17"/>
      <c r="J843" s="17"/>
      <c r="K843" s="17"/>
      <c r="L843" s="17"/>
      <c r="M843" s="17"/>
      <c r="N843" s="17"/>
      <c r="O843" s="17"/>
      <c r="P843" s="17"/>
      <c r="Q843" s="17"/>
      <c r="R843" s="1"/>
      <c r="S843" s="1"/>
    </row>
    <row r="844" spans="1:19" x14ac:dyDescent="0.35">
      <c r="A844" s="6"/>
      <c r="B844" s="13"/>
      <c r="C844" s="81"/>
      <c r="D844" s="4"/>
      <c r="E844" s="8"/>
      <c r="F844" s="17"/>
      <c r="G844" s="17"/>
      <c r="H844" s="17"/>
      <c r="I844" s="17"/>
      <c r="J844" s="17"/>
      <c r="K844" s="17"/>
      <c r="L844" s="17"/>
      <c r="M844" s="17"/>
      <c r="N844" s="17"/>
      <c r="O844" s="17"/>
      <c r="P844" s="17"/>
      <c r="Q844" s="17"/>
      <c r="R844" s="1"/>
      <c r="S844" s="1"/>
    </row>
    <row r="845" spans="1:19" x14ac:dyDescent="0.35">
      <c r="A845" s="6"/>
      <c r="B845" s="13"/>
      <c r="C845" s="81"/>
      <c r="D845" s="4"/>
      <c r="E845" s="8"/>
      <c r="F845" s="17"/>
      <c r="G845" s="17"/>
      <c r="H845" s="17"/>
      <c r="I845" s="17"/>
      <c r="J845" s="17"/>
      <c r="K845" s="17"/>
      <c r="L845" s="17"/>
      <c r="M845" s="17"/>
      <c r="N845" s="17"/>
      <c r="O845" s="17"/>
      <c r="P845" s="17"/>
      <c r="Q845" s="17"/>
      <c r="R845" s="1"/>
      <c r="S845" s="1"/>
    </row>
    <row r="846" spans="1:19" x14ac:dyDescent="0.35">
      <c r="A846" s="6"/>
      <c r="B846" s="13"/>
      <c r="C846" s="81"/>
      <c r="D846" s="4"/>
      <c r="E846" s="8"/>
      <c r="F846" s="17"/>
      <c r="G846" s="17"/>
      <c r="H846" s="17"/>
      <c r="I846" s="17"/>
      <c r="J846" s="17"/>
      <c r="K846" s="17"/>
      <c r="L846" s="17"/>
      <c r="M846" s="17"/>
      <c r="N846" s="17"/>
      <c r="O846" s="17"/>
      <c r="P846" s="17"/>
      <c r="Q846" s="17"/>
      <c r="R846" s="1"/>
      <c r="S846" s="1"/>
    </row>
    <row r="847" spans="1:19" x14ac:dyDescent="0.35">
      <c r="A847" s="6"/>
      <c r="B847" s="13"/>
      <c r="C847" s="81"/>
      <c r="D847" s="4"/>
      <c r="E847" s="8"/>
      <c r="F847" s="17"/>
      <c r="G847" s="17"/>
      <c r="H847" s="17"/>
      <c r="I847" s="17"/>
      <c r="J847" s="17"/>
      <c r="K847" s="17"/>
      <c r="L847" s="17"/>
      <c r="M847" s="17"/>
      <c r="N847" s="17"/>
      <c r="O847" s="17"/>
      <c r="P847" s="17"/>
      <c r="Q847" s="17"/>
      <c r="R847" s="1"/>
      <c r="S847" s="1"/>
    </row>
    <row r="848" spans="1:19" x14ac:dyDescent="0.35">
      <c r="A848" s="6"/>
      <c r="B848" s="13"/>
      <c r="C848" s="81"/>
      <c r="D848" s="4"/>
      <c r="E848" s="8"/>
      <c r="F848" s="17"/>
      <c r="G848" s="17"/>
      <c r="H848" s="17"/>
      <c r="I848" s="17"/>
      <c r="J848" s="17"/>
      <c r="K848" s="17"/>
      <c r="L848" s="17"/>
      <c r="M848" s="17"/>
      <c r="N848" s="17"/>
      <c r="O848" s="17"/>
      <c r="P848" s="17"/>
      <c r="Q848" s="17"/>
      <c r="R848" s="1"/>
      <c r="S848" s="1"/>
    </row>
    <row r="849" spans="1:19" x14ac:dyDescent="0.35">
      <c r="A849" s="6"/>
      <c r="B849" s="13"/>
      <c r="C849" s="81"/>
      <c r="D849" s="4"/>
      <c r="E849" s="8"/>
      <c r="F849" s="17"/>
      <c r="G849" s="17"/>
      <c r="H849" s="17"/>
      <c r="I849" s="17"/>
      <c r="J849" s="17"/>
      <c r="K849" s="17"/>
      <c r="L849" s="17"/>
      <c r="M849" s="17"/>
      <c r="N849" s="17"/>
      <c r="O849" s="17"/>
      <c r="P849" s="17"/>
      <c r="Q849" s="17"/>
      <c r="R849" s="1"/>
      <c r="S849" s="1"/>
    </row>
    <row r="850" spans="1:19" x14ac:dyDescent="0.35">
      <c r="A850" s="6"/>
      <c r="B850" s="13"/>
      <c r="C850" s="81"/>
      <c r="D850" s="4"/>
      <c r="E850" s="8"/>
      <c r="F850" s="17"/>
      <c r="G850" s="17"/>
      <c r="H850" s="17"/>
      <c r="I850" s="17"/>
      <c r="J850" s="17"/>
      <c r="K850" s="17"/>
      <c r="L850" s="17"/>
      <c r="M850" s="17"/>
      <c r="N850" s="17"/>
      <c r="O850" s="17"/>
      <c r="P850" s="17"/>
      <c r="Q850" s="17"/>
      <c r="R850" s="1"/>
      <c r="S850" s="1"/>
    </row>
    <row r="851" spans="1:19" x14ac:dyDescent="0.35">
      <c r="A851" s="6"/>
      <c r="B851" s="13"/>
      <c r="C851" s="81"/>
      <c r="D851" s="4"/>
      <c r="E851" s="8"/>
      <c r="F851" s="17"/>
      <c r="G851" s="17"/>
      <c r="H851" s="17"/>
      <c r="I851" s="17"/>
      <c r="J851" s="17"/>
      <c r="K851" s="17"/>
      <c r="L851" s="17"/>
      <c r="M851" s="17"/>
      <c r="N851" s="17"/>
      <c r="O851" s="17"/>
      <c r="P851" s="17"/>
      <c r="Q851" s="17"/>
      <c r="R851" s="1"/>
      <c r="S851" s="1"/>
    </row>
    <row r="852" spans="1:19" x14ac:dyDescent="0.35">
      <c r="A852" s="6"/>
      <c r="B852" s="13"/>
      <c r="C852" s="81"/>
      <c r="D852" s="4"/>
      <c r="E852" s="8"/>
      <c r="F852" s="17"/>
      <c r="G852" s="17"/>
      <c r="H852" s="17"/>
      <c r="I852" s="17"/>
      <c r="J852" s="17"/>
      <c r="K852" s="17"/>
      <c r="L852" s="17"/>
      <c r="M852" s="17"/>
      <c r="N852" s="17"/>
      <c r="O852" s="17"/>
      <c r="P852" s="17"/>
      <c r="Q852" s="17"/>
      <c r="R852" s="1"/>
      <c r="S852" s="1"/>
    </row>
    <row r="853" spans="1:19" x14ac:dyDescent="0.35">
      <c r="A853" s="6"/>
      <c r="B853" s="13"/>
      <c r="C853" s="81"/>
      <c r="D853" s="4"/>
      <c r="E853" s="8"/>
      <c r="F853" s="17"/>
      <c r="G853" s="17"/>
      <c r="H853" s="17"/>
      <c r="I853" s="17"/>
      <c r="J853" s="17"/>
      <c r="K853" s="17"/>
      <c r="L853" s="17"/>
      <c r="M853" s="17"/>
      <c r="N853" s="17"/>
      <c r="O853" s="17"/>
      <c r="P853" s="17"/>
      <c r="Q853" s="17"/>
      <c r="R853" s="1"/>
      <c r="S853" s="1"/>
    </row>
    <row r="854" spans="1:19" x14ac:dyDescent="0.35">
      <c r="A854" s="6"/>
      <c r="B854" s="13"/>
      <c r="C854" s="81"/>
      <c r="D854" s="4"/>
      <c r="E854" s="8"/>
      <c r="F854" s="17"/>
      <c r="G854" s="17"/>
      <c r="H854" s="17"/>
      <c r="I854" s="17"/>
      <c r="J854" s="17"/>
      <c r="K854" s="17"/>
      <c r="L854" s="17"/>
      <c r="M854" s="17"/>
      <c r="N854" s="17"/>
      <c r="O854" s="17"/>
      <c r="P854" s="17"/>
      <c r="Q854" s="17"/>
      <c r="R854" s="1"/>
      <c r="S854" s="1"/>
    </row>
    <row r="855" spans="1:19" x14ac:dyDescent="0.35">
      <c r="A855" s="6"/>
      <c r="B855" s="13"/>
      <c r="C855" s="81"/>
      <c r="D855" s="4"/>
      <c r="E855" s="8"/>
      <c r="F855" s="17"/>
      <c r="G855" s="17"/>
      <c r="H855" s="17"/>
      <c r="I855" s="17"/>
      <c r="J855" s="17"/>
      <c r="K855" s="17"/>
      <c r="L855" s="17"/>
      <c r="M855" s="17"/>
      <c r="N855" s="17"/>
      <c r="O855" s="17"/>
      <c r="P855" s="17"/>
      <c r="Q855" s="17"/>
      <c r="R855" s="1"/>
      <c r="S855" s="1"/>
    </row>
    <row r="856" spans="1:19" x14ac:dyDescent="0.35">
      <c r="A856" s="6"/>
      <c r="B856" s="13"/>
      <c r="C856" s="81"/>
      <c r="D856" s="4"/>
      <c r="E856" s="8"/>
      <c r="F856" s="17"/>
      <c r="G856" s="17"/>
      <c r="H856" s="17"/>
      <c r="I856" s="17"/>
      <c r="J856" s="17"/>
      <c r="K856" s="17"/>
      <c r="L856" s="17"/>
      <c r="M856" s="17"/>
      <c r="N856" s="17"/>
      <c r="O856" s="17"/>
      <c r="P856" s="17"/>
      <c r="Q856" s="17"/>
      <c r="R856" s="1"/>
      <c r="S856" s="1"/>
    </row>
    <row r="857" spans="1:19" x14ac:dyDescent="0.35">
      <c r="A857" s="6"/>
      <c r="B857" s="13"/>
      <c r="C857" s="81"/>
      <c r="D857" s="4"/>
      <c r="E857" s="8"/>
      <c r="F857" s="17"/>
      <c r="G857" s="17"/>
      <c r="H857" s="17"/>
      <c r="I857" s="17"/>
      <c r="J857" s="17"/>
      <c r="K857" s="17"/>
      <c r="L857" s="17"/>
      <c r="M857" s="17"/>
      <c r="N857" s="17"/>
      <c r="O857" s="17"/>
      <c r="P857" s="17"/>
      <c r="Q857" s="17"/>
      <c r="R857" s="1"/>
      <c r="S857" s="1"/>
    </row>
    <row r="858" spans="1:19" x14ac:dyDescent="0.35">
      <c r="A858" s="6"/>
      <c r="B858" s="13"/>
      <c r="C858" s="81"/>
      <c r="D858" s="4"/>
      <c r="E858" s="8"/>
      <c r="F858" s="17"/>
      <c r="G858" s="17"/>
      <c r="H858" s="17"/>
      <c r="I858" s="17"/>
      <c r="J858" s="17"/>
      <c r="K858" s="17"/>
      <c r="L858" s="17"/>
      <c r="M858" s="17"/>
      <c r="N858" s="17"/>
      <c r="O858" s="17"/>
      <c r="P858" s="17"/>
      <c r="Q858" s="17"/>
      <c r="R858" s="1"/>
      <c r="S858" s="1"/>
    </row>
    <row r="859" spans="1:19" x14ac:dyDescent="0.35">
      <c r="A859" s="6"/>
      <c r="B859" s="13"/>
      <c r="C859" s="81"/>
      <c r="D859" s="4"/>
      <c r="E859" s="8"/>
      <c r="F859" s="17"/>
      <c r="G859" s="17"/>
      <c r="H859" s="17"/>
      <c r="I859" s="17"/>
      <c r="J859" s="17"/>
      <c r="K859" s="17"/>
      <c r="L859" s="17"/>
      <c r="M859" s="17"/>
      <c r="N859" s="17"/>
      <c r="O859" s="17"/>
      <c r="P859" s="17"/>
      <c r="Q859" s="17"/>
      <c r="R859" s="1"/>
      <c r="S859" s="1"/>
    </row>
    <row r="860" spans="1:19" x14ac:dyDescent="0.35">
      <c r="A860" s="6"/>
      <c r="B860" s="13"/>
      <c r="C860" s="81"/>
      <c r="D860" s="4"/>
      <c r="E860" s="8"/>
      <c r="F860" s="17"/>
      <c r="G860" s="17"/>
      <c r="H860" s="17"/>
      <c r="I860" s="17"/>
      <c r="J860" s="17"/>
      <c r="K860" s="17"/>
      <c r="L860" s="17"/>
      <c r="M860" s="17"/>
      <c r="N860" s="17"/>
      <c r="O860" s="17"/>
      <c r="P860" s="17"/>
      <c r="Q860" s="17"/>
      <c r="R860" s="1"/>
      <c r="S860" s="1"/>
    </row>
    <row r="861" spans="1:19" x14ac:dyDescent="0.35">
      <c r="A861" s="6"/>
      <c r="B861" s="13"/>
      <c r="C861" s="81"/>
      <c r="D861" s="4"/>
      <c r="E861" s="8"/>
      <c r="F861" s="17"/>
      <c r="G861" s="17"/>
      <c r="H861" s="17"/>
      <c r="I861" s="17"/>
      <c r="J861" s="17"/>
      <c r="K861" s="17"/>
      <c r="L861" s="17"/>
      <c r="M861" s="17"/>
      <c r="N861" s="17"/>
      <c r="O861" s="17"/>
      <c r="P861" s="17"/>
      <c r="Q861" s="17"/>
      <c r="R861" s="1"/>
      <c r="S861" s="1"/>
    </row>
    <row r="862" spans="1:19" x14ac:dyDescent="0.35">
      <c r="A862" s="6"/>
      <c r="B862" s="13"/>
      <c r="C862" s="81"/>
      <c r="D862" s="4"/>
      <c r="E862" s="8"/>
      <c r="F862" s="17"/>
      <c r="G862" s="17"/>
      <c r="H862" s="17"/>
      <c r="I862" s="17"/>
      <c r="J862" s="17"/>
      <c r="K862" s="17"/>
      <c r="L862" s="17"/>
      <c r="M862" s="17"/>
      <c r="N862" s="17"/>
      <c r="O862" s="17"/>
      <c r="P862" s="17"/>
      <c r="Q862" s="17"/>
      <c r="R862" s="1"/>
      <c r="S862" s="1"/>
    </row>
    <row r="863" spans="1:19" x14ac:dyDescent="0.35">
      <c r="A863" s="6"/>
      <c r="B863" s="13"/>
      <c r="C863" s="81"/>
      <c r="D863" s="4"/>
      <c r="E863" s="8"/>
      <c r="F863" s="17"/>
      <c r="G863" s="17"/>
      <c r="H863" s="17"/>
      <c r="I863" s="17"/>
      <c r="J863" s="17"/>
      <c r="K863" s="17"/>
      <c r="L863" s="17"/>
      <c r="M863" s="17"/>
      <c r="N863" s="17"/>
      <c r="O863" s="17"/>
      <c r="P863" s="17"/>
      <c r="Q863" s="17"/>
      <c r="R863" s="1"/>
      <c r="S863" s="1"/>
    </row>
    <row r="864" spans="1:19" x14ac:dyDescent="0.35">
      <c r="A864" s="6"/>
      <c r="B864" s="13"/>
      <c r="C864" s="81"/>
      <c r="D864" s="4"/>
      <c r="E864" s="8"/>
      <c r="F864" s="17"/>
      <c r="G864" s="17"/>
      <c r="H864" s="17"/>
      <c r="I864" s="17"/>
      <c r="J864" s="17"/>
      <c r="K864" s="17"/>
      <c r="L864" s="17"/>
      <c r="M864" s="17"/>
      <c r="N864" s="17"/>
      <c r="O864" s="17"/>
      <c r="P864" s="17"/>
      <c r="Q864" s="17"/>
      <c r="R864" s="1"/>
      <c r="S864" s="1"/>
    </row>
    <row r="865" spans="1:19" x14ac:dyDescent="0.35">
      <c r="A865" s="6"/>
      <c r="B865" s="13"/>
      <c r="C865" s="81"/>
      <c r="D865" s="4"/>
      <c r="E865" s="8"/>
      <c r="F865" s="17"/>
      <c r="G865" s="17"/>
      <c r="H865" s="17"/>
      <c r="I865" s="17"/>
      <c r="J865" s="17"/>
      <c r="K865" s="17"/>
      <c r="L865" s="17"/>
      <c r="M865" s="17"/>
      <c r="N865" s="17"/>
      <c r="O865" s="17"/>
      <c r="P865" s="17"/>
      <c r="Q865" s="17"/>
      <c r="R865" s="1"/>
      <c r="S865" s="1"/>
    </row>
    <row r="866" spans="1:19" x14ac:dyDescent="0.35">
      <c r="A866" s="6"/>
      <c r="B866" s="13"/>
      <c r="C866" s="81"/>
      <c r="D866" s="4"/>
      <c r="E866" s="8"/>
      <c r="F866" s="17"/>
      <c r="G866" s="17"/>
      <c r="H866" s="17"/>
      <c r="I866" s="17"/>
      <c r="J866" s="17"/>
      <c r="K866" s="17"/>
      <c r="L866" s="17"/>
      <c r="M866" s="17"/>
      <c r="N866" s="17"/>
      <c r="O866" s="17"/>
      <c r="P866" s="17"/>
      <c r="Q866" s="17"/>
      <c r="R866" s="1"/>
      <c r="S866" s="1"/>
    </row>
    <row r="867" spans="1:19" x14ac:dyDescent="0.35">
      <c r="A867" s="6"/>
      <c r="B867" s="13"/>
      <c r="C867" s="81"/>
      <c r="D867" s="4"/>
      <c r="E867" s="8"/>
      <c r="F867" s="17"/>
      <c r="G867" s="17"/>
      <c r="H867" s="17"/>
      <c r="I867" s="17"/>
      <c r="J867" s="17"/>
      <c r="K867" s="17"/>
      <c r="L867" s="17"/>
      <c r="M867" s="17"/>
      <c r="N867" s="17"/>
      <c r="O867" s="17"/>
      <c r="P867" s="17"/>
      <c r="Q867" s="17"/>
      <c r="R867" s="1"/>
      <c r="S867" s="1"/>
    </row>
    <row r="868" spans="1:19" x14ac:dyDescent="0.35">
      <c r="A868" s="6"/>
      <c r="B868" s="13"/>
      <c r="C868" s="81"/>
      <c r="D868" s="4"/>
      <c r="E868" s="8"/>
      <c r="F868" s="17"/>
      <c r="G868" s="17"/>
      <c r="H868" s="17"/>
      <c r="I868" s="17"/>
      <c r="J868" s="17"/>
      <c r="K868" s="17"/>
      <c r="L868" s="17"/>
      <c r="M868" s="17"/>
      <c r="N868" s="17"/>
      <c r="O868" s="17"/>
      <c r="P868" s="17"/>
      <c r="Q868" s="17"/>
      <c r="R868" s="1"/>
      <c r="S868" s="1"/>
    </row>
    <row r="869" spans="1:19" x14ac:dyDescent="0.35">
      <c r="A869" s="6"/>
      <c r="B869" s="13"/>
      <c r="C869" s="81"/>
      <c r="D869" s="4"/>
      <c r="E869" s="8"/>
      <c r="F869" s="17"/>
      <c r="G869" s="17"/>
      <c r="H869" s="17"/>
      <c r="I869" s="17"/>
      <c r="J869" s="17"/>
      <c r="K869" s="17"/>
      <c r="L869" s="17"/>
      <c r="M869" s="17"/>
      <c r="N869" s="17"/>
      <c r="O869" s="17"/>
      <c r="P869" s="17"/>
      <c r="Q869" s="17"/>
      <c r="R869" s="1"/>
      <c r="S869" s="1"/>
    </row>
    <row r="870" spans="1:19" x14ac:dyDescent="0.35">
      <c r="A870" s="6"/>
      <c r="B870" s="13"/>
      <c r="C870" s="81"/>
      <c r="D870" s="4"/>
      <c r="E870" s="8"/>
      <c r="F870" s="17"/>
      <c r="G870" s="17"/>
      <c r="H870" s="17"/>
      <c r="I870" s="17"/>
      <c r="J870" s="17"/>
      <c r="K870" s="17"/>
      <c r="L870" s="17"/>
      <c r="M870" s="17"/>
      <c r="N870" s="17"/>
      <c r="O870" s="17"/>
      <c r="P870" s="17"/>
      <c r="Q870" s="17"/>
      <c r="R870" s="1"/>
      <c r="S870" s="1"/>
    </row>
    <row r="871" spans="1:19" x14ac:dyDescent="0.35">
      <c r="A871" s="6"/>
      <c r="B871" s="13"/>
      <c r="C871" s="81"/>
      <c r="D871" s="4"/>
      <c r="E871" s="8"/>
      <c r="F871" s="17"/>
      <c r="G871" s="17"/>
      <c r="H871" s="17"/>
      <c r="I871" s="17"/>
      <c r="J871" s="17"/>
      <c r="K871" s="17"/>
      <c r="L871" s="17"/>
      <c r="M871" s="17"/>
      <c r="N871" s="17"/>
      <c r="O871" s="17"/>
      <c r="P871" s="17"/>
      <c r="Q871" s="17"/>
      <c r="R871" s="1"/>
      <c r="S871" s="1"/>
    </row>
    <row r="872" spans="1:19" x14ac:dyDescent="0.35">
      <c r="A872" s="6"/>
      <c r="B872" s="13"/>
      <c r="C872" s="81"/>
      <c r="D872" s="4"/>
      <c r="E872" s="8"/>
      <c r="F872" s="17"/>
      <c r="G872" s="17"/>
      <c r="H872" s="17"/>
      <c r="I872" s="17"/>
      <c r="J872" s="17"/>
      <c r="K872" s="17"/>
      <c r="L872" s="17"/>
      <c r="M872" s="17"/>
      <c r="N872" s="17"/>
      <c r="O872" s="17"/>
      <c r="P872" s="17"/>
      <c r="Q872" s="17"/>
      <c r="R872" s="1"/>
      <c r="S872" s="1"/>
    </row>
    <row r="873" spans="1:19" x14ac:dyDescent="0.35">
      <c r="A873" s="6"/>
      <c r="B873" s="13"/>
      <c r="C873" s="81"/>
      <c r="D873" s="4"/>
      <c r="E873" s="8"/>
      <c r="F873" s="17"/>
      <c r="G873" s="17"/>
      <c r="H873" s="17"/>
      <c r="I873" s="17"/>
      <c r="J873" s="17"/>
      <c r="K873" s="17"/>
      <c r="L873" s="17"/>
      <c r="M873" s="17"/>
      <c r="N873" s="17"/>
      <c r="O873" s="17"/>
      <c r="P873" s="17"/>
      <c r="Q873" s="17"/>
      <c r="R873" s="1"/>
      <c r="S873" s="1"/>
    </row>
    <row r="874" spans="1:19" x14ac:dyDescent="0.35">
      <c r="A874" s="6"/>
      <c r="B874" s="13"/>
      <c r="C874" s="81"/>
      <c r="D874" s="4"/>
      <c r="E874" s="8"/>
      <c r="F874" s="17"/>
      <c r="G874" s="17"/>
      <c r="H874" s="17"/>
      <c r="I874" s="17"/>
      <c r="J874" s="17"/>
      <c r="K874" s="17"/>
      <c r="L874" s="17"/>
      <c r="M874" s="17"/>
      <c r="N874" s="17"/>
      <c r="O874" s="17"/>
      <c r="P874" s="17"/>
      <c r="Q874" s="17"/>
      <c r="R874" s="1"/>
      <c r="S874" s="1"/>
    </row>
    <row r="875" spans="1:19" x14ac:dyDescent="0.35">
      <c r="A875" s="6"/>
      <c r="B875" s="13"/>
      <c r="C875" s="81"/>
      <c r="D875" s="4"/>
      <c r="E875" s="8"/>
      <c r="F875" s="17"/>
      <c r="G875" s="17"/>
      <c r="H875" s="17"/>
      <c r="I875" s="17"/>
      <c r="J875" s="17"/>
      <c r="K875" s="17"/>
      <c r="L875" s="17"/>
      <c r="M875" s="17"/>
      <c r="N875" s="17"/>
      <c r="O875" s="17"/>
      <c r="P875" s="17"/>
      <c r="Q875" s="17"/>
      <c r="R875" s="1"/>
      <c r="S875" s="1"/>
    </row>
    <row r="876" spans="1:19" x14ac:dyDescent="0.35">
      <c r="A876" s="6"/>
      <c r="B876" s="13"/>
      <c r="C876" s="81"/>
      <c r="D876" s="4"/>
      <c r="E876" s="8"/>
      <c r="F876" s="17"/>
      <c r="G876" s="17"/>
      <c r="H876" s="17"/>
      <c r="I876" s="17"/>
      <c r="J876" s="17"/>
      <c r="K876" s="17"/>
      <c r="L876" s="17"/>
      <c r="M876" s="17"/>
      <c r="N876" s="17"/>
      <c r="O876" s="17"/>
      <c r="P876" s="17"/>
      <c r="Q876" s="17"/>
      <c r="R876" s="1"/>
      <c r="S876" s="1"/>
    </row>
    <row r="877" spans="1:19" x14ac:dyDescent="0.35">
      <c r="A877" s="6"/>
      <c r="B877" s="13"/>
      <c r="C877" s="81"/>
      <c r="D877" s="4"/>
      <c r="E877" s="8"/>
      <c r="F877" s="17"/>
      <c r="G877" s="17"/>
      <c r="H877" s="17"/>
      <c r="I877" s="17"/>
      <c r="J877" s="17"/>
      <c r="K877" s="17"/>
      <c r="L877" s="17"/>
      <c r="M877" s="17"/>
      <c r="N877" s="17"/>
      <c r="O877" s="17"/>
      <c r="P877" s="17"/>
      <c r="Q877" s="17"/>
      <c r="R877" s="1"/>
      <c r="S877" s="1"/>
    </row>
    <row r="878" spans="1:19" x14ac:dyDescent="0.35">
      <c r="A878" s="6"/>
      <c r="B878" s="13"/>
      <c r="C878" s="81"/>
      <c r="D878" s="4"/>
      <c r="E878" s="8"/>
      <c r="F878" s="17"/>
      <c r="G878" s="17"/>
      <c r="H878" s="17"/>
      <c r="I878" s="17"/>
      <c r="J878" s="17"/>
      <c r="K878" s="17"/>
      <c r="L878" s="17"/>
      <c r="M878" s="17"/>
      <c r="N878" s="17"/>
      <c r="O878" s="17"/>
      <c r="P878" s="17"/>
      <c r="Q878" s="17"/>
      <c r="R878" s="1"/>
      <c r="S878" s="1"/>
    </row>
    <row r="879" spans="1:19" x14ac:dyDescent="0.35">
      <c r="A879" s="6"/>
      <c r="B879" s="13"/>
      <c r="C879" s="81"/>
      <c r="D879" s="4"/>
      <c r="E879" s="8"/>
      <c r="F879" s="17"/>
      <c r="G879" s="17"/>
      <c r="H879" s="17"/>
      <c r="I879" s="17"/>
      <c r="J879" s="17"/>
      <c r="K879" s="17"/>
      <c r="L879" s="17"/>
      <c r="M879" s="17"/>
      <c r="N879" s="17"/>
      <c r="O879" s="17"/>
      <c r="P879" s="17"/>
      <c r="Q879" s="17"/>
      <c r="R879" s="1"/>
      <c r="S879" s="1"/>
    </row>
    <row r="880" spans="1:19" x14ac:dyDescent="0.35">
      <c r="A880" s="6"/>
      <c r="B880" s="13"/>
      <c r="C880" s="81"/>
      <c r="D880" s="4"/>
      <c r="E880" s="8"/>
      <c r="F880" s="17"/>
      <c r="G880" s="17"/>
      <c r="H880" s="17"/>
      <c r="I880" s="17"/>
      <c r="J880" s="17"/>
      <c r="K880" s="17"/>
      <c r="L880" s="17"/>
      <c r="M880" s="17"/>
      <c r="N880" s="17"/>
      <c r="O880" s="17"/>
      <c r="P880" s="17"/>
      <c r="Q880" s="17"/>
      <c r="R880" s="1"/>
      <c r="S880" s="1"/>
    </row>
    <row r="881" spans="1:19" x14ac:dyDescent="0.35">
      <c r="A881" s="6"/>
      <c r="B881" s="13"/>
      <c r="C881" s="81"/>
      <c r="D881" s="4"/>
      <c r="E881" s="8"/>
      <c r="F881" s="17"/>
      <c r="G881" s="17"/>
      <c r="H881" s="17"/>
      <c r="I881" s="17"/>
      <c r="J881" s="17"/>
      <c r="K881" s="17"/>
      <c r="L881" s="17"/>
      <c r="M881" s="17"/>
      <c r="N881" s="17"/>
      <c r="O881" s="17"/>
      <c r="P881" s="17"/>
      <c r="Q881" s="17"/>
      <c r="R881" s="1"/>
      <c r="S881" s="1"/>
    </row>
    <row r="882" spans="1:19" x14ac:dyDescent="0.35">
      <c r="A882" s="6"/>
      <c r="B882" s="13"/>
      <c r="C882" s="81"/>
      <c r="D882" s="4"/>
      <c r="E882" s="8"/>
      <c r="F882" s="17"/>
      <c r="G882" s="17"/>
      <c r="H882" s="17"/>
      <c r="I882" s="17"/>
      <c r="J882" s="17"/>
      <c r="K882" s="17"/>
      <c r="L882" s="17"/>
      <c r="M882" s="17"/>
      <c r="N882" s="17"/>
      <c r="O882" s="17"/>
      <c r="P882" s="17"/>
      <c r="Q882" s="17"/>
      <c r="R882" s="1"/>
      <c r="S882" s="1"/>
    </row>
    <row r="883" spans="1:19" x14ac:dyDescent="0.35">
      <c r="A883" s="6"/>
      <c r="B883" s="13"/>
      <c r="C883" s="81"/>
      <c r="D883" s="4"/>
      <c r="E883" s="8"/>
      <c r="F883" s="17"/>
      <c r="G883" s="17"/>
      <c r="H883" s="17"/>
      <c r="I883" s="17"/>
      <c r="J883" s="17"/>
      <c r="K883" s="17"/>
      <c r="L883" s="17"/>
      <c r="M883" s="17"/>
      <c r="N883" s="17"/>
      <c r="O883" s="17"/>
      <c r="P883" s="17"/>
      <c r="Q883" s="17"/>
      <c r="R883" s="1"/>
      <c r="S883" s="1"/>
    </row>
    <row r="884" spans="1:19" x14ac:dyDescent="0.35">
      <c r="A884" s="6"/>
      <c r="B884" s="13"/>
      <c r="C884" s="81"/>
      <c r="D884" s="4"/>
      <c r="E884" s="8"/>
      <c r="F884" s="17"/>
      <c r="G884" s="17"/>
      <c r="H884" s="17"/>
      <c r="I884" s="17"/>
      <c r="J884" s="17"/>
      <c r="K884" s="17"/>
      <c r="L884" s="17"/>
      <c r="M884" s="17"/>
      <c r="N884" s="17"/>
      <c r="O884" s="17"/>
      <c r="P884" s="17"/>
      <c r="Q884" s="17"/>
      <c r="R884" s="1"/>
      <c r="S884" s="1"/>
    </row>
    <row r="885" spans="1:19" x14ac:dyDescent="0.35">
      <c r="A885" s="6"/>
      <c r="B885" s="13"/>
      <c r="C885" s="81"/>
      <c r="D885" s="4"/>
      <c r="E885" s="8"/>
      <c r="F885" s="17"/>
      <c r="G885" s="17"/>
      <c r="H885" s="17"/>
      <c r="I885" s="17"/>
      <c r="J885" s="17"/>
      <c r="K885" s="17"/>
      <c r="L885" s="17"/>
      <c r="M885" s="17"/>
      <c r="N885" s="17"/>
      <c r="O885" s="17"/>
      <c r="P885" s="17"/>
      <c r="Q885" s="17"/>
      <c r="R885" s="1"/>
      <c r="S885" s="1"/>
    </row>
    <row r="886" spans="1:19" x14ac:dyDescent="0.35">
      <c r="A886" s="6"/>
      <c r="B886" s="13"/>
      <c r="C886" s="81"/>
      <c r="D886" s="4"/>
      <c r="E886" s="8"/>
      <c r="F886" s="17"/>
      <c r="G886" s="17"/>
      <c r="H886" s="17"/>
      <c r="I886" s="17"/>
      <c r="J886" s="17"/>
      <c r="K886" s="17"/>
      <c r="L886" s="17"/>
      <c r="M886" s="17"/>
      <c r="N886" s="17"/>
      <c r="O886" s="17"/>
      <c r="P886" s="17"/>
      <c r="Q886" s="17"/>
      <c r="R886" s="1"/>
      <c r="S886" s="1"/>
    </row>
    <row r="887" spans="1:19" x14ac:dyDescent="0.35">
      <c r="A887" s="6"/>
      <c r="B887" s="13"/>
      <c r="C887" s="81"/>
      <c r="D887" s="4"/>
      <c r="E887" s="8"/>
      <c r="F887" s="17"/>
      <c r="G887" s="17"/>
      <c r="H887" s="17"/>
      <c r="I887" s="17"/>
      <c r="J887" s="17"/>
      <c r="K887" s="17"/>
      <c r="L887" s="17"/>
      <c r="M887" s="17"/>
      <c r="N887" s="17"/>
      <c r="O887" s="17"/>
      <c r="P887" s="17"/>
      <c r="Q887" s="17"/>
      <c r="R887" s="1"/>
      <c r="S887" s="1"/>
    </row>
    <row r="888" spans="1:19" x14ac:dyDescent="0.35">
      <c r="A888" s="6"/>
      <c r="B888" s="13"/>
      <c r="C888" s="81"/>
      <c r="D888" s="4"/>
      <c r="E888" s="8"/>
      <c r="F888" s="17"/>
      <c r="G888" s="17"/>
      <c r="H888" s="17"/>
      <c r="I888" s="17"/>
      <c r="J888" s="17"/>
      <c r="K888" s="17"/>
      <c r="L888" s="17"/>
      <c r="M888" s="17"/>
      <c r="N888" s="17"/>
      <c r="O888" s="17"/>
      <c r="P888" s="17"/>
      <c r="Q888" s="17"/>
      <c r="R888" s="1"/>
      <c r="S888" s="1"/>
    </row>
    <row r="889" spans="1:19" x14ac:dyDescent="0.35">
      <c r="A889" s="6"/>
      <c r="B889" s="13"/>
      <c r="C889" s="81"/>
      <c r="D889" s="4"/>
      <c r="E889" s="8"/>
      <c r="F889" s="17"/>
      <c r="G889" s="17"/>
      <c r="H889" s="17"/>
      <c r="I889" s="17"/>
      <c r="J889" s="17"/>
      <c r="K889" s="17"/>
      <c r="L889" s="17"/>
      <c r="M889" s="17"/>
      <c r="N889" s="17"/>
      <c r="O889" s="17"/>
      <c r="P889" s="17"/>
      <c r="Q889" s="17"/>
      <c r="R889" s="1"/>
      <c r="S889" s="1"/>
    </row>
    <row r="890" spans="1:19" x14ac:dyDescent="0.35">
      <c r="A890" s="6"/>
      <c r="B890" s="13"/>
      <c r="C890" s="81"/>
      <c r="D890" s="4"/>
      <c r="E890" s="8"/>
      <c r="F890" s="17"/>
      <c r="G890" s="17"/>
      <c r="H890" s="17"/>
      <c r="I890" s="17"/>
      <c r="J890" s="17"/>
      <c r="K890" s="17"/>
      <c r="L890" s="17"/>
      <c r="M890" s="17"/>
      <c r="N890" s="17"/>
      <c r="O890" s="17"/>
      <c r="P890" s="17"/>
      <c r="Q890" s="17"/>
      <c r="R890" s="1"/>
      <c r="S890" s="1"/>
    </row>
    <row r="891" spans="1:19" x14ac:dyDescent="0.35">
      <c r="A891" s="6"/>
      <c r="B891" s="13"/>
      <c r="C891" s="81"/>
      <c r="D891" s="4"/>
      <c r="E891" s="8"/>
      <c r="F891" s="17"/>
      <c r="G891" s="17"/>
      <c r="H891" s="17"/>
      <c r="I891" s="17"/>
      <c r="J891" s="17"/>
      <c r="K891" s="17"/>
      <c r="L891" s="17"/>
      <c r="M891" s="17"/>
      <c r="N891" s="17"/>
      <c r="O891" s="17"/>
      <c r="P891" s="17"/>
      <c r="Q891" s="17"/>
      <c r="R891" s="1"/>
      <c r="S891" s="1"/>
    </row>
    <row r="892" spans="1:19" x14ac:dyDescent="0.35">
      <c r="A892" s="6"/>
      <c r="B892" s="13"/>
      <c r="C892" s="81"/>
      <c r="D892" s="4"/>
      <c r="E892" s="8"/>
      <c r="F892" s="17"/>
      <c r="G892" s="17"/>
      <c r="H892" s="17"/>
      <c r="I892" s="17"/>
      <c r="J892" s="17"/>
      <c r="K892" s="17"/>
      <c r="L892" s="17"/>
      <c r="M892" s="17"/>
      <c r="N892" s="17"/>
      <c r="O892" s="17"/>
      <c r="P892" s="17"/>
      <c r="Q892" s="17"/>
      <c r="R892" s="1"/>
      <c r="S892" s="1"/>
    </row>
    <row r="893" spans="1:19" x14ac:dyDescent="0.35">
      <c r="A893" s="6"/>
      <c r="B893" s="13"/>
      <c r="C893" s="81"/>
      <c r="D893" s="4"/>
      <c r="E893" s="8"/>
      <c r="F893" s="17"/>
      <c r="G893" s="17"/>
      <c r="H893" s="17"/>
      <c r="I893" s="17"/>
      <c r="J893" s="17"/>
      <c r="K893" s="17"/>
      <c r="L893" s="17"/>
      <c r="M893" s="17"/>
      <c r="N893" s="17"/>
      <c r="O893" s="17"/>
      <c r="P893" s="17"/>
      <c r="Q893" s="17"/>
      <c r="R893" s="1"/>
      <c r="S893" s="1"/>
    </row>
    <row r="894" spans="1:19" x14ac:dyDescent="0.35">
      <c r="A894" s="6"/>
      <c r="B894" s="13"/>
      <c r="C894" s="81"/>
      <c r="D894" s="4"/>
      <c r="E894" s="8"/>
      <c r="F894" s="17"/>
      <c r="G894" s="17"/>
      <c r="H894" s="17"/>
      <c r="I894" s="17"/>
      <c r="J894" s="17"/>
      <c r="K894" s="17"/>
      <c r="L894" s="17"/>
      <c r="M894" s="17"/>
      <c r="N894" s="17"/>
      <c r="O894" s="17"/>
      <c r="P894" s="17"/>
      <c r="Q894" s="17"/>
      <c r="R894" s="1"/>
      <c r="S894" s="1"/>
    </row>
    <row r="895" spans="1:19" x14ac:dyDescent="0.35">
      <c r="A895" s="6"/>
      <c r="B895" s="13"/>
      <c r="C895" s="81"/>
      <c r="D895" s="4"/>
      <c r="E895" s="8"/>
      <c r="F895" s="17"/>
      <c r="G895" s="17"/>
      <c r="H895" s="17"/>
      <c r="I895" s="17"/>
      <c r="J895" s="17"/>
      <c r="K895" s="17"/>
      <c r="L895" s="17"/>
      <c r="M895" s="17"/>
      <c r="N895" s="17"/>
      <c r="O895" s="17"/>
      <c r="P895" s="17"/>
      <c r="Q895" s="17"/>
      <c r="R895" s="1"/>
      <c r="S895" s="1"/>
    </row>
    <row r="896" spans="1:19" x14ac:dyDescent="0.35">
      <c r="A896" s="6"/>
      <c r="B896" s="13"/>
      <c r="C896" s="81"/>
      <c r="D896" s="4"/>
      <c r="E896" s="8"/>
      <c r="F896" s="17"/>
      <c r="G896" s="17"/>
      <c r="H896" s="17"/>
      <c r="I896" s="17"/>
      <c r="J896" s="17"/>
      <c r="K896" s="17"/>
      <c r="L896" s="17"/>
      <c r="M896" s="17"/>
      <c r="N896" s="17"/>
      <c r="O896" s="17"/>
      <c r="P896" s="17"/>
      <c r="Q896" s="17"/>
      <c r="R896" s="1"/>
      <c r="S896" s="1"/>
    </row>
    <row r="897" spans="1:19" x14ac:dyDescent="0.35">
      <c r="A897" s="6"/>
      <c r="B897" s="13"/>
      <c r="C897" s="81"/>
      <c r="D897" s="4"/>
      <c r="E897" s="8"/>
      <c r="F897" s="17"/>
      <c r="G897" s="17"/>
      <c r="H897" s="17"/>
      <c r="I897" s="17"/>
      <c r="J897" s="17"/>
      <c r="K897" s="17"/>
      <c r="L897" s="17"/>
      <c r="M897" s="17"/>
      <c r="N897" s="17"/>
      <c r="O897" s="17"/>
      <c r="P897" s="17"/>
      <c r="Q897" s="17"/>
      <c r="R897" s="1"/>
      <c r="S897" s="1"/>
    </row>
    <row r="898" spans="1:19" x14ac:dyDescent="0.35">
      <c r="A898" s="6"/>
      <c r="B898" s="13"/>
      <c r="C898" s="81"/>
      <c r="D898" s="4"/>
      <c r="E898" s="8"/>
      <c r="F898" s="17"/>
      <c r="G898" s="17"/>
      <c r="H898" s="17"/>
      <c r="I898" s="17"/>
      <c r="J898" s="17"/>
      <c r="K898" s="17"/>
      <c r="L898" s="17"/>
      <c r="M898" s="17"/>
      <c r="N898" s="17"/>
      <c r="O898" s="17"/>
      <c r="P898" s="17"/>
      <c r="Q898" s="17"/>
      <c r="R898" s="1"/>
      <c r="S898" s="1"/>
    </row>
    <row r="899" spans="1:19" x14ac:dyDescent="0.35">
      <c r="A899" s="6"/>
      <c r="B899" s="13"/>
      <c r="C899" s="81"/>
      <c r="D899" s="4"/>
      <c r="E899" s="8"/>
      <c r="F899" s="17"/>
      <c r="G899" s="17"/>
      <c r="H899" s="17"/>
      <c r="I899" s="17"/>
      <c r="J899" s="17"/>
      <c r="K899" s="17"/>
      <c r="L899" s="17"/>
      <c r="M899" s="17"/>
      <c r="N899" s="17"/>
      <c r="O899" s="17"/>
      <c r="P899" s="17"/>
      <c r="Q899" s="17"/>
      <c r="R899" s="1"/>
      <c r="S899" s="1"/>
    </row>
    <row r="900" spans="1:19" x14ac:dyDescent="0.35">
      <c r="A900" s="6"/>
      <c r="B900" s="13"/>
      <c r="C900" s="81"/>
      <c r="D900" s="4"/>
      <c r="E900" s="8"/>
      <c r="F900" s="17"/>
      <c r="G900" s="17"/>
      <c r="H900" s="17"/>
      <c r="I900" s="17"/>
      <c r="J900" s="17"/>
      <c r="K900" s="17"/>
      <c r="L900" s="17"/>
      <c r="M900" s="17"/>
      <c r="N900" s="17"/>
      <c r="O900" s="17"/>
      <c r="P900" s="17"/>
      <c r="Q900" s="17"/>
      <c r="R900" s="1"/>
      <c r="S900" s="1"/>
    </row>
    <row r="901" spans="1:19" x14ac:dyDescent="0.35">
      <c r="A901" s="6"/>
      <c r="B901" s="13"/>
      <c r="C901" s="81"/>
      <c r="D901" s="4"/>
      <c r="E901" s="8"/>
      <c r="F901" s="17"/>
      <c r="G901" s="17"/>
      <c r="H901" s="17"/>
      <c r="I901" s="17"/>
      <c r="J901" s="17"/>
      <c r="K901" s="17"/>
      <c r="L901" s="17"/>
      <c r="M901" s="17"/>
      <c r="N901" s="17"/>
      <c r="O901" s="17"/>
      <c r="P901" s="17"/>
      <c r="Q901" s="17"/>
      <c r="R901" s="1"/>
      <c r="S901" s="1"/>
    </row>
    <row r="902" spans="1:19" x14ac:dyDescent="0.35">
      <c r="A902" s="6"/>
      <c r="B902" s="13"/>
      <c r="C902" s="81"/>
      <c r="D902" s="4"/>
      <c r="E902" s="8"/>
      <c r="F902" s="17"/>
      <c r="G902" s="17"/>
      <c r="H902" s="17"/>
      <c r="I902" s="17"/>
      <c r="J902" s="17"/>
      <c r="K902" s="17"/>
      <c r="L902" s="17"/>
      <c r="M902" s="17"/>
      <c r="N902" s="17"/>
      <c r="O902" s="17"/>
      <c r="P902" s="17"/>
      <c r="Q902" s="17"/>
      <c r="R902" s="1"/>
      <c r="S902" s="1"/>
    </row>
    <row r="903" spans="1:19" x14ac:dyDescent="0.35">
      <c r="A903" s="6"/>
      <c r="B903" s="13"/>
      <c r="C903" s="81"/>
      <c r="D903" s="4"/>
      <c r="E903" s="8"/>
      <c r="F903" s="17"/>
      <c r="G903" s="17"/>
      <c r="H903" s="17"/>
      <c r="I903" s="17"/>
      <c r="J903" s="17"/>
      <c r="K903" s="17"/>
      <c r="L903" s="17"/>
      <c r="M903" s="17"/>
      <c r="N903" s="17"/>
      <c r="O903" s="17"/>
      <c r="P903" s="17"/>
      <c r="Q903" s="17"/>
      <c r="R903" s="1"/>
      <c r="S903" s="1"/>
    </row>
    <row r="904" spans="1:19" x14ac:dyDescent="0.35">
      <c r="A904" s="6"/>
      <c r="B904" s="13"/>
      <c r="C904" s="81"/>
      <c r="D904" s="4"/>
      <c r="E904" s="8"/>
      <c r="F904" s="17"/>
      <c r="G904" s="17"/>
      <c r="H904" s="17"/>
      <c r="I904" s="17"/>
      <c r="J904" s="17"/>
      <c r="K904" s="17"/>
      <c r="L904" s="17"/>
      <c r="M904" s="17"/>
      <c r="N904" s="17"/>
      <c r="O904" s="17"/>
      <c r="P904" s="17"/>
      <c r="Q904" s="17"/>
      <c r="R904" s="1"/>
      <c r="S904" s="1"/>
    </row>
    <row r="905" spans="1:19" x14ac:dyDescent="0.35">
      <c r="A905" s="6"/>
      <c r="B905" s="13"/>
      <c r="C905" s="81"/>
      <c r="D905" s="4"/>
      <c r="E905" s="8"/>
      <c r="F905" s="17"/>
      <c r="G905" s="17"/>
      <c r="H905" s="17"/>
      <c r="I905" s="17"/>
      <c r="J905" s="17"/>
      <c r="K905" s="17"/>
      <c r="L905" s="17"/>
      <c r="M905" s="17"/>
      <c r="N905" s="17"/>
      <c r="O905" s="17"/>
      <c r="P905" s="17"/>
      <c r="Q905" s="17"/>
      <c r="R905" s="1"/>
      <c r="S905" s="1"/>
    </row>
    <row r="906" spans="1:19" x14ac:dyDescent="0.35">
      <c r="A906" s="6"/>
      <c r="B906" s="13"/>
      <c r="C906" s="81"/>
      <c r="D906" s="4"/>
      <c r="E906" s="8"/>
      <c r="F906" s="17"/>
      <c r="G906" s="17"/>
      <c r="H906" s="17"/>
      <c r="I906" s="17"/>
      <c r="J906" s="17"/>
      <c r="K906" s="17"/>
      <c r="L906" s="17"/>
      <c r="M906" s="17"/>
      <c r="N906" s="17"/>
      <c r="O906" s="17"/>
      <c r="P906" s="17"/>
      <c r="Q906" s="17"/>
      <c r="R906" s="1"/>
      <c r="S906" s="1"/>
    </row>
    <row r="907" spans="1:19" x14ac:dyDescent="0.35">
      <c r="A907" s="6"/>
      <c r="B907" s="13"/>
      <c r="C907" s="81"/>
      <c r="D907" s="4"/>
      <c r="E907" s="8"/>
      <c r="F907" s="17"/>
      <c r="G907" s="17"/>
      <c r="H907" s="17"/>
      <c r="I907" s="17"/>
      <c r="J907" s="17"/>
      <c r="K907" s="17"/>
      <c r="L907" s="17"/>
      <c r="M907" s="17"/>
      <c r="N907" s="17"/>
      <c r="O907" s="17"/>
      <c r="P907" s="17"/>
      <c r="Q907" s="17"/>
      <c r="R907" s="1"/>
      <c r="S907" s="1"/>
    </row>
    <row r="908" spans="1:19" x14ac:dyDescent="0.35">
      <c r="A908" s="6"/>
      <c r="B908" s="13"/>
      <c r="C908" s="81"/>
      <c r="D908" s="4"/>
      <c r="E908" s="8"/>
      <c r="F908" s="17"/>
      <c r="G908" s="17"/>
      <c r="H908" s="17"/>
      <c r="I908" s="17"/>
      <c r="J908" s="17"/>
      <c r="K908" s="17"/>
      <c r="L908" s="17"/>
      <c r="M908" s="17"/>
      <c r="N908" s="17"/>
      <c r="O908" s="17"/>
      <c r="P908" s="17"/>
      <c r="Q908" s="17"/>
      <c r="R908" s="1"/>
      <c r="S908" s="1"/>
    </row>
    <row r="909" spans="1:19" x14ac:dyDescent="0.35">
      <c r="A909" s="6"/>
      <c r="B909" s="13"/>
      <c r="C909" s="81"/>
      <c r="D909" s="4"/>
      <c r="E909" s="8"/>
      <c r="F909" s="17"/>
      <c r="G909" s="17"/>
      <c r="H909" s="17"/>
      <c r="I909" s="17"/>
      <c r="J909" s="17"/>
      <c r="K909" s="17"/>
      <c r="L909" s="17"/>
      <c r="M909" s="17"/>
      <c r="N909" s="17"/>
      <c r="O909" s="17"/>
      <c r="P909" s="17"/>
      <c r="Q909" s="17"/>
      <c r="R909" s="1"/>
      <c r="S909" s="1"/>
    </row>
    <row r="910" spans="1:19" x14ac:dyDescent="0.35">
      <c r="A910" s="6"/>
      <c r="B910" s="13"/>
      <c r="C910" s="81"/>
      <c r="D910" s="4"/>
      <c r="E910" s="8"/>
      <c r="F910" s="17"/>
      <c r="G910" s="17"/>
      <c r="H910" s="17"/>
      <c r="I910" s="17"/>
      <c r="J910" s="17"/>
      <c r="K910" s="17"/>
      <c r="L910" s="17"/>
      <c r="M910" s="17"/>
      <c r="N910" s="17"/>
      <c r="O910" s="17"/>
      <c r="P910" s="17"/>
      <c r="Q910" s="17"/>
      <c r="R910" s="1"/>
      <c r="S910" s="1"/>
    </row>
    <row r="911" spans="1:19" x14ac:dyDescent="0.35">
      <c r="A911" s="6"/>
      <c r="B911" s="13"/>
      <c r="C911" s="81"/>
      <c r="D911" s="4"/>
      <c r="E911" s="8"/>
      <c r="F911" s="17"/>
      <c r="G911" s="17"/>
      <c r="H911" s="17"/>
      <c r="I911" s="17"/>
      <c r="J911" s="17"/>
      <c r="K911" s="17"/>
      <c r="L911" s="17"/>
      <c r="M911" s="17"/>
      <c r="N911" s="17"/>
      <c r="O911" s="17"/>
      <c r="P911" s="17"/>
      <c r="Q911" s="17"/>
      <c r="R911" s="1"/>
      <c r="S911" s="1"/>
    </row>
    <row r="912" spans="1:19" x14ac:dyDescent="0.35">
      <c r="A912" s="6"/>
      <c r="B912" s="13"/>
      <c r="C912" s="81"/>
      <c r="D912" s="4"/>
      <c r="E912" s="8"/>
      <c r="F912" s="17"/>
      <c r="G912" s="17"/>
      <c r="H912" s="17"/>
      <c r="I912" s="17"/>
      <c r="J912" s="17"/>
      <c r="K912" s="17"/>
      <c r="L912" s="17"/>
      <c r="M912" s="17"/>
      <c r="N912" s="17"/>
      <c r="O912" s="17"/>
      <c r="P912" s="17"/>
      <c r="Q912" s="17"/>
      <c r="R912" s="1"/>
      <c r="S912" s="1"/>
    </row>
    <row r="913" spans="1:19" x14ac:dyDescent="0.35">
      <c r="A913" s="6"/>
      <c r="B913" s="13"/>
      <c r="C913" s="81"/>
      <c r="D913" s="4"/>
      <c r="E913" s="8"/>
      <c r="F913" s="17"/>
      <c r="G913" s="17"/>
      <c r="H913" s="17"/>
      <c r="I913" s="17"/>
      <c r="J913" s="17"/>
      <c r="K913" s="17"/>
      <c r="L913" s="17"/>
      <c r="M913" s="17"/>
      <c r="N913" s="17"/>
      <c r="O913" s="17"/>
      <c r="P913" s="17"/>
      <c r="Q913" s="17"/>
      <c r="R913" s="1"/>
      <c r="S913" s="1"/>
    </row>
    <row r="914" spans="1:19" x14ac:dyDescent="0.35">
      <c r="A914" s="6"/>
      <c r="B914" s="13"/>
      <c r="C914" s="81"/>
      <c r="D914" s="4"/>
      <c r="E914" s="8"/>
      <c r="F914" s="17"/>
      <c r="G914" s="17"/>
      <c r="H914" s="17"/>
      <c r="I914" s="17"/>
      <c r="J914" s="17"/>
      <c r="K914" s="17"/>
      <c r="L914" s="17"/>
      <c r="M914" s="17"/>
      <c r="N914" s="17"/>
      <c r="O914" s="17"/>
      <c r="P914" s="17"/>
      <c r="Q914" s="17"/>
      <c r="R914" s="1"/>
      <c r="S914" s="1"/>
    </row>
    <row r="915" spans="1:19" x14ac:dyDescent="0.35">
      <c r="A915" s="6"/>
      <c r="B915" s="13"/>
      <c r="C915" s="81"/>
      <c r="D915" s="4"/>
      <c r="E915" s="8"/>
      <c r="F915" s="17"/>
      <c r="G915" s="17"/>
      <c r="H915" s="17"/>
      <c r="I915" s="17"/>
      <c r="J915" s="17"/>
      <c r="K915" s="17"/>
      <c r="L915" s="17"/>
      <c r="M915" s="17"/>
      <c r="N915" s="17"/>
      <c r="O915" s="17"/>
      <c r="P915" s="17"/>
      <c r="Q915" s="17"/>
      <c r="R915" s="1"/>
      <c r="S915" s="1"/>
    </row>
    <row r="916" spans="1:19" x14ac:dyDescent="0.35">
      <c r="A916" s="6"/>
      <c r="B916" s="13"/>
      <c r="C916" s="81"/>
      <c r="D916" s="4"/>
      <c r="E916" s="8"/>
      <c r="F916" s="17"/>
      <c r="G916" s="17"/>
      <c r="H916" s="17"/>
      <c r="I916" s="17"/>
      <c r="J916" s="17"/>
      <c r="K916" s="17"/>
      <c r="L916" s="17"/>
      <c r="M916" s="17"/>
      <c r="N916" s="17"/>
      <c r="O916" s="17"/>
      <c r="P916" s="17"/>
      <c r="Q916" s="17"/>
      <c r="R916" s="1"/>
      <c r="S916" s="1"/>
    </row>
    <row r="917" spans="1:19" x14ac:dyDescent="0.35">
      <c r="A917" s="6"/>
      <c r="B917" s="13"/>
      <c r="C917" s="81"/>
      <c r="D917" s="4"/>
      <c r="E917" s="8"/>
      <c r="F917" s="17"/>
      <c r="G917" s="17"/>
      <c r="H917" s="17"/>
      <c r="I917" s="17"/>
      <c r="J917" s="17"/>
      <c r="K917" s="17"/>
      <c r="L917" s="17"/>
      <c r="M917" s="17"/>
      <c r="N917" s="17"/>
      <c r="O917" s="17"/>
      <c r="P917" s="17"/>
      <c r="Q917" s="17"/>
      <c r="R917" s="1"/>
      <c r="S917" s="1"/>
    </row>
    <row r="918" spans="1:19" x14ac:dyDescent="0.35">
      <c r="A918" s="6"/>
      <c r="B918" s="13"/>
      <c r="C918" s="81"/>
      <c r="D918" s="4"/>
      <c r="E918" s="8"/>
      <c r="F918" s="17"/>
      <c r="G918" s="17"/>
      <c r="H918" s="17"/>
      <c r="I918" s="17"/>
      <c r="J918" s="17"/>
      <c r="K918" s="17"/>
      <c r="L918" s="17"/>
      <c r="M918" s="17"/>
      <c r="N918" s="17"/>
      <c r="O918" s="17"/>
      <c r="P918" s="17"/>
      <c r="Q918" s="17"/>
      <c r="R918" s="1"/>
      <c r="S918" s="1"/>
    </row>
    <row r="919" spans="1:19" x14ac:dyDescent="0.35">
      <c r="A919" s="6"/>
      <c r="B919" s="13"/>
      <c r="C919" s="81"/>
      <c r="D919" s="4"/>
      <c r="E919" s="8"/>
      <c r="F919" s="17"/>
      <c r="G919" s="17"/>
      <c r="H919" s="17"/>
      <c r="I919" s="17"/>
      <c r="J919" s="17"/>
      <c r="K919" s="17"/>
      <c r="L919" s="17"/>
      <c r="M919" s="17"/>
      <c r="N919" s="17"/>
      <c r="O919" s="17"/>
      <c r="P919" s="17"/>
      <c r="Q919" s="17"/>
      <c r="R919" s="1"/>
      <c r="S919" s="1"/>
    </row>
    <row r="920" spans="1:19" x14ac:dyDescent="0.35">
      <c r="A920" s="6"/>
      <c r="B920" s="13"/>
      <c r="C920" s="81"/>
      <c r="D920" s="4"/>
      <c r="E920" s="8"/>
      <c r="F920" s="17"/>
      <c r="G920" s="17"/>
      <c r="H920" s="17"/>
      <c r="I920" s="17"/>
      <c r="J920" s="17"/>
      <c r="K920" s="17"/>
      <c r="L920" s="17"/>
      <c r="M920" s="17"/>
      <c r="N920" s="17"/>
      <c r="O920" s="17"/>
      <c r="P920" s="17"/>
      <c r="Q920" s="17"/>
      <c r="R920" s="1"/>
      <c r="S920" s="1"/>
    </row>
    <row r="921" spans="1:19" x14ac:dyDescent="0.35">
      <c r="A921" s="6"/>
      <c r="B921" s="13"/>
      <c r="C921" s="81"/>
      <c r="D921" s="4"/>
      <c r="E921" s="8"/>
      <c r="F921" s="17"/>
      <c r="G921" s="17"/>
      <c r="H921" s="17"/>
      <c r="I921" s="17"/>
      <c r="J921" s="17"/>
      <c r="K921" s="17"/>
      <c r="L921" s="17"/>
      <c r="M921" s="17"/>
      <c r="N921" s="17"/>
      <c r="O921" s="17"/>
      <c r="P921" s="17"/>
      <c r="Q921" s="17"/>
      <c r="R921" s="1"/>
      <c r="S921" s="1"/>
    </row>
    <row r="922" spans="1:19" x14ac:dyDescent="0.35">
      <c r="A922" s="6"/>
      <c r="B922" s="13"/>
      <c r="C922" s="81"/>
      <c r="D922" s="4"/>
      <c r="E922" s="8"/>
      <c r="F922" s="17"/>
      <c r="G922" s="17"/>
      <c r="H922" s="17"/>
      <c r="I922" s="17"/>
      <c r="J922" s="17"/>
      <c r="K922" s="17"/>
      <c r="L922" s="17"/>
      <c r="M922" s="17"/>
      <c r="N922" s="17"/>
      <c r="O922" s="17"/>
      <c r="P922" s="17"/>
      <c r="Q922" s="17"/>
      <c r="R922" s="1"/>
      <c r="S922" s="1"/>
    </row>
    <row r="923" spans="1:19" x14ac:dyDescent="0.35">
      <c r="A923" s="6"/>
      <c r="B923" s="13"/>
      <c r="C923" s="81"/>
      <c r="D923" s="4"/>
      <c r="E923" s="8"/>
      <c r="F923" s="17"/>
      <c r="G923" s="17"/>
      <c r="H923" s="17"/>
      <c r="I923" s="17"/>
      <c r="J923" s="17"/>
      <c r="K923" s="17"/>
      <c r="L923" s="17"/>
      <c r="M923" s="17"/>
      <c r="N923" s="17"/>
      <c r="O923" s="17"/>
      <c r="P923" s="17"/>
      <c r="Q923" s="17"/>
      <c r="R923" s="1"/>
      <c r="S923" s="1"/>
    </row>
    <row r="924" spans="1:19" x14ac:dyDescent="0.35">
      <c r="A924" s="6"/>
      <c r="B924" s="13"/>
      <c r="C924" s="81"/>
      <c r="D924" s="4"/>
      <c r="E924" s="8"/>
      <c r="F924" s="17"/>
      <c r="G924" s="17"/>
      <c r="H924" s="17"/>
      <c r="I924" s="17"/>
      <c r="J924" s="17"/>
      <c r="K924" s="17"/>
      <c r="L924" s="17"/>
      <c r="M924" s="17"/>
      <c r="N924" s="17"/>
      <c r="O924" s="17"/>
      <c r="P924" s="17"/>
      <c r="Q924" s="17"/>
      <c r="R924" s="1"/>
      <c r="S924" s="1"/>
    </row>
    <row r="925" spans="1:19" x14ac:dyDescent="0.35">
      <c r="A925" s="6"/>
      <c r="B925" s="13"/>
      <c r="C925" s="81"/>
      <c r="D925" s="4"/>
      <c r="E925" s="8"/>
      <c r="F925" s="17"/>
      <c r="G925" s="17"/>
      <c r="H925" s="17"/>
      <c r="I925" s="17"/>
      <c r="J925" s="17"/>
      <c r="K925" s="17"/>
      <c r="L925" s="17"/>
      <c r="M925" s="17"/>
      <c r="N925" s="17"/>
      <c r="O925" s="17"/>
      <c r="P925" s="17"/>
      <c r="Q925" s="17"/>
      <c r="R925" s="1"/>
      <c r="S925" s="1"/>
    </row>
    <row r="926" spans="1:19" x14ac:dyDescent="0.35">
      <c r="A926" s="6"/>
      <c r="B926" s="13"/>
      <c r="C926" s="81"/>
      <c r="D926" s="4"/>
      <c r="E926" s="8"/>
      <c r="F926" s="17"/>
      <c r="G926" s="17"/>
      <c r="H926" s="17"/>
      <c r="I926" s="17"/>
      <c r="J926" s="17"/>
      <c r="K926" s="17"/>
      <c r="L926" s="17"/>
      <c r="M926" s="17"/>
      <c r="N926" s="17"/>
      <c r="O926" s="17"/>
      <c r="P926" s="17"/>
      <c r="Q926" s="17"/>
      <c r="R926" s="1"/>
      <c r="S926" s="1"/>
    </row>
    <row r="927" spans="1:19" x14ac:dyDescent="0.35">
      <c r="A927" s="6"/>
      <c r="B927" s="13"/>
      <c r="C927" s="81"/>
      <c r="D927" s="4"/>
      <c r="E927" s="8"/>
      <c r="F927" s="17"/>
      <c r="G927" s="17"/>
      <c r="H927" s="17"/>
      <c r="I927" s="17"/>
      <c r="J927" s="17"/>
      <c r="K927" s="17"/>
      <c r="L927" s="17"/>
      <c r="M927" s="17"/>
      <c r="N927" s="17"/>
      <c r="O927" s="17"/>
      <c r="P927" s="17"/>
      <c r="Q927" s="17"/>
      <c r="R927" s="1"/>
      <c r="S927" s="1"/>
    </row>
    <row r="928" spans="1:19" x14ac:dyDescent="0.35">
      <c r="A928" s="6"/>
      <c r="B928" s="13"/>
      <c r="C928" s="81"/>
      <c r="D928" s="4"/>
      <c r="E928" s="8"/>
      <c r="F928" s="17"/>
      <c r="G928" s="17"/>
      <c r="H928" s="17"/>
      <c r="I928" s="17"/>
      <c r="J928" s="17"/>
      <c r="K928" s="17"/>
      <c r="L928" s="17"/>
      <c r="M928" s="17"/>
      <c r="N928" s="17"/>
      <c r="O928" s="17"/>
      <c r="P928" s="17"/>
      <c r="Q928" s="17"/>
      <c r="R928" s="1"/>
      <c r="S928" s="1"/>
    </row>
    <row r="929" spans="1:19" x14ac:dyDescent="0.35">
      <c r="A929" s="6"/>
      <c r="B929" s="13"/>
      <c r="C929" s="81"/>
      <c r="D929" s="4"/>
      <c r="E929" s="8"/>
      <c r="F929" s="17"/>
      <c r="G929" s="17"/>
      <c r="H929" s="17"/>
      <c r="I929" s="17"/>
      <c r="J929" s="17"/>
      <c r="K929" s="17"/>
      <c r="L929" s="17"/>
      <c r="M929" s="17"/>
      <c r="N929" s="17"/>
      <c r="O929" s="17"/>
      <c r="P929" s="17"/>
      <c r="Q929" s="17"/>
      <c r="R929" s="1"/>
      <c r="S929" s="1"/>
    </row>
    <row r="930" spans="1:19" x14ac:dyDescent="0.35">
      <c r="A930" s="6"/>
      <c r="B930" s="13"/>
      <c r="C930" s="81"/>
      <c r="D930" s="4"/>
      <c r="E930" s="8"/>
      <c r="F930" s="17"/>
      <c r="G930" s="17"/>
      <c r="H930" s="17"/>
      <c r="I930" s="17"/>
      <c r="J930" s="17"/>
      <c r="K930" s="17"/>
      <c r="L930" s="17"/>
      <c r="M930" s="17"/>
      <c r="N930" s="17"/>
      <c r="O930" s="17"/>
      <c r="P930" s="17"/>
      <c r="Q930" s="17"/>
      <c r="R930" s="1"/>
      <c r="S930" s="1"/>
    </row>
    <row r="931" spans="1:19" x14ac:dyDescent="0.35">
      <c r="A931" s="6"/>
      <c r="B931" s="13"/>
      <c r="C931" s="81"/>
      <c r="D931" s="4"/>
      <c r="E931" s="8"/>
      <c r="F931" s="17"/>
      <c r="G931" s="17"/>
      <c r="H931" s="17"/>
      <c r="I931" s="17"/>
      <c r="J931" s="17"/>
      <c r="K931" s="17"/>
      <c r="L931" s="17"/>
      <c r="M931" s="17"/>
      <c r="N931" s="17"/>
      <c r="O931" s="17"/>
      <c r="P931" s="17"/>
      <c r="Q931" s="17"/>
      <c r="R931" s="1"/>
      <c r="S931" s="1"/>
    </row>
    <row r="932" spans="1:19" x14ac:dyDescent="0.35">
      <c r="A932" s="6"/>
      <c r="B932" s="13"/>
      <c r="C932" s="81"/>
      <c r="D932" s="4"/>
      <c r="E932" s="8"/>
      <c r="F932" s="17"/>
      <c r="G932" s="17"/>
      <c r="H932" s="17"/>
      <c r="I932" s="17"/>
      <c r="J932" s="17"/>
      <c r="K932" s="17"/>
      <c r="L932" s="17"/>
      <c r="M932" s="17"/>
      <c r="N932" s="17"/>
      <c r="O932" s="17"/>
      <c r="P932" s="17"/>
      <c r="Q932" s="17"/>
      <c r="R932" s="1"/>
      <c r="S932" s="1"/>
    </row>
    <row r="933" spans="1:19" x14ac:dyDescent="0.35">
      <c r="A933" s="6"/>
      <c r="B933" s="13"/>
      <c r="C933" s="81"/>
      <c r="D933" s="4"/>
      <c r="E933" s="8"/>
      <c r="F933" s="17"/>
      <c r="G933" s="17"/>
      <c r="H933" s="17"/>
      <c r="I933" s="17"/>
      <c r="J933" s="17"/>
      <c r="K933" s="17"/>
      <c r="L933" s="17"/>
      <c r="M933" s="17"/>
      <c r="N933" s="17"/>
      <c r="O933" s="17"/>
      <c r="P933" s="17"/>
      <c r="Q933" s="17"/>
      <c r="R933" s="1"/>
      <c r="S933" s="1"/>
    </row>
    <row r="934" spans="1:19" x14ac:dyDescent="0.35">
      <c r="A934" s="6"/>
      <c r="B934" s="13"/>
      <c r="C934" s="81"/>
      <c r="D934" s="4"/>
      <c r="E934" s="8"/>
      <c r="F934" s="17"/>
      <c r="G934" s="17"/>
      <c r="H934" s="17"/>
      <c r="I934" s="17"/>
      <c r="J934" s="17"/>
      <c r="K934" s="17"/>
      <c r="L934" s="17"/>
      <c r="M934" s="17"/>
      <c r="N934" s="17"/>
      <c r="O934" s="17"/>
      <c r="P934" s="17"/>
      <c r="Q934" s="17"/>
      <c r="R934" s="1"/>
      <c r="S934" s="1"/>
    </row>
    <row r="935" spans="1:19" x14ac:dyDescent="0.35">
      <c r="A935" s="6"/>
      <c r="B935" s="13"/>
      <c r="C935" s="81"/>
      <c r="D935" s="4"/>
      <c r="E935" s="8"/>
      <c r="F935" s="17"/>
      <c r="G935" s="17"/>
      <c r="H935" s="17"/>
      <c r="I935" s="17"/>
      <c r="J935" s="17"/>
      <c r="K935" s="17"/>
      <c r="L935" s="17"/>
      <c r="M935" s="17"/>
      <c r="N935" s="17"/>
      <c r="O935" s="17"/>
      <c r="P935" s="17"/>
      <c r="Q935" s="17"/>
      <c r="R935" s="1"/>
      <c r="S935" s="1"/>
    </row>
    <row r="936" spans="1:19" x14ac:dyDescent="0.35">
      <c r="A936" s="6"/>
      <c r="B936" s="13"/>
      <c r="C936" s="81"/>
      <c r="D936" s="4"/>
      <c r="E936" s="8"/>
      <c r="F936" s="17"/>
      <c r="G936" s="17"/>
      <c r="H936" s="17"/>
      <c r="I936" s="17"/>
      <c r="J936" s="17"/>
      <c r="K936" s="17"/>
      <c r="L936" s="17"/>
      <c r="M936" s="17"/>
      <c r="N936" s="17"/>
      <c r="O936" s="17"/>
      <c r="P936" s="17"/>
      <c r="Q936" s="17"/>
      <c r="R936" s="1"/>
      <c r="S936" s="1"/>
    </row>
    <row r="937" spans="1:19" x14ac:dyDescent="0.35">
      <c r="A937" s="6"/>
      <c r="B937" s="13"/>
      <c r="C937" s="81"/>
      <c r="D937" s="4"/>
      <c r="E937" s="8"/>
      <c r="F937" s="17"/>
      <c r="G937" s="17"/>
      <c r="H937" s="17"/>
      <c r="I937" s="17"/>
      <c r="J937" s="17"/>
      <c r="K937" s="17"/>
      <c r="L937" s="17"/>
      <c r="M937" s="17"/>
      <c r="N937" s="17"/>
      <c r="O937" s="17"/>
      <c r="P937" s="17"/>
      <c r="Q937" s="17"/>
      <c r="R937" s="1"/>
      <c r="S937" s="1"/>
    </row>
    <row r="938" spans="1:19" x14ac:dyDescent="0.35">
      <c r="A938" s="6"/>
      <c r="B938" s="13"/>
      <c r="C938" s="81"/>
      <c r="D938" s="4"/>
      <c r="E938" s="8"/>
      <c r="F938" s="17"/>
      <c r="G938" s="17"/>
      <c r="H938" s="17"/>
      <c r="I938" s="17"/>
      <c r="J938" s="17"/>
      <c r="K938" s="17"/>
      <c r="L938" s="17"/>
      <c r="M938" s="17"/>
      <c r="N938" s="17"/>
      <c r="O938" s="17"/>
      <c r="P938" s="17"/>
      <c r="Q938" s="17"/>
      <c r="R938" s="1"/>
      <c r="S938" s="1"/>
    </row>
    <row r="939" spans="1:19" x14ac:dyDescent="0.35">
      <c r="A939" s="6"/>
      <c r="B939" s="13"/>
      <c r="C939" s="81"/>
      <c r="D939" s="4"/>
      <c r="E939" s="8"/>
      <c r="F939" s="17"/>
      <c r="G939" s="17"/>
      <c r="H939" s="17"/>
      <c r="I939" s="17"/>
      <c r="J939" s="17"/>
      <c r="K939" s="17"/>
      <c r="L939" s="17"/>
      <c r="M939" s="17"/>
      <c r="N939" s="17"/>
      <c r="O939" s="17"/>
      <c r="P939" s="17"/>
      <c r="Q939" s="17"/>
      <c r="R939" s="1"/>
      <c r="S939" s="1"/>
    </row>
    <row r="940" spans="1:19" x14ac:dyDescent="0.35">
      <c r="A940" s="6"/>
      <c r="B940" s="13"/>
      <c r="C940" s="81"/>
      <c r="D940" s="4"/>
      <c r="E940" s="8"/>
      <c r="F940" s="17"/>
      <c r="G940" s="17"/>
      <c r="H940" s="17"/>
      <c r="I940" s="17"/>
      <c r="J940" s="17"/>
      <c r="K940" s="17"/>
      <c r="L940" s="17"/>
      <c r="M940" s="17"/>
      <c r="N940" s="17"/>
      <c r="O940" s="17"/>
      <c r="P940" s="17"/>
      <c r="Q940" s="17"/>
      <c r="R940" s="1"/>
      <c r="S940" s="1"/>
    </row>
    <row r="941" spans="1:19" x14ac:dyDescent="0.35">
      <c r="A941" s="6"/>
      <c r="B941" s="13"/>
      <c r="C941" s="81"/>
      <c r="D941" s="4"/>
      <c r="E941" s="8"/>
      <c r="F941" s="17"/>
      <c r="G941" s="17"/>
      <c r="H941" s="17"/>
      <c r="I941" s="17"/>
      <c r="J941" s="17"/>
      <c r="K941" s="17"/>
      <c r="L941" s="17"/>
      <c r="M941" s="17"/>
      <c r="N941" s="17"/>
      <c r="O941" s="17"/>
      <c r="P941" s="17"/>
      <c r="Q941" s="17"/>
      <c r="R941" s="1"/>
      <c r="S941" s="1"/>
    </row>
    <row r="942" spans="1:19" x14ac:dyDescent="0.35">
      <c r="A942" s="6"/>
      <c r="B942" s="13"/>
      <c r="C942" s="81"/>
      <c r="D942" s="4"/>
      <c r="E942" s="8"/>
      <c r="F942" s="17"/>
      <c r="G942" s="17"/>
      <c r="H942" s="17"/>
      <c r="I942" s="17"/>
      <c r="J942" s="17"/>
      <c r="K942" s="17"/>
      <c r="L942" s="17"/>
      <c r="M942" s="17"/>
      <c r="N942" s="17"/>
      <c r="O942" s="17"/>
      <c r="P942" s="17"/>
      <c r="Q942" s="17"/>
      <c r="R942" s="1"/>
      <c r="S942" s="1"/>
    </row>
    <row r="943" spans="1:19" x14ac:dyDescent="0.35">
      <c r="A943" s="6"/>
      <c r="B943" s="13"/>
      <c r="C943" s="81"/>
      <c r="D943" s="4"/>
      <c r="E943" s="8"/>
      <c r="F943" s="17"/>
      <c r="G943" s="17"/>
      <c r="H943" s="17"/>
      <c r="I943" s="17"/>
      <c r="J943" s="17"/>
      <c r="K943" s="17"/>
      <c r="L943" s="17"/>
      <c r="M943" s="17"/>
      <c r="N943" s="17"/>
      <c r="O943" s="17"/>
      <c r="P943" s="17"/>
      <c r="Q943" s="17"/>
      <c r="R943" s="1"/>
      <c r="S943" s="1"/>
    </row>
    <row r="944" spans="1:19" x14ac:dyDescent="0.35">
      <c r="A944" s="6"/>
      <c r="B944" s="13"/>
      <c r="C944" s="81"/>
      <c r="D944" s="4"/>
      <c r="E944" s="8"/>
      <c r="F944" s="17"/>
      <c r="G944" s="17"/>
      <c r="H944" s="17"/>
      <c r="I944" s="17"/>
      <c r="J944" s="17"/>
      <c r="K944" s="17"/>
      <c r="L944" s="17"/>
      <c r="M944" s="17"/>
      <c r="N944" s="17"/>
      <c r="O944" s="17"/>
      <c r="P944" s="17"/>
      <c r="Q944" s="17"/>
      <c r="R944" s="1"/>
      <c r="S944" s="1"/>
    </row>
    <row r="945" spans="1:19" x14ac:dyDescent="0.35">
      <c r="A945" s="6"/>
      <c r="B945" s="13"/>
      <c r="C945" s="81"/>
      <c r="D945" s="4"/>
      <c r="E945" s="8"/>
      <c r="F945" s="17"/>
      <c r="G945" s="17"/>
      <c r="H945" s="17"/>
      <c r="I945" s="17"/>
      <c r="J945" s="17"/>
      <c r="K945" s="17"/>
      <c r="L945" s="17"/>
      <c r="M945" s="17"/>
      <c r="N945" s="17"/>
      <c r="O945" s="17"/>
      <c r="P945" s="17"/>
      <c r="Q945" s="17"/>
      <c r="R945" s="1"/>
      <c r="S945" s="1"/>
    </row>
    <row r="946" spans="1:19" x14ac:dyDescent="0.35">
      <c r="A946" s="6"/>
      <c r="B946" s="13"/>
      <c r="C946" s="81"/>
      <c r="D946" s="4"/>
      <c r="E946" s="8"/>
      <c r="F946" s="17"/>
      <c r="G946" s="17"/>
      <c r="H946" s="17"/>
      <c r="I946" s="17"/>
      <c r="J946" s="17"/>
      <c r="K946" s="17"/>
      <c r="L946" s="17"/>
      <c r="M946" s="17"/>
      <c r="N946" s="17"/>
      <c r="O946" s="17"/>
      <c r="P946" s="17"/>
      <c r="Q946" s="17"/>
      <c r="R946" s="1"/>
      <c r="S946" s="1"/>
    </row>
    <row r="947" spans="1:19" x14ac:dyDescent="0.35">
      <c r="A947" s="6"/>
      <c r="B947" s="13"/>
      <c r="C947" s="81"/>
      <c r="D947" s="4"/>
      <c r="E947" s="8"/>
      <c r="F947" s="17"/>
      <c r="G947" s="17"/>
      <c r="H947" s="17"/>
      <c r="I947" s="17"/>
      <c r="J947" s="17"/>
      <c r="K947" s="17"/>
      <c r="L947" s="17"/>
      <c r="M947" s="17"/>
      <c r="N947" s="17"/>
      <c r="O947" s="17"/>
      <c r="P947" s="17"/>
      <c r="Q947" s="17"/>
      <c r="R947" s="1"/>
      <c r="S947" s="1"/>
    </row>
    <row r="948" spans="1:19" x14ac:dyDescent="0.35">
      <c r="A948" s="6"/>
      <c r="B948" s="13"/>
      <c r="C948" s="81"/>
      <c r="D948" s="4"/>
      <c r="E948" s="8"/>
      <c r="F948" s="17"/>
      <c r="G948" s="17"/>
      <c r="H948" s="17"/>
      <c r="I948" s="17"/>
      <c r="J948" s="17"/>
      <c r="K948" s="17"/>
      <c r="L948" s="17"/>
      <c r="M948" s="17"/>
      <c r="N948" s="17"/>
      <c r="O948" s="17"/>
      <c r="P948" s="17"/>
      <c r="Q948" s="17"/>
      <c r="R948" s="1"/>
      <c r="S948" s="1"/>
    </row>
    <row r="949" spans="1:19" x14ac:dyDescent="0.35">
      <c r="A949" s="6"/>
      <c r="B949" s="13"/>
      <c r="C949" s="81"/>
      <c r="D949" s="4"/>
      <c r="E949" s="8"/>
      <c r="F949" s="17"/>
      <c r="G949" s="17"/>
      <c r="H949" s="17"/>
      <c r="I949" s="17"/>
      <c r="J949" s="17"/>
      <c r="K949" s="17"/>
      <c r="L949" s="17"/>
      <c r="M949" s="17"/>
      <c r="N949" s="17"/>
      <c r="O949" s="17"/>
      <c r="P949" s="17"/>
      <c r="Q949" s="17"/>
      <c r="R949" s="1"/>
      <c r="S949" s="1"/>
    </row>
    <row r="950" spans="1:19" x14ac:dyDescent="0.35">
      <c r="A950" s="6"/>
      <c r="B950" s="13"/>
      <c r="C950" s="81"/>
      <c r="D950" s="4"/>
      <c r="E950" s="8"/>
      <c r="F950" s="17"/>
      <c r="G950" s="17"/>
      <c r="H950" s="17"/>
      <c r="I950" s="17"/>
      <c r="J950" s="17"/>
      <c r="K950" s="17"/>
      <c r="L950" s="17"/>
      <c r="M950" s="17"/>
      <c r="N950" s="17"/>
      <c r="O950" s="17"/>
      <c r="P950" s="17"/>
      <c r="Q950" s="17"/>
      <c r="R950" s="1"/>
      <c r="S950" s="1"/>
    </row>
    <row r="951" spans="1:19" x14ac:dyDescent="0.35">
      <c r="A951" s="6"/>
      <c r="B951" s="13"/>
      <c r="C951" s="81"/>
      <c r="D951" s="4"/>
      <c r="E951" s="8"/>
      <c r="F951" s="17"/>
      <c r="G951" s="17"/>
      <c r="H951" s="17"/>
      <c r="I951" s="17"/>
      <c r="J951" s="17"/>
      <c r="K951" s="17"/>
      <c r="L951" s="17"/>
      <c r="M951" s="17"/>
      <c r="N951" s="17"/>
      <c r="O951" s="17"/>
      <c r="P951" s="17"/>
      <c r="Q951" s="17"/>
      <c r="R951" s="1"/>
      <c r="S951" s="1"/>
    </row>
    <row r="952" spans="1:19" x14ac:dyDescent="0.35">
      <c r="A952" s="6"/>
      <c r="B952" s="13"/>
      <c r="C952" s="81"/>
      <c r="D952" s="4"/>
      <c r="E952" s="8"/>
      <c r="F952" s="17"/>
      <c r="G952" s="17"/>
      <c r="H952" s="17"/>
      <c r="I952" s="17"/>
      <c r="J952" s="17"/>
      <c r="K952" s="17"/>
      <c r="L952" s="17"/>
      <c r="M952" s="17"/>
      <c r="N952" s="17"/>
      <c r="O952" s="17"/>
      <c r="P952" s="17"/>
      <c r="Q952" s="17"/>
      <c r="R952" s="1"/>
      <c r="S952" s="1"/>
    </row>
    <row r="953" spans="1:19" x14ac:dyDescent="0.35">
      <c r="A953" s="6"/>
      <c r="B953" s="13"/>
      <c r="C953" s="81"/>
      <c r="D953" s="4"/>
      <c r="E953" s="8"/>
      <c r="F953" s="17"/>
      <c r="G953" s="17"/>
      <c r="H953" s="17"/>
      <c r="I953" s="17"/>
      <c r="J953" s="17"/>
      <c r="K953" s="17"/>
      <c r="L953" s="17"/>
      <c r="M953" s="17"/>
      <c r="N953" s="17"/>
      <c r="O953" s="17"/>
      <c r="P953" s="17"/>
      <c r="Q953" s="17"/>
      <c r="R953" s="1"/>
      <c r="S953" s="1"/>
    </row>
    <row r="954" spans="1:19" x14ac:dyDescent="0.35">
      <c r="A954" s="6"/>
      <c r="B954" s="13"/>
      <c r="C954" s="81"/>
      <c r="D954" s="4"/>
      <c r="E954" s="8"/>
      <c r="F954" s="17"/>
      <c r="G954" s="17"/>
      <c r="H954" s="17"/>
      <c r="I954" s="17"/>
      <c r="J954" s="17"/>
      <c r="K954" s="17"/>
      <c r="L954" s="17"/>
      <c r="M954" s="17"/>
      <c r="N954" s="17"/>
      <c r="O954" s="17"/>
      <c r="P954" s="17"/>
      <c r="Q954" s="17"/>
      <c r="R954" s="1"/>
      <c r="S954" s="1"/>
    </row>
    <row r="955" spans="1:19" x14ac:dyDescent="0.35">
      <c r="A955" s="6"/>
      <c r="B955" s="13"/>
      <c r="C955" s="81"/>
      <c r="D955" s="4"/>
      <c r="E955" s="8"/>
      <c r="F955" s="17"/>
      <c r="G955" s="17"/>
      <c r="H955" s="17"/>
      <c r="I955" s="17"/>
      <c r="J955" s="17"/>
      <c r="K955" s="17"/>
      <c r="L955" s="17"/>
      <c r="M955" s="17"/>
      <c r="N955" s="17"/>
      <c r="O955" s="17"/>
      <c r="P955" s="17"/>
      <c r="Q955" s="17"/>
      <c r="R955" s="1"/>
      <c r="S955" s="1"/>
    </row>
    <row r="956" spans="1:19" x14ac:dyDescent="0.35">
      <c r="A956" s="6"/>
      <c r="B956" s="13"/>
      <c r="C956" s="81"/>
      <c r="D956" s="4"/>
      <c r="E956" s="8"/>
      <c r="F956" s="17"/>
      <c r="G956" s="17"/>
      <c r="H956" s="17"/>
      <c r="I956" s="17"/>
      <c r="J956" s="17"/>
      <c r="K956" s="17"/>
      <c r="L956" s="17"/>
      <c r="M956" s="17"/>
      <c r="N956" s="17"/>
      <c r="O956" s="17"/>
      <c r="P956" s="17"/>
      <c r="Q956" s="17"/>
      <c r="R956" s="1"/>
      <c r="S956" s="1"/>
    </row>
    <row r="957" spans="1:19" x14ac:dyDescent="0.35">
      <c r="A957" s="6"/>
      <c r="B957" s="13"/>
      <c r="C957" s="81"/>
      <c r="D957" s="4"/>
      <c r="E957" s="8"/>
      <c r="F957" s="17"/>
      <c r="G957" s="17"/>
      <c r="H957" s="17"/>
      <c r="I957" s="17"/>
      <c r="J957" s="17"/>
      <c r="K957" s="17"/>
      <c r="L957" s="17"/>
      <c r="M957" s="17"/>
      <c r="N957" s="17"/>
      <c r="O957" s="17"/>
      <c r="P957" s="17"/>
      <c r="Q957" s="17"/>
      <c r="R957" s="1"/>
      <c r="S957" s="1"/>
    </row>
    <row r="958" spans="1:19" x14ac:dyDescent="0.35">
      <c r="A958" s="6"/>
      <c r="B958" s="13"/>
      <c r="C958" s="81"/>
      <c r="D958" s="4"/>
      <c r="E958" s="8"/>
      <c r="F958" s="17"/>
      <c r="G958" s="17"/>
      <c r="H958" s="17"/>
      <c r="I958" s="17"/>
      <c r="J958" s="17"/>
      <c r="K958" s="17"/>
      <c r="L958" s="17"/>
      <c r="M958" s="17"/>
      <c r="N958" s="17"/>
      <c r="O958" s="17"/>
      <c r="P958" s="17"/>
      <c r="Q958" s="17"/>
      <c r="R958" s="1"/>
      <c r="S958" s="1"/>
    </row>
    <row r="959" spans="1:19" x14ac:dyDescent="0.35">
      <c r="A959" s="6"/>
      <c r="B959" s="13"/>
      <c r="C959" s="81"/>
      <c r="D959" s="4"/>
      <c r="E959" s="8"/>
      <c r="F959" s="17"/>
      <c r="G959" s="17"/>
      <c r="H959" s="17"/>
      <c r="I959" s="17"/>
      <c r="J959" s="17"/>
      <c r="K959" s="17"/>
      <c r="L959" s="17"/>
      <c r="M959" s="17"/>
      <c r="N959" s="17"/>
      <c r="O959" s="17"/>
      <c r="P959" s="17"/>
      <c r="Q959" s="17"/>
      <c r="R959" s="1"/>
      <c r="S959" s="1"/>
    </row>
    <row r="960" spans="1:19" x14ac:dyDescent="0.35">
      <c r="A960" s="6"/>
      <c r="B960" s="13"/>
      <c r="C960" s="81"/>
      <c r="D960" s="4"/>
      <c r="E960" s="8"/>
      <c r="F960" s="17"/>
      <c r="G960" s="17"/>
      <c r="H960" s="17"/>
      <c r="I960" s="17"/>
      <c r="J960" s="17"/>
      <c r="K960" s="17"/>
      <c r="L960" s="17"/>
      <c r="M960" s="17"/>
      <c r="N960" s="17"/>
      <c r="O960" s="17"/>
      <c r="P960" s="17"/>
      <c r="Q960" s="17"/>
      <c r="R960" s="1"/>
      <c r="S960" s="1"/>
    </row>
    <row r="961" spans="1:19" x14ac:dyDescent="0.35">
      <c r="A961" s="6"/>
      <c r="B961" s="13"/>
      <c r="C961" s="81"/>
      <c r="D961" s="4"/>
      <c r="E961" s="8"/>
      <c r="F961" s="17"/>
      <c r="G961" s="17"/>
      <c r="H961" s="17"/>
      <c r="I961" s="17"/>
      <c r="J961" s="17"/>
      <c r="K961" s="17"/>
      <c r="L961" s="17"/>
      <c r="M961" s="17"/>
      <c r="N961" s="17"/>
      <c r="O961" s="17"/>
      <c r="P961" s="17"/>
      <c r="Q961" s="17"/>
      <c r="R961" s="1"/>
      <c r="S961" s="1"/>
    </row>
    <row r="962" spans="1:19" x14ac:dyDescent="0.35">
      <c r="A962" s="6"/>
      <c r="B962" s="13"/>
      <c r="C962" s="81"/>
      <c r="D962" s="4"/>
      <c r="E962" s="8"/>
      <c r="F962" s="17"/>
      <c r="G962" s="17"/>
      <c r="H962" s="17"/>
      <c r="I962" s="17"/>
      <c r="J962" s="17"/>
      <c r="K962" s="17"/>
      <c r="L962" s="17"/>
      <c r="M962" s="17"/>
      <c r="N962" s="17"/>
      <c r="O962" s="17"/>
      <c r="P962" s="17"/>
      <c r="Q962" s="17"/>
      <c r="R962" s="1"/>
      <c r="S962" s="1"/>
    </row>
    <row r="963" spans="1:19" x14ac:dyDescent="0.35">
      <c r="A963" s="6"/>
      <c r="B963" s="13"/>
      <c r="C963" s="81"/>
      <c r="D963" s="4"/>
      <c r="E963" s="8"/>
      <c r="F963" s="17"/>
      <c r="G963" s="17"/>
      <c r="H963" s="17"/>
      <c r="I963" s="17"/>
      <c r="J963" s="17"/>
      <c r="K963" s="17"/>
      <c r="L963" s="17"/>
      <c r="M963" s="17"/>
      <c r="N963" s="17"/>
      <c r="O963" s="17"/>
      <c r="P963" s="17"/>
      <c r="Q963" s="17"/>
      <c r="R963" s="1"/>
      <c r="S963" s="1"/>
    </row>
    <row r="964" spans="1:19" x14ac:dyDescent="0.35">
      <c r="A964" s="6"/>
      <c r="B964" s="13"/>
      <c r="C964" s="81"/>
      <c r="D964" s="4"/>
      <c r="E964" s="8"/>
      <c r="F964" s="17"/>
      <c r="G964" s="17"/>
      <c r="H964" s="17"/>
      <c r="I964" s="17"/>
      <c r="J964" s="17"/>
      <c r="K964" s="17"/>
      <c r="L964" s="17"/>
      <c r="M964" s="17"/>
      <c r="N964" s="17"/>
      <c r="O964" s="17"/>
      <c r="P964" s="17"/>
      <c r="Q964" s="17"/>
      <c r="R964" s="1"/>
      <c r="S964" s="1"/>
    </row>
    <row r="965" spans="1:19" x14ac:dyDescent="0.35">
      <c r="A965" s="6"/>
      <c r="B965" s="13"/>
      <c r="C965" s="81"/>
      <c r="D965" s="4"/>
      <c r="E965" s="8"/>
      <c r="F965" s="17"/>
      <c r="G965" s="17"/>
      <c r="H965" s="17"/>
      <c r="I965" s="17"/>
      <c r="J965" s="17"/>
      <c r="K965" s="17"/>
      <c r="L965" s="17"/>
      <c r="M965" s="17"/>
      <c r="N965" s="17"/>
      <c r="O965" s="17"/>
      <c r="P965" s="17"/>
      <c r="Q965" s="17"/>
      <c r="R965" s="1"/>
      <c r="S965" s="1"/>
    </row>
    <row r="966" spans="1:19" x14ac:dyDescent="0.35">
      <c r="A966" s="6"/>
      <c r="B966" s="13"/>
      <c r="C966" s="81"/>
      <c r="D966" s="4"/>
      <c r="E966" s="8"/>
      <c r="F966" s="17"/>
      <c r="G966" s="17"/>
      <c r="H966" s="17"/>
      <c r="I966" s="17"/>
      <c r="J966" s="17"/>
      <c r="K966" s="17"/>
      <c r="L966" s="17"/>
      <c r="M966" s="17"/>
      <c r="N966" s="17"/>
      <c r="O966" s="17"/>
      <c r="P966" s="17"/>
      <c r="Q966" s="17"/>
      <c r="R966" s="1"/>
      <c r="S966" s="1"/>
    </row>
    <row r="967" spans="1:19" x14ac:dyDescent="0.35">
      <c r="A967" s="6"/>
      <c r="B967" s="13"/>
      <c r="C967" s="81"/>
      <c r="D967" s="4"/>
      <c r="E967" s="8"/>
      <c r="F967" s="17"/>
      <c r="G967" s="17"/>
      <c r="H967" s="17"/>
      <c r="I967" s="17"/>
      <c r="J967" s="17"/>
      <c r="K967" s="17"/>
      <c r="L967" s="17"/>
      <c r="M967" s="17"/>
      <c r="N967" s="17"/>
      <c r="O967" s="17"/>
      <c r="P967" s="17"/>
      <c r="Q967" s="17"/>
      <c r="R967" s="1"/>
      <c r="S967" s="1"/>
    </row>
    <row r="968" spans="1:19" x14ac:dyDescent="0.35">
      <c r="A968" s="6"/>
      <c r="B968" s="13"/>
      <c r="C968" s="81"/>
      <c r="D968" s="4"/>
      <c r="E968" s="8"/>
      <c r="F968" s="17"/>
      <c r="G968" s="17"/>
      <c r="H968" s="17"/>
      <c r="I968" s="17"/>
      <c r="J968" s="17"/>
      <c r="K968" s="17"/>
      <c r="L968" s="17"/>
      <c r="M968" s="17"/>
      <c r="N968" s="17"/>
      <c r="O968" s="17"/>
      <c r="P968" s="17"/>
      <c r="Q968" s="17"/>
      <c r="R968" s="1"/>
      <c r="S968" s="1"/>
    </row>
    <row r="969" spans="1:19" x14ac:dyDescent="0.35">
      <c r="A969" s="6"/>
      <c r="B969" s="13"/>
      <c r="C969" s="81"/>
      <c r="D969" s="4"/>
      <c r="E969" s="8"/>
      <c r="F969" s="17"/>
      <c r="G969" s="17"/>
      <c r="H969" s="17"/>
      <c r="I969" s="17"/>
      <c r="J969" s="17"/>
      <c r="K969" s="17"/>
      <c r="L969" s="17"/>
      <c r="M969" s="17"/>
      <c r="N969" s="17"/>
      <c r="O969" s="17"/>
      <c r="P969" s="17"/>
      <c r="Q969" s="17"/>
      <c r="R969" s="1"/>
      <c r="S969" s="1"/>
    </row>
    <row r="970" spans="1:19" x14ac:dyDescent="0.35">
      <c r="A970" s="6"/>
      <c r="B970" s="13"/>
      <c r="C970" s="81"/>
      <c r="D970" s="4"/>
      <c r="E970" s="8"/>
      <c r="F970" s="17"/>
      <c r="G970" s="17"/>
      <c r="H970" s="17"/>
      <c r="I970" s="17"/>
      <c r="J970" s="17"/>
      <c r="K970" s="17"/>
      <c r="L970" s="17"/>
      <c r="M970" s="17"/>
      <c r="N970" s="17"/>
      <c r="O970" s="17"/>
      <c r="P970" s="17"/>
      <c r="Q970" s="17"/>
      <c r="R970" s="1"/>
      <c r="S970" s="1"/>
    </row>
    <row r="971" spans="1:19" x14ac:dyDescent="0.35">
      <c r="A971" s="6"/>
      <c r="B971" s="13"/>
      <c r="C971" s="81"/>
      <c r="D971" s="4"/>
      <c r="E971" s="8"/>
      <c r="F971" s="17"/>
      <c r="G971" s="17"/>
      <c r="H971" s="17"/>
      <c r="I971" s="17"/>
      <c r="J971" s="17"/>
      <c r="K971" s="17"/>
      <c r="L971" s="17"/>
      <c r="M971" s="17"/>
      <c r="N971" s="17"/>
      <c r="O971" s="17"/>
      <c r="P971" s="17"/>
      <c r="Q971" s="17"/>
      <c r="R971" s="1"/>
      <c r="S971" s="1"/>
    </row>
    <row r="972" spans="1:19" x14ac:dyDescent="0.35">
      <c r="A972" s="6"/>
      <c r="B972" s="13"/>
      <c r="C972" s="81"/>
      <c r="D972" s="4"/>
      <c r="E972" s="8"/>
      <c r="F972" s="17"/>
      <c r="G972" s="17"/>
      <c r="H972" s="17"/>
      <c r="I972" s="17"/>
      <c r="J972" s="17"/>
      <c r="K972" s="17"/>
      <c r="L972" s="17"/>
      <c r="M972" s="17"/>
      <c r="N972" s="17"/>
      <c r="O972" s="17"/>
      <c r="P972" s="17"/>
      <c r="Q972" s="17"/>
      <c r="R972" s="1"/>
      <c r="S972" s="1"/>
    </row>
    <row r="973" spans="1:19" x14ac:dyDescent="0.35">
      <c r="A973" s="6"/>
      <c r="B973" s="13"/>
      <c r="C973" s="81"/>
      <c r="D973" s="4"/>
      <c r="E973" s="8"/>
      <c r="F973" s="17"/>
      <c r="G973" s="17"/>
      <c r="H973" s="17"/>
      <c r="I973" s="17"/>
      <c r="J973" s="17"/>
      <c r="K973" s="17"/>
      <c r="L973" s="17"/>
      <c r="M973" s="17"/>
      <c r="N973" s="17"/>
      <c r="O973" s="17"/>
      <c r="P973" s="17"/>
      <c r="Q973" s="17"/>
      <c r="R973" s="1"/>
      <c r="S973" s="1"/>
    </row>
    <row r="974" spans="1:19" x14ac:dyDescent="0.35">
      <c r="A974" s="6"/>
      <c r="B974" s="13"/>
      <c r="C974" s="81"/>
      <c r="D974" s="4"/>
      <c r="E974" s="8"/>
      <c r="F974" s="17"/>
      <c r="G974" s="17"/>
      <c r="H974" s="17"/>
      <c r="I974" s="17"/>
      <c r="J974" s="17"/>
      <c r="K974" s="17"/>
      <c r="L974" s="17"/>
      <c r="M974" s="17"/>
      <c r="N974" s="17"/>
      <c r="O974" s="17"/>
      <c r="P974" s="17"/>
      <c r="Q974" s="17"/>
      <c r="R974" s="1"/>
      <c r="S974" s="1"/>
    </row>
    <row r="975" spans="1:19" x14ac:dyDescent="0.35">
      <c r="A975" s="6"/>
      <c r="B975" s="13"/>
      <c r="C975" s="81"/>
      <c r="D975" s="4"/>
      <c r="E975" s="8"/>
      <c r="F975" s="17"/>
      <c r="G975" s="17"/>
      <c r="H975" s="17"/>
      <c r="I975" s="17"/>
      <c r="J975" s="17"/>
      <c r="K975" s="17"/>
      <c r="L975" s="17"/>
      <c r="M975" s="17"/>
      <c r="N975" s="17"/>
      <c r="O975" s="17"/>
      <c r="P975" s="17"/>
      <c r="Q975" s="17"/>
      <c r="R975" s="1"/>
      <c r="S975" s="1"/>
    </row>
    <row r="976" spans="1:19" x14ac:dyDescent="0.35">
      <c r="A976" s="6"/>
      <c r="B976" s="13"/>
      <c r="C976" s="81"/>
      <c r="D976" s="4"/>
      <c r="E976" s="8"/>
      <c r="F976" s="17"/>
      <c r="G976" s="17"/>
      <c r="H976" s="17"/>
      <c r="I976" s="17"/>
      <c r="J976" s="17"/>
      <c r="K976" s="17"/>
      <c r="L976" s="17"/>
      <c r="M976" s="17"/>
      <c r="N976" s="17"/>
      <c r="O976" s="17"/>
      <c r="P976" s="17"/>
      <c r="Q976" s="17"/>
      <c r="R976" s="1"/>
      <c r="S976" s="1"/>
    </row>
    <row r="977" spans="1:19" x14ac:dyDescent="0.35">
      <c r="A977" s="6"/>
      <c r="B977" s="13"/>
      <c r="C977" s="81"/>
      <c r="D977" s="4"/>
      <c r="E977" s="8"/>
      <c r="F977" s="17"/>
      <c r="G977" s="17"/>
      <c r="H977" s="17"/>
      <c r="I977" s="17"/>
      <c r="J977" s="17"/>
      <c r="K977" s="17"/>
      <c r="L977" s="17"/>
      <c r="M977" s="17"/>
      <c r="N977" s="17"/>
      <c r="O977" s="17"/>
      <c r="P977" s="17"/>
      <c r="Q977" s="17"/>
      <c r="R977" s="1"/>
      <c r="S977" s="1"/>
    </row>
    <row r="978" spans="1:19" x14ac:dyDescent="0.35">
      <c r="A978" s="6"/>
      <c r="B978" s="13"/>
      <c r="C978" s="81"/>
      <c r="D978" s="4"/>
      <c r="E978" s="8"/>
      <c r="F978" s="17"/>
      <c r="G978" s="17"/>
      <c r="H978" s="17"/>
      <c r="I978" s="17"/>
      <c r="J978" s="17"/>
      <c r="K978" s="17"/>
      <c r="L978" s="17"/>
      <c r="M978" s="17"/>
      <c r="N978" s="17"/>
      <c r="O978" s="17"/>
      <c r="P978" s="17"/>
      <c r="Q978" s="17"/>
      <c r="R978" s="1"/>
      <c r="S978" s="1"/>
    </row>
    <row r="979" spans="1:19" x14ac:dyDescent="0.35">
      <c r="A979" s="6"/>
      <c r="B979" s="13"/>
      <c r="C979" s="81"/>
      <c r="D979" s="4"/>
      <c r="E979" s="8"/>
      <c r="F979" s="17"/>
      <c r="G979" s="17"/>
      <c r="H979" s="17"/>
      <c r="I979" s="17"/>
      <c r="J979" s="17"/>
      <c r="K979" s="17"/>
      <c r="L979" s="17"/>
      <c r="M979" s="17"/>
      <c r="N979" s="17"/>
      <c r="O979" s="17"/>
      <c r="P979" s="17"/>
      <c r="Q979" s="17"/>
      <c r="R979" s="1"/>
      <c r="S979" s="1"/>
    </row>
    <row r="980" spans="1:19" x14ac:dyDescent="0.35">
      <c r="A980" s="6"/>
      <c r="B980" s="13"/>
      <c r="C980" s="81"/>
      <c r="D980" s="4"/>
      <c r="E980" s="8"/>
      <c r="F980" s="17"/>
      <c r="G980" s="17"/>
      <c r="H980" s="17"/>
      <c r="I980" s="17"/>
      <c r="J980" s="17"/>
      <c r="K980" s="17"/>
      <c r="L980" s="17"/>
      <c r="M980" s="17"/>
      <c r="N980" s="17"/>
      <c r="O980" s="17"/>
      <c r="P980" s="17"/>
      <c r="Q980" s="17"/>
      <c r="R980" s="1"/>
      <c r="S980" s="1"/>
    </row>
    <row r="981" spans="1:19" x14ac:dyDescent="0.35">
      <c r="A981" s="6"/>
      <c r="B981" s="13"/>
      <c r="C981" s="81"/>
      <c r="D981" s="4"/>
      <c r="E981" s="8"/>
      <c r="F981" s="17"/>
      <c r="G981" s="17"/>
      <c r="H981" s="17"/>
      <c r="I981" s="17"/>
      <c r="J981" s="17"/>
      <c r="K981" s="17"/>
      <c r="L981" s="17"/>
      <c r="M981" s="17"/>
      <c r="N981" s="17"/>
      <c r="O981" s="17"/>
      <c r="P981" s="17"/>
      <c r="Q981" s="17"/>
      <c r="R981" s="1"/>
      <c r="S981" s="1"/>
    </row>
    <row r="982" spans="1:19" x14ac:dyDescent="0.35">
      <c r="A982" s="6"/>
      <c r="B982" s="13"/>
      <c r="C982" s="81"/>
      <c r="D982" s="4"/>
      <c r="E982" s="8"/>
      <c r="F982" s="17"/>
      <c r="G982" s="17"/>
      <c r="H982" s="17"/>
      <c r="I982" s="17"/>
      <c r="J982" s="17"/>
      <c r="K982" s="17"/>
      <c r="L982" s="17"/>
      <c r="M982" s="17"/>
      <c r="N982" s="17"/>
      <c r="O982" s="17"/>
      <c r="P982" s="17"/>
      <c r="Q982" s="17"/>
      <c r="R982" s="1"/>
      <c r="S982" s="1"/>
    </row>
    <row r="983" spans="1:19" x14ac:dyDescent="0.35">
      <c r="A983" s="6"/>
      <c r="B983" s="13"/>
      <c r="C983" s="81"/>
      <c r="D983" s="4"/>
      <c r="E983" s="8"/>
      <c r="F983" s="17"/>
      <c r="G983" s="17"/>
      <c r="H983" s="17"/>
      <c r="I983" s="17"/>
      <c r="J983" s="17"/>
      <c r="K983" s="17"/>
      <c r="L983" s="17"/>
      <c r="M983" s="17"/>
      <c r="N983" s="17"/>
      <c r="O983" s="17"/>
      <c r="P983" s="17"/>
      <c r="Q983" s="17"/>
      <c r="R983" s="1"/>
      <c r="S983" s="1"/>
    </row>
    <row r="984" spans="1:19" x14ac:dyDescent="0.35">
      <c r="A984" s="6"/>
      <c r="B984" s="13"/>
      <c r="C984" s="81"/>
      <c r="D984" s="4"/>
      <c r="E984" s="8"/>
      <c r="F984" s="17"/>
      <c r="G984" s="17"/>
      <c r="H984" s="17"/>
      <c r="I984" s="17"/>
      <c r="J984" s="17"/>
      <c r="K984" s="17"/>
      <c r="L984" s="17"/>
      <c r="M984" s="17"/>
      <c r="N984" s="17"/>
      <c r="O984" s="17"/>
      <c r="P984" s="17"/>
      <c r="Q984" s="17"/>
      <c r="R984" s="1"/>
      <c r="S984" s="1"/>
    </row>
    <row r="985" spans="1:19" x14ac:dyDescent="0.35">
      <c r="A985" s="6"/>
      <c r="B985" s="13"/>
      <c r="C985" s="81"/>
      <c r="D985" s="4"/>
      <c r="E985" s="8"/>
      <c r="F985" s="17"/>
      <c r="G985" s="17"/>
      <c r="H985" s="17"/>
      <c r="I985" s="17"/>
      <c r="J985" s="17"/>
      <c r="K985" s="17"/>
      <c r="L985" s="17"/>
      <c r="M985" s="17"/>
      <c r="N985" s="17"/>
      <c r="O985" s="17"/>
      <c r="P985" s="17"/>
      <c r="Q985" s="17"/>
      <c r="R985" s="1"/>
      <c r="S985" s="1"/>
    </row>
    <row r="986" spans="1:19" x14ac:dyDescent="0.35">
      <c r="A986" s="6"/>
      <c r="B986" s="13"/>
      <c r="C986" s="81"/>
      <c r="D986" s="4"/>
      <c r="E986" s="8"/>
      <c r="F986" s="17"/>
      <c r="G986" s="17"/>
      <c r="H986" s="17"/>
      <c r="I986" s="17"/>
      <c r="J986" s="17"/>
      <c r="K986" s="17"/>
      <c r="L986" s="17"/>
      <c r="M986" s="17"/>
      <c r="N986" s="17"/>
      <c r="O986" s="17"/>
      <c r="P986" s="17"/>
      <c r="Q986" s="17"/>
      <c r="R986" s="1"/>
      <c r="S986" s="1"/>
    </row>
    <row r="987" spans="1:19" x14ac:dyDescent="0.35">
      <c r="A987" s="6"/>
      <c r="B987" s="13"/>
      <c r="C987" s="81"/>
      <c r="D987" s="4"/>
      <c r="E987" s="8"/>
      <c r="F987" s="17"/>
      <c r="G987" s="17"/>
      <c r="H987" s="17"/>
      <c r="I987" s="17"/>
      <c r="J987" s="17"/>
      <c r="K987" s="17"/>
      <c r="L987" s="17"/>
      <c r="M987" s="17"/>
      <c r="N987" s="17"/>
      <c r="O987" s="17"/>
      <c r="P987" s="17"/>
      <c r="Q987" s="17"/>
      <c r="R987" s="1"/>
      <c r="S987" s="1"/>
    </row>
    <row r="988" spans="1:19" x14ac:dyDescent="0.35">
      <c r="A988" s="6"/>
      <c r="B988" s="13"/>
      <c r="C988" s="81"/>
      <c r="D988" s="4"/>
      <c r="E988" s="8"/>
      <c r="F988" s="17"/>
      <c r="G988" s="17"/>
      <c r="H988" s="17"/>
      <c r="I988" s="17"/>
      <c r="J988" s="17"/>
      <c r="K988" s="17"/>
      <c r="L988" s="17"/>
      <c r="M988" s="17"/>
      <c r="N988" s="17"/>
      <c r="O988" s="17"/>
      <c r="P988" s="17"/>
      <c r="Q988" s="17"/>
      <c r="R988" s="1"/>
      <c r="S988" s="1"/>
    </row>
    <row r="989" spans="1:19" x14ac:dyDescent="0.35">
      <c r="A989" s="6"/>
      <c r="B989" s="13"/>
      <c r="C989" s="81"/>
      <c r="D989" s="4"/>
      <c r="E989" s="8"/>
      <c r="F989" s="17"/>
      <c r="G989" s="17"/>
      <c r="H989" s="17"/>
      <c r="I989" s="17"/>
      <c r="J989" s="17"/>
      <c r="K989" s="17"/>
      <c r="L989" s="17"/>
      <c r="M989" s="17"/>
      <c r="N989" s="17"/>
      <c r="O989" s="17"/>
      <c r="P989" s="17"/>
      <c r="Q989" s="17"/>
      <c r="R989" s="1"/>
      <c r="S989" s="1"/>
    </row>
    <row r="990" spans="1:19" x14ac:dyDescent="0.35">
      <c r="A990" s="6"/>
      <c r="B990" s="13"/>
      <c r="C990" s="81"/>
      <c r="D990" s="4"/>
      <c r="E990" s="8"/>
      <c r="F990" s="17"/>
      <c r="G990" s="17"/>
      <c r="H990" s="17"/>
      <c r="I990" s="17"/>
      <c r="J990" s="17"/>
      <c r="K990" s="17"/>
      <c r="L990" s="17"/>
      <c r="M990" s="17"/>
      <c r="N990" s="17"/>
      <c r="O990" s="17"/>
      <c r="P990" s="17"/>
      <c r="Q990" s="17"/>
      <c r="R990" s="1"/>
      <c r="S990" s="1"/>
    </row>
    <row r="991" spans="1:19" x14ac:dyDescent="0.35">
      <c r="A991" s="6"/>
      <c r="B991" s="13"/>
      <c r="C991" s="81"/>
      <c r="D991" s="4"/>
      <c r="E991" s="8"/>
      <c r="F991" s="17"/>
      <c r="G991" s="17"/>
      <c r="H991" s="17"/>
      <c r="I991" s="17"/>
      <c r="J991" s="17"/>
      <c r="K991" s="17"/>
      <c r="L991" s="17"/>
      <c r="M991" s="17"/>
      <c r="N991" s="17"/>
      <c r="O991" s="17"/>
      <c r="P991" s="17"/>
      <c r="Q991" s="17"/>
      <c r="R991" s="1"/>
      <c r="S991" s="1"/>
    </row>
    <row r="992" spans="1:19" x14ac:dyDescent="0.35">
      <c r="A992" s="6"/>
      <c r="B992" s="13"/>
      <c r="C992" s="81"/>
      <c r="D992" s="4"/>
      <c r="E992" s="8"/>
      <c r="F992" s="17"/>
      <c r="G992" s="17"/>
      <c r="H992" s="17"/>
      <c r="I992" s="17"/>
      <c r="J992" s="17"/>
      <c r="K992" s="17"/>
      <c r="L992" s="17"/>
      <c r="M992" s="17"/>
      <c r="N992" s="17"/>
      <c r="O992" s="17"/>
      <c r="P992" s="17"/>
      <c r="Q992" s="17"/>
      <c r="R992" s="1"/>
      <c r="S992" s="1"/>
    </row>
    <row r="993" spans="1:19" x14ac:dyDescent="0.35">
      <c r="A993" s="6"/>
      <c r="B993" s="13"/>
      <c r="C993" s="81"/>
      <c r="D993" s="4"/>
      <c r="E993" s="8"/>
      <c r="F993" s="17"/>
      <c r="G993" s="17"/>
      <c r="H993" s="17"/>
      <c r="I993" s="17"/>
      <c r="J993" s="17"/>
      <c r="K993" s="17"/>
      <c r="L993" s="17"/>
      <c r="M993" s="17"/>
      <c r="N993" s="17"/>
      <c r="O993" s="17"/>
      <c r="P993" s="17"/>
      <c r="Q993" s="17"/>
      <c r="R993" s="1"/>
      <c r="S993" s="1"/>
    </row>
    <row r="994" spans="1:19" x14ac:dyDescent="0.35">
      <c r="A994" s="6"/>
      <c r="B994" s="13"/>
      <c r="C994" s="81"/>
      <c r="D994" s="4"/>
      <c r="E994" s="8"/>
      <c r="F994" s="17"/>
      <c r="G994" s="17"/>
      <c r="H994" s="17"/>
      <c r="I994" s="17"/>
      <c r="J994" s="17"/>
      <c r="K994" s="17"/>
      <c r="L994" s="17"/>
      <c r="M994" s="17"/>
      <c r="N994" s="17"/>
      <c r="O994" s="17"/>
      <c r="P994" s="17"/>
      <c r="Q994" s="17"/>
      <c r="R994" s="1"/>
      <c r="S994" s="1"/>
    </row>
    <row r="995" spans="1:19" x14ac:dyDescent="0.35">
      <c r="A995" s="6"/>
      <c r="B995" s="13"/>
      <c r="C995" s="81"/>
      <c r="D995" s="4"/>
      <c r="E995" s="8"/>
      <c r="F995" s="17"/>
      <c r="G995" s="17"/>
      <c r="H995" s="17"/>
      <c r="I995" s="17"/>
      <c r="J995" s="17"/>
      <c r="K995" s="17"/>
      <c r="L995" s="17"/>
      <c r="M995" s="17"/>
      <c r="N995" s="17"/>
      <c r="O995" s="17"/>
      <c r="P995" s="17"/>
      <c r="Q995" s="17"/>
      <c r="R995" s="1"/>
      <c r="S995" s="1"/>
    </row>
    <row r="996" spans="1:19" x14ac:dyDescent="0.35">
      <c r="A996" s="6"/>
      <c r="B996" s="13"/>
      <c r="C996" s="81"/>
      <c r="D996" s="4"/>
      <c r="E996" s="8"/>
      <c r="F996" s="17"/>
      <c r="G996" s="17"/>
      <c r="H996" s="17"/>
      <c r="I996" s="17"/>
      <c r="J996" s="17"/>
      <c r="K996" s="17"/>
      <c r="L996" s="17"/>
      <c r="M996" s="17"/>
      <c r="N996" s="17"/>
      <c r="O996" s="17"/>
      <c r="P996" s="17"/>
      <c r="Q996" s="17"/>
      <c r="R996" s="1"/>
      <c r="S996" s="1"/>
    </row>
    <row r="997" spans="1:19" x14ac:dyDescent="0.35">
      <c r="A997" s="6"/>
      <c r="B997" s="13"/>
      <c r="C997" s="81"/>
      <c r="D997" s="4"/>
      <c r="E997" s="8"/>
      <c r="F997" s="17"/>
      <c r="G997" s="17"/>
      <c r="H997" s="17"/>
      <c r="I997" s="17"/>
      <c r="J997" s="17"/>
      <c r="K997" s="17"/>
      <c r="L997" s="17"/>
      <c r="M997" s="17"/>
      <c r="N997" s="17"/>
      <c r="O997" s="17"/>
      <c r="P997" s="17"/>
      <c r="Q997" s="17"/>
      <c r="R997" s="1"/>
      <c r="S997" s="1"/>
    </row>
    <row r="998" spans="1:19" x14ac:dyDescent="0.35">
      <c r="A998" s="6"/>
      <c r="B998" s="13"/>
      <c r="C998" s="81"/>
      <c r="D998" s="4"/>
      <c r="E998" s="8"/>
      <c r="F998" s="17"/>
      <c r="G998" s="17"/>
      <c r="H998" s="17"/>
      <c r="I998" s="17"/>
      <c r="J998" s="17"/>
      <c r="K998" s="17"/>
      <c r="L998" s="17"/>
      <c r="M998" s="17"/>
      <c r="N998" s="17"/>
      <c r="O998" s="17"/>
      <c r="P998" s="17"/>
      <c r="Q998" s="17"/>
      <c r="R998" s="1"/>
      <c r="S998" s="1"/>
    </row>
    <row r="999" spans="1:19" x14ac:dyDescent="0.35">
      <c r="A999" s="6"/>
      <c r="B999" s="13"/>
      <c r="C999" s="81"/>
      <c r="D999" s="4"/>
      <c r="E999" s="8"/>
      <c r="F999" s="17"/>
      <c r="G999" s="17"/>
      <c r="H999" s="17"/>
      <c r="I999" s="17"/>
      <c r="J999" s="17"/>
      <c r="K999" s="17"/>
      <c r="L999" s="17"/>
      <c r="M999" s="17"/>
      <c r="N999" s="17"/>
      <c r="O999" s="17"/>
      <c r="P999" s="17"/>
      <c r="Q999" s="17"/>
      <c r="R999" s="1"/>
      <c r="S999" s="1"/>
    </row>
    <row r="1000" spans="1:19" x14ac:dyDescent="0.35">
      <c r="A1000" s="6"/>
      <c r="B1000" s="13"/>
      <c r="C1000" s="81"/>
      <c r="D1000" s="4"/>
      <c r="E1000" s="8"/>
      <c r="F1000" s="17"/>
      <c r="G1000" s="17"/>
      <c r="H1000" s="17"/>
      <c r="I1000" s="17"/>
      <c r="J1000" s="17"/>
      <c r="K1000" s="17"/>
      <c r="L1000" s="17"/>
      <c r="M1000" s="17"/>
      <c r="N1000" s="17"/>
      <c r="O1000" s="17"/>
      <c r="P1000" s="17"/>
      <c r="Q1000" s="17"/>
      <c r="R1000" s="1"/>
      <c r="S1000" s="1"/>
    </row>
    <row r="1001" spans="1:19" x14ac:dyDescent="0.35">
      <c r="A1001" s="6"/>
      <c r="B1001" s="13"/>
      <c r="C1001" s="81"/>
      <c r="D1001" s="4"/>
      <c r="E1001" s="8"/>
      <c r="F1001" s="17"/>
      <c r="G1001" s="17"/>
      <c r="H1001" s="17"/>
      <c r="I1001" s="17"/>
      <c r="J1001" s="17"/>
      <c r="K1001" s="17"/>
      <c r="L1001" s="17"/>
      <c r="M1001" s="17"/>
      <c r="N1001" s="17"/>
      <c r="O1001" s="17"/>
      <c r="P1001" s="17"/>
      <c r="Q1001" s="17"/>
      <c r="R1001" s="1"/>
      <c r="S1001" s="1"/>
    </row>
    <row r="1002" spans="1:19" x14ac:dyDescent="0.35">
      <c r="A1002" s="6"/>
      <c r="B1002" s="13"/>
      <c r="C1002" s="81"/>
      <c r="D1002" s="4"/>
      <c r="E1002" s="8"/>
      <c r="F1002" s="17"/>
      <c r="G1002" s="17"/>
      <c r="H1002" s="17"/>
      <c r="I1002" s="17"/>
      <c r="J1002" s="17"/>
      <c r="K1002" s="17"/>
      <c r="L1002" s="17"/>
      <c r="M1002" s="17"/>
      <c r="N1002" s="17"/>
      <c r="O1002" s="17"/>
      <c r="P1002" s="17"/>
      <c r="Q1002" s="17"/>
      <c r="R1002" s="1"/>
      <c r="S1002" s="1"/>
    </row>
    <row r="1003" spans="1:19" x14ac:dyDescent="0.35">
      <c r="A1003" s="6"/>
      <c r="B1003" s="13"/>
      <c r="C1003" s="81"/>
      <c r="D1003" s="4"/>
      <c r="E1003" s="8"/>
      <c r="F1003" s="17"/>
      <c r="G1003" s="17"/>
      <c r="H1003" s="17"/>
      <c r="I1003" s="17"/>
      <c r="J1003" s="17"/>
      <c r="K1003" s="17"/>
      <c r="L1003" s="17"/>
      <c r="M1003" s="17"/>
      <c r="N1003" s="17"/>
      <c r="O1003" s="17"/>
      <c r="P1003" s="17"/>
      <c r="Q1003" s="17"/>
      <c r="R1003" s="1"/>
      <c r="S1003" s="1"/>
    </row>
    <row r="1004" spans="1:19" x14ac:dyDescent="0.35">
      <c r="A1004" s="6"/>
      <c r="B1004" s="13"/>
      <c r="C1004" s="81"/>
      <c r="D1004" s="4"/>
      <c r="E1004" s="8"/>
      <c r="F1004" s="17"/>
      <c r="G1004" s="17"/>
      <c r="H1004" s="17"/>
      <c r="I1004" s="17"/>
      <c r="J1004" s="17"/>
      <c r="K1004" s="17"/>
      <c r="L1004" s="17"/>
      <c r="M1004" s="17"/>
      <c r="N1004" s="17"/>
      <c r="O1004" s="17"/>
      <c r="P1004" s="17"/>
      <c r="Q1004" s="17"/>
      <c r="R1004" s="1"/>
      <c r="S1004" s="1"/>
    </row>
    <row r="1005" spans="1:19" x14ac:dyDescent="0.35">
      <c r="A1005" s="6"/>
      <c r="B1005" s="13"/>
      <c r="C1005" s="81"/>
      <c r="D1005" s="4"/>
      <c r="E1005" s="8"/>
      <c r="F1005" s="17"/>
      <c r="G1005" s="17"/>
      <c r="H1005" s="17"/>
      <c r="I1005" s="17"/>
      <c r="J1005" s="17"/>
      <c r="K1005" s="17"/>
      <c r="L1005" s="17"/>
      <c r="M1005" s="17"/>
      <c r="N1005" s="17"/>
      <c r="O1005" s="17"/>
      <c r="P1005" s="17"/>
      <c r="Q1005" s="17"/>
      <c r="R1005" s="1"/>
      <c r="S1005" s="1"/>
    </row>
    <row r="1006" spans="1:19" x14ac:dyDescent="0.35">
      <c r="A1006" s="6"/>
      <c r="B1006" s="13"/>
      <c r="C1006" s="81"/>
      <c r="D1006" s="4"/>
      <c r="E1006" s="8"/>
      <c r="F1006" s="17"/>
      <c r="G1006" s="17"/>
      <c r="H1006" s="17"/>
      <c r="I1006" s="17"/>
      <c r="J1006" s="17"/>
      <c r="K1006" s="17"/>
      <c r="L1006" s="17"/>
      <c r="M1006" s="17"/>
      <c r="N1006" s="17"/>
      <c r="O1006" s="17"/>
      <c r="P1006" s="17"/>
      <c r="Q1006" s="17"/>
      <c r="R1006" s="1"/>
      <c r="S1006" s="1"/>
    </row>
    <row r="1007" spans="1:19" x14ac:dyDescent="0.35">
      <c r="A1007" s="6"/>
      <c r="B1007" s="13"/>
      <c r="C1007" s="81"/>
      <c r="D1007" s="4"/>
      <c r="E1007" s="8"/>
      <c r="F1007" s="17"/>
      <c r="G1007" s="17"/>
      <c r="H1007" s="17"/>
      <c r="I1007" s="17"/>
      <c r="J1007" s="17"/>
      <c r="K1007" s="17"/>
      <c r="L1007" s="17"/>
      <c r="M1007" s="17"/>
      <c r="N1007" s="17"/>
      <c r="O1007" s="17"/>
      <c r="P1007" s="17"/>
      <c r="Q1007" s="17"/>
      <c r="R1007" s="1"/>
      <c r="S1007" s="1"/>
    </row>
    <row r="1008" spans="1:19" x14ac:dyDescent="0.35">
      <c r="A1008" s="6"/>
      <c r="B1008" s="13"/>
      <c r="C1008" s="81"/>
      <c r="D1008" s="4"/>
      <c r="E1008" s="8"/>
      <c r="F1008" s="17"/>
      <c r="G1008" s="17"/>
      <c r="H1008" s="17"/>
      <c r="I1008" s="17"/>
      <c r="J1008" s="17"/>
      <c r="K1008" s="17"/>
      <c r="L1008" s="17"/>
      <c r="M1008" s="17"/>
      <c r="N1008" s="17"/>
      <c r="O1008" s="17"/>
      <c r="P1008" s="17"/>
      <c r="Q1008" s="17"/>
      <c r="R1008" s="1"/>
      <c r="S1008" s="1"/>
    </row>
    <row r="1009" spans="1:19" x14ac:dyDescent="0.35">
      <c r="A1009" s="6"/>
      <c r="B1009" s="13"/>
      <c r="C1009" s="81"/>
      <c r="D1009" s="4"/>
      <c r="E1009" s="8"/>
      <c r="F1009" s="17"/>
      <c r="G1009" s="17"/>
      <c r="H1009" s="17"/>
      <c r="I1009" s="17"/>
      <c r="J1009" s="17"/>
      <c r="K1009" s="17"/>
      <c r="L1009" s="17"/>
      <c r="M1009" s="17"/>
      <c r="N1009" s="17"/>
      <c r="O1009" s="17"/>
      <c r="P1009" s="17"/>
      <c r="Q1009" s="17"/>
      <c r="R1009" s="1"/>
      <c r="S1009" s="1"/>
    </row>
    <row r="1010" spans="1:19" x14ac:dyDescent="0.35">
      <c r="A1010" s="6"/>
      <c r="B1010" s="13"/>
      <c r="C1010" s="81"/>
      <c r="D1010" s="4"/>
      <c r="E1010" s="8"/>
      <c r="F1010" s="17"/>
      <c r="G1010" s="17"/>
      <c r="H1010" s="17"/>
      <c r="I1010" s="17"/>
      <c r="J1010" s="17"/>
      <c r="K1010" s="17"/>
      <c r="L1010" s="17"/>
      <c r="M1010" s="17"/>
      <c r="N1010" s="17"/>
      <c r="O1010" s="17"/>
      <c r="P1010" s="17"/>
      <c r="Q1010" s="17"/>
      <c r="R1010" s="1"/>
      <c r="S1010" s="1"/>
    </row>
    <row r="1011" spans="1:19" x14ac:dyDescent="0.35">
      <c r="A1011" s="6"/>
      <c r="B1011" s="13"/>
      <c r="C1011" s="81"/>
      <c r="D1011" s="4"/>
      <c r="E1011" s="8"/>
      <c r="F1011" s="17"/>
      <c r="G1011" s="17"/>
      <c r="H1011" s="17"/>
      <c r="I1011" s="17"/>
      <c r="J1011" s="17"/>
      <c r="K1011" s="17"/>
      <c r="L1011" s="17"/>
      <c r="M1011" s="17"/>
      <c r="N1011" s="17"/>
      <c r="O1011" s="17"/>
      <c r="P1011" s="17"/>
      <c r="Q1011" s="17"/>
      <c r="R1011" s="1"/>
      <c r="S1011" s="1"/>
    </row>
    <row r="1012" spans="1:19" x14ac:dyDescent="0.35">
      <c r="A1012" s="6"/>
      <c r="B1012" s="13"/>
      <c r="C1012" s="81"/>
      <c r="D1012" s="4"/>
      <c r="E1012" s="8"/>
      <c r="F1012" s="17"/>
      <c r="G1012" s="17"/>
      <c r="H1012" s="17"/>
      <c r="I1012" s="17"/>
      <c r="J1012" s="17"/>
      <c r="K1012" s="17"/>
      <c r="L1012" s="17"/>
      <c r="M1012" s="17"/>
      <c r="N1012" s="17"/>
      <c r="O1012" s="17"/>
      <c r="P1012" s="17"/>
      <c r="Q1012" s="17"/>
      <c r="R1012" s="1"/>
      <c r="S1012" s="1"/>
    </row>
    <row r="1013" spans="1:19" x14ac:dyDescent="0.35">
      <c r="A1013" s="6"/>
      <c r="B1013" s="13"/>
      <c r="C1013" s="81"/>
      <c r="D1013" s="4"/>
      <c r="E1013" s="8"/>
      <c r="F1013" s="17"/>
      <c r="G1013" s="17"/>
      <c r="H1013" s="17"/>
      <c r="I1013" s="17"/>
      <c r="J1013" s="17"/>
      <c r="K1013" s="17"/>
      <c r="L1013" s="17"/>
      <c r="M1013" s="17"/>
      <c r="N1013" s="17"/>
      <c r="O1013" s="17"/>
      <c r="P1013" s="17"/>
      <c r="Q1013" s="17"/>
      <c r="R1013" s="1"/>
      <c r="S1013" s="1"/>
    </row>
    <row r="1014" spans="1:19" x14ac:dyDescent="0.35">
      <c r="A1014" s="6"/>
      <c r="B1014" s="13"/>
      <c r="C1014" s="81"/>
      <c r="D1014" s="4"/>
      <c r="E1014" s="8"/>
      <c r="F1014" s="17"/>
      <c r="G1014" s="17"/>
      <c r="H1014" s="17"/>
      <c r="I1014" s="17"/>
      <c r="J1014" s="17"/>
      <c r="K1014" s="17"/>
      <c r="L1014" s="17"/>
      <c r="M1014" s="17"/>
      <c r="N1014" s="17"/>
      <c r="O1014" s="17"/>
      <c r="P1014" s="17"/>
      <c r="Q1014" s="17"/>
      <c r="R1014" s="1"/>
      <c r="S1014" s="1"/>
    </row>
    <row r="1015" spans="1:19" x14ac:dyDescent="0.35">
      <c r="A1015" s="6"/>
      <c r="B1015" s="13"/>
      <c r="C1015" s="81"/>
      <c r="D1015" s="4"/>
      <c r="E1015" s="8"/>
      <c r="F1015" s="17"/>
      <c r="G1015" s="17"/>
      <c r="H1015" s="17"/>
      <c r="I1015" s="17"/>
      <c r="J1015" s="17"/>
      <c r="K1015" s="17"/>
      <c r="L1015" s="17"/>
      <c r="M1015" s="17"/>
      <c r="N1015" s="17"/>
      <c r="O1015" s="17"/>
      <c r="P1015" s="17"/>
      <c r="Q1015" s="17"/>
      <c r="R1015" s="1"/>
      <c r="S1015" s="1"/>
    </row>
    <row r="1016" spans="1:19" x14ac:dyDescent="0.35">
      <c r="A1016" s="6"/>
      <c r="B1016" s="13"/>
      <c r="C1016" s="81"/>
      <c r="D1016" s="4"/>
      <c r="E1016" s="8"/>
      <c r="F1016" s="17"/>
      <c r="G1016" s="17"/>
      <c r="H1016" s="17"/>
      <c r="I1016" s="17"/>
      <c r="J1016" s="17"/>
      <c r="K1016" s="17"/>
      <c r="L1016" s="17"/>
      <c r="M1016" s="17"/>
      <c r="N1016" s="17"/>
      <c r="O1016" s="17"/>
      <c r="P1016" s="17"/>
      <c r="Q1016" s="17"/>
      <c r="R1016" s="1"/>
      <c r="S1016" s="1"/>
    </row>
    <row r="1017" spans="1:19" x14ac:dyDescent="0.35">
      <c r="A1017" s="6"/>
      <c r="B1017" s="13"/>
      <c r="C1017" s="81"/>
      <c r="D1017" s="4"/>
      <c r="E1017" s="8"/>
      <c r="F1017" s="17"/>
      <c r="G1017" s="17"/>
      <c r="H1017" s="17"/>
      <c r="I1017" s="17"/>
      <c r="J1017" s="17"/>
      <c r="K1017" s="17"/>
      <c r="L1017" s="17"/>
      <c r="M1017" s="17"/>
      <c r="N1017" s="17"/>
      <c r="O1017" s="17"/>
      <c r="P1017" s="17"/>
      <c r="Q1017" s="17"/>
      <c r="R1017" s="1"/>
      <c r="S1017" s="1"/>
    </row>
    <row r="1018" spans="1:19" x14ac:dyDescent="0.35">
      <c r="A1018" s="6"/>
      <c r="B1018" s="13"/>
      <c r="C1018" s="81"/>
      <c r="D1018" s="4"/>
      <c r="E1018" s="8"/>
      <c r="F1018" s="17"/>
      <c r="G1018" s="17"/>
      <c r="H1018" s="17"/>
      <c r="I1018" s="17"/>
      <c r="J1018" s="17"/>
      <c r="K1018" s="17"/>
      <c r="L1018" s="17"/>
      <c r="M1018" s="17"/>
      <c r="N1018" s="17"/>
      <c r="O1018" s="17"/>
      <c r="P1018" s="17"/>
      <c r="Q1018" s="17"/>
      <c r="R1018" s="1"/>
      <c r="S1018" s="1"/>
    </row>
    <row r="1019" spans="1:19" x14ac:dyDescent="0.35">
      <c r="A1019" s="6"/>
      <c r="B1019" s="13"/>
      <c r="C1019" s="81"/>
      <c r="D1019" s="4"/>
      <c r="E1019" s="8"/>
      <c r="F1019" s="17"/>
      <c r="G1019" s="17"/>
      <c r="H1019" s="17"/>
      <c r="I1019" s="17"/>
      <c r="J1019" s="17"/>
      <c r="K1019" s="17"/>
      <c r="L1019" s="17"/>
      <c r="M1019" s="17"/>
      <c r="N1019" s="17"/>
      <c r="O1019" s="17"/>
      <c r="P1019" s="17"/>
      <c r="Q1019" s="17"/>
      <c r="R1019" s="1"/>
      <c r="S1019" s="1"/>
    </row>
    <row r="1020" spans="1:19" x14ac:dyDescent="0.35">
      <c r="A1020" s="6"/>
      <c r="B1020" s="13"/>
      <c r="C1020" s="81"/>
      <c r="D1020" s="4"/>
      <c r="E1020" s="8"/>
      <c r="F1020" s="17"/>
      <c r="G1020" s="17"/>
      <c r="H1020" s="17"/>
      <c r="I1020" s="17"/>
      <c r="J1020" s="17"/>
      <c r="K1020" s="17"/>
      <c r="L1020" s="17"/>
      <c r="M1020" s="17"/>
      <c r="N1020" s="17"/>
      <c r="O1020" s="17"/>
      <c r="P1020" s="17"/>
      <c r="Q1020" s="17"/>
      <c r="R1020" s="1"/>
      <c r="S1020" s="1"/>
    </row>
    <row r="1021" spans="1:19" x14ac:dyDescent="0.35">
      <c r="A1021" s="6"/>
      <c r="B1021" s="13"/>
      <c r="C1021" s="81"/>
      <c r="D1021" s="4"/>
      <c r="E1021" s="8"/>
      <c r="F1021" s="17"/>
      <c r="G1021" s="17"/>
      <c r="H1021" s="17"/>
      <c r="I1021" s="17"/>
      <c r="J1021" s="17"/>
      <c r="K1021" s="17"/>
      <c r="L1021" s="17"/>
      <c r="M1021" s="17"/>
      <c r="N1021" s="17"/>
      <c r="O1021" s="17"/>
      <c r="P1021" s="17"/>
      <c r="Q1021" s="17"/>
      <c r="R1021" s="1"/>
      <c r="S1021" s="1"/>
    </row>
    <row r="1022" spans="1:19" x14ac:dyDescent="0.35">
      <c r="A1022" s="6"/>
      <c r="B1022" s="13"/>
      <c r="C1022" s="81"/>
      <c r="D1022" s="4"/>
      <c r="E1022" s="8"/>
      <c r="F1022" s="17"/>
      <c r="G1022" s="17"/>
      <c r="H1022" s="17"/>
      <c r="I1022" s="17"/>
      <c r="J1022" s="17"/>
      <c r="K1022" s="17"/>
      <c r="L1022" s="17"/>
      <c r="M1022" s="17"/>
      <c r="N1022" s="17"/>
      <c r="O1022" s="17"/>
      <c r="P1022" s="17"/>
      <c r="Q1022" s="17"/>
      <c r="R1022" s="1"/>
      <c r="S1022" s="1"/>
    </row>
    <row r="1023" spans="1:19" x14ac:dyDescent="0.35">
      <c r="A1023" s="6"/>
      <c r="B1023" s="13"/>
      <c r="C1023" s="81"/>
      <c r="D1023" s="4"/>
      <c r="E1023" s="8"/>
      <c r="F1023" s="17"/>
      <c r="G1023" s="17"/>
      <c r="H1023" s="17"/>
      <c r="I1023" s="17"/>
      <c r="J1023" s="17"/>
      <c r="K1023" s="17"/>
      <c r="L1023" s="17"/>
      <c r="M1023" s="17"/>
      <c r="N1023" s="17"/>
      <c r="O1023" s="17"/>
      <c r="P1023" s="17"/>
      <c r="Q1023" s="17"/>
      <c r="R1023" s="1"/>
      <c r="S1023" s="1"/>
    </row>
    <row r="1024" spans="1:19" x14ac:dyDescent="0.35">
      <c r="A1024" s="6"/>
      <c r="B1024" s="13"/>
      <c r="C1024" s="81"/>
      <c r="D1024" s="4"/>
      <c r="E1024" s="8"/>
      <c r="F1024" s="17"/>
      <c r="G1024" s="17"/>
      <c r="H1024" s="17"/>
      <c r="I1024" s="17"/>
      <c r="J1024" s="17"/>
      <c r="K1024" s="17"/>
      <c r="L1024" s="17"/>
      <c r="M1024" s="17"/>
      <c r="N1024" s="17"/>
      <c r="O1024" s="17"/>
      <c r="P1024" s="17"/>
      <c r="Q1024" s="17"/>
      <c r="R1024" s="1"/>
      <c r="S1024" s="1"/>
    </row>
    <row r="1025" spans="1:19" x14ac:dyDescent="0.35">
      <c r="A1025" s="6"/>
      <c r="B1025" s="13"/>
      <c r="C1025" s="81"/>
      <c r="D1025" s="4"/>
      <c r="E1025" s="8"/>
      <c r="F1025" s="17"/>
      <c r="G1025" s="17"/>
      <c r="H1025" s="17"/>
      <c r="I1025" s="17"/>
      <c r="J1025" s="17"/>
      <c r="K1025" s="17"/>
      <c r="L1025" s="17"/>
      <c r="M1025" s="17"/>
      <c r="N1025" s="17"/>
      <c r="O1025" s="17"/>
      <c r="P1025" s="17"/>
      <c r="Q1025" s="17"/>
      <c r="R1025" s="1"/>
      <c r="S1025" s="1"/>
    </row>
    <row r="1026" spans="1:19" x14ac:dyDescent="0.35">
      <c r="A1026" s="6"/>
      <c r="B1026" s="13"/>
      <c r="C1026" s="81"/>
      <c r="D1026" s="4"/>
      <c r="E1026" s="8"/>
      <c r="F1026" s="17"/>
      <c r="G1026" s="17"/>
      <c r="H1026" s="17"/>
      <c r="I1026" s="17"/>
      <c r="J1026" s="17"/>
      <c r="K1026" s="17"/>
      <c r="L1026" s="17"/>
      <c r="M1026" s="17"/>
      <c r="N1026" s="17"/>
      <c r="O1026" s="17"/>
      <c r="P1026" s="17"/>
      <c r="Q1026" s="17"/>
      <c r="R1026" s="1"/>
      <c r="S1026" s="1"/>
    </row>
    <row r="1027" spans="1:19" x14ac:dyDescent="0.35">
      <c r="A1027" s="6"/>
      <c r="B1027" s="13"/>
      <c r="C1027" s="81"/>
      <c r="D1027" s="4"/>
      <c r="E1027" s="8"/>
      <c r="F1027" s="17"/>
      <c r="G1027" s="17"/>
      <c r="H1027" s="17"/>
      <c r="I1027" s="17"/>
      <c r="J1027" s="17"/>
      <c r="K1027" s="17"/>
      <c r="L1027" s="17"/>
      <c r="M1027" s="17"/>
      <c r="N1027" s="17"/>
      <c r="O1027" s="17"/>
      <c r="P1027" s="17"/>
      <c r="Q1027" s="17"/>
      <c r="R1027" s="1"/>
      <c r="S1027" s="1"/>
    </row>
    <row r="1028" spans="1:19" x14ac:dyDescent="0.35">
      <c r="A1028" s="6"/>
      <c r="B1028" s="13"/>
      <c r="C1028" s="81"/>
      <c r="D1028" s="4"/>
      <c r="E1028" s="8"/>
      <c r="F1028" s="17"/>
      <c r="G1028" s="17"/>
      <c r="H1028" s="17"/>
      <c r="I1028" s="17"/>
      <c r="J1028" s="17"/>
      <c r="K1028" s="17"/>
      <c r="L1028" s="17"/>
      <c r="M1028" s="17"/>
      <c r="N1028" s="17"/>
      <c r="O1028" s="17"/>
      <c r="P1028" s="17"/>
      <c r="Q1028" s="17"/>
      <c r="R1028" s="1"/>
      <c r="S1028" s="1"/>
    </row>
    <row r="1029" spans="1:19" x14ac:dyDescent="0.35">
      <c r="A1029" s="6"/>
      <c r="B1029" s="13"/>
      <c r="C1029" s="81"/>
      <c r="D1029" s="4"/>
      <c r="E1029" s="8"/>
      <c r="F1029" s="17"/>
      <c r="G1029" s="17"/>
      <c r="H1029" s="17"/>
      <c r="I1029" s="17"/>
      <c r="J1029" s="17"/>
      <c r="K1029" s="17"/>
      <c r="L1029" s="17"/>
      <c r="M1029" s="17"/>
      <c r="N1029" s="17"/>
      <c r="O1029" s="17"/>
      <c r="P1029" s="17"/>
      <c r="Q1029" s="17"/>
      <c r="R1029" s="1"/>
      <c r="S1029" s="1"/>
    </row>
    <row r="1030" spans="1:19" x14ac:dyDescent="0.35">
      <c r="A1030" s="6"/>
      <c r="B1030" s="13"/>
      <c r="C1030" s="81"/>
      <c r="D1030" s="4"/>
      <c r="E1030" s="8"/>
      <c r="F1030" s="17"/>
      <c r="G1030" s="17"/>
      <c r="H1030" s="17"/>
      <c r="I1030" s="17"/>
      <c r="J1030" s="17"/>
      <c r="K1030" s="17"/>
      <c r="L1030" s="17"/>
      <c r="M1030" s="17"/>
      <c r="N1030" s="17"/>
      <c r="O1030" s="17"/>
      <c r="P1030" s="17"/>
      <c r="Q1030" s="17"/>
      <c r="R1030" s="1"/>
      <c r="S1030" s="1"/>
    </row>
    <row r="1031" spans="1:19" x14ac:dyDescent="0.35">
      <c r="A1031" s="6"/>
      <c r="B1031" s="13"/>
      <c r="C1031" s="81"/>
      <c r="D1031" s="4"/>
      <c r="E1031" s="8"/>
      <c r="F1031" s="17"/>
      <c r="G1031" s="17"/>
      <c r="H1031" s="17"/>
      <c r="I1031" s="17"/>
      <c r="J1031" s="17"/>
      <c r="K1031" s="17"/>
      <c r="L1031" s="17"/>
      <c r="M1031" s="17"/>
      <c r="N1031" s="17"/>
      <c r="O1031" s="17"/>
      <c r="P1031" s="17"/>
      <c r="Q1031" s="17"/>
      <c r="R1031" s="1"/>
      <c r="S1031" s="1"/>
    </row>
    <row r="1032" spans="1:19" x14ac:dyDescent="0.35">
      <c r="A1032" s="6"/>
      <c r="B1032" s="13"/>
      <c r="C1032" s="81"/>
      <c r="D1032" s="4"/>
      <c r="E1032" s="8"/>
      <c r="F1032" s="17"/>
      <c r="G1032" s="17"/>
      <c r="H1032" s="17"/>
      <c r="I1032" s="17"/>
      <c r="J1032" s="17"/>
      <c r="K1032" s="17"/>
      <c r="L1032" s="17"/>
      <c r="M1032" s="17"/>
      <c r="N1032" s="17"/>
      <c r="O1032" s="17"/>
      <c r="P1032" s="17"/>
      <c r="Q1032" s="17"/>
      <c r="R1032" s="1"/>
      <c r="S1032" s="1"/>
    </row>
    <row r="1033" spans="1:19" x14ac:dyDescent="0.35">
      <c r="A1033" s="6"/>
      <c r="B1033" s="13"/>
      <c r="C1033" s="81"/>
      <c r="D1033" s="4"/>
      <c r="E1033" s="8"/>
      <c r="F1033" s="17"/>
      <c r="G1033" s="17"/>
      <c r="H1033" s="17"/>
      <c r="I1033" s="17"/>
      <c r="J1033" s="17"/>
      <c r="K1033" s="17"/>
      <c r="L1033" s="17"/>
      <c r="M1033" s="17"/>
      <c r="N1033" s="17"/>
      <c r="O1033" s="17"/>
      <c r="P1033" s="17"/>
      <c r="Q1033" s="17"/>
      <c r="R1033" s="1"/>
      <c r="S1033" s="1"/>
    </row>
    <row r="1034" spans="1:19" x14ac:dyDescent="0.35">
      <c r="A1034" s="6"/>
      <c r="B1034" s="13"/>
      <c r="C1034" s="81"/>
      <c r="D1034" s="4"/>
      <c r="E1034" s="8"/>
      <c r="F1034" s="17"/>
      <c r="G1034" s="17"/>
      <c r="H1034" s="17"/>
      <c r="I1034" s="17"/>
      <c r="J1034" s="17"/>
      <c r="K1034" s="17"/>
      <c r="L1034" s="17"/>
      <c r="M1034" s="17"/>
      <c r="N1034" s="17"/>
      <c r="O1034" s="17"/>
      <c r="P1034" s="17"/>
      <c r="Q1034" s="17"/>
      <c r="R1034" s="1"/>
      <c r="S1034" s="1"/>
    </row>
    <row r="1035" spans="1:19" x14ac:dyDescent="0.35">
      <c r="A1035" s="6"/>
      <c r="B1035" s="13"/>
      <c r="C1035" s="81"/>
      <c r="D1035" s="4"/>
      <c r="E1035" s="8"/>
      <c r="F1035" s="17"/>
      <c r="G1035" s="17"/>
      <c r="H1035" s="17"/>
      <c r="I1035" s="17"/>
      <c r="J1035" s="17"/>
      <c r="K1035" s="17"/>
      <c r="L1035" s="17"/>
      <c r="M1035" s="17"/>
      <c r="N1035" s="17"/>
      <c r="O1035" s="17"/>
      <c r="P1035" s="17"/>
      <c r="Q1035" s="17"/>
      <c r="R1035" s="1"/>
      <c r="S1035" s="1"/>
    </row>
    <row r="1036" spans="1:19" x14ac:dyDescent="0.35">
      <c r="A1036" s="6"/>
      <c r="B1036" s="13"/>
      <c r="C1036" s="81"/>
      <c r="D1036" s="4"/>
      <c r="E1036" s="8"/>
      <c r="F1036" s="17"/>
      <c r="G1036" s="17"/>
      <c r="H1036" s="17"/>
      <c r="I1036" s="17"/>
      <c r="J1036" s="17"/>
      <c r="K1036" s="17"/>
      <c r="L1036" s="17"/>
      <c r="M1036" s="17"/>
      <c r="N1036" s="17"/>
      <c r="O1036" s="17"/>
      <c r="P1036" s="17"/>
      <c r="Q1036" s="17"/>
      <c r="R1036" s="1"/>
      <c r="S1036" s="1"/>
    </row>
    <row r="1037" spans="1:19" x14ac:dyDescent="0.35">
      <c r="A1037" s="6"/>
      <c r="B1037" s="13"/>
      <c r="C1037" s="81"/>
      <c r="D1037" s="4"/>
      <c r="E1037" s="8"/>
      <c r="F1037" s="17"/>
      <c r="G1037" s="17"/>
      <c r="H1037" s="17"/>
      <c r="I1037" s="17"/>
      <c r="J1037" s="17"/>
      <c r="K1037" s="17"/>
      <c r="L1037" s="17"/>
      <c r="M1037" s="17"/>
      <c r="N1037" s="17"/>
      <c r="O1037" s="17"/>
      <c r="P1037" s="17"/>
      <c r="Q1037" s="17"/>
      <c r="R1037" s="1"/>
      <c r="S1037" s="1"/>
    </row>
    <row r="1038" spans="1:19" x14ac:dyDescent="0.35">
      <c r="A1038" s="6"/>
      <c r="B1038" s="13"/>
      <c r="C1038" s="81"/>
      <c r="D1038" s="4"/>
      <c r="E1038" s="8"/>
      <c r="F1038" s="17"/>
      <c r="G1038" s="17"/>
      <c r="H1038" s="17"/>
      <c r="I1038" s="17"/>
      <c r="J1038" s="17"/>
      <c r="K1038" s="17"/>
      <c r="L1038" s="17"/>
      <c r="M1038" s="17"/>
      <c r="N1038" s="17"/>
      <c r="O1038" s="17"/>
      <c r="P1038" s="17"/>
      <c r="Q1038" s="17"/>
      <c r="R1038" s="1"/>
      <c r="S1038" s="1"/>
    </row>
    <row r="1039" spans="1:19" x14ac:dyDescent="0.35">
      <c r="A1039" s="6"/>
      <c r="B1039" s="13"/>
      <c r="C1039" s="81"/>
      <c r="D1039" s="4"/>
      <c r="E1039" s="8"/>
      <c r="F1039" s="17"/>
      <c r="G1039" s="17"/>
      <c r="H1039" s="17"/>
      <c r="I1039" s="17"/>
      <c r="J1039" s="17"/>
      <c r="K1039" s="17"/>
      <c r="L1039" s="17"/>
      <c r="M1039" s="17"/>
      <c r="N1039" s="17"/>
      <c r="O1039" s="17"/>
      <c r="P1039" s="17"/>
      <c r="Q1039" s="17"/>
      <c r="R1039" s="1"/>
      <c r="S1039" s="1"/>
    </row>
    <row r="1040" spans="1:19" x14ac:dyDescent="0.35">
      <c r="A1040" s="6"/>
      <c r="B1040" s="13"/>
      <c r="C1040" s="81"/>
      <c r="D1040" s="4"/>
      <c r="E1040" s="8"/>
      <c r="F1040" s="17"/>
      <c r="G1040" s="17"/>
      <c r="H1040" s="17"/>
      <c r="I1040" s="17"/>
      <c r="J1040" s="17"/>
      <c r="K1040" s="17"/>
      <c r="L1040" s="17"/>
      <c r="M1040" s="17"/>
      <c r="N1040" s="17"/>
      <c r="O1040" s="17"/>
      <c r="P1040" s="17"/>
      <c r="Q1040" s="17"/>
      <c r="R1040" s="1"/>
      <c r="S1040" s="1"/>
    </row>
    <row r="1041" spans="1:19" x14ac:dyDescent="0.35">
      <c r="A1041" s="6"/>
      <c r="B1041" s="13"/>
      <c r="C1041" s="81"/>
      <c r="D1041" s="4"/>
      <c r="E1041" s="8"/>
      <c r="F1041" s="17"/>
      <c r="G1041" s="17"/>
      <c r="H1041" s="17"/>
      <c r="I1041" s="17"/>
      <c r="J1041" s="17"/>
      <c r="K1041" s="17"/>
      <c r="L1041" s="17"/>
      <c r="M1041" s="17"/>
      <c r="N1041" s="17"/>
      <c r="O1041" s="17"/>
      <c r="P1041" s="17"/>
      <c r="Q1041" s="17"/>
      <c r="R1041" s="1"/>
      <c r="S1041" s="1"/>
    </row>
    <row r="1042" spans="1:19" x14ac:dyDescent="0.35">
      <c r="A1042" s="6"/>
      <c r="B1042" s="13"/>
      <c r="C1042" s="81"/>
      <c r="D1042" s="4"/>
      <c r="E1042" s="8"/>
      <c r="F1042" s="17"/>
      <c r="G1042" s="17"/>
      <c r="H1042" s="17"/>
      <c r="I1042" s="17"/>
      <c r="J1042" s="17"/>
      <c r="K1042" s="17"/>
      <c r="L1042" s="17"/>
      <c r="M1042" s="17"/>
      <c r="N1042" s="17"/>
      <c r="O1042" s="17"/>
      <c r="P1042" s="17"/>
      <c r="Q1042" s="17"/>
      <c r="R1042" s="1"/>
      <c r="S1042" s="1"/>
    </row>
    <row r="1043" spans="1:19" x14ac:dyDescent="0.35">
      <c r="A1043" s="6"/>
      <c r="B1043" s="13"/>
      <c r="C1043" s="81"/>
      <c r="D1043" s="4"/>
      <c r="E1043" s="8"/>
      <c r="F1043" s="17"/>
      <c r="G1043" s="17"/>
      <c r="H1043" s="17"/>
      <c r="I1043" s="17"/>
      <c r="J1043" s="17"/>
      <c r="K1043" s="17"/>
      <c r="L1043" s="17"/>
      <c r="M1043" s="17"/>
      <c r="N1043" s="17"/>
      <c r="O1043" s="17"/>
      <c r="P1043" s="17"/>
      <c r="Q1043" s="17"/>
      <c r="R1043" s="1"/>
      <c r="S1043" s="1"/>
    </row>
    <row r="1044" spans="1:19" x14ac:dyDescent="0.35">
      <c r="A1044" s="6"/>
      <c r="B1044" s="13"/>
      <c r="C1044" s="81"/>
      <c r="D1044" s="4"/>
      <c r="E1044" s="8"/>
      <c r="F1044" s="17"/>
      <c r="G1044" s="17"/>
      <c r="H1044" s="17"/>
      <c r="I1044" s="17"/>
      <c r="J1044" s="17"/>
      <c r="K1044" s="17"/>
      <c r="L1044" s="17"/>
      <c r="M1044" s="17"/>
      <c r="N1044" s="17"/>
      <c r="O1044" s="17"/>
      <c r="P1044" s="17"/>
      <c r="Q1044" s="17"/>
      <c r="R1044" s="1"/>
      <c r="S1044" s="1"/>
    </row>
    <row r="1045" spans="1:19" x14ac:dyDescent="0.35">
      <c r="A1045" s="6"/>
      <c r="B1045" s="13"/>
      <c r="C1045" s="81"/>
      <c r="D1045" s="4"/>
      <c r="E1045" s="8"/>
      <c r="F1045" s="17"/>
      <c r="G1045" s="17"/>
      <c r="H1045" s="17"/>
      <c r="I1045" s="17"/>
      <c r="J1045" s="17"/>
      <c r="K1045" s="17"/>
      <c r="L1045" s="17"/>
      <c r="M1045" s="17"/>
      <c r="N1045" s="17"/>
      <c r="O1045" s="17"/>
      <c r="P1045" s="17"/>
      <c r="Q1045" s="17"/>
      <c r="R1045" s="1"/>
      <c r="S1045" s="1"/>
    </row>
    <row r="1046" spans="1:19" x14ac:dyDescent="0.35">
      <c r="A1046" s="6"/>
      <c r="B1046" s="13"/>
      <c r="C1046" s="81"/>
      <c r="D1046" s="4"/>
      <c r="E1046" s="8"/>
      <c r="F1046" s="17"/>
      <c r="G1046" s="17"/>
      <c r="H1046" s="17"/>
      <c r="I1046" s="17"/>
      <c r="J1046" s="17"/>
      <c r="K1046" s="17"/>
      <c r="L1046" s="17"/>
      <c r="M1046" s="17"/>
      <c r="N1046" s="17"/>
      <c r="O1046" s="17"/>
      <c r="P1046" s="17"/>
      <c r="Q1046" s="17"/>
      <c r="R1046" s="1"/>
      <c r="S1046" s="1"/>
    </row>
    <row r="1047" spans="1:19" x14ac:dyDescent="0.35">
      <c r="A1047" s="6"/>
      <c r="B1047" s="13"/>
      <c r="C1047" s="81"/>
      <c r="D1047" s="4"/>
      <c r="E1047" s="8"/>
      <c r="F1047" s="17"/>
      <c r="G1047" s="17"/>
      <c r="H1047" s="17"/>
      <c r="I1047" s="17"/>
      <c r="J1047" s="17"/>
      <c r="K1047" s="17"/>
      <c r="L1047" s="17"/>
      <c r="M1047" s="17"/>
      <c r="N1047" s="17"/>
      <c r="O1047" s="17"/>
      <c r="P1047" s="17"/>
      <c r="Q1047" s="17"/>
      <c r="R1047" s="1"/>
      <c r="S1047" s="1"/>
    </row>
    <row r="1048" spans="1:19" x14ac:dyDescent="0.35">
      <c r="A1048" s="6"/>
      <c r="B1048" s="13"/>
      <c r="C1048" s="81"/>
      <c r="D1048" s="4"/>
      <c r="E1048" s="8"/>
      <c r="F1048" s="17"/>
      <c r="G1048" s="17"/>
      <c r="H1048" s="17"/>
      <c r="I1048" s="17"/>
      <c r="J1048" s="17"/>
      <c r="K1048" s="17"/>
      <c r="L1048" s="17"/>
      <c r="M1048" s="17"/>
      <c r="N1048" s="17"/>
      <c r="O1048" s="17"/>
      <c r="P1048" s="17"/>
      <c r="Q1048" s="17"/>
      <c r="R1048" s="1"/>
      <c r="S1048" s="1"/>
    </row>
    <row r="1049" spans="1:19" x14ac:dyDescent="0.35">
      <c r="A1049" s="6"/>
      <c r="B1049" s="13"/>
      <c r="C1049" s="81"/>
      <c r="D1049" s="4"/>
      <c r="E1049" s="8"/>
      <c r="F1049" s="17"/>
      <c r="G1049" s="17"/>
      <c r="H1049" s="17"/>
      <c r="I1049" s="17"/>
      <c r="J1049" s="17"/>
      <c r="K1049" s="17"/>
      <c r="L1049" s="17"/>
      <c r="M1049" s="17"/>
      <c r="N1049" s="17"/>
      <c r="O1049" s="17"/>
      <c r="P1049" s="17"/>
      <c r="Q1049" s="17"/>
      <c r="R1049" s="1"/>
      <c r="S1049" s="1"/>
    </row>
    <row r="1050" spans="1:19" x14ac:dyDescent="0.35">
      <c r="A1050" s="6"/>
      <c r="B1050" s="13"/>
      <c r="C1050" s="81"/>
      <c r="D1050" s="4"/>
      <c r="E1050" s="8"/>
      <c r="F1050" s="17"/>
      <c r="G1050" s="17"/>
      <c r="H1050" s="17"/>
      <c r="I1050" s="17"/>
      <c r="J1050" s="17"/>
      <c r="K1050" s="17"/>
      <c r="L1050" s="17"/>
      <c r="M1050" s="17"/>
      <c r="N1050" s="17"/>
      <c r="O1050" s="17"/>
      <c r="P1050" s="17"/>
      <c r="Q1050" s="17"/>
      <c r="R1050" s="1"/>
      <c r="S1050" s="1"/>
    </row>
    <row r="1051" spans="1:19" x14ac:dyDescent="0.35">
      <c r="A1051" s="6"/>
      <c r="B1051" s="13"/>
      <c r="C1051" s="81"/>
      <c r="D1051" s="4"/>
      <c r="E1051" s="8"/>
      <c r="F1051" s="17"/>
      <c r="G1051" s="17"/>
      <c r="H1051" s="17"/>
      <c r="I1051" s="17"/>
      <c r="J1051" s="17"/>
      <c r="K1051" s="17"/>
      <c r="L1051" s="17"/>
      <c r="M1051" s="17"/>
      <c r="N1051" s="17"/>
      <c r="O1051" s="17"/>
      <c r="P1051" s="17"/>
      <c r="Q1051" s="17"/>
      <c r="R1051" s="1"/>
      <c r="S1051" s="1"/>
    </row>
    <row r="1052" spans="1:19" x14ac:dyDescent="0.35">
      <c r="A1052" s="6"/>
      <c r="B1052" s="13"/>
      <c r="C1052" s="81"/>
      <c r="D1052" s="4"/>
      <c r="E1052" s="8"/>
      <c r="F1052" s="17"/>
      <c r="G1052" s="17"/>
      <c r="H1052" s="17"/>
      <c r="I1052" s="17"/>
      <c r="J1052" s="17"/>
      <c r="K1052" s="17"/>
      <c r="L1052" s="17"/>
      <c r="M1052" s="17"/>
      <c r="N1052" s="17"/>
      <c r="O1052" s="17"/>
      <c r="P1052" s="17"/>
      <c r="Q1052" s="17"/>
      <c r="R1052" s="1"/>
      <c r="S1052" s="1"/>
    </row>
    <row r="1053" spans="1:19" x14ac:dyDescent="0.35">
      <c r="A1053" s="6"/>
      <c r="B1053" s="13"/>
      <c r="C1053" s="81"/>
      <c r="D1053" s="4"/>
      <c r="E1053" s="8"/>
      <c r="F1053" s="17"/>
      <c r="G1053" s="17"/>
      <c r="H1053" s="17"/>
      <c r="I1053" s="17"/>
      <c r="J1053" s="17"/>
      <c r="K1053" s="17"/>
      <c r="L1053" s="17"/>
      <c r="M1053" s="17"/>
      <c r="N1053" s="17"/>
      <c r="O1053" s="17"/>
      <c r="P1053" s="17"/>
      <c r="Q1053" s="17"/>
      <c r="R1053" s="1"/>
      <c r="S1053" s="1"/>
    </row>
    <row r="1054" spans="1:19" x14ac:dyDescent="0.35">
      <c r="A1054" s="6"/>
      <c r="B1054" s="13"/>
      <c r="C1054" s="81"/>
      <c r="D1054" s="4"/>
      <c r="E1054" s="8"/>
      <c r="F1054" s="17"/>
      <c r="G1054" s="17"/>
      <c r="H1054" s="17"/>
      <c r="I1054" s="17"/>
      <c r="J1054" s="17"/>
      <c r="K1054" s="17"/>
      <c r="L1054" s="17"/>
      <c r="M1054" s="17"/>
      <c r="N1054" s="17"/>
      <c r="O1054" s="17"/>
      <c r="P1054" s="17"/>
      <c r="Q1054" s="17"/>
      <c r="R1054" s="1"/>
      <c r="S1054" s="1"/>
    </row>
    <row r="1055" spans="1:19" x14ac:dyDescent="0.35">
      <c r="A1055" s="6"/>
      <c r="B1055" s="13"/>
      <c r="C1055" s="81"/>
      <c r="D1055" s="4"/>
      <c r="E1055" s="8"/>
      <c r="F1055" s="17"/>
      <c r="G1055" s="17"/>
      <c r="H1055" s="17"/>
      <c r="I1055" s="17"/>
      <c r="J1055" s="17"/>
      <c r="K1055" s="17"/>
      <c r="L1055" s="17"/>
      <c r="M1055" s="17"/>
      <c r="N1055" s="17"/>
      <c r="O1055" s="17"/>
      <c r="P1055" s="17"/>
      <c r="Q1055" s="17"/>
      <c r="R1055" s="1"/>
      <c r="S1055" s="1"/>
    </row>
    <row r="1056" spans="1:19" x14ac:dyDescent="0.35">
      <c r="A1056" s="6"/>
      <c r="B1056" s="13"/>
      <c r="C1056" s="81"/>
      <c r="D1056" s="4"/>
      <c r="E1056" s="8"/>
      <c r="F1056" s="17"/>
      <c r="G1056" s="17"/>
      <c r="H1056" s="17"/>
      <c r="I1056" s="17"/>
      <c r="J1056" s="17"/>
      <c r="K1056" s="17"/>
      <c r="L1056" s="17"/>
      <c r="M1056" s="17"/>
      <c r="N1056" s="17"/>
      <c r="O1056" s="17"/>
      <c r="P1056" s="17"/>
      <c r="Q1056" s="17"/>
      <c r="R1056" s="1"/>
      <c r="S1056" s="1"/>
    </row>
    <row r="1057" spans="1:19" x14ac:dyDescent="0.35">
      <c r="A1057" s="6"/>
      <c r="B1057" s="13"/>
      <c r="C1057" s="81"/>
      <c r="D1057" s="4"/>
      <c r="E1057" s="8"/>
      <c r="F1057" s="17"/>
      <c r="G1057" s="17"/>
      <c r="H1057" s="17"/>
      <c r="I1057" s="17"/>
      <c r="J1057" s="17"/>
      <c r="K1057" s="17"/>
      <c r="L1057" s="17"/>
      <c r="M1057" s="17"/>
      <c r="N1057" s="17"/>
      <c r="O1057" s="17"/>
      <c r="P1057" s="17"/>
      <c r="Q1057" s="17"/>
      <c r="R1057" s="1"/>
      <c r="S1057" s="1"/>
    </row>
    <row r="1058" spans="1:19" x14ac:dyDescent="0.35">
      <c r="A1058" s="6"/>
      <c r="B1058" s="13"/>
      <c r="C1058" s="81"/>
      <c r="D1058" s="4"/>
      <c r="E1058" s="8"/>
      <c r="F1058" s="17"/>
      <c r="G1058" s="17"/>
      <c r="H1058" s="17"/>
      <c r="I1058" s="17"/>
      <c r="J1058" s="17"/>
      <c r="K1058" s="17"/>
      <c r="L1058" s="17"/>
      <c r="M1058" s="17"/>
      <c r="N1058" s="17"/>
      <c r="O1058" s="17"/>
      <c r="P1058" s="17"/>
      <c r="Q1058" s="17"/>
      <c r="R1058" s="1"/>
      <c r="S1058" s="1"/>
    </row>
    <row r="1059" spans="1:19" x14ac:dyDescent="0.35">
      <c r="A1059" s="6"/>
      <c r="B1059" s="13"/>
      <c r="C1059" s="81"/>
      <c r="D1059" s="4"/>
      <c r="E1059" s="8"/>
      <c r="F1059" s="17"/>
      <c r="G1059" s="17"/>
      <c r="H1059" s="17"/>
      <c r="I1059" s="17"/>
      <c r="J1059" s="17"/>
      <c r="K1059" s="17"/>
      <c r="L1059" s="17"/>
      <c r="M1059" s="17"/>
      <c r="N1059" s="17"/>
      <c r="O1059" s="17"/>
      <c r="P1059" s="17"/>
      <c r="Q1059" s="17"/>
      <c r="R1059" s="1"/>
      <c r="S1059" s="1"/>
    </row>
    <row r="1060" spans="1:19" x14ac:dyDescent="0.35">
      <c r="A1060" s="6"/>
      <c r="B1060" s="13"/>
      <c r="C1060" s="81"/>
      <c r="D1060" s="4"/>
      <c r="E1060" s="8"/>
      <c r="F1060" s="17"/>
      <c r="G1060" s="17"/>
      <c r="H1060" s="17"/>
      <c r="I1060" s="17"/>
      <c r="J1060" s="17"/>
      <c r="K1060" s="17"/>
      <c r="L1060" s="17"/>
      <c r="M1060" s="17"/>
      <c r="N1060" s="17"/>
      <c r="O1060" s="17"/>
      <c r="P1060" s="17"/>
      <c r="Q1060" s="17"/>
      <c r="R1060" s="1"/>
      <c r="S1060" s="1"/>
    </row>
    <row r="1061" spans="1:19" x14ac:dyDescent="0.35">
      <c r="A1061" s="6"/>
      <c r="B1061" s="13"/>
      <c r="C1061" s="81"/>
      <c r="D1061" s="4"/>
      <c r="E1061" s="8"/>
      <c r="F1061" s="17"/>
      <c r="G1061" s="17"/>
      <c r="H1061" s="17"/>
      <c r="I1061" s="17"/>
      <c r="J1061" s="17"/>
      <c r="K1061" s="17"/>
      <c r="L1061" s="17"/>
      <c r="M1061" s="17"/>
      <c r="N1061" s="17"/>
      <c r="O1061" s="17"/>
      <c r="P1061" s="17"/>
      <c r="Q1061" s="17"/>
      <c r="R1061" s="1"/>
      <c r="S1061" s="1"/>
    </row>
    <row r="1062" spans="1:19" x14ac:dyDescent="0.35">
      <c r="A1062" s="6"/>
      <c r="B1062" s="13"/>
      <c r="C1062" s="81"/>
      <c r="D1062" s="4"/>
      <c r="E1062" s="8"/>
      <c r="F1062" s="17"/>
      <c r="G1062" s="17"/>
      <c r="H1062" s="17"/>
      <c r="I1062" s="17"/>
      <c r="J1062" s="17"/>
      <c r="K1062" s="17"/>
      <c r="L1062" s="17"/>
      <c r="M1062" s="17"/>
      <c r="N1062" s="17"/>
      <c r="O1062" s="17"/>
      <c r="P1062" s="17"/>
      <c r="Q1062" s="17"/>
      <c r="R1062" s="1"/>
      <c r="S1062" s="1"/>
    </row>
    <row r="1063" spans="1:19" x14ac:dyDescent="0.35">
      <c r="A1063" s="6"/>
      <c r="B1063" s="13"/>
      <c r="C1063" s="81"/>
      <c r="D1063" s="4"/>
      <c r="E1063" s="8"/>
      <c r="F1063" s="17"/>
      <c r="G1063" s="17"/>
      <c r="H1063" s="17"/>
      <c r="I1063" s="17"/>
      <c r="J1063" s="17"/>
      <c r="K1063" s="17"/>
      <c r="L1063" s="17"/>
      <c r="M1063" s="17"/>
      <c r="N1063" s="17"/>
      <c r="O1063" s="17"/>
      <c r="P1063" s="17"/>
      <c r="Q1063" s="17"/>
      <c r="R1063" s="1"/>
      <c r="S1063" s="1"/>
    </row>
    <row r="1064" spans="1:19" x14ac:dyDescent="0.35">
      <c r="A1064" s="6"/>
      <c r="B1064" s="13"/>
      <c r="C1064" s="81"/>
      <c r="D1064" s="4"/>
      <c r="E1064" s="8"/>
      <c r="F1064" s="17"/>
      <c r="G1064" s="17"/>
      <c r="H1064" s="17"/>
      <c r="I1064" s="17"/>
      <c r="J1064" s="17"/>
      <c r="K1064" s="17"/>
      <c r="L1064" s="17"/>
      <c r="M1064" s="17"/>
      <c r="N1064" s="17"/>
      <c r="O1064" s="17"/>
      <c r="P1064" s="17"/>
      <c r="Q1064" s="17"/>
      <c r="R1064" s="1"/>
      <c r="S1064" s="1"/>
    </row>
    <row r="1065" spans="1:19" x14ac:dyDescent="0.35">
      <c r="A1065" s="6"/>
      <c r="B1065" s="13"/>
      <c r="C1065" s="81"/>
      <c r="D1065" s="4"/>
      <c r="E1065" s="8"/>
      <c r="F1065" s="17"/>
      <c r="G1065" s="17"/>
      <c r="H1065" s="17"/>
      <c r="I1065" s="17"/>
      <c r="J1065" s="17"/>
      <c r="K1065" s="17"/>
      <c r="L1065" s="17"/>
      <c r="M1065" s="17"/>
      <c r="N1065" s="17"/>
      <c r="O1065" s="17"/>
      <c r="P1065" s="17"/>
      <c r="Q1065" s="17"/>
      <c r="R1065" s="1"/>
      <c r="S1065" s="1"/>
    </row>
    <row r="1066" spans="1:19" x14ac:dyDescent="0.35">
      <c r="A1066" s="6"/>
      <c r="B1066" s="13"/>
      <c r="C1066" s="81"/>
      <c r="D1066" s="4"/>
      <c r="E1066" s="8"/>
      <c r="F1066" s="17"/>
      <c r="G1066" s="17"/>
      <c r="H1066" s="17"/>
      <c r="I1066" s="17"/>
      <c r="J1066" s="17"/>
      <c r="K1066" s="17"/>
      <c r="L1066" s="17"/>
      <c r="M1066" s="17"/>
      <c r="N1066" s="17"/>
      <c r="O1066" s="17"/>
      <c r="P1066" s="17"/>
      <c r="Q1066" s="17"/>
      <c r="R1066" s="1"/>
      <c r="S1066" s="1"/>
    </row>
    <row r="1067" spans="1:19" x14ac:dyDescent="0.35">
      <c r="A1067" s="6"/>
      <c r="B1067" s="13"/>
      <c r="C1067" s="81"/>
      <c r="D1067" s="4"/>
      <c r="E1067" s="8"/>
      <c r="F1067" s="17"/>
      <c r="G1067" s="17"/>
      <c r="H1067" s="17"/>
      <c r="I1067" s="17"/>
      <c r="J1067" s="17"/>
      <c r="K1067" s="17"/>
      <c r="L1067" s="17"/>
      <c r="M1067" s="17"/>
      <c r="N1067" s="17"/>
      <c r="O1067" s="17"/>
      <c r="P1067" s="17"/>
      <c r="Q1067" s="17"/>
      <c r="R1067" s="1"/>
      <c r="S1067" s="1"/>
    </row>
    <row r="1068" spans="1:19" x14ac:dyDescent="0.35">
      <c r="A1068" s="6"/>
      <c r="B1068" s="13"/>
      <c r="C1068" s="81"/>
      <c r="D1068" s="4"/>
      <c r="E1068" s="8"/>
      <c r="F1068" s="17"/>
      <c r="G1068" s="17"/>
      <c r="H1068" s="17"/>
      <c r="I1068" s="17"/>
      <c r="J1068" s="17"/>
      <c r="K1068" s="17"/>
      <c r="L1068" s="17"/>
      <c r="M1068" s="17"/>
      <c r="N1068" s="17"/>
      <c r="O1068" s="17"/>
      <c r="P1068" s="17"/>
      <c r="Q1068" s="17"/>
      <c r="R1068" s="1"/>
      <c r="S1068" s="1"/>
    </row>
    <row r="1069" spans="1:19" x14ac:dyDescent="0.35">
      <c r="A1069" s="6"/>
      <c r="B1069" s="13"/>
      <c r="C1069" s="81"/>
      <c r="D1069" s="4"/>
      <c r="E1069" s="8"/>
      <c r="F1069" s="17"/>
      <c r="G1069" s="17"/>
      <c r="H1069" s="17"/>
      <c r="I1069" s="17"/>
      <c r="J1069" s="17"/>
      <c r="K1069" s="17"/>
      <c r="L1069" s="17"/>
      <c r="M1069" s="17"/>
      <c r="N1069" s="17"/>
      <c r="O1069" s="17"/>
      <c r="P1069" s="17"/>
      <c r="Q1069" s="17"/>
      <c r="R1069" s="1"/>
      <c r="S1069" s="1"/>
    </row>
    <row r="1070" spans="1:19" x14ac:dyDescent="0.35">
      <c r="A1070" s="6"/>
      <c r="B1070" s="13"/>
      <c r="C1070" s="81"/>
      <c r="D1070" s="4"/>
      <c r="E1070" s="8"/>
      <c r="F1070" s="17"/>
      <c r="G1070" s="17"/>
      <c r="H1070" s="17"/>
      <c r="I1070" s="17"/>
      <c r="J1070" s="17"/>
      <c r="K1070" s="17"/>
      <c r="L1070" s="17"/>
      <c r="M1070" s="17"/>
      <c r="N1070" s="17"/>
      <c r="O1070" s="17"/>
      <c r="P1070" s="17"/>
      <c r="Q1070" s="17"/>
      <c r="R1070" s="1"/>
      <c r="S1070" s="1"/>
    </row>
    <row r="1071" spans="1:19" x14ac:dyDescent="0.35">
      <c r="A1071" s="6"/>
      <c r="B1071" s="13"/>
      <c r="C1071" s="81"/>
      <c r="D1071" s="4"/>
      <c r="E1071" s="8"/>
      <c r="F1071" s="17"/>
      <c r="G1071" s="17"/>
      <c r="H1071" s="17"/>
      <c r="I1071" s="17"/>
      <c r="J1071" s="17"/>
      <c r="K1071" s="17"/>
      <c r="L1071" s="17"/>
      <c r="M1071" s="17"/>
      <c r="N1071" s="17"/>
      <c r="O1071" s="17"/>
      <c r="P1071" s="17"/>
      <c r="Q1071" s="17"/>
      <c r="R1071" s="1"/>
      <c r="S1071" s="1"/>
    </row>
    <row r="1072" spans="1:19" x14ac:dyDescent="0.35">
      <c r="A1072" s="6"/>
      <c r="B1072" s="13"/>
      <c r="C1072" s="81"/>
      <c r="D1072" s="4"/>
      <c r="E1072" s="8"/>
      <c r="F1072" s="17"/>
      <c r="G1072" s="17"/>
      <c r="H1072" s="17"/>
      <c r="I1072" s="17"/>
      <c r="J1072" s="17"/>
      <c r="K1072" s="17"/>
      <c r="L1072" s="17"/>
      <c r="M1072" s="17"/>
      <c r="N1072" s="17"/>
      <c r="O1072" s="17"/>
      <c r="P1072" s="17"/>
      <c r="Q1072" s="17"/>
      <c r="R1072" s="1"/>
      <c r="S1072" s="1"/>
    </row>
    <row r="1073" spans="1:19" x14ac:dyDescent="0.35">
      <c r="A1073" s="6"/>
      <c r="B1073" s="13"/>
      <c r="C1073" s="81"/>
      <c r="D1073" s="4"/>
      <c r="E1073" s="8"/>
      <c r="F1073" s="17"/>
      <c r="G1073" s="17"/>
      <c r="H1073" s="17"/>
      <c r="I1073" s="17"/>
      <c r="J1073" s="17"/>
      <c r="K1073" s="17"/>
      <c r="L1073" s="17"/>
      <c r="M1073" s="17"/>
      <c r="N1073" s="17"/>
      <c r="O1073" s="17"/>
      <c r="P1073" s="17"/>
      <c r="Q1073" s="17"/>
      <c r="R1073" s="1"/>
      <c r="S1073" s="1"/>
    </row>
    <row r="1074" spans="1:19" x14ac:dyDescent="0.35">
      <c r="A1074" s="6"/>
      <c r="B1074" s="13"/>
      <c r="C1074" s="81"/>
      <c r="D1074" s="4"/>
      <c r="E1074" s="8"/>
      <c r="F1074" s="17"/>
      <c r="G1074" s="17"/>
      <c r="H1074" s="17"/>
      <c r="I1074" s="17"/>
      <c r="J1074" s="17"/>
      <c r="K1074" s="17"/>
      <c r="L1074" s="17"/>
      <c r="M1074" s="17"/>
      <c r="N1074" s="17"/>
      <c r="O1074" s="17"/>
      <c r="P1074" s="17"/>
      <c r="Q1074" s="17"/>
      <c r="R1074" s="1"/>
      <c r="S1074" s="1"/>
    </row>
    <row r="1075" spans="1:19" x14ac:dyDescent="0.35">
      <c r="A1075" s="6"/>
      <c r="B1075" s="13"/>
      <c r="C1075" s="81"/>
      <c r="D1075" s="4"/>
      <c r="E1075" s="8"/>
      <c r="F1075" s="17"/>
      <c r="G1075" s="17"/>
      <c r="H1075" s="17"/>
      <c r="I1075" s="17"/>
      <c r="J1075" s="17"/>
      <c r="K1075" s="17"/>
      <c r="L1075" s="17"/>
      <c r="M1075" s="17"/>
      <c r="N1075" s="17"/>
      <c r="O1075" s="17"/>
      <c r="P1075" s="17"/>
      <c r="Q1075" s="17"/>
      <c r="R1075" s="1"/>
      <c r="S1075" s="1"/>
    </row>
    <row r="1076" spans="1:19" x14ac:dyDescent="0.35">
      <c r="A1076" s="6"/>
      <c r="B1076" s="13"/>
      <c r="C1076" s="81"/>
      <c r="D1076" s="4"/>
      <c r="E1076" s="8"/>
      <c r="F1076" s="17"/>
      <c r="G1076" s="17"/>
      <c r="H1076" s="17"/>
      <c r="I1076" s="17"/>
      <c r="J1076" s="17"/>
      <c r="K1076" s="17"/>
      <c r="L1076" s="17"/>
      <c r="M1076" s="17"/>
      <c r="N1076" s="17"/>
      <c r="O1076" s="17"/>
      <c r="P1076" s="17"/>
      <c r="Q1076" s="17"/>
      <c r="R1076" s="1"/>
      <c r="S1076" s="1"/>
    </row>
    <row r="1077" spans="1:19" x14ac:dyDescent="0.35">
      <c r="A1077" s="6"/>
      <c r="B1077" s="13"/>
      <c r="C1077" s="81"/>
      <c r="D1077" s="4"/>
      <c r="E1077" s="8"/>
      <c r="F1077" s="17"/>
      <c r="G1077" s="17"/>
      <c r="H1077" s="17"/>
      <c r="I1077" s="17"/>
      <c r="J1077" s="17"/>
      <c r="K1077" s="17"/>
      <c r="L1077" s="17"/>
      <c r="M1077" s="17"/>
      <c r="N1077" s="17"/>
      <c r="O1077" s="17"/>
      <c r="P1077" s="17"/>
      <c r="Q1077" s="17"/>
      <c r="R1077" s="1"/>
      <c r="S1077" s="1"/>
    </row>
    <row r="1078" spans="1:19" x14ac:dyDescent="0.35">
      <c r="A1078" s="6"/>
      <c r="B1078" s="13"/>
      <c r="C1078" s="81"/>
      <c r="D1078" s="4"/>
      <c r="E1078" s="8"/>
      <c r="F1078" s="17"/>
      <c r="G1078" s="17"/>
      <c r="H1078" s="17"/>
      <c r="I1078" s="17"/>
      <c r="J1078" s="17"/>
      <c r="K1078" s="17"/>
      <c r="L1078" s="17"/>
      <c r="M1078" s="17"/>
      <c r="N1078" s="17"/>
      <c r="O1078" s="17"/>
      <c r="P1078" s="17"/>
      <c r="Q1078" s="17"/>
      <c r="R1078" s="1"/>
      <c r="S1078" s="1"/>
    </row>
    <row r="1079" spans="1:19" x14ac:dyDescent="0.35">
      <c r="A1079" s="6"/>
      <c r="B1079" s="13"/>
      <c r="C1079" s="81"/>
      <c r="D1079" s="4"/>
      <c r="E1079" s="8"/>
      <c r="F1079" s="17"/>
      <c r="G1079" s="17"/>
      <c r="H1079" s="17"/>
      <c r="I1079" s="17"/>
      <c r="J1079" s="17"/>
      <c r="K1079" s="17"/>
      <c r="L1079" s="17"/>
      <c r="M1079" s="17"/>
      <c r="N1079" s="17"/>
      <c r="O1079" s="17"/>
      <c r="P1079" s="17"/>
      <c r="Q1079" s="17"/>
      <c r="R1079" s="1"/>
      <c r="S1079" s="1"/>
    </row>
    <row r="1080" spans="1:19" x14ac:dyDescent="0.35">
      <c r="A1080" s="6"/>
      <c r="B1080" s="13"/>
      <c r="C1080" s="81"/>
      <c r="D1080" s="4"/>
      <c r="E1080" s="8"/>
      <c r="F1080" s="17"/>
      <c r="G1080" s="17"/>
      <c r="H1080" s="17"/>
      <c r="I1080" s="17"/>
      <c r="J1080" s="17"/>
      <c r="K1080" s="17"/>
      <c r="L1080" s="17"/>
      <c r="M1080" s="17"/>
      <c r="N1080" s="17"/>
      <c r="O1080" s="17"/>
      <c r="P1080" s="17"/>
      <c r="Q1080" s="17"/>
      <c r="R1080" s="1"/>
      <c r="S1080" s="1"/>
    </row>
    <row r="1081" spans="1:19" x14ac:dyDescent="0.35">
      <c r="A1081" s="6"/>
      <c r="B1081" s="13"/>
      <c r="C1081" s="81"/>
      <c r="D1081" s="4"/>
      <c r="E1081" s="8"/>
      <c r="F1081" s="17"/>
      <c r="G1081" s="17"/>
      <c r="H1081" s="17"/>
      <c r="I1081" s="17"/>
      <c r="J1081" s="17"/>
      <c r="K1081" s="17"/>
      <c r="L1081" s="17"/>
      <c r="M1081" s="17"/>
      <c r="N1081" s="17"/>
      <c r="O1081" s="17"/>
      <c r="P1081" s="17"/>
      <c r="Q1081" s="17"/>
      <c r="R1081" s="1"/>
      <c r="S1081" s="1"/>
    </row>
    <row r="1082" spans="1:19" x14ac:dyDescent="0.35">
      <c r="A1082" s="6"/>
      <c r="B1082" s="13"/>
      <c r="C1082" s="81"/>
      <c r="D1082" s="4"/>
      <c r="E1082" s="8"/>
      <c r="F1082" s="17"/>
      <c r="G1082" s="17"/>
      <c r="H1082" s="17"/>
      <c r="I1082" s="17"/>
      <c r="J1082" s="17"/>
      <c r="K1082" s="17"/>
      <c r="L1082" s="17"/>
      <c r="M1082" s="17"/>
      <c r="N1082" s="17"/>
      <c r="O1082" s="17"/>
      <c r="P1082" s="17"/>
      <c r="Q1082" s="17"/>
      <c r="R1082" s="1"/>
      <c r="S1082" s="1"/>
    </row>
    <row r="1083" spans="1:19" x14ac:dyDescent="0.35">
      <c r="A1083" s="6"/>
      <c r="B1083" s="13"/>
      <c r="C1083" s="81"/>
      <c r="D1083" s="4"/>
      <c r="E1083" s="8"/>
      <c r="F1083" s="17"/>
      <c r="G1083" s="17"/>
      <c r="H1083" s="17"/>
      <c r="I1083" s="17"/>
      <c r="J1083" s="17"/>
      <c r="K1083" s="17"/>
      <c r="L1083" s="17"/>
      <c r="M1083" s="17"/>
      <c r="N1083" s="17"/>
      <c r="O1083" s="17"/>
      <c r="P1083" s="17"/>
      <c r="Q1083" s="17"/>
      <c r="R1083" s="1"/>
      <c r="S1083" s="1"/>
    </row>
    <row r="1084" spans="1:19" x14ac:dyDescent="0.35">
      <c r="A1084" s="6"/>
      <c r="B1084" s="13"/>
      <c r="C1084" s="81"/>
      <c r="D1084" s="4"/>
      <c r="E1084" s="8"/>
      <c r="F1084" s="17"/>
      <c r="G1084" s="17"/>
      <c r="H1084" s="17"/>
      <c r="I1084" s="17"/>
      <c r="J1084" s="17"/>
      <c r="K1084" s="17"/>
      <c r="L1084" s="17"/>
      <c r="M1084" s="17"/>
      <c r="N1084" s="17"/>
      <c r="O1084" s="17"/>
      <c r="P1084" s="17"/>
      <c r="Q1084" s="17"/>
      <c r="R1084" s="1"/>
      <c r="S1084" s="1"/>
    </row>
    <row r="1085" spans="1:19" x14ac:dyDescent="0.35">
      <c r="A1085" s="6"/>
      <c r="B1085" s="13"/>
      <c r="C1085" s="81"/>
      <c r="D1085" s="4"/>
      <c r="E1085" s="8"/>
      <c r="F1085" s="17"/>
      <c r="G1085" s="17"/>
      <c r="H1085" s="17"/>
      <c r="I1085" s="17"/>
      <c r="J1085" s="17"/>
      <c r="K1085" s="17"/>
      <c r="L1085" s="17"/>
      <c r="M1085" s="17"/>
      <c r="N1085" s="17"/>
      <c r="O1085" s="17"/>
      <c r="P1085" s="17"/>
      <c r="Q1085" s="17"/>
      <c r="R1085" s="1"/>
      <c r="S1085" s="1"/>
    </row>
    <row r="1086" spans="1:19" x14ac:dyDescent="0.35">
      <c r="A1086" s="6"/>
      <c r="B1086" s="13"/>
      <c r="C1086" s="81"/>
      <c r="D1086" s="4"/>
      <c r="E1086" s="8"/>
      <c r="F1086" s="17"/>
      <c r="G1086" s="17"/>
      <c r="H1086" s="17"/>
      <c r="I1086" s="17"/>
      <c r="J1086" s="17"/>
      <c r="K1086" s="17"/>
      <c r="L1086" s="17"/>
      <c r="M1086" s="17"/>
      <c r="N1086" s="17"/>
      <c r="O1086" s="17"/>
      <c r="P1086" s="17"/>
      <c r="Q1086" s="17"/>
      <c r="R1086" s="1"/>
      <c r="S1086" s="1"/>
    </row>
    <row r="1087" spans="1:19" x14ac:dyDescent="0.35">
      <c r="A1087" s="6"/>
      <c r="B1087" s="13"/>
      <c r="C1087" s="81"/>
      <c r="D1087" s="4"/>
      <c r="E1087" s="8"/>
      <c r="F1087" s="17"/>
      <c r="G1087" s="17"/>
      <c r="H1087" s="17"/>
      <c r="I1087" s="17"/>
      <c r="J1087" s="17"/>
      <c r="K1087" s="17"/>
      <c r="L1087" s="17"/>
      <c r="M1087" s="17"/>
      <c r="N1087" s="17"/>
      <c r="O1087" s="17"/>
      <c r="P1087" s="17"/>
      <c r="Q1087" s="17"/>
      <c r="R1087" s="1"/>
      <c r="S1087" s="1"/>
    </row>
    <row r="1088" spans="1:19" x14ac:dyDescent="0.35">
      <c r="A1088" s="6"/>
      <c r="B1088" s="13"/>
      <c r="C1088" s="81"/>
      <c r="D1088" s="4"/>
      <c r="E1088" s="8"/>
      <c r="F1088" s="17"/>
      <c r="G1088" s="17"/>
      <c r="H1088" s="17"/>
      <c r="I1088" s="17"/>
      <c r="J1088" s="17"/>
      <c r="K1088" s="17"/>
      <c r="L1088" s="17"/>
      <c r="M1088" s="17"/>
      <c r="N1088" s="17"/>
      <c r="O1088" s="17"/>
      <c r="P1088" s="17"/>
      <c r="Q1088" s="17"/>
      <c r="R1088" s="1"/>
      <c r="S1088" s="1"/>
    </row>
    <row r="1089" spans="1:19" x14ac:dyDescent="0.35">
      <c r="A1089" s="6"/>
      <c r="B1089" s="13"/>
      <c r="C1089" s="81"/>
      <c r="D1089" s="4"/>
      <c r="E1089" s="8"/>
      <c r="F1089" s="17"/>
      <c r="G1089" s="17"/>
      <c r="H1089" s="17"/>
      <c r="I1089" s="17"/>
      <c r="J1089" s="17"/>
      <c r="K1089" s="17"/>
      <c r="L1089" s="17"/>
      <c r="M1089" s="17"/>
      <c r="N1089" s="17"/>
      <c r="O1089" s="17"/>
      <c r="P1089" s="17"/>
      <c r="Q1089" s="17"/>
      <c r="R1089" s="1"/>
      <c r="S1089" s="1"/>
    </row>
    <row r="1090" spans="1:19" x14ac:dyDescent="0.35">
      <c r="A1090" s="6"/>
      <c r="B1090" s="13"/>
      <c r="C1090" s="81"/>
      <c r="D1090" s="4"/>
      <c r="E1090" s="8"/>
      <c r="F1090" s="17"/>
      <c r="G1090" s="17"/>
      <c r="H1090" s="17"/>
      <c r="I1090" s="17"/>
      <c r="J1090" s="17"/>
      <c r="K1090" s="17"/>
      <c r="L1090" s="17"/>
      <c r="M1090" s="17"/>
      <c r="N1090" s="17"/>
      <c r="O1090" s="17"/>
      <c r="P1090" s="17"/>
      <c r="Q1090" s="17"/>
      <c r="R1090" s="1"/>
      <c r="S1090" s="1"/>
    </row>
    <row r="1091" spans="1:19" x14ac:dyDescent="0.35">
      <c r="A1091" s="6"/>
      <c r="B1091" s="13"/>
      <c r="C1091" s="81"/>
      <c r="D1091" s="4"/>
      <c r="E1091" s="8"/>
      <c r="F1091" s="17"/>
      <c r="G1091" s="17"/>
      <c r="H1091" s="17"/>
      <c r="I1091" s="17"/>
      <c r="J1091" s="17"/>
      <c r="K1091" s="17"/>
      <c r="L1091" s="17"/>
      <c r="M1091" s="17"/>
      <c r="N1091" s="17"/>
      <c r="O1091" s="17"/>
      <c r="P1091" s="17"/>
      <c r="Q1091" s="17"/>
      <c r="R1091" s="1"/>
      <c r="S1091" s="1"/>
    </row>
    <row r="1092" spans="1:19" x14ac:dyDescent="0.35">
      <c r="A1092" s="6"/>
      <c r="B1092" s="13"/>
      <c r="C1092" s="81"/>
      <c r="D1092" s="4"/>
      <c r="E1092" s="8"/>
      <c r="F1092" s="17"/>
      <c r="G1092" s="17"/>
      <c r="H1092" s="17"/>
      <c r="I1092" s="17"/>
      <c r="J1092" s="17"/>
      <c r="K1092" s="17"/>
      <c r="L1092" s="17"/>
      <c r="M1092" s="17"/>
      <c r="N1092" s="17"/>
      <c r="O1092" s="17"/>
      <c r="P1092" s="17"/>
      <c r="Q1092" s="17"/>
      <c r="R1092" s="1"/>
      <c r="S1092" s="1"/>
    </row>
    <row r="1093" spans="1:19" x14ac:dyDescent="0.35">
      <c r="A1093" s="6"/>
      <c r="B1093" s="13"/>
      <c r="C1093" s="81"/>
      <c r="D1093" s="4"/>
      <c r="E1093" s="8"/>
      <c r="F1093" s="17"/>
      <c r="G1093" s="17"/>
      <c r="H1093" s="17"/>
      <c r="I1093" s="17"/>
      <c r="J1093" s="17"/>
      <c r="K1093" s="17"/>
      <c r="L1093" s="17"/>
      <c r="M1093" s="17"/>
      <c r="N1093" s="17"/>
      <c r="O1093" s="17"/>
      <c r="P1093" s="17"/>
      <c r="Q1093" s="17"/>
      <c r="R1093" s="1"/>
      <c r="S1093" s="1"/>
    </row>
    <row r="1094" spans="1:19" x14ac:dyDescent="0.35">
      <c r="A1094" s="6"/>
      <c r="B1094" s="13"/>
      <c r="C1094" s="81"/>
      <c r="D1094" s="4"/>
      <c r="E1094" s="8"/>
      <c r="F1094" s="17"/>
      <c r="G1094" s="17"/>
      <c r="H1094" s="17"/>
      <c r="I1094" s="17"/>
      <c r="J1094" s="17"/>
      <c r="K1094" s="17"/>
      <c r="L1094" s="17"/>
      <c r="M1094" s="17"/>
      <c r="N1094" s="17"/>
      <c r="O1094" s="17"/>
      <c r="P1094" s="17"/>
      <c r="Q1094" s="17"/>
      <c r="R1094" s="1"/>
      <c r="S1094" s="1"/>
    </row>
    <row r="1095" spans="1:19" x14ac:dyDescent="0.35">
      <c r="A1095" s="6"/>
      <c r="B1095" s="13"/>
      <c r="C1095" s="81"/>
      <c r="D1095" s="4"/>
      <c r="E1095" s="8"/>
      <c r="F1095" s="17"/>
      <c r="G1095" s="17"/>
      <c r="H1095" s="17"/>
      <c r="I1095" s="17"/>
      <c r="J1095" s="17"/>
      <c r="K1095" s="17"/>
      <c r="L1095" s="17"/>
      <c r="M1095" s="17"/>
      <c r="N1095" s="17"/>
      <c r="O1095" s="17"/>
      <c r="P1095" s="17"/>
      <c r="Q1095" s="17"/>
      <c r="R1095" s="1"/>
      <c r="S1095" s="1"/>
    </row>
    <row r="1096" spans="1:19" x14ac:dyDescent="0.35">
      <c r="A1096" s="6"/>
      <c r="B1096" s="13"/>
      <c r="C1096" s="81"/>
      <c r="D1096" s="4"/>
      <c r="E1096" s="8"/>
      <c r="F1096" s="17"/>
      <c r="G1096" s="17"/>
      <c r="H1096" s="17"/>
      <c r="I1096" s="17"/>
      <c r="J1096" s="17"/>
      <c r="K1096" s="17"/>
      <c r="L1096" s="17"/>
      <c r="M1096" s="17"/>
      <c r="N1096" s="17"/>
      <c r="O1096" s="17"/>
      <c r="P1096" s="17"/>
      <c r="Q1096" s="17"/>
      <c r="R1096" s="1"/>
      <c r="S1096" s="1"/>
    </row>
    <row r="1097" spans="1:19" x14ac:dyDescent="0.35">
      <c r="A1097" s="6"/>
      <c r="B1097" s="13"/>
      <c r="C1097" s="81"/>
      <c r="D1097" s="4"/>
      <c r="E1097" s="8"/>
      <c r="F1097" s="17"/>
      <c r="G1097" s="17"/>
      <c r="H1097" s="17"/>
      <c r="I1097" s="17"/>
      <c r="J1097" s="17"/>
      <c r="K1097" s="17"/>
      <c r="L1097" s="17"/>
      <c r="M1097" s="17"/>
      <c r="N1097" s="17"/>
      <c r="O1097" s="17"/>
      <c r="P1097" s="17"/>
      <c r="Q1097" s="17"/>
      <c r="R1097" s="1"/>
      <c r="S1097" s="1"/>
    </row>
    <row r="1098" spans="1:19" x14ac:dyDescent="0.35">
      <c r="A1098" s="6"/>
      <c r="B1098" s="13"/>
      <c r="C1098" s="81"/>
      <c r="D1098" s="4"/>
      <c r="E1098" s="8"/>
      <c r="F1098" s="17"/>
      <c r="G1098" s="17"/>
      <c r="H1098" s="17"/>
      <c r="I1098" s="17"/>
      <c r="J1098" s="17"/>
      <c r="K1098" s="17"/>
      <c r="L1098" s="17"/>
      <c r="M1098" s="17"/>
      <c r="N1098" s="17"/>
      <c r="O1098" s="17"/>
      <c r="P1098" s="17"/>
      <c r="Q1098" s="17"/>
      <c r="R1098" s="1"/>
      <c r="S1098" s="1"/>
    </row>
    <row r="1099" spans="1:19" x14ac:dyDescent="0.35">
      <c r="A1099" s="6"/>
      <c r="B1099" s="13"/>
      <c r="C1099" s="81"/>
      <c r="D1099" s="4"/>
      <c r="E1099" s="8"/>
      <c r="F1099" s="17"/>
      <c r="G1099" s="17"/>
      <c r="H1099" s="17"/>
      <c r="I1099" s="17"/>
      <c r="J1099" s="17"/>
      <c r="K1099" s="17"/>
      <c r="L1099" s="17"/>
      <c r="M1099" s="17"/>
      <c r="N1099" s="17"/>
      <c r="O1099" s="17"/>
      <c r="P1099" s="17"/>
      <c r="Q1099" s="17"/>
      <c r="R1099" s="1"/>
      <c r="S1099" s="1"/>
    </row>
    <row r="1100" spans="1:19" x14ac:dyDescent="0.35">
      <c r="A1100" s="6"/>
      <c r="B1100" s="13"/>
      <c r="C1100" s="81"/>
      <c r="D1100" s="4"/>
      <c r="E1100" s="8"/>
      <c r="F1100" s="17"/>
      <c r="G1100" s="17"/>
      <c r="H1100" s="17"/>
      <c r="I1100" s="17"/>
      <c r="J1100" s="17"/>
      <c r="K1100" s="17"/>
      <c r="L1100" s="17"/>
      <c r="M1100" s="17"/>
      <c r="N1100" s="17"/>
      <c r="O1100" s="17"/>
      <c r="P1100" s="17"/>
      <c r="Q1100" s="17"/>
      <c r="R1100" s="1"/>
      <c r="S1100" s="1"/>
    </row>
    <row r="1101" spans="1:19" x14ac:dyDescent="0.35">
      <c r="A1101" s="6"/>
      <c r="B1101" s="13"/>
      <c r="C1101" s="81"/>
      <c r="D1101" s="4"/>
      <c r="E1101" s="8"/>
      <c r="F1101" s="17"/>
      <c r="G1101" s="17"/>
      <c r="H1101" s="17"/>
      <c r="I1101" s="17"/>
      <c r="J1101" s="17"/>
      <c r="K1101" s="17"/>
      <c r="L1101" s="17"/>
      <c r="M1101" s="17"/>
      <c r="N1101" s="17"/>
      <c r="O1101" s="17"/>
      <c r="P1101" s="17"/>
      <c r="Q1101" s="17"/>
      <c r="R1101" s="1"/>
      <c r="S1101" s="1"/>
    </row>
    <row r="1102" spans="1:19" x14ac:dyDescent="0.35">
      <c r="A1102" s="6"/>
      <c r="B1102" s="13"/>
      <c r="C1102" s="81"/>
      <c r="D1102" s="4"/>
      <c r="E1102" s="8"/>
      <c r="F1102" s="17"/>
      <c r="G1102" s="17"/>
      <c r="H1102" s="17"/>
      <c r="I1102" s="17"/>
      <c r="J1102" s="17"/>
      <c r="K1102" s="17"/>
      <c r="L1102" s="17"/>
      <c r="M1102" s="17"/>
      <c r="N1102" s="17"/>
      <c r="O1102" s="17"/>
      <c r="P1102" s="17"/>
      <c r="Q1102" s="17"/>
      <c r="R1102" s="1"/>
      <c r="S1102" s="1"/>
    </row>
    <row r="1103" spans="1:19" x14ac:dyDescent="0.35">
      <c r="A1103" s="6"/>
      <c r="B1103" s="13"/>
      <c r="C1103" s="81"/>
      <c r="D1103" s="4"/>
      <c r="E1103" s="8"/>
      <c r="F1103" s="17"/>
      <c r="G1103" s="17"/>
      <c r="H1103" s="17"/>
      <c r="I1103" s="17"/>
      <c r="J1103" s="17"/>
      <c r="K1103" s="17"/>
      <c r="L1103" s="17"/>
      <c r="M1103" s="17"/>
      <c r="N1103" s="17"/>
      <c r="O1103" s="17"/>
      <c r="P1103" s="17"/>
      <c r="Q1103" s="17"/>
      <c r="R1103" s="1"/>
      <c r="S1103" s="1"/>
    </row>
    <row r="1104" spans="1:19" x14ac:dyDescent="0.35">
      <c r="A1104" s="6"/>
      <c r="B1104" s="13"/>
      <c r="C1104" s="81"/>
      <c r="D1104" s="4"/>
      <c r="E1104" s="8"/>
      <c r="F1104" s="17"/>
      <c r="G1104" s="17"/>
      <c r="H1104" s="17"/>
      <c r="I1104" s="17"/>
      <c r="J1104" s="17"/>
      <c r="K1104" s="17"/>
      <c r="L1104" s="17"/>
      <c r="M1104" s="17"/>
      <c r="N1104" s="17"/>
      <c r="O1104" s="17"/>
      <c r="P1104" s="17"/>
      <c r="Q1104" s="17"/>
      <c r="R1104" s="1"/>
      <c r="S1104" s="1"/>
    </row>
    <row r="1105" spans="1:19" x14ac:dyDescent="0.35">
      <c r="A1105" s="6"/>
      <c r="B1105" s="13"/>
      <c r="C1105" s="81"/>
      <c r="D1105" s="4"/>
      <c r="E1105" s="8"/>
      <c r="F1105" s="17"/>
      <c r="G1105" s="17"/>
      <c r="H1105" s="17"/>
      <c r="I1105" s="17"/>
      <c r="J1105" s="17"/>
      <c r="K1105" s="17"/>
      <c r="L1105" s="17"/>
      <c r="M1105" s="17"/>
      <c r="N1105" s="17"/>
      <c r="O1105" s="17"/>
      <c r="P1105" s="17"/>
      <c r="Q1105" s="17"/>
      <c r="R1105" s="1"/>
      <c r="S1105" s="1"/>
    </row>
    <row r="1106" spans="1:19" x14ac:dyDescent="0.35">
      <c r="A1106" s="6"/>
      <c r="B1106" s="13"/>
      <c r="C1106" s="81"/>
      <c r="D1106" s="4"/>
      <c r="E1106" s="8"/>
      <c r="F1106" s="17"/>
      <c r="G1106" s="17"/>
      <c r="H1106" s="17"/>
      <c r="I1106" s="17"/>
      <c r="J1106" s="17"/>
      <c r="K1106" s="17"/>
      <c r="L1106" s="17"/>
      <c r="M1106" s="17"/>
      <c r="N1106" s="17"/>
      <c r="O1106" s="17"/>
      <c r="P1106" s="17"/>
      <c r="Q1106" s="17"/>
      <c r="R1106" s="1"/>
      <c r="S1106" s="1"/>
    </row>
    <row r="1107" spans="1:19" x14ac:dyDescent="0.35">
      <c r="A1107" s="6"/>
      <c r="B1107" s="13"/>
      <c r="C1107" s="81"/>
      <c r="D1107" s="4"/>
      <c r="E1107" s="8"/>
      <c r="F1107" s="17"/>
      <c r="G1107" s="17"/>
      <c r="H1107" s="17"/>
      <c r="I1107" s="17"/>
      <c r="J1107" s="17"/>
      <c r="K1107" s="17"/>
      <c r="L1107" s="17"/>
      <c r="M1107" s="17"/>
      <c r="N1107" s="17"/>
      <c r="O1107" s="17"/>
      <c r="P1107" s="17"/>
      <c r="Q1107" s="17"/>
      <c r="R1107" s="1"/>
      <c r="S1107" s="1"/>
    </row>
    <row r="1108" spans="1:19" x14ac:dyDescent="0.35">
      <c r="A1108" s="6"/>
      <c r="B1108" s="13"/>
      <c r="C1108" s="81"/>
      <c r="D1108" s="4"/>
      <c r="E1108" s="8"/>
      <c r="F1108" s="17"/>
      <c r="G1108" s="17"/>
      <c r="H1108" s="17"/>
      <c r="I1108" s="17"/>
      <c r="J1108" s="17"/>
      <c r="K1108" s="17"/>
      <c r="L1108" s="17"/>
      <c r="M1108" s="17"/>
      <c r="N1108" s="17"/>
      <c r="O1108" s="17"/>
      <c r="P1108" s="17"/>
      <c r="Q1108" s="17"/>
      <c r="R1108" s="1"/>
      <c r="S1108" s="1"/>
    </row>
    <row r="1109" spans="1:19" x14ac:dyDescent="0.35">
      <c r="A1109" s="6"/>
      <c r="B1109" s="13"/>
      <c r="C1109" s="81"/>
      <c r="D1109" s="4"/>
      <c r="E1109" s="8"/>
      <c r="F1109" s="17"/>
      <c r="G1109" s="17"/>
      <c r="H1109" s="17"/>
      <c r="I1109" s="17"/>
      <c r="J1109" s="17"/>
      <c r="K1109" s="17"/>
      <c r="L1109" s="17"/>
      <c r="M1109" s="17"/>
      <c r="N1109" s="17"/>
      <c r="O1109" s="17"/>
      <c r="P1109" s="17"/>
      <c r="Q1109" s="17"/>
      <c r="R1109" s="1"/>
      <c r="S1109" s="1"/>
    </row>
    <row r="1110" spans="1:19" x14ac:dyDescent="0.35">
      <c r="A1110" s="6"/>
      <c r="B1110" s="13"/>
      <c r="C1110" s="81"/>
      <c r="D1110" s="4"/>
      <c r="E1110" s="8"/>
      <c r="F1110" s="17"/>
      <c r="G1110" s="17"/>
      <c r="H1110" s="17"/>
      <c r="I1110" s="17"/>
      <c r="J1110" s="17"/>
      <c r="K1110" s="17"/>
      <c r="L1110" s="17"/>
      <c r="M1110" s="17"/>
      <c r="N1110" s="17"/>
      <c r="O1110" s="17"/>
      <c r="P1110" s="17"/>
      <c r="Q1110" s="17"/>
      <c r="R1110" s="1"/>
      <c r="S1110" s="1"/>
    </row>
    <row r="1111" spans="1:19" x14ac:dyDescent="0.35">
      <c r="A1111" s="6"/>
      <c r="B1111" s="13"/>
      <c r="C1111" s="81"/>
      <c r="D1111" s="4"/>
      <c r="E1111" s="8"/>
      <c r="F1111" s="17"/>
      <c r="G1111" s="17"/>
      <c r="H1111" s="17"/>
      <c r="I1111" s="17"/>
      <c r="J1111" s="17"/>
      <c r="K1111" s="17"/>
      <c r="L1111" s="17"/>
      <c r="M1111" s="17"/>
      <c r="N1111" s="17"/>
      <c r="O1111" s="17"/>
      <c r="P1111" s="17"/>
      <c r="Q1111" s="17"/>
      <c r="R1111" s="1"/>
      <c r="S1111" s="1"/>
    </row>
    <row r="1112" spans="1:19" x14ac:dyDescent="0.35">
      <c r="A1112" s="6"/>
      <c r="B1112" s="13"/>
      <c r="C1112" s="81"/>
      <c r="D1112" s="4"/>
      <c r="E1112" s="8"/>
      <c r="F1112" s="17"/>
      <c r="G1112" s="17"/>
      <c r="H1112" s="17"/>
      <c r="I1112" s="17"/>
      <c r="J1112" s="17"/>
      <c r="K1112" s="17"/>
      <c r="L1112" s="17"/>
      <c r="M1112" s="17"/>
      <c r="N1112" s="17"/>
      <c r="O1112" s="17"/>
      <c r="P1112" s="17"/>
      <c r="Q1112" s="17"/>
      <c r="R1112" s="1"/>
      <c r="S1112" s="1"/>
    </row>
    <row r="1113" spans="1:19" x14ac:dyDescent="0.35">
      <c r="A1113" s="6"/>
      <c r="B1113" s="13"/>
      <c r="C1113" s="81"/>
      <c r="D1113" s="4"/>
      <c r="E1113" s="8"/>
      <c r="F1113" s="17"/>
      <c r="G1113" s="17"/>
      <c r="H1113" s="17"/>
      <c r="I1113" s="17"/>
      <c r="J1113" s="17"/>
      <c r="K1113" s="17"/>
      <c r="L1113" s="17"/>
      <c r="M1113" s="17"/>
      <c r="N1113" s="17"/>
      <c r="O1113" s="17"/>
      <c r="P1113" s="17"/>
      <c r="Q1113" s="17"/>
      <c r="R1113" s="1"/>
      <c r="S1113" s="1"/>
    </row>
    <row r="1114" spans="1:19" x14ac:dyDescent="0.35">
      <c r="A1114" s="6"/>
      <c r="B1114" s="13"/>
      <c r="C1114" s="81"/>
      <c r="D1114" s="4"/>
      <c r="E1114" s="8"/>
      <c r="F1114" s="17"/>
      <c r="G1114" s="17"/>
      <c r="H1114" s="17"/>
      <c r="I1114" s="17"/>
      <c r="J1114" s="17"/>
      <c r="K1114" s="17"/>
      <c r="L1114" s="17"/>
      <c r="M1114" s="17"/>
      <c r="N1114" s="17"/>
      <c r="O1114" s="17"/>
      <c r="P1114" s="17"/>
      <c r="Q1114" s="17"/>
      <c r="R1114" s="1"/>
      <c r="S1114" s="1"/>
    </row>
    <row r="1115" spans="1:19" x14ac:dyDescent="0.35">
      <c r="A1115" s="6"/>
      <c r="B1115" s="13"/>
      <c r="C1115" s="81"/>
      <c r="D1115" s="4"/>
      <c r="E1115" s="8"/>
      <c r="F1115" s="17"/>
      <c r="G1115" s="17"/>
      <c r="H1115" s="17"/>
      <c r="I1115" s="17"/>
      <c r="J1115" s="17"/>
      <c r="K1115" s="17"/>
      <c r="L1115" s="17"/>
      <c r="M1115" s="17"/>
      <c r="N1115" s="17"/>
      <c r="O1115" s="17"/>
      <c r="P1115" s="17"/>
      <c r="Q1115" s="17"/>
      <c r="R1115" s="1"/>
      <c r="S1115" s="1"/>
    </row>
    <row r="1116" spans="1:19" x14ac:dyDescent="0.35">
      <c r="A1116" s="6"/>
      <c r="B1116" s="13"/>
      <c r="C1116" s="81"/>
      <c r="D1116" s="4"/>
      <c r="E1116" s="8"/>
      <c r="F1116" s="17"/>
      <c r="G1116" s="17"/>
      <c r="H1116" s="17"/>
      <c r="I1116" s="17"/>
      <c r="J1116" s="17"/>
      <c r="K1116" s="17"/>
      <c r="L1116" s="17"/>
      <c r="M1116" s="17"/>
      <c r="N1116" s="17"/>
      <c r="O1116" s="17"/>
      <c r="P1116" s="17"/>
      <c r="Q1116" s="17"/>
      <c r="R1116" s="1"/>
      <c r="S1116" s="1"/>
    </row>
    <row r="1117" spans="1:19" x14ac:dyDescent="0.35">
      <c r="A1117" s="6"/>
      <c r="B1117" s="13"/>
      <c r="C1117" s="81"/>
      <c r="D1117" s="4"/>
      <c r="E1117" s="8"/>
      <c r="F1117" s="17"/>
      <c r="G1117" s="17"/>
      <c r="H1117" s="17"/>
      <c r="I1117" s="17"/>
      <c r="J1117" s="17"/>
      <c r="K1117" s="17"/>
      <c r="L1117" s="17"/>
      <c r="M1117" s="17"/>
      <c r="N1117" s="17"/>
      <c r="O1117" s="17"/>
      <c r="P1117" s="17"/>
      <c r="Q1117" s="17"/>
      <c r="R1117" s="1"/>
      <c r="S1117" s="1"/>
    </row>
    <row r="1118" spans="1:19" x14ac:dyDescent="0.35">
      <c r="A1118" s="6"/>
      <c r="B1118" s="13"/>
      <c r="C1118" s="81"/>
      <c r="D1118" s="4"/>
      <c r="E1118" s="8"/>
      <c r="F1118" s="17"/>
      <c r="G1118" s="17"/>
      <c r="H1118" s="17"/>
      <c r="I1118" s="17"/>
      <c r="J1118" s="17"/>
      <c r="K1118" s="17"/>
      <c r="L1118" s="17"/>
      <c r="M1118" s="17"/>
      <c r="N1118" s="17"/>
      <c r="O1118" s="17"/>
      <c r="P1118" s="17"/>
      <c r="Q1118" s="17"/>
      <c r="R1118" s="1"/>
      <c r="S1118" s="1"/>
    </row>
    <row r="1119" spans="1:19" x14ac:dyDescent="0.35">
      <c r="A1119" s="6"/>
      <c r="B1119" s="13"/>
      <c r="C1119" s="81"/>
      <c r="D1119" s="4"/>
      <c r="E1119" s="8"/>
      <c r="F1119" s="17"/>
      <c r="G1119" s="17"/>
      <c r="H1119" s="17"/>
      <c r="I1119" s="17"/>
      <c r="J1119" s="17"/>
      <c r="K1119" s="17"/>
      <c r="L1119" s="17"/>
      <c r="M1119" s="17"/>
      <c r="N1119" s="17"/>
      <c r="O1119" s="17"/>
      <c r="P1119" s="17"/>
      <c r="Q1119" s="17"/>
      <c r="R1119" s="1"/>
      <c r="S1119" s="1"/>
    </row>
    <row r="1120" spans="1:19" x14ac:dyDescent="0.35">
      <c r="A1120" s="6"/>
      <c r="B1120" s="13"/>
      <c r="C1120" s="81"/>
      <c r="D1120" s="4"/>
      <c r="E1120" s="8"/>
      <c r="F1120" s="17"/>
      <c r="G1120" s="17"/>
      <c r="H1120" s="17"/>
      <c r="I1120" s="17"/>
      <c r="J1120" s="17"/>
      <c r="K1120" s="17"/>
      <c r="L1120" s="17"/>
      <c r="M1120" s="17"/>
      <c r="N1120" s="17"/>
      <c r="O1120" s="17"/>
      <c r="P1120" s="17"/>
      <c r="Q1120" s="17"/>
      <c r="R1120" s="1"/>
      <c r="S1120" s="1"/>
    </row>
    <row r="1121" spans="1:19" x14ac:dyDescent="0.35">
      <c r="A1121" s="6"/>
      <c r="B1121" s="13"/>
      <c r="C1121" s="81"/>
      <c r="D1121" s="4"/>
      <c r="E1121" s="8"/>
      <c r="F1121" s="17"/>
      <c r="G1121" s="17"/>
      <c r="H1121" s="17"/>
      <c r="I1121" s="17"/>
      <c r="J1121" s="17"/>
      <c r="K1121" s="17"/>
      <c r="L1121" s="17"/>
      <c r="M1121" s="17"/>
      <c r="N1121" s="17"/>
      <c r="O1121" s="17"/>
      <c r="P1121" s="17"/>
      <c r="Q1121" s="17"/>
      <c r="R1121" s="1"/>
      <c r="S1121" s="1"/>
    </row>
    <row r="1122" spans="1:19" x14ac:dyDescent="0.35">
      <c r="A1122" s="6"/>
      <c r="B1122" s="13"/>
      <c r="C1122" s="81"/>
      <c r="D1122" s="4"/>
      <c r="E1122" s="8"/>
      <c r="F1122" s="17"/>
      <c r="G1122" s="17"/>
      <c r="H1122" s="17"/>
      <c r="I1122" s="17"/>
      <c r="J1122" s="17"/>
      <c r="K1122" s="17"/>
      <c r="L1122" s="17"/>
      <c r="M1122" s="17"/>
      <c r="N1122" s="17"/>
      <c r="O1122" s="17"/>
      <c r="P1122" s="17"/>
      <c r="Q1122" s="17"/>
      <c r="R1122" s="1"/>
      <c r="S1122" s="1"/>
    </row>
    <row r="1123" spans="1:19" x14ac:dyDescent="0.35">
      <c r="A1123" s="6"/>
      <c r="B1123" s="13"/>
      <c r="C1123" s="81"/>
      <c r="D1123" s="4"/>
      <c r="E1123" s="8"/>
      <c r="F1123" s="17"/>
      <c r="G1123" s="17"/>
      <c r="H1123" s="17"/>
      <c r="I1123" s="17"/>
      <c r="J1123" s="17"/>
      <c r="K1123" s="17"/>
      <c r="L1123" s="17"/>
      <c r="M1123" s="17"/>
      <c r="N1123" s="17"/>
      <c r="O1123" s="17"/>
      <c r="P1123" s="17"/>
      <c r="Q1123" s="17"/>
      <c r="R1123" s="1"/>
      <c r="S1123" s="1"/>
    </row>
    <row r="1124" spans="1:19" x14ac:dyDescent="0.35">
      <c r="A1124" s="6"/>
      <c r="B1124" s="13"/>
      <c r="C1124" s="81"/>
      <c r="D1124" s="4"/>
      <c r="E1124" s="8"/>
      <c r="F1124" s="17"/>
      <c r="G1124" s="17"/>
      <c r="H1124" s="17"/>
      <c r="I1124" s="17"/>
      <c r="J1124" s="17"/>
      <c r="K1124" s="17"/>
      <c r="L1124" s="17"/>
      <c r="M1124" s="17"/>
      <c r="N1124" s="17"/>
      <c r="O1124" s="17"/>
      <c r="P1124" s="17"/>
      <c r="Q1124" s="17"/>
      <c r="R1124" s="1"/>
      <c r="S1124" s="1"/>
    </row>
    <row r="1125" spans="1:19" x14ac:dyDescent="0.35">
      <c r="A1125" s="6"/>
      <c r="B1125" s="13"/>
      <c r="C1125" s="81"/>
      <c r="D1125" s="4"/>
      <c r="E1125" s="8"/>
      <c r="F1125" s="17"/>
      <c r="G1125" s="17"/>
      <c r="H1125" s="17"/>
      <c r="I1125" s="17"/>
      <c r="J1125" s="17"/>
      <c r="K1125" s="17"/>
      <c r="L1125" s="17"/>
      <c r="M1125" s="17"/>
      <c r="N1125" s="17"/>
      <c r="O1125" s="17"/>
      <c r="P1125" s="17"/>
      <c r="Q1125" s="17"/>
      <c r="R1125" s="1"/>
      <c r="S1125" s="1"/>
    </row>
    <row r="1126" spans="1:19" x14ac:dyDescent="0.35">
      <c r="A1126" s="6"/>
      <c r="B1126" s="13"/>
      <c r="C1126" s="81"/>
      <c r="D1126" s="4"/>
      <c r="E1126" s="8"/>
      <c r="F1126" s="17"/>
      <c r="G1126" s="17"/>
      <c r="H1126" s="17"/>
      <c r="I1126" s="17"/>
      <c r="J1126" s="17"/>
      <c r="K1126" s="17"/>
      <c r="L1126" s="17"/>
      <c r="M1126" s="17"/>
      <c r="N1126" s="17"/>
      <c r="O1126" s="17"/>
      <c r="P1126" s="17"/>
      <c r="Q1126" s="17"/>
      <c r="R1126" s="1"/>
      <c r="S1126" s="1"/>
    </row>
    <row r="1127" spans="1:19" x14ac:dyDescent="0.35">
      <c r="A1127" s="6"/>
      <c r="B1127" s="13"/>
      <c r="C1127" s="81"/>
      <c r="D1127" s="4"/>
      <c r="E1127" s="8"/>
      <c r="F1127" s="17"/>
      <c r="G1127" s="17"/>
      <c r="H1127" s="17"/>
      <c r="I1127" s="17"/>
      <c r="J1127" s="17"/>
      <c r="K1127" s="17"/>
      <c r="L1127" s="17"/>
      <c r="M1127" s="17"/>
      <c r="N1127" s="17"/>
      <c r="O1127" s="17"/>
      <c r="P1127" s="17"/>
      <c r="Q1127" s="17"/>
      <c r="R1127" s="1"/>
      <c r="S1127" s="1"/>
    </row>
    <row r="1128" spans="1:19" x14ac:dyDescent="0.35">
      <c r="A1128" s="6"/>
      <c r="B1128" s="13"/>
      <c r="C1128" s="81"/>
      <c r="D1128" s="4"/>
      <c r="E1128" s="8"/>
      <c r="F1128" s="17"/>
      <c r="G1128" s="17"/>
      <c r="H1128" s="17"/>
      <c r="I1128" s="17"/>
      <c r="J1128" s="17"/>
      <c r="K1128" s="17"/>
      <c r="L1128" s="17"/>
      <c r="M1128" s="17"/>
      <c r="N1128" s="17"/>
      <c r="O1128" s="17"/>
      <c r="P1128" s="17"/>
      <c r="Q1128" s="17"/>
      <c r="R1128" s="1"/>
      <c r="S1128" s="1"/>
    </row>
    <row r="1129" spans="1:19" x14ac:dyDescent="0.35">
      <c r="A1129" s="6"/>
      <c r="B1129" s="13"/>
      <c r="C1129" s="81"/>
      <c r="D1129" s="4"/>
      <c r="E1129" s="8"/>
      <c r="F1129" s="17"/>
      <c r="G1129" s="17"/>
      <c r="H1129" s="17"/>
      <c r="I1129" s="17"/>
      <c r="J1129" s="17"/>
      <c r="K1129" s="17"/>
      <c r="L1129" s="17"/>
      <c r="M1129" s="17"/>
      <c r="N1129" s="17"/>
      <c r="O1129" s="17"/>
      <c r="P1129" s="17"/>
      <c r="Q1129" s="17"/>
      <c r="R1129" s="1"/>
      <c r="S1129" s="1"/>
    </row>
    <row r="1130" spans="1:19" x14ac:dyDescent="0.35">
      <c r="A1130" s="6"/>
      <c r="B1130" s="13"/>
      <c r="C1130" s="81"/>
      <c r="D1130" s="4"/>
      <c r="E1130" s="8"/>
      <c r="F1130" s="17"/>
      <c r="G1130" s="17"/>
      <c r="H1130" s="17"/>
      <c r="I1130" s="17"/>
      <c r="J1130" s="17"/>
      <c r="K1130" s="17"/>
      <c r="L1130" s="17"/>
      <c r="M1130" s="17"/>
      <c r="N1130" s="17"/>
      <c r="O1130" s="17"/>
      <c r="P1130" s="17"/>
      <c r="Q1130" s="17"/>
      <c r="R1130" s="1"/>
      <c r="S1130" s="1"/>
    </row>
    <row r="1131" spans="1:19" x14ac:dyDescent="0.35">
      <c r="A1131" s="6"/>
      <c r="B1131" s="13"/>
      <c r="C1131" s="81"/>
      <c r="D1131" s="4"/>
      <c r="E1131" s="8"/>
      <c r="F1131" s="17"/>
      <c r="G1131" s="17"/>
      <c r="H1131" s="17"/>
      <c r="I1131" s="17"/>
      <c r="J1131" s="17"/>
      <c r="K1131" s="17"/>
      <c r="L1131" s="17"/>
      <c r="M1131" s="17"/>
      <c r="N1131" s="17"/>
      <c r="O1131" s="17"/>
      <c r="P1131" s="17"/>
      <c r="Q1131" s="17"/>
      <c r="R1131" s="1"/>
      <c r="S1131" s="1"/>
    </row>
    <row r="1132" spans="1:19" x14ac:dyDescent="0.35">
      <c r="A1132" s="6"/>
      <c r="B1132" s="13"/>
      <c r="C1132" s="81"/>
      <c r="D1132" s="4"/>
      <c r="E1132" s="8"/>
      <c r="F1132" s="17"/>
      <c r="G1132" s="17"/>
      <c r="H1132" s="17"/>
      <c r="I1132" s="17"/>
      <c r="J1132" s="17"/>
      <c r="K1132" s="17"/>
      <c r="L1132" s="17"/>
      <c r="M1132" s="17"/>
      <c r="N1132" s="17"/>
      <c r="O1132" s="17"/>
      <c r="P1132" s="17"/>
      <c r="Q1132" s="17"/>
      <c r="R1132" s="1"/>
      <c r="S1132" s="1"/>
    </row>
    <row r="1133" spans="1:19" x14ac:dyDescent="0.35">
      <c r="A1133" s="6"/>
      <c r="B1133" s="13"/>
      <c r="C1133" s="81"/>
      <c r="D1133" s="4"/>
      <c r="E1133" s="8"/>
      <c r="F1133" s="17"/>
      <c r="G1133" s="17"/>
      <c r="H1133" s="17"/>
      <c r="I1133" s="17"/>
      <c r="J1133" s="17"/>
      <c r="K1133" s="17"/>
      <c r="L1133" s="17"/>
      <c r="M1133" s="17"/>
      <c r="N1133" s="17"/>
      <c r="O1133" s="17"/>
      <c r="P1133" s="17"/>
      <c r="Q1133" s="17"/>
      <c r="R1133" s="1"/>
      <c r="S1133" s="1"/>
    </row>
    <row r="1134" spans="1:19" x14ac:dyDescent="0.35">
      <c r="A1134" s="6"/>
      <c r="B1134" s="13"/>
      <c r="C1134" s="81"/>
      <c r="D1134" s="4"/>
      <c r="E1134" s="8"/>
      <c r="F1134" s="17"/>
      <c r="G1134" s="17"/>
      <c r="H1134" s="17"/>
      <c r="I1134" s="17"/>
      <c r="J1134" s="17"/>
      <c r="K1134" s="17"/>
      <c r="L1134" s="17"/>
      <c r="M1134" s="17"/>
      <c r="N1134" s="17"/>
      <c r="O1134" s="17"/>
      <c r="P1134" s="17"/>
      <c r="Q1134" s="17"/>
      <c r="R1134" s="1"/>
      <c r="S1134" s="1"/>
    </row>
    <row r="1135" spans="1:19" x14ac:dyDescent="0.35">
      <c r="A1135" s="6"/>
      <c r="B1135" s="13"/>
      <c r="C1135" s="81"/>
      <c r="D1135" s="4"/>
      <c r="E1135" s="8"/>
      <c r="F1135" s="17"/>
      <c r="G1135" s="17"/>
      <c r="H1135" s="17"/>
      <c r="I1135" s="17"/>
      <c r="J1135" s="17"/>
      <c r="K1135" s="17"/>
      <c r="L1135" s="17"/>
      <c r="M1135" s="17"/>
      <c r="N1135" s="17"/>
      <c r="O1135" s="17"/>
      <c r="P1135" s="17"/>
      <c r="Q1135" s="17"/>
      <c r="R1135" s="1"/>
      <c r="S1135" s="1"/>
    </row>
    <row r="1136" spans="1:19" x14ac:dyDescent="0.35">
      <c r="A1136" s="6"/>
      <c r="B1136" s="13"/>
      <c r="C1136" s="81"/>
      <c r="D1136" s="4"/>
      <c r="E1136" s="8"/>
      <c r="F1136" s="17"/>
      <c r="G1136" s="17"/>
      <c r="H1136" s="17"/>
      <c r="I1136" s="17"/>
      <c r="J1136" s="17"/>
      <c r="K1136" s="17"/>
      <c r="L1136" s="17"/>
      <c r="M1136" s="17"/>
      <c r="N1136" s="17"/>
      <c r="O1136" s="17"/>
      <c r="P1136" s="17"/>
      <c r="Q1136" s="17"/>
      <c r="R1136" s="1"/>
      <c r="S1136" s="1"/>
    </row>
    <row r="1137" spans="1:19" x14ac:dyDescent="0.35">
      <c r="A1137" s="6"/>
      <c r="B1137" s="13"/>
      <c r="C1137" s="81"/>
      <c r="D1137" s="4"/>
      <c r="E1137" s="8"/>
      <c r="F1137" s="17"/>
      <c r="G1137" s="17"/>
      <c r="H1137" s="17"/>
      <c r="I1137" s="17"/>
      <c r="J1137" s="17"/>
      <c r="K1137" s="17"/>
      <c r="L1137" s="17"/>
      <c r="M1137" s="17"/>
      <c r="N1137" s="17"/>
      <c r="O1137" s="17"/>
      <c r="P1137" s="17"/>
      <c r="Q1137" s="17"/>
      <c r="R1137" s="1"/>
      <c r="S1137" s="1"/>
    </row>
    <row r="1138" spans="1:19" x14ac:dyDescent="0.35">
      <c r="A1138" s="6"/>
      <c r="B1138" s="13"/>
      <c r="C1138" s="81"/>
      <c r="D1138" s="4"/>
      <c r="E1138" s="8"/>
      <c r="F1138" s="17"/>
      <c r="G1138" s="17"/>
      <c r="H1138" s="17"/>
      <c r="I1138" s="17"/>
      <c r="J1138" s="17"/>
      <c r="K1138" s="17"/>
      <c r="L1138" s="17"/>
      <c r="M1138" s="17"/>
      <c r="N1138" s="17"/>
      <c r="O1138" s="17"/>
      <c r="P1138" s="17"/>
      <c r="Q1138" s="17"/>
      <c r="R1138" s="1"/>
      <c r="S1138" s="1"/>
    </row>
    <row r="1139" spans="1:19" x14ac:dyDescent="0.35">
      <c r="A1139" s="6"/>
      <c r="B1139" s="13"/>
      <c r="C1139" s="81"/>
      <c r="D1139" s="4"/>
      <c r="E1139" s="8"/>
      <c r="F1139" s="17"/>
      <c r="G1139" s="17"/>
      <c r="H1139" s="17"/>
      <c r="I1139" s="17"/>
      <c r="J1139" s="17"/>
      <c r="K1139" s="17"/>
      <c r="L1139" s="17"/>
      <c r="M1139" s="17"/>
      <c r="N1139" s="17"/>
      <c r="O1139" s="17"/>
      <c r="P1139" s="17"/>
      <c r="Q1139" s="17"/>
      <c r="R1139" s="1"/>
      <c r="S1139" s="1"/>
    </row>
    <row r="1140" spans="1:19" x14ac:dyDescent="0.35">
      <c r="A1140" s="6"/>
      <c r="B1140" s="13"/>
      <c r="C1140" s="81"/>
      <c r="D1140" s="4"/>
      <c r="E1140" s="8"/>
      <c r="F1140" s="17"/>
      <c r="G1140" s="17"/>
      <c r="H1140" s="17"/>
      <c r="I1140" s="17"/>
      <c r="J1140" s="17"/>
      <c r="K1140" s="17"/>
      <c r="L1140" s="17"/>
      <c r="M1140" s="17"/>
      <c r="N1140" s="17"/>
      <c r="O1140" s="17"/>
      <c r="P1140" s="17"/>
      <c r="Q1140" s="17"/>
      <c r="R1140" s="1"/>
      <c r="S1140" s="1"/>
    </row>
    <row r="1141" spans="1:19" x14ac:dyDescent="0.35">
      <c r="A1141" s="6"/>
      <c r="B1141" s="13"/>
      <c r="C1141" s="81"/>
      <c r="D1141" s="4"/>
      <c r="E1141" s="8"/>
      <c r="F1141" s="17"/>
      <c r="G1141" s="17"/>
      <c r="H1141" s="17"/>
      <c r="I1141" s="17"/>
      <c r="J1141" s="17"/>
      <c r="K1141" s="17"/>
      <c r="L1141" s="17"/>
      <c r="M1141" s="17"/>
      <c r="N1141" s="17"/>
      <c r="O1141" s="17"/>
      <c r="P1141" s="17"/>
      <c r="Q1141" s="17"/>
      <c r="R1141" s="1"/>
      <c r="S1141" s="1"/>
    </row>
    <row r="1142" spans="1:19" x14ac:dyDescent="0.35">
      <c r="A1142" s="6"/>
      <c r="B1142" s="13"/>
      <c r="C1142" s="81"/>
      <c r="D1142" s="4"/>
      <c r="E1142" s="8"/>
      <c r="F1142" s="17"/>
      <c r="G1142" s="17"/>
      <c r="H1142" s="17"/>
      <c r="I1142" s="17"/>
      <c r="J1142" s="17"/>
      <c r="K1142" s="17"/>
      <c r="L1142" s="17"/>
      <c r="M1142" s="17"/>
      <c r="N1142" s="17"/>
      <c r="O1142" s="17"/>
      <c r="P1142" s="17"/>
      <c r="Q1142" s="17"/>
      <c r="R1142" s="1"/>
      <c r="S1142" s="1"/>
    </row>
    <row r="1143" spans="1:19" x14ac:dyDescent="0.35">
      <c r="A1143" s="6"/>
      <c r="B1143" s="13"/>
      <c r="C1143" s="81"/>
      <c r="D1143" s="4"/>
      <c r="E1143" s="8"/>
      <c r="F1143" s="17"/>
      <c r="G1143" s="17"/>
      <c r="H1143" s="17"/>
      <c r="I1143" s="17"/>
      <c r="J1143" s="17"/>
      <c r="K1143" s="17"/>
      <c r="L1143" s="17"/>
      <c r="M1143" s="17"/>
      <c r="N1143" s="17"/>
      <c r="O1143" s="17"/>
      <c r="P1143" s="17"/>
      <c r="Q1143" s="17"/>
      <c r="R1143" s="1"/>
      <c r="S1143" s="1"/>
    </row>
    <row r="1144" spans="1:19" x14ac:dyDescent="0.35">
      <c r="A1144" s="6"/>
      <c r="B1144" s="13"/>
      <c r="C1144" s="81"/>
      <c r="D1144" s="4"/>
      <c r="E1144" s="8"/>
      <c r="F1144" s="17"/>
      <c r="G1144" s="17"/>
      <c r="H1144" s="17"/>
      <c r="I1144" s="17"/>
      <c r="J1144" s="17"/>
      <c r="K1144" s="17"/>
      <c r="L1144" s="17"/>
      <c r="M1144" s="17"/>
      <c r="N1144" s="17"/>
      <c r="O1144" s="17"/>
      <c r="P1144" s="17"/>
      <c r="Q1144" s="17"/>
      <c r="R1144" s="1"/>
      <c r="S1144" s="1"/>
    </row>
    <row r="1145" spans="1:19" x14ac:dyDescent="0.35">
      <c r="A1145" s="6"/>
      <c r="B1145" s="13"/>
      <c r="C1145" s="81"/>
      <c r="D1145" s="4"/>
      <c r="E1145" s="8"/>
      <c r="F1145" s="17"/>
      <c r="G1145" s="17"/>
      <c r="H1145" s="17"/>
      <c r="I1145" s="17"/>
      <c r="J1145" s="17"/>
      <c r="K1145" s="17"/>
      <c r="L1145" s="17"/>
      <c r="M1145" s="17"/>
      <c r="N1145" s="17"/>
      <c r="O1145" s="17"/>
      <c r="P1145" s="17"/>
      <c r="Q1145" s="17"/>
      <c r="R1145" s="1"/>
      <c r="S1145" s="1"/>
    </row>
    <row r="1146" spans="1:19" x14ac:dyDescent="0.35">
      <c r="A1146" s="6"/>
      <c r="B1146" s="13"/>
      <c r="C1146" s="81"/>
      <c r="D1146" s="4"/>
      <c r="E1146" s="8"/>
      <c r="F1146" s="17"/>
      <c r="G1146" s="17"/>
      <c r="H1146" s="17"/>
      <c r="I1146" s="17"/>
      <c r="J1146" s="17"/>
      <c r="K1146" s="17"/>
      <c r="L1146" s="17"/>
      <c r="M1146" s="17"/>
      <c r="N1146" s="17"/>
      <c r="O1146" s="17"/>
      <c r="P1146" s="17"/>
      <c r="Q1146" s="17"/>
      <c r="R1146" s="1"/>
      <c r="S1146" s="1"/>
    </row>
    <row r="1147" spans="1:19" x14ac:dyDescent="0.35">
      <c r="A1147" s="6"/>
      <c r="B1147" s="13"/>
      <c r="C1147" s="81"/>
      <c r="D1147" s="4"/>
      <c r="E1147" s="8"/>
      <c r="F1147" s="17"/>
      <c r="G1147" s="17"/>
      <c r="H1147" s="17"/>
      <c r="I1147" s="17"/>
      <c r="J1147" s="17"/>
      <c r="K1147" s="17"/>
      <c r="L1147" s="17"/>
      <c r="M1147" s="17"/>
      <c r="N1147" s="17"/>
      <c r="O1147" s="17"/>
      <c r="P1147" s="17"/>
      <c r="Q1147" s="17"/>
      <c r="R1147" s="1"/>
      <c r="S1147" s="1"/>
    </row>
    <row r="1148" spans="1:19" x14ac:dyDescent="0.35">
      <c r="A1148" s="6"/>
      <c r="B1148" s="13"/>
      <c r="C1148" s="81"/>
      <c r="D1148" s="4"/>
      <c r="E1148" s="8"/>
      <c r="F1148" s="17"/>
      <c r="G1148" s="17"/>
      <c r="H1148" s="17"/>
      <c r="I1148" s="17"/>
      <c r="J1148" s="17"/>
      <c r="K1148" s="17"/>
      <c r="L1148" s="17"/>
      <c r="M1148" s="17"/>
      <c r="N1148" s="17"/>
      <c r="O1148" s="17"/>
      <c r="P1148" s="17"/>
      <c r="Q1148" s="17"/>
      <c r="R1148" s="1"/>
      <c r="S1148" s="1"/>
    </row>
    <row r="1149" spans="1:19" x14ac:dyDescent="0.35">
      <c r="A1149" s="6"/>
      <c r="B1149" s="13"/>
      <c r="C1149" s="81"/>
      <c r="D1149" s="4"/>
      <c r="E1149" s="8"/>
      <c r="F1149" s="17"/>
      <c r="G1149" s="17"/>
      <c r="H1149" s="17"/>
      <c r="I1149" s="17"/>
      <c r="J1149" s="17"/>
      <c r="K1149" s="17"/>
      <c r="L1149" s="17"/>
      <c r="M1149" s="17"/>
      <c r="N1149" s="17"/>
      <c r="O1149" s="17"/>
      <c r="P1149" s="17"/>
      <c r="Q1149" s="17"/>
      <c r="R1149" s="1"/>
      <c r="S1149" s="1"/>
    </row>
    <row r="1150" spans="1:19" x14ac:dyDescent="0.35">
      <c r="A1150" s="6"/>
      <c r="B1150" s="13"/>
      <c r="C1150" s="81"/>
      <c r="D1150" s="4"/>
      <c r="E1150" s="8"/>
      <c r="F1150" s="17"/>
      <c r="G1150" s="17"/>
      <c r="H1150" s="17"/>
      <c r="I1150" s="17"/>
      <c r="J1150" s="17"/>
      <c r="K1150" s="17"/>
      <c r="L1150" s="17"/>
      <c r="M1150" s="17"/>
      <c r="N1150" s="17"/>
      <c r="O1150" s="17"/>
      <c r="P1150" s="17"/>
      <c r="Q1150" s="17"/>
      <c r="R1150" s="1"/>
      <c r="S1150" s="1"/>
    </row>
    <row r="1151" spans="1:19" x14ac:dyDescent="0.35">
      <c r="A1151" s="6"/>
      <c r="B1151" s="13"/>
      <c r="C1151" s="81"/>
      <c r="D1151" s="4"/>
      <c r="E1151" s="8"/>
      <c r="F1151" s="17"/>
      <c r="G1151" s="17"/>
      <c r="H1151" s="17"/>
      <c r="I1151" s="17"/>
      <c r="J1151" s="17"/>
      <c r="K1151" s="17"/>
      <c r="L1151" s="17"/>
      <c r="M1151" s="17"/>
      <c r="N1151" s="17"/>
      <c r="O1151" s="17"/>
      <c r="P1151" s="17"/>
      <c r="Q1151" s="17"/>
      <c r="R1151" s="1"/>
      <c r="S1151" s="1"/>
    </row>
    <row r="1152" spans="1:19" x14ac:dyDescent="0.35">
      <c r="A1152" s="6"/>
      <c r="B1152" s="13"/>
      <c r="C1152" s="81"/>
      <c r="D1152" s="4"/>
      <c r="E1152" s="8"/>
      <c r="F1152" s="17"/>
      <c r="G1152" s="17"/>
      <c r="H1152" s="17"/>
      <c r="I1152" s="17"/>
      <c r="J1152" s="17"/>
      <c r="K1152" s="17"/>
      <c r="L1152" s="17"/>
      <c r="M1152" s="17"/>
      <c r="N1152" s="17"/>
      <c r="O1152" s="17"/>
      <c r="P1152" s="17"/>
      <c r="Q1152" s="17"/>
      <c r="R1152" s="1"/>
      <c r="S1152" s="1"/>
    </row>
    <row r="1153" spans="1:19" x14ac:dyDescent="0.35">
      <c r="A1153" s="6"/>
      <c r="B1153" s="13"/>
      <c r="C1153" s="81"/>
      <c r="D1153" s="4"/>
      <c r="E1153" s="8"/>
      <c r="F1153" s="17"/>
      <c r="G1153" s="17"/>
      <c r="H1153" s="17"/>
      <c r="I1153" s="17"/>
      <c r="J1153" s="17"/>
      <c r="K1153" s="17"/>
      <c r="L1153" s="17"/>
      <c r="M1153" s="17"/>
      <c r="N1153" s="17"/>
      <c r="O1153" s="17"/>
      <c r="P1153" s="17"/>
      <c r="Q1153" s="17"/>
      <c r="R1153" s="1"/>
      <c r="S1153" s="1"/>
    </row>
    <row r="1154" spans="1:19" x14ac:dyDescent="0.35">
      <c r="A1154" s="6"/>
      <c r="B1154" s="13"/>
      <c r="C1154" s="81"/>
      <c r="D1154" s="4"/>
      <c r="E1154" s="8"/>
      <c r="F1154" s="17"/>
      <c r="G1154" s="17"/>
      <c r="H1154" s="17"/>
      <c r="I1154" s="17"/>
      <c r="J1154" s="17"/>
      <c r="K1154" s="17"/>
      <c r="L1154" s="17"/>
      <c r="M1154" s="17"/>
      <c r="N1154" s="17"/>
      <c r="O1154" s="17"/>
      <c r="P1154" s="17"/>
      <c r="Q1154" s="17"/>
      <c r="R1154" s="1"/>
      <c r="S1154" s="1"/>
    </row>
    <row r="1155" spans="1:19" x14ac:dyDescent="0.35">
      <c r="A1155" s="6"/>
      <c r="B1155" s="13"/>
      <c r="C1155" s="81"/>
      <c r="D1155" s="4"/>
      <c r="E1155" s="8"/>
      <c r="F1155" s="17"/>
      <c r="G1155" s="17"/>
      <c r="H1155" s="17"/>
      <c r="I1155" s="17"/>
      <c r="J1155" s="17"/>
      <c r="K1155" s="17"/>
      <c r="L1155" s="17"/>
      <c r="M1155" s="17"/>
      <c r="N1155" s="17"/>
      <c r="O1155" s="17"/>
      <c r="P1155" s="17"/>
      <c r="Q1155" s="17"/>
      <c r="R1155" s="1"/>
      <c r="S1155" s="1"/>
    </row>
    <row r="1156" spans="1:19" x14ac:dyDescent="0.35">
      <c r="A1156" s="6"/>
      <c r="B1156" s="13"/>
      <c r="C1156" s="81"/>
      <c r="D1156" s="4"/>
      <c r="E1156" s="8"/>
      <c r="F1156" s="17"/>
      <c r="G1156" s="17"/>
      <c r="H1156" s="17"/>
      <c r="I1156" s="17"/>
      <c r="J1156" s="17"/>
      <c r="K1156" s="17"/>
      <c r="L1156" s="17"/>
      <c r="M1156" s="17"/>
      <c r="N1156" s="17"/>
      <c r="O1156" s="17"/>
      <c r="P1156" s="17"/>
      <c r="Q1156" s="17"/>
      <c r="R1156" s="1"/>
      <c r="S1156" s="1"/>
    </row>
    <row r="1157" spans="1:19" x14ac:dyDescent="0.35">
      <c r="A1157" s="6"/>
      <c r="B1157" s="13"/>
      <c r="C1157" s="81"/>
      <c r="D1157" s="4"/>
      <c r="E1157" s="8"/>
      <c r="F1157" s="17"/>
      <c r="G1157" s="17"/>
      <c r="H1157" s="17"/>
      <c r="I1157" s="17"/>
      <c r="J1157" s="17"/>
      <c r="K1157" s="17"/>
      <c r="L1157" s="17"/>
      <c r="M1157" s="17"/>
      <c r="N1157" s="17"/>
      <c r="O1157" s="17"/>
      <c r="P1157" s="17"/>
      <c r="Q1157" s="17"/>
      <c r="R1157" s="1"/>
      <c r="S1157" s="1"/>
    </row>
    <row r="1158" spans="1:19" x14ac:dyDescent="0.35">
      <c r="A1158" s="6"/>
      <c r="B1158" s="13"/>
      <c r="C1158" s="81"/>
      <c r="D1158" s="4"/>
      <c r="E1158" s="8"/>
      <c r="F1158" s="17"/>
      <c r="G1158" s="17"/>
      <c r="H1158" s="17"/>
      <c r="I1158" s="17"/>
      <c r="J1158" s="17"/>
      <c r="K1158" s="17"/>
      <c r="L1158" s="17"/>
      <c r="M1158" s="17"/>
      <c r="N1158" s="17"/>
      <c r="O1158" s="17"/>
      <c r="P1158" s="17"/>
      <c r="Q1158" s="17"/>
      <c r="R1158" s="1"/>
      <c r="S1158" s="1"/>
    </row>
    <row r="1159" spans="1:19" x14ac:dyDescent="0.35">
      <c r="A1159" s="6"/>
      <c r="B1159" s="13"/>
      <c r="C1159" s="81"/>
      <c r="D1159" s="4"/>
      <c r="E1159" s="8"/>
      <c r="F1159" s="17"/>
      <c r="G1159" s="17"/>
      <c r="H1159" s="17"/>
      <c r="I1159" s="17"/>
      <c r="J1159" s="17"/>
      <c r="K1159" s="17"/>
      <c r="L1159" s="17"/>
      <c r="M1159" s="17"/>
      <c r="N1159" s="17"/>
      <c r="O1159" s="17"/>
      <c r="P1159" s="17"/>
      <c r="Q1159" s="17"/>
      <c r="R1159" s="1"/>
      <c r="S1159" s="1"/>
    </row>
    <row r="1160" spans="1:19" x14ac:dyDescent="0.35">
      <c r="A1160" s="6"/>
      <c r="B1160" s="13"/>
      <c r="C1160" s="81"/>
      <c r="D1160" s="4"/>
      <c r="E1160" s="8"/>
      <c r="F1160" s="17"/>
      <c r="G1160" s="17"/>
      <c r="H1160" s="17"/>
      <c r="I1160" s="17"/>
      <c r="J1160" s="17"/>
      <c r="K1160" s="17"/>
      <c r="L1160" s="17"/>
      <c r="M1160" s="17"/>
      <c r="N1160" s="17"/>
      <c r="O1160" s="17"/>
      <c r="P1160" s="17"/>
      <c r="Q1160" s="17"/>
      <c r="R1160" s="1"/>
      <c r="S1160" s="1"/>
    </row>
    <row r="1161" spans="1:19" x14ac:dyDescent="0.35">
      <c r="A1161" s="6"/>
      <c r="B1161" s="13"/>
      <c r="C1161" s="81"/>
      <c r="D1161" s="4"/>
      <c r="E1161" s="8"/>
      <c r="F1161" s="17"/>
      <c r="G1161" s="17"/>
      <c r="H1161" s="17"/>
      <c r="I1161" s="17"/>
      <c r="J1161" s="17"/>
      <c r="K1161" s="17"/>
      <c r="L1161" s="17"/>
      <c r="M1161" s="17"/>
      <c r="N1161" s="17"/>
      <c r="O1161" s="17"/>
      <c r="P1161" s="17"/>
      <c r="Q1161" s="17"/>
      <c r="R1161" s="1"/>
      <c r="S1161" s="1"/>
    </row>
    <row r="1162" spans="1:19" x14ac:dyDescent="0.35">
      <c r="A1162" s="6"/>
      <c r="B1162" s="13"/>
      <c r="C1162" s="81"/>
      <c r="D1162" s="4"/>
      <c r="E1162" s="8"/>
      <c r="F1162" s="17"/>
      <c r="G1162" s="17"/>
      <c r="H1162" s="17"/>
      <c r="I1162" s="17"/>
      <c r="J1162" s="17"/>
      <c r="K1162" s="17"/>
      <c r="L1162" s="17"/>
      <c r="M1162" s="17"/>
      <c r="N1162" s="17"/>
      <c r="O1162" s="17"/>
      <c r="P1162" s="17"/>
      <c r="Q1162" s="17"/>
      <c r="R1162" s="1"/>
      <c r="S1162" s="1"/>
    </row>
    <row r="1163" spans="1:19" x14ac:dyDescent="0.35">
      <c r="A1163" s="6"/>
      <c r="B1163" s="13"/>
      <c r="C1163" s="81"/>
      <c r="D1163" s="4"/>
      <c r="E1163" s="8"/>
      <c r="F1163" s="17"/>
      <c r="G1163" s="17"/>
      <c r="H1163" s="17"/>
      <c r="I1163" s="17"/>
      <c r="J1163" s="17"/>
      <c r="K1163" s="17"/>
      <c r="L1163" s="17"/>
      <c r="M1163" s="17"/>
      <c r="N1163" s="17"/>
      <c r="O1163" s="17"/>
      <c r="P1163" s="17"/>
      <c r="Q1163" s="17"/>
      <c r="R1163" s="1"/>
      <c r="S1163" s="1"/>
    </row>
    <row r="1164" spans="1:19" x14ac:dyDescent="0.35">
      <c r="A1164" s="6"/>
      <c r="B1164" s="13"/>
      <c r="C1164" s="81"/>
      <c r="D1164" s="4"/>
      <c r="E1164" s="8"/>
      <c r="F1164" s="17"/>
      <c r="G1164" s="17"/>
      <c r="H1164" s="17"/>
      <c r="I1164" s="17"/>
      <c r="J1164" s="17"/>
      <c r="K1164" s="17"/>
      <c r="L1164" s="17"/>
      <c r="M1164" s="17"/>
      <c r="N1164" s="17"/>
      <c r="O1164" s="17"/>
      <c r="P1164" s="17"/>
      <c r="Q1164" s="17"/>
      <c r="R1164" s="1"/>
      <c r="S1164" s="1"/>
    </row>
    <row r="1165" spans="1:19" x14ac:dyDescent="0.35">
      <c r="A1165" s="6"/>
      <c r="B1165" s="13"/>
      <c r="C1165" s="81"/>
      <c r="D1165" s="4"/>
      <c r="E1165" s="8"/>
      <c r="F1165" s="17"/>
      <c r="G1165" s="17"/>
      <c r="H1165" s="17"/>
      <c r="I1165" s="17"/>
      <c r="J1165" s="17"/>
      <c r="K1165" s="17"/>
      <c r="L1165" s="17"/>
      <c r="M1165" s="17"/>
      <c r="N1165" s="17"/>
      <c r="O1165" s="17"/>
      <c r="P1165" s="17"/>
      <c r="Q1165" s="17"/>
      <c r="R1165" s="1"/>
      <c r="S1165" s="1"/>
    </row>
    <row r="1166" spans="1:19" x14ac:dyDescent="0.35">
      <c r="A1166" s="6"/>
      <c r="B1166" s="13"/>
      <c r="C1166" s="81"/>
      <c r="D1166" s="4"/>
      <c r="E1166" s="8"/>
      <c r="F1166" s="17"/>
      <c r="G1166" s="17"/>
      <c r="H1166" s="17"/>
      <c r="I1166" s="17"/>
      <c r="J1166" s="17"/>
      <c r="K1166" s="17"/>
      <c r="L1166" s="17"/>
      <c r="M1166" s="17"/>
      <c r="N1166" s="17"/>
      <c r="O1166" s="17"/>
      <c r="P1166" s="17"/>
      <c r="Q1166" s="17"/>
      <c r="R1166" s="1"/>
      <c r="S1166" s="1"/>
    </row>
    <row r="1167" spans="1:19" x14ac:dyDescent="0.35">
      <c r="A1167" s="6"/>
      <c r="B1167" s="13"/>
      <c r="C1167" s="81"/>
      <c r="D1167" s="4"/>
      <c r="E1167" s="8"/>
      <c r="F1167" s="17"/>
      <c r="G1167" s="17"/>
      <c r="H1167" s="17"/>
      <c r="I1167" s="17"/>
      <c r="J1167" s="17"/>
      <c r="K1167" s="17"/>
      <c r="L1167" s="17"/>
      <c r="M1167" s="17"/>
      <c r="N1167" s="17"/>
      <c r="O1167" s="17"/>
      <c r="P1167" s="17"/>
      <c r="Q1167" s="17"/>
      <c r="R1167" s="1"/>
      <c r="S1167" s="1"/>
    </row>
    <row r="1168" spans="1:19" x14ac:dyDescent="0.35">
      <c r="A1168" s="6"/>
      <c r="B1168" s="13"/>
      <c r="C1168" s="81"/>
      <c r="D1168" s="4"/>
      <c r="E1168" s="8"/>
      <c r="F1168" s="17"/>
      <c r="G1168" s="17"/>
      <c r="H1168" s="17"/>
      <c r="I1168" s="17"/>
      <c r="J1168" s="17"/>
      <c r="K1168" s="17"/>
      <c r="L1168" s="17"/>
      <c r="M1168" s="17"/>
      <c r="N1168" s="17"/>
      <c r="O1168" s="17"/>
      <c r="P1168" s="17"/>
      <c r="Q1168" s="17"/>
      <c r="R1168" s="1"/>
      <c r="S1168" s="1"/>
    </row>
    <row r="1169" spans="1:19" x14ac:dyDescent="0.35">
      <c r="A1169" s="6"/>
      <c r="B1169" s="13"/>
      <c r="C1169" s="81"/>
      <c r="D1169" s="4"/>
      <c r="E1169" s="8"/>
      <c r="F1169" s="17"/>
      <c r="G1169" s="17"/>
      <c r="H1169" s="17"/>
      <c r="I1169" s="17"/>
      <c r="J1169" s="17"/>
      <c r="K1169" s="17"/>
      <c r="L1169" s="17"/>
      <c r="M1169" s="17"/>
      <c r="N1169" s="17"/>
      <c r="O1169" s="17"/>
      <c r="P1169" s="17"/>
      <c r="Q1169" s="17"/>
      <c r="R1169" s="1"/>
      <c r="S1169" s="1"/>
    </row>
    <row r="1170" spans="1:19" x14ac:dyDescent="0.35">
      <c r="A1170" s="6"/>
      <c r="B1170" s="13"/>
      <c r="C1170" s="81"/>
      <c r="D1170" s="4"/>
      <c r="E1170" s="8"/>
      <c r="F1170" s="17"/>
      <c r="G1170" s="17"/>
      <c r="H1170" s="17"/>
      <c r="I1170" s="17"/>
      <c r="J1170" s="17"/>
      <c r="K1170" s="17"/>
      <c r="L1170" s="17"/>
      <c r="M1170" s="17"/>
      <c r="N1170" s="17"/>
      <c r="O1170" s="17"/>
      <c r="P1170" s="17"/>
      <c r="Q1170" s="17"/>
      <c r="R1170" s="1"/>
      <c r="S1170" s="1"/>
    </row>
    <row r="1171" spans="1:19" x14ac:dyDescent="0.35">
      <c r="A1171" s="6"/>
      <c r="B1171" s="13"/>
      <c r="C1171" s="81"/>
      <c r="D1171" s="4"/>
      <c r="E1171" s="8"/>
      <c r="F1171" s="17"/>
      <c r="G1171" s="17"/>
      <c r="H1171" s="17"/>
      <c r="I1171" s="17"/>
      <c r="J1171" s="17"/>
      <c r="K1171" s="17"/>
      <c r="L1171" s="17"/>
      <c r="M1171" s="17"/>
      <c r="N1171" s="17"/>
      <c r="O1171" s="17"/>
      <c r="P1171" s="17"/>
      <c r="Q1171" s="17"/>
      <c r="R1171" s="1"/>
      <c r="S1171" s="1"/>
    </row>
    <row r="1172" spans="1:19" x14ac:dyDescent="0.35">
      <c r="A1172" s="6"/>
      <c r="B1172" s="13"/>
      <c r="C1172" s="81"/>
      <c r="D1172" s="4"/>
      <c r="E1172" s="8"/>
      <c r="F1172" s="17"/>
      <c r="G1172" s="17"/>
      <c r="H1172" s="17"/>
      <c r="I1172" s="17"/>
      <c r="J1172" s="17"/>
      <c r="K1172" s="17"/>
      <c r="L1172" s="17"/>
      <c r="M1172" s="17"/>
      <c r="N1172" s="17"/>
      <c r="O1172" s="17"/>
      <c r="P1172" s="17"/>
      <c r="Q1172" s="17"/>
      <c r="R1172" s="1"/>
      <c r="S1172" s="1"/>
    </row>
    <row r="1173" spans="1:19" x14ac:dyDescent="0.35">
      <c r="A1173" s="6"/>
      <c r="B1173" s="13"/>
      <c r="C1173" s="81"/>
      <c r="D1173" s="4"/>
      <c r="E1173" s="8"/>
      <c r="F1173" s="17"/>
      <c r="G1173" s="17"/>
      <c r="H1173" s="17"/>
      <c r="I1173" s="17"/>
      <c r="J1173" s="17"/>
      <c r="K1173" s="17"/>
      <c r="L1173" s="17"/>
      <c r="M1173" s="17"/>
      <c r="N1173" s="17"/>
      <c r="O1173" s="17"/>
      <c r="P1173" s="17"/>
      <c r="Q1173" s="17"/>
      <c r="R1173" s="1"/>
      <c r="S1173" s="1"/>
    </row>
    <row r="1174" spans="1:19" x14ac:dyDescent="0.35">
      <c r="A1174" s="6"/>
      <c r="B1174" s="13"/>
      <c r="C1174" s="81"/>
      <c r="D1174" s="4"/>
      <c r="E1174" s="8"/>
      <c r="F1174" s="17"/>
      <c r="G1174" s="17"/>
      <c r="H1174" s="17"/>
      <c r="I1174" s="17"/>
      <c r="J1174" s="17"/>
      <c r="K1174" s="17"/>
      <c r="L1174" s="17"/>
      <c r="M1174" s="17"/>
      <c r="N1174" s="17"/>
      <c r="O1174" s="17"/>
      <c r="P1174" s="17"/>
      <c r="Q1174" s="17"/>
      <c r="R1174" s="1"/>
      <c r="S1174" s="1"/>
    </row>
    <row r="1175" spans="1:19" x14ac:dyDescent="0.35">
      <c r="A1175" s="6"/>
      <c r="B1175" s="13"/>
      <c r="C1175" s="81"/>
      <c r="D1175" s="4"/>
      <c r="E1175" s="8"/>
      <c r="F1175" s="17"/>
      <c r="G1175" s="17"/>
      <c r="H1175" s="17"/>
      <c r="I1175" s="17"/>
      <c r="J1175" s="17"/>
      <c r="K1175" s="17"/>
      <c r="L1175" s="17"/>
      <c r="M1175" s="17"/>
      <c r="N1175" s="17"/>
      <c r="O1175" s="17"/>
      <c r="P1175" s="17"/>
      <c r="Q1175" s="17"/>
      <c r="R1175" s="1"/>
      <c r="S1175" s="1"/>
    </row>
    <row r="1176" spans="1:19" x14ac:dyDescent="0.35">
      <c r="A1176" s="6"/>
      <c r="B1176" s="13"/>
      <c r="C1176" s="81"/>
      <c r="D1176" s="4"/>
      <c r="E1176" s="8"/>
      <c r="F1176" s="17"/>
      <c r="G1176" s="17"/>
      <c r="H1176" s="17"/>
      <c r="I1176" s="17"/>
      <c r="J1176" s="17"/>
      <c r="K1176" s="17"/>
      <c r="L1176" s="17"/>
      <c r="M1176" s="17"/>
      <c r="N1176" s="17"/>
      <c r="O1176" s="17"/>
      <c r="P1176" s="17"/>
      <c r="Q1176" s="17"/>
      <c r="R1176" s="1"/>
      <c r="S1176" s="1"/>
    </row>
    <row r="1177" spans="1:19" x14ac:dyDescent="0.35">
      <c r="A1177" s="6"/>
      <c r="B1177" s="13"/>
      <c r="C1177" s="81"/>
      <c r="D1177" s="4"/>
      <c r="E1177" s="8"/>
      <c r="F1177" s="17"/>
      <c r="G1177" s="17"/>
      <c r="H1177" s="17"/>
      <c r="I1177" s="17"/>
      <c r="J1177" s="17"/>
      <c r="K1177" s="17"/>
      <c r="L1177" s="17"/>
      <c r="M1177" s="17"/>
      <c r="N1177" s="17"/>
      <c r="O1177" s="17"/>
      <c r="P1177" s="17"/>
      <c r="Q1177" s="17"/>
      <c r="R1177" s="1"/>
      <c r="S1177" s="1"/>
    </row>
    <row r="1178" spans="1:19" x14ac:dyDescent="0.35">
      <c r="A1178" s="6"/>
      <c r="B1178" s="13"/>
      <c r="C1178" s="81"/>
      <c r="D1178" s="4"/>
      <c r="E1178" s="8"/>
      <c r="F1178" s="17"/>
      <c r="G1178" s="17"/>
      <c r="H1178" s="17"/>
      <c r="I1178" s="17"/>
      <c r="J1178" s="17"/>
      <c r="K1178" s="17"/>
      <c r="L1178" s="17"/>
      <c r="M1178" s="17"/>
      <c r="N1178" s="17"/>
      <c r="O1178" s="17"/>
      <c r="P1178" s="17"/>
      <c r="Q1178" s="17"/>
      <c r="R1178" s="1"/>
      <c r="S1178" s="1"/>
    </row>
    <row r="1179" spans="1:19" x14ac:dyDescent="0.35">
      <c r="A1179" s="6"/>
      <c r="B1179" s="13"/>
      <c r="C1179" s="81"/>
      <c r="D1179" s="4"/>
      <c r="E1179" s="8"/>
      <c r="F1179" s="17"/>
      <c r="G1179" s="17"/>
      <c r="H1179" s="17"/>
      <c r="I1179" s="17"/>
      <c r="J1179" s="17"/>
      <c r="K1179" s="17"/>
      <c r="L1179" s="17"/>
      <c r="M1179" s="17"/>
      <c r="N1179" s="17"/>
      <c r="O1179" s="17"/>
      <c r="P1179" s="17"/>
      <c r="Q1179" s="17"/>
      <c r="R1179" s="1"/>
      <c r="S1179" s="1"/>
    </row>
    <row r="1180" spans="1:19" x14ac:dyDescent="0.35">
      <c r="A1180" s="6"/>
      <c r="B1180" s="13"/>
      <c r="C1180" s="81"/>
      <c r="D1180" s="4"/>
      <c r="E1180" s="8"/>
      <c r="F1180" s="17"/>
      <c r="G1180" s="17"/>
      <c r="H1180" s="17"/>
      <c r="I1180" s="17"/>
      <c r="J1180" s="17"/>
      <c r="K1180" s="17"/>
      <c r="L1180" s="17"/>
      <c r="M1180" s="17"/>
      <c r="N1180" s="17"/>
      <c r="O1180" s="17"/>
      <c r="P1180" s="17"/>
      <c r="Q1180" s="17"/>
      <c r="R1180" s="1"/>
      <c r="S1180" s="1"/>
    </row>
    <row r="1181" spans="1:19" x14ac:dyDescent="0.35">
      <c r="A1181" s="6"/>
      <c r="B1181" s="13"/>
      <c r="C1181" s="81"/>
      <c r="D1181" s="4"/>
      <c r="E1181" s="8"/>
      <c r="F1181" s="17"/>
      <c r="G1181" s="17"/>
      <c r="H1181" s="17"/>
      <c r="I1181" s="17"/>
      <c r="J1181" s="17"/>
      <c r="K1181" s="17"/>
      <c r="L1181" s="17"/>
      <c r="M1181" s="17"/>
      <c r="N1181" s="17"/>
      <c r="O1181" s="17"/>
      <c r="P1181" s="17"/>
      <c r="Q1181" s="17"/>
      <c r="R1181" s="1"/>
      <c r="S1181" s="1"/>
    </row>
    <row r="1182" spans="1:19" x14ac:dyDescent="0.35">
      <c r="A1182" s="6"/>
      <c r="B1182" s="13"/>
      <c r="C1182" s="81"/>
      <c r="D1182" s="4"/>
      <c r="E1182" s="8"/>
      <c r="F1182" s="17"/>
      <c r="G1182" s="17"/>
      <c r="H1182" s="17"/>
      <c r="I1182" s="17"/>
      <c r="J1182" s="17"/>
      <c r="K1182" s="17"/>
      <c r="L1182" s="17"/>
      <c r="M1182" s="17"/>
      <c r="N1182" s="17"/>
      <c r="O1182" s="17"/>
      <c r="P1182" s="17"/>
      <c r="Q1182" s="17"/>
      <c r="R1182" s="1"/>
      <c r="S1182" s="1"/>
    </row>
    <row r="1183" spans="1:19" x14ac:dyDescent="0.35">
      <c r="A1183" s="6"/>
      <c r="B1183" s="13"/>
      <c r="C1183" s="81"/>
      <c r="D1183" s="4"/>
      <c r="E1183" s="8"/>
      <c r="F1183" s="17"/>
      <c r="G1183" s="17"/>
      <c r="H1183" s="17"/>
      <c r="I1183" s="17"/>
      <c r="J1183" s="17"/>
      <c r="K1183" s="17"/>
      <c r="L1183" s="17"/>
      <c r="M1183" s="17"/>
      <c r="N1183" s="17"/>
      <c r="O1183" s="17"/>
      <c r="P1183" s="17"/>
      <c r="Q1183" s="17"/>
      <c r="R1183" s="1"/>
      <c r="S1183" s="1"/>
    </row>
    <row r="1184" spans="1:19" x14ac:dyDescent="0.35">
      <c r="A1184" s="6"/>
      <c r="B1184" s="13"/>
      <c r="C1184" s="81"/>
      <c r="D1184" s="4"/>
      <c r="E1184" s="8"/>
      <c r="F1184" s="17"/>
      <c r="G1184" s="17"/>
      <c r="H1184" s="17"/>
      <c r="I1184" s="17"/>
      <c r="J1184" s="17"/>
      <c r="K1184" s="17"/>
      <c r="L1184" s="17"/>
      <c r="M1184" s="17"/>
      <c r="N1184" s="17"/>
      <c r="O1184" s="17"/>
      <c r="P1184" s="17"/>
      <c r="Q1184" s="17"/>
      <c r="R1184" s="1"/>
      <c r="S1184" s="1"/>
    </row>
    <row r="1185" spans="1:19" x14ac:dyDescent="0.35">
      <c r="A1185" s="6"/>
      <c r="B1185" s="13"/>
      <c r="C1185" s="81"/>
      <c r="D1185" s="4"/>
      <c r="E1185" s="8"/>
      <c r="F1185" s="17"/>
      <c r="G1185" s="17"/>
      <c r="H1185" s="17"/>
      <c r="I1185" s="17"/>
      <c r="J1185" s="17"/>
      <c r="K1185" s="17"/>
      <c r="L1185" s="17"/>
      <c r="M1185" s="17"/>
      <c r="N1185" s="17"/>
      <c r="O1185" s="17"/>
      <c r="P1185" s="17"/>
      <c r="Q1185" s="17"/>
      <c r="R1185" s="1"/>
      <c r="S1185" s="1"/>
    </row>
    <row r="1186" spans="1:19" x14ac:dyDescent="0.35">
      <c r="A1186" s="6"/>
      <c r="B1186" s="13"/>
      <c r="C1186" s="81"/>
      <c r="D1186" s="4"/>
      <c r="E1186" s="8"/>
      <c r="F1186" s="17"/>
      <c r="G1186" s="17"/>
      <c r="H1186" s="17"/>
      <c r="I1186" s="17"/>
      <c r="J1186" s="17"/>
      <c r="K1186" s="17"/>
      <c r="L1186" s="17"/>
      <c r="M1186" s="17"/>
      <c r="N1186" s="17"/>
      <c r="O1186" s="17"/>
      <c r="P1186" s="17"/>
      <c r="Q1186" s="17"/>
      <c r="R1186" s="1"/>
      <c r="S1186" s="1"/>
    </row>
    <row r="1187" spans="1:19" x14ac:dyDescent="0.35">
      <c r="A1187" s="6"/>
      <c r="B1187" s="13"/>
      <c r="C1187" s="81"/>
      <c r="D1187" s="4"/>
      <c r="E1187" s="8"/>
      <c r="F1187" s="17"/>
      <c r="G1187" s="17"/>
      <c r="H1187" s="17"/>
      <c r="I1187" s="17"/>
      <c r="J1187" s="17"/>
      <c r="K1187" s="17"/>
      <c r="L1187" s="17"/>
      <c r="M1187" s="17"/>
      <c r="N1187" s="17"/>
      <c r="O1187" s="17"/>
      <c r="P1187" s="17"/>
      <c r="Q1187" s="17"/>
      <c r="R1187" s="1"/>
      <c r="S1187" s="1"/>
    </row>
    <row r="1188" spans="1:19" x14ac:dyDescent="0.35">
      <c r="A1188" s="6"/>
      <c r="B1188" s="13"/>
      <c r="C1188" s="81"/>
      <c r="D1188" s="4"/>
      <c r="E1188" s="8"/>
      <c r="F1188" s="17"/>
      <c r="G1188" s="17"/>
      <c r="H1188" s="17"/>
      <c r="I1188" s="17"/>
      <c r="J1188" s="17"/>
      <c r="K1188" s="17"/>
      <c r="L1188" s="17"/>
      <c r="M1188" s="17"/>
      <c r="N1188" s="17"/>
      <c r="O1188" s="17"/>
      <c r="P1188" s="17"/>
      <c r="Q1188" s="17"/>
      <c r="R1188" s="1"/>
      <c r="S1188" s="1"/>
    </row>
    <row r="1189" spans="1:19" x14ac:dyDescent="0.35">
      <c r="A1189" s="6"/>
      <c r="B1189" s="13"/>
      <c r="C1189" s="81"/>
      <c r="D1189" s="4"/>
      <c r="E1189" s="8"/>
      <c r="F1189" s="17"/>
      <c r="G1189" s="17"/>
      <c r="H1189" s="17"/>
      <c r="I1189" s="17"/>
      <c r="J1189" s="17"/>
      <c r="K1189" s="17"/>
      <c r="L1189" s="17"/>
      <c r="M1189" s="17"/>
      <c r="N1189" s="17"/>
      <c r="O1189" s="17"/>
      <c r="P1189" s="17"/>
      <c r="Q1189" s="17"/>
      <c r="R1189" s="1"/>
      <c r="S1189" s="1"/>
    </row>
    <row r="1190" spans="1:19" x14ac:dyDescent="0.35">
      <c r="A1190" s="6"/>
      <c r="B1190" s="13"/>
      <c r="C1190" s="81"/>
      <c r="D1190" s="4"/>
      <c r="E1190" s="8"/>
      <c r="F1190" s="17"/>
      <c r="G1190" s="17"/>
      <c r="H1190" s="17"/>
      <c r="I1190" s="17"/>
      <c r="J1190" s="17"/>
      <c r="K1190" s="17"/>
      <c r="L1190" s="17"/>
      <c r="M1190" s="17"/>
      <c r="N1190" s="17"/>
      <c r="O1190" s="17"/>
      <c r="P1190" s="17"/>
      <c r="Q1190" s="17"/>
      <c r="R1190" s="1"/>
      <c r="S1190" s="1"/>
    </row>
    <row r="1191" spans="1:19" x14ac:dyDescent="0.35">
      <c r="A1191" s="6"/>
      <c r="B1191" s="13"/>
      <c r="C1191" s="81"/>
      <c r="D1191" s="4"/>
      <c r="E1191" s="8"/>
      <c r="F1191" s="17"/>
      <c r="G1191" s="17"/>
      <c r="H1191" s="17"/>
      <c r="I1191" s="17"/>
      <c r="J1191" s="17"/>
      <c r="K1191" s="17"/>
      <c r="L1191" s="17"/>
      <c r="M1191" s="17"/>
      <c r="N1191" s="17"/>
      <c r="O1191" s="17"/>
      <c r="P1191" s="17"/>
      <c r="Q1191" s="17"/>
      <c r="R1191" s="1"/>
      <c r="S1191" s="1"/>
    </row>
    <row r="1192" spans="1:19" x14ac:dyDescent="0.35">
      <c r="A1192" s="6"/>
      <c r="B1192" s="13"/>
      <c r="C1192" s="81"/>
      <c r="D1192" s="4"/>
      <c r="E1192" s="8"/>
      <c r="F1192" s="17"/>
      <c r="G1192" s="17"/>
      <c r="H1192" s="17"/>
      <c r="I1192" s="17"/>
      <c r="J1192" s="17"/>
      <c r="K1192" s="17"/>
      <c r="L1192" s="17"/>
      <c r="M1192" s="17"/>
      <c r="N1192" s="17"/>
      <c r="O1192" s="17"/>
      <c r="P1192" s="17"/>
      <c r="Q1192" s="17"/>
      <c r="R1192" s="1"/>
      <c r="S1192" s="1"/>
    </row>
    <row r="1193" spans="1:19" x14ac:dyDescent="0.35">
      <c r="A1193" s="6"/>
      <c r="B1193" s="13"/>
      <c r="C1193" s="81"/>
      <c r="D1193" s="4"/>
      <c r="E1193" s="8"/>
      <c r="F1193" s="17"/>
      <c r="G1193" s="17"/>
      <c r="H1193" s="17"/>
      <c r="I1193" s="17"/>
      <c r="J1193" s="17"/>
      <c r="K1193" s="17"/>
      <c r="L1193" s="17"/>
      <c r="M1193" s="17"/>
      <c r="N1193" s="17"/>
      <c r="O1193" s="17"/>
      <c r="P1193" s="17"/>
      <c r="Q1193" s="17"/>
      <c r="R1193" s="1"/>
      <c r="S1193" s="1"/>
    </row>
    <row r="1194" spans="1:19" x14ac:dyDescent="0.35">
      <c r="A1194" s="6"/>
      <c r="B1194" s="13"/>
      <c r="C1194" s="81"/>
      <c r="D1194" s="4"/>
      <c r="E1194" s="8"/>
      <c r="F1194" s="17"/>
      <c r="G1194" s="17"/>
      <c r="H1194" s="17"/>
      <c r="I1194" s="17"/>
      <c r="J1194" s="17"/>
      <c r="K1194" s="17"/>
      <c r="L1194" s="17"/>
      <c r="M1194" s="17"/>
      <c r="N1194" s="17"/>
      <c r="O1194" s="17"/>
      <c r="P1194" s="17"/>
      <c r="Q1194" s="17"/>
      <c r="R1194" s="1"/>
      <c r="S1194" s="1"/>
    </row>
    <row r="1195" spans="1:19" x14ac:dyDescent="0.35">
      <c r="A1195" s="6"/>
      <c r="B1195" s="13"/>
      <c r="C1195" s="81"/>
      <c r="D1195" s="4"/>
      <c r="E1195" s="8"/>
      <c r="F1195" s="17"/>
      <c r="G1195" s="17"/>
      <c r="H1195" s="17"/>
      <c r="I1195" s="17"/>
      <c r="J1195" s="17"/>
      <c r="K1195" s="17"/>
      <c r="L1195" s="17"/>
      <c r="M1195" s="17"/>
      <c r="N1195" s="17"/>
      <c r="O1195" s="17"/>
      <c r="P1195" s="17"/>
      <c r="Q1195" s="17"/>
      <c r="R1195" s="1"/>
      <c r="S1195" s="1"/>
    </row>
    <row r="1196" spans="1:19" x14ac:dyDescent="0.35">
      <c r="A1196" s="6"/>
      <c r="B1196" s="13"/>
      <c r="C1196" s="81"/>
      <c r="D1196" s="4"/>
      <c r="E1196" s="8"/>
      <c r="F1196" s="17"/>
      <c r="G1196" s="17"/>
      <c r="H1196" s="17"/>
      <c r="I1196" s="17"/>
      <c r="J1196" s="17"/>
      <c r="K1196" s="17"/>
      <c r="L1196" s="17"/>
      <c r="M1196" s="17"/>
      <c r="N1196" s="17"/>
      <c r="O1196" s="17"/>
      <c r="P1196" s="17"/>
      <c r="Q1196" s="17"/>
      <c r="R1196" s="1"/>
      <c r="S1196" s="1"/>
    </row>
    <row r="1197" spans="1:19" x14ac:dyDescent="0.35">
      <c r="A1197" s="6"/>
      <c r="B1197" s="13"/>
      <c r="C1197" s="81"/>
      <c r="D1197" s="4"/>
      <c r="E1197" s="8"/>
      <c r="F1197" s="17"/>
      <c r="G1197" s="17"/>
      <c r="H1197" s="17"/>
      <c r="I1197" s="17"/>
      <c r="J1197" s="17"/>
      <c r="K1197" s="17"/>
      <c r="L1197" s="17"/>
      <c r="M1197" s="17"/>
      <c r="N1197" s="17"/>
      <c r="O1197" s="17"/>
      <c r="P1197" s="17"/>
      <c r="Q1197" s="17"/>
      <c r="R1197" s="1"/>
      <c r="S1197" s="1"/>
    </row>
    <row r="1198" spans="1:19" x14ac:dyDescent="0.35">
      <c r="A1198" s="6"/>
      <c r="B1198" s="13"/>
      <c r="C1198" s="81"/>
      <c r="D1198" s="4"/>
      <c r="E1198" s="8"/>
      <c r="F1198" s="17"/>
      <c r="G1198" s="17"/>
      <c r="H1198" s="17"/>
      <c r="I1198" s="17"/>
      <c r="J1198" s="17"/>
      <c r="K1198" s="17"/>
      <c r="L1198" s="17"/>
      <c r="M1198" s="17"/>
      <c r="N1198" s="17"/>
      <c r="O1198" s="17"/>
      <c r="P1198" s="17"/>
      <c r="Q1198" s="17"/>
      <c r="R1198" s="1"/>
      <c r="S1198" s="1"/>
    </row>
    <row r="1199" spans="1:19" x14ac:dyDescent="0.35">
      <c r="A1199" s="6"/>
      <c r="B1199" s="13"/>
      <c r="C1199" s="81"/>
      <c r="D1199" s="4"/>
      <c r="E1199" s="8"/>
      <c r="F1199" s="17"/>
      <c r="G1199" s="17"/>
      <c r="H1199" s="17"/>
      <c r="I1199" s="17"/>
      <c r="J1199" s="17"/>
      <c r="K1199" s="17"/>
      <c r="L1199" s="17"/>
      <c r="M1199" s="17"/>
      <c r="N1199" s="17"/>
      <c r="O1199" s="17"/>
      <c r="P1199" s="17"/>
      <c r="Q1199" s="17"/>
      <c r="R1199" s="1"/>
      <c r="S1199" s="1"/>
    </row>
    <row r="1200" spans="1:19" x14ac:dyDescent="0.35">
      <c r="A1200" s="6"/>
      <c r="B1200" s="13"/>
      <c r="C1200" s="81"/>
      <c r="D1200" s="4"/>
      <c r="E1200" s="8"/>
      <c r="F1200" s="17"/>
      <c r="G1200" s="17"/>
      <c r="H1200" s="17"/>
      <c r="I1200" s="17"/>
      <c r="J1200" s="17"/>
      <c r="K1200" s="17"/>
      <c r="L1200" s="17"/>
      <c r="M1200" s="17"/>
      <c r="N1200" s="17"/>
      <c r="O1200" s="17"/>
      <c r="P1200" s="17"/>
      <c r="Q1200" s="17"/>
      <c r="R1200" s="1"/>
      <c r="S1200" s="1"/>
    </row>
    <row r="1201" spans="1:19" x14ac:dyDescent="0.35">
      <c r="A1201" s="6"/>
      <c r="B1201" s="13"/>
      <c r="C1201" s="81"/>
      <c r="D1201" s="4"/>
      <c r="E1201" s="8"/>
      <c r="F1201" s="17"/>
      <c r="G1201" s="17"/>
      <c r="H1201" s="17"/>
      <c r="I1201" s="17"/>
      <c r="J1201" s="17"/>
      <c r="K1201" s="17"/>
      <c r="L1201" s="17"/>
      <c r="M1201" s="17"/>
      <c r="N1201" s="17"/>
      <c r="O1201" s="17"/>
      <c r="P1201" s="17"/>
      <c r="Q1201" s="17"/>
      <c r="R1201" s="1"/>
      <c r="S1201" s="1"/>
    </row>
  </sheetData>
  <mergeCells count="175">
    <mergeCell ref="T256:T266"/>
    <mergeCell ref="U256:U266"/>
    <mergeCell ref="T157:T167"/>
    <mergeCell ref="U157:U167"/>
    <mergeCell ref="T168:T178"/>
    <mergeCell ref="U168:U178"/>
    <mergeCell ref="T267:T277"/>
    <mergeCell ref="U267:U277"/>
    <mergeCell ref="T278:T288"/>
    <mergeCell ref="U278:U288"/>
    <mergeCell ref="T234:T244"/>
    <mergeCell ref="U234:U244"/>
    <mergeCell ref="T245:T255"/>
    <mergeCell ref="U245:U255"/>
    <mergeCell ref="T212:T222"/>
    <mergeCell ref="U212:U222"/>
    <mergeCell ref="T223:T233"/>
    <mergeCell ref="U223:U233"/>
    <mergeCell ref="T179:T189"/>
    <mergeCell ref="U179:U189"/>
    <mergeCell ref="T190:T200"/>
    <mergeCell ref="U190:U200"/>
    <mergeCell ref="A245:A255"/>
    <mergeCell ref="B245:B255"/>
    <mergeCell ref="C245:C255"/>
    <mergeCell ref="D245:D255"/>
    <mergeCell ref="E250:Q250"/>
    <mergeCell ref="A223:A233"/>
    <mergeCell ref="B223:B233"/>
    <mergeCell ref="C223:C233"/>
    <mergeCell ref="D223:D233"/>
    <mergeCell ref="E228:Q228"/>
    <mergeCell ref="A234:A244"/>
    <mergeCell ref="B234:B244"/>
    <mergeCell ref="C234:C244"/>
    <mergeCell ref="D234:D244"/>
    <mergeCell ref="E239:Q239"/>
    <mergeCell ref="A278:A304"/>
    <mergeCell ref="B278:B304"/>
    <mergeCell ref="D278:D304"/>
    <mergeCell ref="E283:Q283"/>
    <mergeCell ref="A256:A266"/>
    <mergeCell ref="B256:B266"/>
    <mergeCell ref="C256:C266"/>
    <mergeCell ref="D256:D266"/>
    <mergeCell ref="E261:Q261"/>
    <mergeCell ref="A267:A277"/>
    <mergeCell ref="B267:B277"/>
    <mergeCell ref="C267:C277"/>
    <mergeCell ref="D267:D277"/>
    <mergeCell ref="E272:Q272"/>
    <mergeCell ref="C278:C303"/>
    <mergeCell ref="B212:B222"/>
    <mergeCell ref="C212:C222"/>
    <mergeCell ref="D212:D222"/>
    <mergeCell ref="A179:A189"/>
    <mergeCell ref="B179:B189"/>
    <mergeCell ref="C179:C189"/>
    <mergeCell ref="D179:D189"/>
    <mergeCell ref="E184:Q184"/>
    <mergeCell ref="A190:A200"/>
    <mergeCell ref="B190:B200"/>
    <mergeCell ref="C190:C200"/>
    <mergeCell ref="D190:D200"/>
    <mergeCell ref="E195:Q195"/>
    <mergeCell ref="E217:Q217"/>
    <mergeCell ref="A201:A211"/>
    <mergeCell ref="B201:B211"/>
    <mergeCell ref="C201:C211"/>
    <mergeCell ref="D201:D211"/>
    <mergeCell ref="E206:Q206"/>
    <mergeCell ref="A212:A222"/>
    <mergeCell ref="A157:A167"/>
    <mergeCell ref="B157:B167"/>
    <mergeCell ref="C157:C167"/>
    <mergeCell ref="D157:D167"/>
    <mergeCell ref="E162:Q162"/>
    <mergeCell ref="A168:A178"/>
    <mergeCell ref="B168:B178"/>
    <mergeCell ref="C168:C178"/>
    <mergeCell ref="D168:D178"/>
    <mergeCell ref="E173:Q173"/>
    <mergeCell ref="A135:A145"/>
    <mergeCell ref="B135:B145"/>
    <mergeCell ref="C135:C145"/>
    <mergeCell ref="D135:D145"/>
    <mergeCell ref="E140:Q140"/>
    <mergeCell ref="A146:A156"/>
    <mergeCell ref="B146:B156"/>
    <mergeCell ref="C146:C156"/>
    <mergeCell ref="D146:D156"/>
    <mergeCell ref="E151:Q151"/>
    <mergeCell ref="A113:A123"/>
    <mergeCell ref="B113:B123"/>
    <mergeCell ref="C113:C123"/>
    <mergeCell ref="D113:D123"/>
    <mergeCell ref="E118:Q118"/>
    <mergeCell ref="A124:A134"/>
    <mergeCell ref="B124:B134"/>
    <mergeCell ref="C124:C134"/>
    <mergeCell ref="D124:D134"/>
    <mergeCell ref="E129:Q129"/>
    <mergeCell ref="A91:A101"/>
    <mergeCell ref="B91:B101"/>
    <mergeCell ref="C91:C101"/>
    <mergeCell ref="D91:D101"/>
    <mergeCell ref="E96:Q96"/>
    <mergeCell ref="A102:A112"/>
    <mergeCell ref="B102:B112"/>
    <mergeCell ref="C102:C112"/>
    <mergeCell ref="D102:D112"/>
    <mergeCell ref="E107:Q107"/>
    <mergeCell ref="A69:A79"/>
    <mergeCell ref="B69:B79"/>
    <mergeCell ref="C69:C79"/>
    <mergeCell ref="D69:D79"/>
    <mergeCell ref="E74:Q74"/>
    <mergeCell ref="A80:A90"/>
    <mergeCell ref="B80:B90"/>
    <mergeCell ref="C80:C90"/>
    <mergeCell ref="D80:D90"/>
    <mergeCell ref="E85:Q85"/>
    <mergeCell ref="A47:A57"/>
    <mergeCell ref="B47:B57"/>
    <mergeCell ref="C47:C57"/>
    <mergeCell ref="D47:D57"/>
    <mergeCell ref="E52:Q52"/>
    <mergeCell ref="A58:A68"/>
    <mergeCell ref="B58:B68"/>
    <mergeCell ref="C58:C68"/>
    <mergeCell ref="D58:D68"/>
    <mergeCell ref="E63:Q63"/>
    <mergeCell ref="A25:A35"/>
    <mergeCell ref="B25:B35"/>
    <mergeCell ref="C25:C35"/>
    <mergeCell ref="D25:D35"/>
    <mergeCell ref="E30:Q30"/>
    <mergeCell ref="A36:A46"/>
    <mergeCell ref="B36:B46"/>
    <mergeCell ref="C36:C46"/>
    <mergeCell ref="D36:D46"/>
    <mergeCell ref="E41:Q41"/>
    <mergeCell ref="A1:R1"/>
    <mergeCell ref="A3:A13"/>
    <mergeCell ref="B3:B13"/>
    <mergeCell ref="C3:C13"/>
    <mergeCell ref="D3:D13"/>
    <mergeCell ref="E8:Q8"/>
    <mergeCell ref="A14:A24"/>
    <mergeCell ref="B14:B24"/>
    <mergeCell ref="C14:C24"/>
    <mergeCell ref="D14:D24"/>
    <mergeCell ref="E19:Q19"/>
    <mergeCell ref="R2:S2"/>
    <mergeCell ref="U69:U90"/>
    <mergeCell ref="T69:T90"/>
    <mergeCell ref="T25:T35"/>
    <mergeCell ref="T36:T46"/>
    <mergeCell ref="T47:T57"/>
    <mergeCell ref="T58:T68"/>
    <mergeCell ref="U3:U68"/>
    <mergeCell ref="T3:T13"/>
    <mergeCell ref="T14:T24"/>
    <mergeCell ref="T124:T134"/>
    <mergeCell ref="U124:U134"/>
    <mergeCell ref="T135:T145"/>
    <mergeCell ref="U135:U145"/>
    <mergeCell ref="T201:T211"/>
    <mergeCell ref="U201:U211"/>
    <mergeCell ref="T113:T123"/>
    <mergeCell ref="U91:U112"/>
    <mergeCell ref="T91:T112"/>
    <mergeCell ref="U113:U123"/>
    <mergeCell ref="T146:T156"/>
    <mergeCell ref="U146:U156"/>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J228"/>
  <sheetViews>
    <sheetView zoomScale="87" zoomScaleNormal="87" workbookViewId="0">
      <selection activeCell="AB3" sqref="AB3"/>
    </sheetView>
  </sheetViews>
  <sheetFormatPr defaultRowHeight="14.5" x14ac:dyDescent="0.35"/>
  <cols>
    <col min="1" max="1" width="22.7265625" customWidth="1"/>
    <col min="3" max="3" width="28.1796875" style="321" customWidth="1"/>
    <col min="4" max="13" width="15" customWidth="1"/>
    <col min="14" max="14" width="15.7265625" customWidth="1"/>
    <col min="15" max="22" width="15" customWidth="1"/>
    <col min="23" max="24" width="20.1796875" bestFit="1" customWidth="1"/>
    <col min="25" max="25" width="15" customWidth="1"/>
    <col min="27" max="29" width="13.26953125" bestFit="1" customWidth="1"/>
    <col min="30" max="32" width="13.1796875" customWidth="1"/>
    <col min="33" max="33" width="16.26953125" customWidth="1"/>
    <col min="34" max="34" width="4.26953125" customWidth="1"/>
    <col min="35" max="36" width="11.26953125" customWidth="1"/>
    <col min="37" max="41" width="8.1796875" customWidth="1"/>
    <col min="42" max="42" width="16.26953125" bestFit="1" customWidth="1"/>
    <col min="43" max="43" width="5.81640625" customWidth="1"/>
    <col min="44" max="44" width="10" bestFit="1" customWidth="1"/>
    <col min="45" max="45" width="13.1796875" bestFit="1" customWidth="1"/>
    <col min="46" max="46" width="10" bestFit="1" customWidth="1"/>
    <col min="47" max="47" width="13.1796875" bestFit="1" customWidth="1"/>
    <col min="48" max="48" width="10" bestFit="1" customWidth="1"/>
    <col min="49" max="49" width="13.1796875" bestFit="1" customWidth="1"/>
    <col min="50" max="50" width="10" bestFit="1" customWidth="1"/>
    <col min="51" max="51" width="13.1796875" bestFit="1" customWidth="1"/>
    <col min="52" max="52" width="10" bestFit="1" customWidth="1"/>
    <col min="53" max="53" width="13.1796875" bestFit="1" customWidth="1"/>
    <col min="54" max="54" width="10" bestFit="1" customWidth="1"/>
    <col min="55" max="55" width="13.1796875" bestFit="1" customWidth="1"/>
    <col min="56" max="56" width="10" bestFit="1" customWidth="1"/>
    <col min="57" max="57" width="13.1796875" bestFit="1" customWidth="1"/>
    <col min="58" max="58" width="10" bestFit="1" customWidth="1"/>
    <col min="59" max="59" width="13.1796875" bestFit="1" customWidth="1"/>
    <col min="60" max="60" width="10" bestFit="1" customWidth="1"/>
    <col min="61" max="61" width="13.1796875" bestFit="1" customWidth="1"/>
  </cols>
  <sheetData>
    <row r="1" spans="1:36" ht="43.5" x14ac:dyDescent="0.35">
      <c r="A1" s="299" t="s">
        <v>442</v>
      </c>
      <c r="B1" s="3" t="s">
        <v>443</v>
      </c>
      <c r="C1" s="323" t="s">
        <v>444</v>
      </c>
      <c r="D1" s="158" t="s">
        <v>445</v>
      </c>
      <c r="E1" s="158" t="s">
        <v>446</v>
      </c>
      <c r="F1" s="158" t="s">
        <v>447</v>
      </c>
      <c r="G1" s="158" t="s">
        <v>448</v>
      </c>
      <c r="H1" s="158" t="s">
        <v>449</v>
      </c>
      <c r="I1" s="159" t="s">
        <v>450</v>
      </c>
      <c r="J1" s="169" t="s">
        <v>451</v>
      </c>
      <c r="K1" s="173" t="s">
        <v>445</v>
      </c>
      <c r="L1" s="173" t="s">
        <v>446</v>
      </c>
      <c r="M1" s="173" t="s">
        <v>384</v>
      </c>
      <c r="N1" s="173" t="s">
        <v>450</v>
      </c>
      <c r="O1" s="173" t="s">
        <v>452</v>
      </c>
      <c r="P1" s="325"/>
      <c r="Q1" s="173"/>
      <c r="R1" s="173"/>
      <c r="S1" s="173"/>
      <c r="T1" s="173"/>
      <c r="U1" s="173"/>
      <c r="V1" s="173"/>
      <c r="W1" s="173"/>
      <c r="X1" s="173"/>
      <c r="Y1" s="173"/>
      <c r="AA1" s="170" t="s">
        <v>453</v>
      </c>
    </row>
    <row r="2" spans="1:36" x14ac:dyDescent="0.35">
      <c r="A2" t="str">
        <f>INDEX('Example Logframe'!F:F,6,1)</f>
        <v>AL04</v>
      </c>
      <c r="B2" s="3">
        <v>0.01</v>
      </c>
      <c r="C2" s="321" t="str">
        <f>INDEX('Example Logframe'!B:B,6,1)</f>
        <v>AL041</v>
      </c>
      <c r="D2" t="str">
        <f>IF(LEFT(A2,1)="B",A2,"")</f>
        <v/>
      </c>
      <c r="E2" t="str">
        <f>IF(LEN(IF(LEFT(A2,1)="P",A2,""))=7,IF(LEFT(A2,1)="P",A2,""),"")</f>
        <v/>
      </c>
      <c r="F2" t="str">
        <f t="shared" ref="F2:F65" si="0">IF(ISNUMBER(SEARCH("Code",A:A)),"",IF(LEN(A2)=4,A2,""))</f>
        <v>AL04</v>
      </c>
      <c r="G2" t="str">
        <f>IF(LEN(A2)=3,A2,"")</f>
        <v/>
      </c>
      <c r="H2" t="str">
        <f t="shared" ref="H2:H65" si="1">IF(LEN(A2)=5,A2,"")</f>
        <v/>
      </c>
      <c r="I2" s="157" t="str">
        <f t="shared" ref="I2:I65" si="2">CONCATENATE(F:F,G:G,H:H)</f>
        <v>AL04</v>
      </c>
      <c r="J2" s="157"/>
      <c r="K2" s="157" t="str">
        <f t="shared" ref="K2:K65" si="3">IF(LEN(CONCATENATE(B:B,D:D))&gt;4,CONCATENATE(B:B,D:D),"")</f>
        <v/>
      </c>
      <c r="L2" s="157" t="str">
        <f t="shared" ref="L2:L65" si="4">IF(LEN(CONCATENATE(B:B,E:E))&gt;4,CONCATENATE(B:B,E:E),"")</f>
        <v/>
      </c>
      <c r="M2" s="157"/>
      <c r="N2" s="157" t="str">
        <f>IF(LEN(CONCATENATE(B:B,I:I))&gt;4,CONCATENATE(B:B,I:I),"")</f>
        <v>0.01AL04</v>
      </c>
      <c r="O2" s="174" t="str">
        <f>Table132[[#This Row],[Combined List]]</f>
        <v>AL04</v>
      </c>
      <c r="P2" s="157"/>
      <c r="Q2" s="174"/>
      <c r="R2" s="174"/>
      <c r="S2" s="174"/>
      <c r="T2" s="174"/>
      <c r="U2" s="174"/>
      <c r="V2" s="174"/>
      <c r="W2" s="174"/>
      <c r="X2" s="174"/>
      <c r="Y2" s="174"/>
      <c r="AA2" s="169" t="s">
        <v>454</v>
      </c>
    </row>
    <row r="3" spans="1:36" x14ac:dyDescent="0.35">
      <c r="A3" t="str">
        <f>INDEX('Example Logframe'!F:F,7,1)</f>
        <v>AL11</v>
      </c>
      <c r="B3" s="3">
        <v>0.02</v>
      </c>
      <c r="C3" s="321" t="str">
        <f>INDEX('Example Logframe'!B:B,7,1)</f>
        <v>AL111.1</v>
      </c>
      <c r="D3" t="str">
        <f t="shared" ref="D3:D66" si="5">IF(LEFT(A3,1)="B",A3,"")</f>
        <v/>
      </c>
      <c r="E3" t="str">
        <f t="shared" ref="E3:E66" si="6">IF(LEN(IF(LEFT(A3,1)="P",A3,""))=7,IF(LEFT(A3,1)="P",A3,""),"")</f>
        <v/>
      </c>
      <c r="F3" t="str">
        <f t="shared" si="0"/>
        <v>AL11</v>
      </c>
      <c r="G3" t="str">
        <f t="shared" ref="G3:G66" si="7">IF(LEN(A3)=3,A3,"")</f>
        <v/>
      </c>
      <c r="H3" t="str">
        <f t="shared" si="1"/>
        <v/>
      </c>
      <c r="I3" s="157" t="str">
        <f t="shared" si="2"/>
        <v>AL11</v>
      </c>
      <c r="J3" s="157"/>
      <c r="K3" s="157" t="str">
        <f t="shared" si="3"/>
        <v/>
      </c>
      <c r="L3" s="157" t="str">
        <f t="shared" si="4"/>
        <v/>
      </c>
      <c r="M3" s="157"/>
      <c r="N3" s="157" t="str">
        <f t="shared" ref="N3:N65" si="8">IF(LEN(CONCATENATE(B:B,I:I))&gt;4,CONCATENATE(B:B,I:I),"")</f>
        <v>0.02AL11</v>
      </c>
      <c r="O3" s="174" t="str">
        <f>Table132[[#This Row],[Combined List]]</f>
        <v>AL11</v>
      </c>
      <c r="P3" s="157"/>
      <c r="Q3" s="175" t="s">
        <v>455</v>
      </c>
      <c r="R3" s="175" t="s">
        <v>456</v>
      </c>
      <c r="S3" s="3" t="s">
        <v>450</v>
      </c>
      <c r="T3" s="175" t="s">
        <v>455</v>
      </c>
      <c r="U3" s="324" t="s">
        <v>456</v>
      </c>
      <c r="V3" s="3" t="s">
        <v>450</v>
      </c>
      <c r="W3" s="175" t="s">
        <v>457</v>
      </c>
      <c r="X3" s="324" t="s">
        <v>458</v>
      </c>
      <c r="Y3" s="3" t="s">
        <v>450</v>
      </c>
      <c r="AA3" s="153" t="s">
        <v>459</v>
      </c>
      <c r="AB3" s="153" t="s">
        <v>459</v>
      </c>
      <c r="AC3" s="153" t="s">
        <v>459</v>
      </c>
      <c r="AD3" s="175" t="s">
        <v>445</v>
      </c>
      <c r="AE3" s="175" t="s">
        <v>446</v>
      </c>
      <c r="AF3" s="3" t="s">
        <v>450</v>
      </c>
      <c r="AG3" s="170" t="s">
        <v>460</v>
      </c>
    </row>
    <row r="4" spans="1:36" x14ac:dyDescent="0.35">
      <c r="A4" t="str">
        <f>INDEX('Example Logframe'!F:F,8,1)</f>
        <v>P010101</v>
      </c>
      <c r="B4" s="3">
        <v>0.03</v>
      </c>
      <c r="C4" s="321" t="str">
        <f>INDEX('Example Logframe'!B:B,8,1)</f>
        <v>P0101011.1.1</v>
      </c>
      <c r="D4" t="str">
        <f t="shared" si="5"/>
        <v/>
      </c>
      <c r="E4" t="str">
        <f t="shared" si="6"/>
        <v>P010101</v>
      </c>
      <c r="F4" t="str">
        <f t="shared" si="0"/>
        <v/>
      </c>
      <c r="G4" t="str">
        <f t="shared" si="7"/>
        <v/>
      </c>
      <c r="H4" t="str">
        <f t="shared" si="1"/>
        <v/>
      </c>
      <c r="I4" s="157" t="str">
        <f t="shared" si="2"/>
        <v/>
      </c>
      <c r="J4" s="157"/>
      <c r="K4" s="157" t="str">
        <f t="shared" si="3"/>
        <v/>
      </c>
      <c r="L4" s="157" t="str">
        <f t="shared" si="4"/>
        <v>0.03P010101</v>
      </c>
      <c r="M4" s="157"/>
      <c r="N4" s="157" t="str">
        <f t="shared" si="8"/>
        <v/>
      </c>
      <c r="O4" s="174" t="str">
        <f>Table132[[#This Row],[Combined List]]</f>
        <v/>
      </c>
      <c r="P4" s="157"/>
      <c r="Q4" s="174"/>
      <c r="R4" s="174"/>
      <c r="S4" s="174"/>
      <c r="T4" s="174"/>
      <c r="U4" s="174"/>
      <c r="V4" s="174"/>
      <c r="W4" s="174"/>
      <c r="X4" s="174"/>
      <c r="Y4" s="174"/>
      <c r="AA4" s="154"/>
      <c r="AB4" s="154"/>
      <c r="AC4" s="154"/>
      <c r="AG4" s="170" t="s">
        <v>461</v>
      </c>
    </row>
    <row r="5" spans="1:36" x14ac:dyDescent="0.35">
      <c r="A5" t="str">
        <f>INDEX('Example Logframe'!F:F,9,1)</f>
        <v>P010107</v>
      </c>
      <c r="B5" s="3">
        <v>0.04</v>
      </c>
      <c r="C5" s="321" t="str">
        <f>INDEX('Example Logframe'!B:B,9,1)</f>
        <v>P0101071.1.2</v>
      </c>
      <c r="D5" t="str">
        <f t="shared" si="5"/>
        <v/>
      </c>
      <c r="E5" t="str">
        <f t="shared" si="6"/>
        <v>P010107</v>
      </c>
      <c r="F5" t="str">
        <f t="shared" si="0"/>
        <v/>
      </c>
      <c r="G5" t="str">
        <f t="shared" si="7"/>
        <v/>
      </c>
      <c r="H5" t="str">
        <f t="shared" si="1"/>
        <v/>
      </c>
      <c r="I5" s="157" t="str">
        <f t="shared" si="2"/>
        <v/>
      </c>
      <c r="J5" s="157"/>
      <c r="K5" s="157" t="str">
        <f t="shared" si="3"/>
        <v/>
      </c>
      <c r="L5" s="157" t="str">
        <f t="shared" si="4"/>
        <v>0.04P010107</v>
      </c>
      <c r="M5" s="157"/>
      <c r="N5" s="157" t="str">
        <f t="shared" si="8"/>
        <v/>
      </c>
      <c r="O5" s="174" t="str">
        <f>Table132[[#This Row],[Combined List]]</f>
        <v/>
      </c>
      <c r="P5" s="157">
        <v>1</v>
      </c>
      <c r="Q5" s="174">
        <f>IFERROR(VALUE(LEFT(AA:AA,4)),"")</f>
        <v>0.06</v>
      </c>
      <c r="R5" s="174">
        <f t="shared" ref="R5:R20" si="9">IFERROR(VALUE(LEFT(AB:AB,4)),"")</f>
        <v>0.03</v>
      </c>
      <c r="S5" s="174">
        <f>IFERROR(VALUE(LEFT(AC:AC,4)),"")</f>
        <v>0.01</v>
      </c>
      <c r="T5" s="174" t="str">
        <f>_xlfn.IFNA(VLOOKUP(Q:Q,$B:$C,2,FALSE),"")</f>
        <v>B0202011.1.4</v>
      </c>
      <c r="U5" s="174" t="str">
        <f>_xlfn.IFNA(VLOOKUP(R:R,$B:$C,2,FALSE),"")</f>
        <v>P0101011.1.1</v>
      </c>
      <c r="V5" s="174" t="str">
        <f>_xlfn.IFNA(VLOOKUP(S:S,$B:$C,2,FALSE),"")</f>
        <v>AL041</v>
      </c>
      <c r="W5" s="174" t="str">
        <f>_xlfn.IFNA(VLOOKUP(T:T,'Example Logframe'!$B:$G,6,FALSE),"")</f>
        <v># of tools distributed</v>
      </c>
      <c r="X5" s="174" t="str">
        <f>_xlfn.IFNA(VLOOKUP(U:U,'Example Logframe'!$B:$G,6,FALSE),"")</f>
        <v># of people trained on agronomic practices</v>
      </c>
      <c r="Y5" s="174" t="str">
        <f>_xlfn.IFNA(VLOOKUP(V:V,'Example Logframe'!$B:$G,6,FALSE),"")</f>
        <v>% of participants reaching target income from agricultural activities/production</v>
      </c>
      <c r="Z5">
        <v>1</v>
      </c>
      <c r="AA5" s="154" t="s">
        <v>462</v>
      </c>
      <c r="AB5" s="154" t="s">
        <v>463</v>
      </c>
      <c r="AC5" s="154" t="s">
        <v>464</v>
      </c>
      <c r="AD5" t="str">
        <f>RIGHT(AA:AA,7)</f>
        <v>B020201</v>
      </c>
      <c r="AE5" t="str">
        <f>RIGHT(AB:AB,7)</f>
        <v>P010101</v>
      </c>
      <c r="AF5" t="str">
        <f>_xlfn.IFNA(VLOOKUP(AC:AC,N:O,2,FALSE),"")</f>
        <v>AL04</v>
      </c>
    </row>
    <row r="6" spans="1:36" x14ac:dyDescent="0.35">
      <c r="A6" t="str">
        <f>INDEX('Example Logframe'!F:F,10,1)</f>
        <v>P020107</v>
      </c>
      <c r="B6" s="3">
        <v>0.05</v>
      </c>
      <c r="C6" s="321" t="str">
        <f>INDEX('Example Logframe'!B:B,10,1)</f>
        <v>P0201071.1.3</v>
      </c>
      <c r="D6" t="str">
        <f t="shared" si="5"/>
        <v/>
      </c>
      <c r="E6" t="str">
        <f t="shared" si="6"/>
        <v>P020107</v>
      </c>
      <c r="F6" t="str">
        <f t="shared" si="0"/>
        <v/>
      </c>
      <c r="G6" t="str">
        <f t="shared" si="7"/>
        <v/>
      </c>
      <c r="H6" t="str">
        <f t="shared" si="1"/>
        <v/>
      </c>
      <c r="I6" s="157" t="str">
        <f t="shared" si="2"/>
        <v/>
      </c>
      <c r="J6" s="157"/>
      <c r="K6" s="157" t="str">
        <f t="shared" si="3"/>
        <v/>
      </c>
      <c r="L6" s="157" t="str">
        <f t="shared" si="4"/>
        <v>0.05P020107</v>
      </c>
      <c r="M6" s="157"/>
      <c r="N6" s="157" t="str">
        <f t="shared" si="8"/>
        <v/>
      </c>
      <c r="O6" s="174" t="str">
        <f>Table132[[#This Row],[Combined List]]</f>
        <v/>
      </c>
      <c r="P6" s="157">
        <v>2</v>
      </c>
      <c r="Q6" s="174">
        <f t="shared" ref="Q6:Q69" si="10">IFERROR(VALUE(LEFT(AA:AA,4)),"")</f>
        <v>0.08</v>
      </c>
      <c r="R6" s="174">
        <f t="shared" si="9"/>
        <v>0.04</v>
      </c>
      <c r="S6" s="174">
        <f t="shared" ref="S6:S69" si="11">IFERROR(VALUE(LEFT(AC:AC,4)),"")</f>
        <v>0.02</v>
      </c>
      <c r="T6" s="174" t="str">
        <f t="shared" ref="T6:V69" si="12">_xlfn.IFNA(VLOOKUP(Q:Q,$B:$C,2,FALSE),"")</f>
        <v>B0202041.1.5</v>
      </c>
      <c r="U6" s="174" t="str">
        <f t="shared" si="12"/>
        <v>P0101071.1.2</v>
      </c>
      <c r="V6" s="174" t="str">
        <f t="shared" si="12"/>
        <v>AL111.1</v>
      </c>
      <c r="W6" s="174" t="str">
        <f>_xlfn.IFNA(VLOOKUP(T:T,'Example Logframe'!$B:$G,6,FALSE),"")</f>
        <v># of improved "seed packages" distributed</v>
      </c>
      <c r="X6" s="174" t="str">
        <f>_xlfn.IFNA(VLOOKUP(U:U,'Example Logframe'!$B:$G,6,FALSE),"")</f>
        <v># of people trained on food hygiene and security</v>
      </c>
      <c r="Y6" s="174" t="str">
        <f>_xlfn.IFNA(VLOOKUP(V:V,'Example Logframe'!$B:$G,6,FALSE),"")</f>
        <v xml:space="preserve">% of households with intensive vegetable crops production   </v>
      </c>
      <c r="Z6">
        <v>2</v>
      </c>
      <c r="AA6" s="154" t="s">
        <v>465</v>
      </c>
      <c r="AB6" s="154" t="s">
        <v>466</v>
      </c>
      <c r="AC6" s="154" t="s">
        <v>467</v>
      </c>
      <c r="AD6" t="str">
        <f t="shared" ref="AD6:AE21" si="13">RIGHT(AA:AA,7)</f>
        <v>B020204</v>
      </c>
      <c r="AE6" t="str">
        <f t="shared" si="13"/>
        <v>P010107</v>
      </c>
      <c r="AF6" t="str">
        <f>_xlfn.IFNA(VLOOKUP(AC:AC,N:O,2,FALSE),"")</f>
        <v>AL11</v>
      </c>
      <c r="AI6" s="171" t="s">
        <v>468</v>
      </c>
      <c r="AJ6" s="169"/>
    </row>
    <row r="7" spans="1:36" x14ac:dyDescent="0.35">
      <c r="A7" t="str">
        <f>INDEX('Example Logframe'!F:F,11,1)</f>
        <v>B020201</v>
      </c>
      <c r="B7" s="3">
        <v>0.06</v>
      </c>
      <c r="C7" s="321" t="str">
        <f>INDEX('Example Logframe'!B:B,11,1)</f>
        <v>B0202011.1.4</v>
      </c>
      <c r="D7" t="str">
        <f t="shared" si="5"/>
        <v>B020201</v>
      </c>
      <c r="E7" t="str">
        <f t="shared" si="6"/>
        <v/>
      </c>
      <c r="F7" t="str">
        <f t="shared" si="0"/>
        <v/>
      </c>
      <c r="G7" t="str">
        <f t="shared" si="7"/>
        <v/>
      </c>
      <c r="H7" t="str">
        <f t="shared" si="1"/>
        <v/>
      </c>
      <c r="I7" s="157" t="str">
        <f t="shared" si="2"/>
        <v/>
      </c>
      <c r="J7" s="157"/>
      <c r="K7" s="157" t="str">
        <f t="shared" si="3"/>
        <v>0.06B020201</v>
      </c>
      <c r="L7" s="157" t="str">
        <f t="shared" si="4"/>
        <v/>
      </c>
      <c r="M7" s="157"/>
      <c r="N7" s="157" t="str">
        <f t="shared" si="8"/>
        <v/>
      </c>
      <c r="O7" s="174" t="str">
        <f>Table132[[#This Row],[Combined List]]</f>
        <v/>
      </c>
      <c r="P7" s="157">
        <v>3</v>
      </c>
      <c r="Q7" s="174">
        <f t="shared" si="10"/>
        <v>0.11</v>
      </c>
      <c r="R7" s="174">
        <f t="shared" si="9"/>
        <v>0.05</v>
      </c>
      <c r="S7" s="174">
        <f t="shared" si="11"/>
        <v>0.14000000000000001</v>
      </c>
      <c r="T7" s="174" t="str">
        <f t="shared" si="12"/>
        <v>B0202031.1.6</v>
      </c>
      <c r="U7" s="174" t="str">
        <f t="shared" si="12"/>
        <v>P0201071.1.3</v>
      </c>
      <c r="V7" s="174" t="str">
        <f t="shared" si="12"/>
        <v>N/A11.2</v>
      </c>
      <c r="W7" s="174" t="str">
        <f>_xlfn.IFNA(VLOOKUP(T:T,'Example Logframe'!$B:$G,6,FALSE),"")</f>
        <v># of trees/saplings/seedlings distributed</v>
      </c>
      <c r="X7" s="174" t="str">
        <f>_xlfn.IFNA(VLOOKUP(U:U,'Example Logframe'!$B:$G,6,FALSE),"")</f>
        <v># of people trained in other (specify) livelihood trainings</v>
      </c>
      <c r="Y7" s="174" t="str">
        <f>_xlfn.IFNA(VLOOKUP(V:V,'Example Logframe'!$B:$G,6,FALSE),"")</f>
        <v xml:space="preserve"> % of households who demonstrate productive beekeeping techniques</v>
      </c>
      <c r="Z7">
        <v>3</v>
      </c>
      <c r="AA7" s="154" t="s">
        <v>469</v>
      </c>
      <c r="AB7" s="154" t="s">
        <v>470</v>
      </c>
      <c r="AC7" s="154" t="s">
        <v>471</v>
      </c>
      <c r="AD7" t="str">
        <f>RIGHT(AA:AA,7)</f>
        <v>B020203</v>
      </c>
      <c r="AE7" t="str">
        <f t="shared" si="13"/>
        <v>P020107</v>
      </c>
      <c r="AF7" t="str">
        <f t="shared" ref="AF7:AF69" si="14">_xlfn.IFNA(VLOOKUP(AC:AC,N:O,2,FALSE),"")</f>
        <v>N/A1</v>
      </c>
      <c r="AI7" s="171" t="s">
        <v>472</v>
      </c>
      <c r="AJ7" s="171" t="s">
        <v>473</v>
      </c>
    </row>
    <row r="8" spans="1:36" x14ac:dyDescent="0.35">
      <c r="A8" t="str">
        <f>INDEX('Example Logframe'!F:F,12,1)</f>
        <v>P020301</v>
      </c>
      <c r="B8" s="3">
        <v>7.0000000000000007E-2</v>
      </c>
      <c r="C8" s="321" t="str">
        <f>INDEX('Example Logframe'!B:B,12,1)</f>
        <v>P020301</v>
      </c>
      <c r="D8" t="str">
        <f t="shared" si="5"/>
        <v/>
      </c>
      <c r="E8" t="str">
        <f t="shared" si="6"/>
        <v>P020301</v>
      </c>
      <c r="F8" t="str">
        <f t="shared" si="0"/>
        <v/>
      </c>
      <c r="G8" t="str">
        <f t="shared" si="7"/>
        <v/>
      </c>
      <c r="H8" t="str">
        <f t="shared" si="1"/>
        <v/>
      </c>
      <c r="I8" s="157" t="str">
        <f t="shared" si="2"/>
        <v/>
      </c>
      <c r="J8" s="157"/>
      <c r="K8" s="157" t="str">
        <f t="shared" si="3"/>
        <v/>
      </c>
      <c r="L8" s="157" t="str">
        <f t="shared" si="4"/>
        <v>0.07P020301</v>
      </c>
      <c r="M8" s="157"/>
      <c r="N8" s="157" t="str">
        <f t="shared" si="8"/>
        <v/>
      </c>
      <c r="O8" s="174" t="str">
        <f>Table132[[#This Row],[Combined List]]</f>
        <v/>
      </c>
      <c r="P8" s="157">
        <v>4</v>
      </c>
      <c r="Q8" s="174">
        <f t="shared" si="10"/>
        <v>0.13</v>
      </c>
      <c r="R8" s="174">
        <f t="shared" si="9"/>
        <v>7.0000000000000007E-2</v>
      </c>
      <c r="S8" s="174">
        <f t="shared" si="11"/>
        <v>0.38</v>
      </c>
      <c r="T8" s="174" t="str">
        <f t="shared" si="12"/>
        <v>B0100041.1.7</v>
      </c>
      <c r="U8" s="174" t="str">
        <f t="shared" si="12"/>
        <v>P020301</v>
      </c>
      <c r="V8" s="174" t="str">
        <f t="shared" si="12"/>
        <v>FA052</v>
      </c>
      <c r="W8" s="174" t="str">
        <f>_xlfn.IFNA(VLOOKUP(T:T,'Example Logframe'!$B:$G,6,FALSE),"")</f>
        <v># of kitchen gardens established</v>
      </c>
      <c r="X8" s="174" t="str">
        <f>_xlfn.IFNA(VLOOKUP(U:U,'Example Logframe'!$B:$G,6,FALSE),"")</f>
        <v xml:space="preserve"># of people provided with tools </v>
      </c>
      <c r="Y8" s="174" t="str">
        <f>_xlfn.IFNA(VLOOKUP(V:V,'Example Logframe'!$B:$G,6,FALSE),"")</f>
        <v>Average Household Dietary Diversity Score</v>
      </c>
      <c r="Z8">
        <v>4</v>
      </c>
      <c r="AA8" s="154" t="s">
        <v>474</v>
      </c>
      <c r="AB8" s="154" t="s">
        <v>475</v>
      </c>
      <c r="AC8" s="154" t="s">
        <v>476</v>
      </c>
      <c r="AD8" t="str">
        <f t="shared" si="13"/>
        <v>B010004</v>
      </c>
      <c r="AE8" t="str">
        <f t="shared" si="13"/>
        <v>P020301</v>
      </c>
      <c r="AF8" t="str">
        <f t="shared" si="14"/>
        <v>FA05</v>
      </c>
      <c r="AI8" s="171" t="s">
        <v>477</v>
      </c>
      <c r="AJ8" s="171" t="s">
        <v>478</v>
      </c>
    </row>
    <row r="9" spans="1:36" x14ac:dyDescent="0.35">
      <c r="A9" t="str">
        <f>INDEX('Example Logframe'!F:F,13,1)</f>
        <v>B020204</v>
      </c>
      <c r="B9" s="3">
        <v>0.08</v>
      </c>
      <c r="C9" s="321" t="str">
        <f>INDEX('Example Logframe'!B:B,13,1)</f>
        <v>B0202041.1.5</v>
      </c>
      <c r="D9" t="str">
        <f t="shared" si="5"/>
        <v>B020204</v>
      </c>
      <c r="E9" t="str">
        <f t="shared" si="6"/>
        <v/>
      </c>
      <c r="F9" t="str">
        <f t="shared" si="0"/>
        <v/>
      </c>
      <c r="G9" t="str">
        <f t="shared" si="7"/>
        <v/>
      </c>
      <c r="H9" t="str">
        <f t="shared" si="1"/>
        <v/>
      </c>
      <c r="I9" s="157" t="str">
        <f t="shared" si="2"/>
        <v/>
      </c>
      <c r="J9" s="157"/>
      <c r="K9" s="157" t="str">
        <f t="shared" si="3"/>
        <v>0.08B020204</v>
      </c>
      <c r="L9" s="157" t="str">
        <f t="shared" si="4"/>
        <v/>
      </c>
      <c r="M9" s="157"/>
      <c r="N9" s="157" t="str">
        <f t="shared" si="8"/>
        <v/>
      </c>
      <c r="O9" s="174" t="str">
        <f>Table132[[#This Row],[Combined List]]</f>
        <v/>
      </c>
      <c r="P9" s="157">
        <v>5</v>
      </c>
      <c r="Q9" s="174">
        <f t="shared" si="10"/>
        <v>0.15</v>
      </c>
      <c r="R9" s="174">
        <f t="shared" si="9"/>
        <v>0.09</v>
      </c>
      <c r="S9" s="174">
        <f t="shared" si="11"/>
        <v>0.39</v>
      </c>
      <c r="T9" s="174" t="str">
        <f t="shared" si="12"/>
        <v>B0103071.2.1</v>
      </c>
      <c r="U9" s="174" t="str">
        <f t="shared" si="12"/>
        <v>P020304</v>
      </c>
      <c r="V9" s="174" t="str">
        <f t="shared" si="12"/>
        <v>N/A22.1</v>
      </c>
      <c r="W9" s="174" t="str">
        <f>_xlfn.IFNA(VLOOKUP(T:T,'Example Logframe'!$B:$G,6,FALSE),"")</f>
        <v/>
      </c>
      <c r="X9" s="174" t="str">
        <f>_xlfn.IFNA(VLOOKUP(U:U,'Example Logframe'!$B:$G,6,FALSE),"")</f>
        <v xml:space="preserve"># of people provided with improved "seed packages" </v>
      </c>
      <c r="Y9" s="174" t="str">
        <f>_xlfn.IFNA(VLOOKUP(V:V,'Example Logframe'!$B:$G,6,FALSE),"")</f>
        <v xml:space="preserve"> % of HHs that can list at least 3 health benefits of eating vegetables </v>
      </c>
      <c r="Z9">
        <v>5</v>
      </c>
      <c r="AA9" s="154" t="s">
        <v>479</v>
      </c>
      <c r="AB9" s="154" t="s">
        <v>480</v>
      </c>
      <c r="AC9" s="154" t="s">
        <v>481</v>
      </c>
      <c r="AD9" t="str">
        <f t="shared" si="13"/>
        <v>B010307</v>
      </c>
      <c r="AE9" t="str">
        <f t="shared" si="13"/>
        <v>P020304</v>
      </c>
      <c r="AF9" t="str">
        <f t="shared" si="14"/>
        <v>N/A2</v>
      </c>
      <c r="AI9" s="171" t="s">
        <v>482</v>
      </c>
      <c r="AJ9" s="171" t="s">
        <v>483</v>
      </c>
    </row>
    <row r="10" spans="1:36" x14ac:dyDescent="0.35">
      <c r="A10" t="str">
        <f>INDEX('Example Logframe'!F:F,14,1)</f>
        <v>P020304</v>
      </c>
      <c r="B10" s="3">
        <v>0.09</v>
      </c>
      <c r="C10" s="321" t="str">
        <f>INDEX('Example Logframe'!B:B,14,1)</f>
        <v>P020304</v>
      </c>
      <c r="D10" t="str">
        <f t="shared" si="5"/>
        <v/>
      </c>
      <c r="E10" t="str">
        <f t="shared" si="6"/>
        <v>P020304</v>
      </c>
      <c r="F10" t="str">
        <f t="shared" si="0"/>
        <v/>
      </c>
      <c r="G10" t="str">
        <f t="shared" si="7"/>
        <v/>
      </c>
      <c r="H10" t="str">
        <f t="shared" si="1"/>
        <v/>
      </c>
      <c r="I10" s="157" t="str">
        <f t="shared" si="2"/>
        <v/>
      </c>
      <c r="J10" s="157"/>
      <c r="K10" s="157" t="str">
        <f t="shared" si="3"/>
        <v/>
      </c>
      <c r="L10" s="157" t="str">
        <f t="shared" si="4"/>
        <v>0.09P020304</v>
      </c>
      <c r="M10" s="157"/>
      <c r="N10" s="157" t="str">
        <f t="shared" si="8"/>
        <v/>
      </c>
      <c r="O10" s="174" t="str">
        <f>Table132[[#This Row],[Combined List]]</f>
        <v/>
      </c>
      <c r="P10" s="157">
        <v>6</v>
      </c>
      <c r="Q10" s="174">
        <f t="shared" si="10"/>
        <v>0.17</v>
      </c>
      <c r="R10" s="174">
        <f t="shared" si="9"/>
        <v>0.12</v>
      </c>
      <c r="S10" s="174" t="str">
        <f t="shared" si="11"/>
        <v/>
      </c>
      <c r="T10" s="174" t="str">
        <f t="shared" si="12"/>
        <v>B0202011.2.2</v>
      </c>
      <c r="U10" s="174" t="str">
        <f t="shared" si="12"/>
        <v>P020303</v>
      </c>
      <c r="V10" s="174" t="str">
        <f t="shared" si="12"/>
        <v/>
      </c>
      <c r="W10" s="174" t="str">
        <f>_xlfn.IFNA(VLOOKUP(T:T,'Example Logframe'!$B:$G,6,FALSE),"")</f>
        <v># of tools distributed</v>
      </c>
      <c r="X10" s="174" t="str">
        <f>_xlfn.IFNA(VLOOKUP(U:U,'Example Logframe'!$B:$G,6,FALSE),"")</f>
        <v xml:space="preserve"># of people provided with trees/saplings/seedlings </v>
      </c>
      <c r="Y10" s="174" t="str">
        <f>_xlfn.IFNA(VLOOKUP(V:V,'Example Logframe'!$B:$G,6,FALSE),"")</f>
        <v/>
      </c>
      <c r="Z10">
        <v>6</v>
      </c>
      <c r="AA10" s="154" t="s">
        <v>484</v>
      </c>
      <c r="AB10" s="154" t="s">
        <v>485</v>
      </c>
      <c r="AD10" t="str">
        <f t="shared" si="13"/>
        <v>B020201</v>
      </c>
      <c r="AE10" t="str">
        <f t="shared" si="13"/>
        <v>P020303</v>
      </c>
      <c r="AF10" t="str">
        <f t="shared" si="14"/>
        <v/>
      </c>
      <c r="AI10" s="171" t="s">
        <v>486</v>
      </c>
      <c r="AJ10" s="171" t="s">
        <v>487</v>
      </c>
    </row>
    <row r="11" spans="1:36" x14ac:dyDescent="0.35">
      <c r="A11" t="str">
        <f>INDEX('Example Logframe'!F:F,15,1)</f>
        <v>B020203</v>
      </c>
      <c r="B11" s="110">
        <v>0.11</v>
      </c>
      <c r="C11" s="321" t="str">
        <f>INDEX('Example Logframe'!B:B,15,1)</f>
        <v>B0202031.1.6</v>
      </c>
      <c r="D11" t="str">
        <f t="shared" si="5"/>
        <v>B020203</v>
      </c>
      <c r="E11" t="str">
        <f t="shared" si="6"/>
        <v/>
      </c>
      <c r="F11" t="str">
        <f t="shared" si="0"/>
        <v/>
      </c>
      <c r="G11" t="str">
        <f t="shared" si="7"/>
        <v/>
      </c>
      <c r="H11" t="str">
        <f t="shared" si="1"/>
        <v/>
      </c>
      <c r="I11" s="157" t="str">
        <f t="shared" si="2"/>
        <v/>
      </c>
      <c r="J11" s="157"/>
      <c r="K11" s="157" t="str">
        <f t="shared" si="3"/>
        <v>0.11B020203</v>
      </c>
      <c r="L11" s="157" t="str">
        <f t="shared" si="4"/>
        <v/>
      </c>
      <c r="M11" s="157"/>
      <c r="N11" s="157" t="str">
        <f t="shared" si="8"/>
        <v/>
      </c>
      <c r="O11" s="174" t="str">
        <f>Table132[[#This Row],[Combined List]]</f>
        <v/>
      </c>
      <c r="P11" s="157">
        <v>7</v>
      </c>
      <c r="Q11" s="174">
        <f t="shared" si="10"/>
        <v>0.21</v>
      </c>
      <c r="R11" s="174">
        <f t="shared" si="9"/>
        <v>0.16</v>
      </c>
      <c r="S11" s="174" t="str">
        <f t="shared" si="11"/>
        <v/>
      </c>
      <c r="T11" s="174" t="str">
        <f t="shared" si="12"/>
        <v>B0199911.2.4</v>
      </c>
      <c r="U11" s="174" t="str">
        <f t="shared" si="12"/>
        <v>P010407</v>
      </c>
      <c r="V11" s="174" t="str">
        <f t="shared" si="12"/>
        <v/>
      </c>
      <c r="W11" s="174" t="str">
        <f>_xlfn.IFNA(VLOOKUP(T:T,'Example Logframe'!$B:$G,6,FALSE),"")</f>
        <v># of beehives set up successfully</v>
      </c>
      <c r="X11" s="174" t="str">
        <f>_xlfn.IFNA(VLOOKUP(U:U,'Example Logframe'!$B:$G,6,FALSE),"")</f>
        <v/>
      </c>
      <c r="Y11" s="174" t="str">
        <f>_xlfn.IFNA(VLOOKUP(V:V,'Example Logframe'!$B:$G,6,FALSE),"")</f>
        <v/>
      </c>
      <c r="Z11">
        <v>7</v>
      </c>
      <c r="AA11" s="154" t="s">
        <v>488</v>
      </c>
      <c r="AB11" s="154" t="s">
        <v>489</v>
      </c>
      <c r="AD11" t="str">
        <f t="shared" si="13"/>
        <v>B019991</v>
      </c>
      <c r="AE11" t="str">
        <f t="shared" si="13"/>
        <v>P010407</v>
      </c>
      <c r="AF11" t="str">
        <f t="shared" si="14"/>
        <v/>
      </c>
    </row>
    <row r="12" spans="1:36" x14ac:dyDescent="0.35">
      <c r="A12" t="str">
        <f>INDEX('Example Logframe'!F:F,16,1)</f>
        <v>P020303</v>
      </c>
      <c r="B12" s="110">
        <v>0.12</v>
      </c>
      <c r="C12" s="321" t="str">
        <f>INDEX('Example Logframe'!B:B,16,1)</f>
        <v>P020303</v>
      </c>
      <c r="D12" t="str">
        <f t="shared" si="5"/>
        <v/>
      </c>
      <c r="E12" t="str">
        <f t="shared" si="6"/>
        <v>P020303</v>
      </c>
      <c r="F12" t="str">
        <f t="shared" si="0"/>
        <v/>
      </c>
      <c r="G12" t="str">
        <f t="shared" si="7"/>
        <v/>
      </c>
      <c r="H12" t="str">
        <f t="shared" si="1"/>
        <v/>
      </c>
      <c r="I12" s="157" t="str">
        <f t="shared" si="2"/>
        <v/>
      </c>
      <c r="J12" s="157"/>
      <c r="K12" s="157" t="str">
        <f t="shared" si="3"/>
        <v/>
      </c>
      <c r="L12" s="157" t="str">
        <f t="shared" si="4"/>
        <v>0.12P020303</v>
      </c>
      <c r="M12" s="157"/>
      <c r="N12" s="157" t="str">
        <f t="shared" si="8"/>
        <v/>
      </c>
      <c r="O12" s="174" t="str">
        <f>Table132[[#This Row],[Combined List]]</f>
        <v/>
      </c>
      <c r="P12" s="157">
        <v>8</v>
      </c>
      <c r="Q12" s="174">
        <f t="shared" si="10"/>
        <v>0.33</v>
      </c>
      <c r="R12" s="174">
        <f t="shared" si="9"/>
        <v>0.18</v>
      </c>
      <c r="S12" s="174" t="str">
        <f t="shared" si="11"/>
        <v/>
      </c>
      <c r="T12" s="174" t="str">
        <f t="shared" si="12"/>
        <v>B020200</v>
      </c>
      <c r="U12" s="174" t="str">
        <f t="shared" si="12"/>
        <v>P020301</v>
      </c>
      <c r="V12" s="174" t="str">
        <f t="shared" si="12"/>
        <v/>
      </c>
      <c r="W12" s="174" t="str">
        <f>_xlfn.IFNA(VLOOKUP(T:T,'Example Logframe'!$B:$G,6,FALSE),"")</f>
        <v>B020200</v>
      </c>
      <c r="X12" s="174" t="str">
        <f>_xlfn.IFNA(VLOOKUP(U:U,'Example Logframe'!$B:$G,6,FALSE),"")</f>
        <v xml:space="preserve"># of people provided with tools </v>
      </c>
      <c r="Y12" s="174" t="str">
        <f>_xlfn.IFNA(VLOOKUP(V:V,'Example Logframe'!$B:$G,6,FALSE),"")</f>
        <v/>
      </c>
      <c r="Z12">
        <v>8</v>
      </c>
      <c r="AA12" s="154" t="s">
        <v>490</v>
      </c>
      <c r="AB12" s="154" t="s">
        <v>491</v>
      </c>
      <c r="AD12" t="str">
        <f t="shared" si="13"/>
        <v>B020200</v>
      </c>
      <c r="AE12" t="str">
        <f t="shared" si="13"/>
        <v>P020301</v>
      </c>
      <c r="AF12" t="str">
        <f t="shared" si="14"/>
        <v/>
      </c>
      <c r="AI12" s="169" t="s">
        <v>492</v>
      </c>
      <c r="AJ12" s="169"/>
    </row>
    <row r="13" spans="1:36" x14ac:dyDescent="0.35">
      <c r="A13" t="str">
        <f>INDEX('Example Logframe'!F:F,17,1)</f>
        <v>B010004</v>
      </c>
      <c r="B13" s="110">
        <v>0.13</v>
      </c>
      <c r="C13" s="321" t="str">
        <f>INDEX('Example Logframe'!B:B,17,1)</f>
        <v>B0100041.1.7</v>
      </c>
      <c r="D13" t="str">
        <f t="shared" si="5"/>
        <v>B010004</v>
      </c>
      <c r="E13" t="str">
        <f t="shared" si="6"/>
        <v/>
      </c>
      <c r="F13" t="str">
        <f t="shared" si="0"/>
        <v/>
      </c>
      <c r="G13" t="str">
        <f t="shared" si="7"/>
        <v/>
      </c>
      <c r="H13" t="str">
        <f t="shared" si="1"/>
        <v/>
      </c>
      <c r="I13" s="157" t="str">
        <f t="shared" si="2"/>
        <v/>
      </c>
      <c r="J13" s="157"/>
      <c r="K13" s="157" t="str">
        <f t="shared" si="3"/>
        <v>0.13B010004</v>
      </c>
      <c r="L13" s="157" t="str">
        <f t="shared" si="4"/>
        <v/>
      </c>
      <c r="M13" s="157"/>
      <c r="N13" s="157" t="str">
        <f t="shared" si="8"/>
        <v/>
      </c>
      <c r="O13" s="174" t="str">
        <f>Table132[[#This Row],[Combined List]]</f>
        <v/>
      </c>
      <c r="P13" s="157">
        <v>9</v>
      </c>
      <c r="Q13" s="174">
        <f t="shared" si="10"/>
        <v>0.35</v>
      </c>
      <c r="R13" s="174">
        <f t="shared" si="9"/>
        <v>0.19</v>
      </c>
      <c r="S13" s="174" t="str">
        <f t="shared" si="11"/>
        <v/>
      </c>
      <c r="T13" s="174" t="str">
        <f t="shared" si="12"/>
        <v>B010300</v>
      </c>
      <c r="U13" s="174" t="str">
        <f t="shared" si="12"/>
        <v>P0101081.2.3</v>
      </c>
      <c r="V13" s="174" t="str">
        <f t="shared" si="12"/>
        <v/>
      </c>
      <c r="W13" s="174" t="str">
        <f>_xlfn.IFNA(VLOOKUP(T:T,'Example Logframe'!$B:$G,6,FALSE),"")</f>
        <v>B010300</v>
      </c>
      <c r="X13" s="174" t="str">
        <f>_xlfn.IFNA(VLOOKUP(U:U,'Example Logframe'!$B:$G,6,FALSE),"")</f>
        <v># of people trained on productive livestock rearing</v>
      </c>
      <c r="Y13" s="174" t="str">
        <f>_xlfn.IFNA(VLOOKUP(V:V,'Example Logframe'!$B:$G,6,FALSE),"")</f>
        <v/>
      </c>
      <c r="Z13">
        <v>9</v>
      </c>
      <c r="AA13" s="154" t="s">
        <v>493</v>
      </c>
      <c r="AB13" s="154" t="s">
        <v>494</v>
      </c>
      <c r="AD13" t="str">
        <f t="shared" si="13"/>
        <v>B010300</v>
      </c>
      <c r="AE13" t="str">
        <f t="shared" si="13"/>
        <v>P010108</v>
      </c>
      <c r="AF13" t="str">
        <f t="shared" si="14"/>
        <v/>
      </c>
      <c r="AI13" s="169" t="s">
        <v>495</v>
      </c>
      <c r="AJ13" s="169" t="s">
        <v>496</v>
      </c>
    </row>
    <row r="14" spans="1:36" x14ac:dyDescent="0.35">
      <c r="A14" t="str">
        <f>INDEX('Example Logframe'!F:F,18,1)</f>
        <v>N/A1</v>
      </c>
      <c r="B14" s="110">
        <v>0.14000000000000001</v>
      </c>
      <c r="C14" s="321" t="str">
        <f>INDEX('Example Logframe'!B:B,18,1)</f>
        <v>N/A11.2</v>
      </c>
      <c r="D14" t="str">
        <f t="shared" si="5"/>
        <v/>
      </c>
      <c r="E14" t="str">
        <f t="shared" si="6"/>
        <v/>
      </c>
      <c r="F14" t="str">
        <f t="shared" si="0"/>
        <v>N/A1</v>
      </c>
      <c r="G14" t="str">
        <f t="shared" si="7"/>
        <v/>
      </c>
      <c r="H14" t="str">
        <f t="shared" si="1"/>
        <v/>
      </c>
      <c r="I14" s="157" t="str">
        <f t="shared" si="2"/>
        <v>N/A1</v>
      </c>
      <c r="J14" s="157"/>
      <c r="K14" s="157" t="str">
        <f t="shared" si="3"/>
        <v/>
      </c>
      <c r="L14" s="157" t="str">
        <f t="shared" si="4"/>
        <v/>
      </c>
      <c r="M14" s="157"/>
      <c r="N14" s="157" t="str">
        <f t="shared" si="8"/>
        <v>0.14N/A1</v>
      </c>
      <c r="O14" s="174" t="str">
        <f>Table132[[#This Row],[Combined List]]</f>
        <v>N/A1</v>
      </c>
      <c r="P14" s="157">
        <v>10</v>
      </c>
      <c r="Q14" s="174">
        <f t="shared" si="10"/>
        <v>0.42</v>
      </c>
      <c r="R14" s="174">
        <f t="shared" si="9"/>
        <v>0.22</v>
      </c>
      <c r="S14" s="174" t="str">
        <f t="shared" si="11"/>
        <v/>
      </c>
      <c r="T14" s="174" t="str">
        <f t="shared" si="12"/>
        <v>B0400012.1.2</v>
      </c>
      <c r="U14" s="174" t="str">
        <f t="shared" si="12"/>
        <v>P019992</v>
      </c>
      <c r="V14" s="174" t="str">
        <f t="shared" si="12"/>
        <v/>
      </c>
      <c r="W14" s="174" t="str">
        <f>_xlfn.IFNA(VLOOKUP(T:T,'Example Logframe'!$B:$G,6,FALSE),"")</f>
        <v># of cooking demonstrations conducted</v>
      </c>
      <c r="X14" s="174" t="str">
        <f>_xlfn.IFNA(VLOOKUP(U:U,'Example Logframe'!$B:$G,6,FALSE),"")</f>
        <v># of people benefiting from beehives set up successfully</v>
      </c>
      <c r="Y14" s="174" t="str">
        <f>_xlfn.IFNA(VLOOKUP(V:V,'Example Logframe'!$B:$G,6,FALSE),"")</f>
        <v/>
      </c>
      <c r="Z14">
        <v>10</v>
      </c>
      <c r="AA14" s="154" t="s">
        <v>497</v>
      </c>
      <c r="AB14" s="154" t="s">
        <v>498</v>
      </c>
      <c r="AD14" t="str">
        <f t="shared" si="13"/>
        <v>B040001</v>
      </c>
      <c r="AE14" t="str">
        <f t="shared" si="13"/>
        <v>P019992</v>
      </c>
      <c r="AF14" t="str">
        <f t="shared" si="14"/>
        <v/>
      </c>
      <c r="AI14" s="169" t="s">
        <v>477</v>
      </c>
      <c r="AJ14" s="169" t="s">
        <v>499</v>
      </c>
    </row>
    <row r="15" spans="1:36" x14ac:dyDescent="0.35">
      <c r="A15" t="str">
        <f>INDEX('Example Logframe'!F:F,19,1)</f>
        <v>B010307</v>
      </c>
      <c r="B15" s="110">
        <v>0.15</v>
      </c>
      <c r="C15" s="321" t="str">
        <f>INDEX('Example Logframe'!B:B,19,1)</f>
        <v>B0103071.2.1</v>
      </c>
      <c r="D15" t="str">
        <f t="shared" si="5"/>
        <v>B010307</v>
      </c>
      <c r="E15" t="str">
        <f t="shared" si="6"/>
        <v/>
      </c>
      <c r="F15" t="str">
        <f t="shared" si="0"/>
        <v/>
      </c>
      <c r="G15" t="str">
        <f t="shared" si="7"/>
        <v/>
      </c>
      <c r="H15" t="str">
        <f t="shared" si="1"/>
        <v/>
      </c>
      <c r="I15" s="157" t="str">
        <f t="shared" si="2"/>
        <v/>
      </c>
      <c r="J15" s="157"/>
      <c r="K15" s="157" t="str">
        <f t="shared" si="3"/>
        <v>0.15B010307</v>
      </c>
      <c r="L15" s="157" t="str">
        <f t="shared" si="4"/>
        <v/>
      </c>
      <c r="M15" s="157"/>
      <c r="N15" s="157" t="str">
        <f t="shared" si="8"/>
        <v/>
      </c>
      <c r="O15" s="174" t="str">
        <f>Table132[[#This Row],[Combined List]]</f>
        <v/>
      </c>
      <c r="P15" s="157">
        <v>11</v>
      </c>
      <c r="Q15" s="174" t="str">
        <f t="shared" si="10"/>
        <v/>
      </c>
      <c r="R15" s="174">
        <f t="shared" si="9"/>
        <v>0.31</v>
      </c>
      <c r="S15" s="174" t="str">
        <f t="shared" si="11"/>
        <v/>
      </c>
      <c r="T15" s="174" t="str">
        <f t="shared" si="12"/>
        <v/>
      </c>
      <c r="U15" s="174" t="str">
        <f t="shared" si="12"/>
        <v>P010100</v>
      </c>
      <c r="V15" s="174" t="str">
        <f t="shared" si="12"/>
        <v/>
      </c>
      <c r="W15" s="174" t="str">
        <f>_xlfn.IFNA(VLOOKUP(T:T,'Example Logframe'!$B:$G,6,FALSE),"")</f>
        <v/>
      </c>
      <c r="X15" s="174" t="str">
        <f>_xlfn.IFNA(VLOOKUP(U:U,'Example Logframe'!$B:$G,6,FALSE),"")</f>
        <v>P010100</v>
      </c>
      <c r="Y15" s="174" t="str">
        <f>_xlfn.IFNA(VLOOKUP(V:V,'Example Logframe'!$B:$G,6,FALSE),"")</f>
        <v/>
      </c>
      <c r="Z15">
        <v>11</v>
      </c>
      <c r="AB15" s="154" t="s">
        <v>500</v>
      </c>
      <c r="AD15" t="str">
        <f t="shared" si="13"/>
        <v/>
      </c>
      <c r="AE15" t="str">
        <f t="shared" si="13"/>
        <v>P010100</v>
      </c>
      <c r="AF15" t="str">
        <f t="shared" si="14"/>
        <v/>
      </c>
      <c r="AI15" s="169" t="s">
        <v>501</v>
      </c>
      <c r="AJ15" s="169" t="s">
        <v>502</v>
      </c>
    </row>
    <row r="16" spans="1:36" x14ac:dyDescent="0.35">
      <c r="A16" t="str">
        <f>INDEX('Example Logframe'!F:F,20,1)</f>
        <v>P010407</v>
      </c>
      <c r="B16" s="110">
        <v>0.16</v>
      </c>
      <c r="C16" s="321" t="str">
        <f>INDEX('Example Logframe'!B:B,20,1)</f>
        <v>P010407</v>
      </c>
      <c r="D16" t="str">
        <f t="shared" si="5"/>
        <v/>
      </c>
      <c r="E16" t="str">
        <f t="shared" si="6"/>
        <v>P010407</v>
      </c>
      <c r="F16" t="str">
        <f t="shared" si="0"/>
        <v/>
      </c>
      <c r="G16" t="str">
        <f t="shared" si="7"/>
        <v/>
      </c>
      <c r="H16" t="str">
        <f t="shared" si="1"/>
        <v/>
      </c>
      <c r="I16" s="157" t="str">
        <f t="shared" si="2"/>
        <v/>
      </c>
      <c r="J16" s="157"/>
      <c r="K16" s="157" t="str">
        <f t="shared" si="3"/>
        <v/>
      </c>
      <c r="L16" s="157" t="str">
        <f t="shared" si="4"/>
        <v>0.16P010407</v>
      </c>
      <c r="M16" s="157"/>
      <c r="N16" s="157" t="str">
        <f t="shared" si="8"/>
        <v/>
      </c>
      <c r="O16" s="174" t="str">
        <f>Table132[[#This Row],[Combined List]]</f>
        <v/>
      </c>
      <c r="P16" s="157">
        <v>12</v>
      </c>
      <c r="Q16" s="174" t="str">
        <f t="shared" si="10"/>
        <v/>
      </c>
      <c r="R16" s="174">
        <f t="shared" si="9"/>
        <v>0.32</v>
      </c>
      <c r="S16" s="174" t="str">
        <f t="shared" si="11"/>
        <v/>
      </c>
      <c r="T16" s="174" t="str">
        <f t="shared" si="12"/>
        <v/>
      </c>
      <c r="U16" s="174" t="str">
        <f t="shared" si="12"/>
        <v>P020100</v>
      </c>
      <c r="V16" s="174" t="str">
        <f t="shared" si="12"/>
        <v/>
      </c>
      <c r="W16" s="174" t="str">
        <f>_xlfn.IFNA(VLOOKUP(T:T,'Example Logframe'!$B:$G,6,FALSE),"")</f>
        <v/>
      </c>
      <c r="X16" s="174" t="str">
        <f>_xlfn.IFNA(VLOOKUP(U:U,'Example Logframe'!$B:$G,6,FALSE),"")</f>
        <v>P020100</v>
      </c>
      <c r="Y16" s="174" t="str">
        <f>_xlfn.IFNA(VLOOKUP(V:V,'Example Logframe'!$B:$G,6,FALSE),"")</f>
        <v/>
      </c>
      <c r="Z16">
        <v>12</v>
      </c>
      <c r="AB16" s="154" t="s">
        <v>503</v>
      </c>
      <c r="AD16" t="str">
        <f t="shared" si="13"/>
        <v/>
      </c>
      <c r="AE16" t="str">
        <f t="shared" si="13"/>
        <v>P020100</v>
      </c>
      <c r="AF16" t="str">
        <f t="shared" si="14"/>
        <v/>
      </c>
      <c r="AI16" s="169" t="s">
        <v>486</v>
      </c>
      <c r="AJ16" s="169" t="s">
        <v>504</v>
      </c>
    </row>
    <row r="17" spans="1:36" x14ac:dyDescent="0.35">
      <c r="A17" t="str">
        <f>INDEX('Example Logframe'!F:F,21,1)</f>
        <v>B020201</v>
      </c>
      <c r="B17" s="110">
        <v>0.17</v>
      </c>
      <c r="C17" s="321" t="str">
        <f>INDEX('Example Logframe'!B:B,21,1)</f>
        <v>B0202011.2.2</v>
      </c>
      <c r="D17" t="str">
        <f t="shared" si="5"/>
        <v>B020201</v>
      </c>
      <c r="E17" t="str">
        <f t="shared" si="6"/>
        <v/>
      </c>
      <c r="F17" t="str">
        <f t="shared" si="0"/>
        <v/>
      </c>
      <c r="G17" t="str">
        <f t="shared" si="7"/>
        <v/>
      </c>
      <c r="H17" t="str">
        <f t="shared" si="1"/>
        <v/>
      </c>
      <c r="I17" s="157" t="str">
        <f t="shared" si="2"/>
        <v/>
      </c>
      <c r="J17" s="157"/>
      <c r="K17" s="157" t="str">
        <f t="shared" si="3"/>
        <v>0.17B020201</v>
      </c>
      <c r="L17" s="157" t="str">
        <f t="shared" si="4"/>
        <v/>
      </c>
      <c r="M17" s="157"/>
      <c r="N17" s="157" t="str">
        <f t="shared" si="8"/>
        <v/>
      </c>
      <c r="O17" s="174" t="str">
        <f>Table132[[#This Row],[Combined List]]</f>
        <v/>
      </c>
      <c r="P17" s="157">
        <v>13</v>
      </c>
      <c r="Q17" s="174" t="str">
        <f t="shared" si="10"/>
        <v/>
      </c>
      <c r="R17" s="174">
        <f t="shared" si="9"/>
        <v>0.34</v>
      </c>
      <c r="S17" s="174" t="str">
        <f t="shared" si="11"/>
        <v/>
      </c>
      <c r="T17" s="174" t="str">
        <f t="shared" si="12"/>
        <v/>
      </c>
      <c r="U17" s="174" t="str">
        <f t="shared" si="12"/>
        <v>P020300</v>
      </c>
      <c r="V17" s="174" t="str">
        <f t="shared" si="12"/>
        <v/>
      </c>
      <c r="W17" s="174" t="str">
        <f>_xlfn.IFNA(VLOOKUP(T:T,'Example Logframe'!$B:$G,6,FALSE),"")</f>
        <v/>
      </c>
      <c r="X17" s="174" t="str">
        <f>_xlfn.IFNA(VLOOKUP(U:U,'Example Logframe'!$B:$G,6,FALSE),"")</f>
        <v>P020300</v>
      </c>
      <c r="Y17" s="174" t="str">
        <f>_xlfn.IFNA(VLOOKUP(V:V,'Example Logframe'!$B:$G,6,FALSE),"")</f>
        <v/>
      </c>
      <c r="Z17">
        <v>13</v>
      </c>
      <c r="AB17" s="154" t="s">
        <v>505</v>
      </c>
      <c r="AD17" t="str">
        <f t="shared" si="13"/>
        <v/>
      </c>
      <c r="AE17" t="str">
        <f t="shared" si="13"/>
        <v>P020300</v>
      </c>
      <c r="AF17" t="str">
        <f t="shared" si="14"/>
        <v/>
      </c>
      <c r="AI17" s="169" t="s">
        <v>506</v>
      </c>
      <c r="AJ17" s="169" t="s">
        <v>507</v>
      </c>
    </row>
    <row r="18" spans="1:36" x14ac:dyDescent="0.35">
      <c r="A18" t="str">
        <f>INDEX('Example Logframe'!F:F,22,1)</f>
        <v>P020301</v>
      </c>
      <c r="B18" s="110">
        <v>0.18</v>
      </c>
      <c r="C18" s="321" t="str">
        <f>INDEX('Example Logframe'!B:B,22,1)</f>
        <v>P020301</v>
      </c>
      <c r="D18" t="str">
        <f t="shared" si="5"/>
        <v/>
      </c>
      <c r="E18" t="str">
        <f t="shared" si="6"/>
        <v>P020301</v>
      </c>
      <c r="F18" t="str">
        <f t="shared" si="0"/>
        <v/>
      </c>
      <c r="G18" t="str">
        <f t="shared" si="7"/>
        <v/>
      </c>
      <c r="H18" t="str">
        <f t="shared" si="1"/>
        <v/>
      </c>
      <c r="I18" s="157" t="str">
        <f t="shared" si="2"/>
        <v/>
      </c>
      <c r="J18" s="157"/>
      <c r="K18" s="157" t="str">
        <f t="shared" si="3"/>
        <v/>
      </c>
      <c r="L18" s="157" t="str">
        <f t="shared" si="4"/>
        <v>0.18P020301</v>
      </c>
      <c r="M18" s="157"/>
      <c r="N18" s="157" t="str">
        <f t="shared" si="8"/>
        <v/>
      </c>
      <c r="O18" s="174" t="str">
        <f>Table132[[#This Row],[Combined List]]</f>
        <v/>
      </c>
      <c r="P18" s="157">
        <v>14</v>
      </c>
      <c r="Q18" s="174" t="str">
        <f t="shared" si="10"/>
        <v/>
      </c>
      <c r="R18" s="174">
        <f t="shared" si="9"/>
        <v>0.36</v>
      </c>
      <c r="S18" s="174" t="str">
        <f t="shared" si="11"/>
        <v/>
      </c>
      <c r="T18" s="174" t="str">
        <f t="shared" si="12"/>
        <v/>
      </c>
      <c r="U18" s="174" t="str">
        <f t="shared" si="12"/>
        <v>P010400</v>
      </c>
      <c r="V18" s="174" t="str">
        <f t="shared" si="12"/>
        <v/>
      </c>
      <c r="W18" s="174" t="str">
        <f>_xlfn.IFNA(VLOOKUP(T:T,'Example Logframe'!$B:$G,6,FALSE),"")</f>
        <v/>
      </c>
      <c r="X18" s="174" t="str">
        <f>_xlfn.IFNA(VLOOKUP(U:U,'Example Logframe'!$B:$G,6,FALSE),"")</f>
        <v>P010400</v>
      </c>
      <c r="Y18" s="174" t="str">
        <f>_xlfn.IFNA(VLOOKUP(V:V,'Example Logframe'!$B:$G,6,FALSE),"")</f>
        <v/>
      </c>
      <c r="Z18">
        <v>14</v>
      </c>
      <c r="AB18" s="154" t="s">
        <v>508</v>
      </c>
      <c r="AD18" t="str">
        <f t="shared" si="13"/>
        <v/>
      </c>
      <c r="AE18" t="str">
        <f t="shared" si="13"/>
        <v>P010400</v>
      </c>
      <c r="AF18" t="str">
        <f t="shared" si="14"/>
        <v/>
      </c>
      <c r="AI18" s="169" t="s">
        <v>509</v>
      </c>
      <c r="AJ18" s="169" t="s">
        <v>510</v>
      </c>
    </row>
    <row r="19" spans="1:36" x14ac:dyDescent="0.35">
      <c r="A19" t="str">
        <f>INDEX('Example Logframe'!F:F,23,1)</f>
        <v>P010108</v>
      </c>
      <c r="B19" s="110">
        <v>0.19</v>
      </c>
      <c r="C19" s="321" t="str">
        <f>INDEX('Example Logframe'!B:B,23,1)</f>
        <v>P0101081.2.3</v>
      </c>
      <c r="D19" t="str">
        <f t="shared" si="5"/>
        <v/>
      </c>
      <c r="E19" t="str">
        <f t="shared" si="6"/>
        <v>P010108</v>
      </c>
      <c r="F19" t="str">
        <f t="shared" si="0"/>
        <v/>
      </c>
      <c r="G19" t="str">
        <f t="shared" si="7"/>
        <v/>
      </c>
      <c r="H19" t="str">
        <f t="shared" si="1"/>
        <v/>
      </c>
      <c r="I19" s="157" t="str">
        <f t="shared" si="2"/>
        <v/>
      </c>
      <c r="J19" s="157"/>
      <c r="K19" s="157" t="str">
        <f t="shared" si="3"/>
        <v/>
      </c>
      <c r="L19" s="157" t="str">
        <f t="shared" si="4"/>
        <v>0.19P010108</v>
      </c>
      <c r="M19" s="157"/>
      <c r="N19" s="157" t="str">
        <f t="shared" si="8"/>
        <v/>
      </c>
      <c r="O19" s="174" t="str">
        <f>Table132[[#This Row],[Combined List]]</f>
        <v/>
      </c>
      <c r="P19" s="157">
        <v>15</v>
      </c>
      <c r="Q19" s="174" t="str">
        <f t="shared" si="10"/>
        <v/>
      </c>
      <c r="R19" s="174">
        <f t="shared" si="9"/>
        <v>0.41</v>
      </c>
      <c r="S19" s="174" t="str">
        <f t="shared" si="11"/>
        <v/>
      </c>
      <c r="T19" s="174" t="str">
        <f t="shared" si="12"/>
        <v/>
      </c>
      <c r="U19" s="174" t="str">
        <f t="shared" si="12"/>
        <v>P0402042.1.1</v>
      </c>
      <c r="V19" s="174" t="str">
        <f t="shared" si="12"/>
        <v/>
      </c>
      <c r="W19" s="174" t="str">
        <f>_xlfn.IFNA(VLOOKUP(T:T,'Example Logframe'!$B:$G,6,FALSE),"")</f>
        <v/>
      </c>
      <c r="X19" s="174" t="str">
        <f>_xlfn.IFNA(VLOOKUP(U:U,'Example Logframe'!$B:$G,6,FALSE),"")</f>
        <v># of people trained on home gardening and/or dietary diversity</v>
      </c>
      <c r="Y19" s="174" t="str">
        <f>_xlfn.IFNA(VLOOKUP(V:V,'Example Logframe'!$B:$G,6,FALSE),"")</f>
        <v/>
      </c>
      <c r="Z19">
        <v>15</v>
      </c>
      <c r="AB19" s="154" t="s">
        <v>511</v>
      </c>
      <c r="AD19" t="str">
        <f t="shared" si="13"/>
        <v/>
      </c>
      <c r="AE19" t="str">
        <f t="shared" si="13"/>
        <v>P040204</v>
      </c>
      <c r="AF19" t="str">
        <f t="shared" si="14"/>
        <v/>
      </c>
      <c r="AI19" s="169" t="s">
        <v>512</v>
      </c>
      <c r="AJ19" s="169" t="s">
        <v>513</v>
      </c>
    </row>
    <row r="20" spans="1:36" x14ac:dyDescent="0.35">
      <c r="A20" t="str">
        <f>INDEX('Example Logframe'!F:F,24,1)</f>
        <v>B019991</v>
      </c>
      <c r="B20" s="110">
        <v>0.21</v>
      </c>
      <c r="C20" s="321" t="str">
        <f>INDEX('Example Logframe'!B:B,24,1)</f>
        <v>B0199911.2.4</v>
      </c>
      <c r="D20" t="str">
        <f t="shared" si="5"/>
        <v>B019991</v>
      </c>
      <c r="E20" t="str">
        <f t="shared" si="6"/>
        <v/>
      </c>
      <c r="F20" t="str">
        <f t="shared" si="0"/>
        <v/>
      </c>
      <c r="G20" t="str">
        <f t="shared" si="7"/>
        <v/>
      </c>
      <c r="H20" t="str">
        <f t="shared" si="1"/>
        <v/>
      </c>
      <c r="I20" s="157" t="str">
        <f t="shared" si="2"/>
        <v/>
      </c>
      <c r="J20" s="157"/>
      <c r="K20" s="157" t="str">
        <f t="shared" si="3"/>
        <v>0.21B019991</v>
      </c>
      <c r="L20" s="157" t="str">
        <f t="shared" si="4"/>
        <v/>
      </c>
      <c r="M20" s="157"/>
      <c r="N20" s="157" t="str">
        <f t="shared" si="8"/>
        <v/>
      </c>
      <c r="O20" s="174" t="str">
        <f>Table132[[#This Row],[Combined List]]</f>
        <v/>
      </c>
      <c r="P20" s="157">
        <v>16</v>
      </c>
      <c r="Q20" s="174" t="str">
        <f t="shared" si="10"/>
        <v/>
      </c>
      <c r="R20" s="174">
        <f t="shared" si="9"/>
        <v>0.57999999999999996</v>
      </c>
      <c r="S20" s="174" t="str">
        <f t="shared" si="11"/>
        <v/>
      </c>
      <c r="T20" s="174" t="str">
        <f t="shared" si="12"/>
        <v/>
      </c>
      <c r="U20" s="174" t="str">
        <f t="shared" si="12"/>
        <v>P040200</v>
      </c>
      <c r="V20" s="174" t="str">
        <f t="shared" si="12"/>
        <v/>
      </c>
      <c r="W20" s="174" t="str">
        <f>_xlfn.IFNA(VLOOKUP(T:T,'Example Logframe'!$B:$G,6,FALSE),"")</f>
        <v/>
      </c>
      <c r="X20" s="174" t="str">
        <f>_xlfn.IFNA(VLOOKUP(U:U,'Example Logframe'!$B:$G,6,FALSE),"")</f>
        <v># of people trained on nutritional practices</v>
      </c>
      <c r="Y20" s="174" t="str">
        <f>_xlfn.IFNA(VLOOKUP(V:V,'Example Logframe'!$B:$G,6,FALSE),"")</f>
        <v/>
      </c>
      <c r="Z20">
        <v>16</v>
      </c>
      <c r="AB20" s="154" t="s">
        <v>514</v>
      </c>
      <c r="AD20" t="str">
        <f t="shared" si="13"/>
        <v/>
      </c>
      <c r="AE20" t="str">
        <f t="shared" si="13"/>
        <v>P040200</v>
      </c>
      <c r="AF20" t="str">
        <f t="shared" si="14"/>
        <v/>
      </c>
      <c r="AI20" s="169" t="s">
        <v>515</v>
      </c>
      <c r="AJ20" s="169" t="s">
        <v>516</v>
      </c>
    </row>
    <row r="21" spans="1:36" x14ac:dyDescent="0.35">
      <c r="A21" t="str">
        <f>INDEX('Example Logframe'!F:F,25,1)</f>
        <v>P019992</v>
      </c>
      <c r="B21" s="110">
        <v>0.22</v>
      </c>
      <c r="C21" s="321" t="str">
        <f>INDEX('Example Logframe'!B:B,25,1)</f>
        <v>P019992</v>
      </c>
      <c r="D21" t="str">
        <f t="shared" si="5"/>
        <v/>
      </c>
      <c r="E21" t="str">
        <f t="shared" si="6"/>
        <v>P019992</v>
      </c>
      <c r="F21" t="str">
        <f t="shared" si="0"/>
        <v/>
      </c>
      <c r="G21" t="str">
        <f t="shared" si="7"/>
        <v/>
      </c>
      <c r="H21" t="str">
        <f t="shared" si="1"/>
        <v/>
      </c>
      <c r="I21" s="157" t="str">
        <f t="shared" si="2"/>
        <v/>
      </c>
      <c r="J21" s="157"/>
      <c r="K21" s="157" t="str">
        <f t="shared" si="3"/>
        <v/>
      </c>
      <c r="L21" s="157" t="str">
        <f t="shared" si="4"/>
        <v>0.22P019992</v>
      </c>
      <c r="M21" s="157"/>
      <c r="N21" s="157" t="str">
        <f t="shared" si="8"/>
        <v/>
      </c>
      <c r="O21" s="174" t="str">
        <f>Table132[[#This Row],[Combined List]]</f>
        <v/>
      </c>
      <c r="P21" s="157">
        <v>17</v>
      </c>
      <c r="Q21" s="174" t="str">
        <f t="shared" si="10"/>
        <v/>
      </c>
      <c r="R21" s="174" t="str">
        <f t="shared" ref="R21:R69" si="15">IFERROR(VALUE(LEFT(AB:AB,4)),"")</f>
        <v/>
      </c>
      <c r="S21" s="174" t="str">
        <f t="shared" si="11"/>
        <v/>
      </c>
      <c r="T21" s="174" t="str">
        <f t="shared" si="12"/>
        <v/>
      </c>
      <c r="U21" s="174" t="str">
        <f t="shared" si="12"/>
        <v/>
      </c>
      <c r="V21" s="174" t="str">
        <f t="shared" si="12"/>
        <v/>
      </c>
      <c r="W21" s="174" t="str">
        <f>_xlfn.IFNA(VLOOKUP(T:T,'Example Logframe'!$B:$G,6,FALSE),"")</f>
        <v/>
      </c>
      <c r="X21" s="174" t="str">
        <f>_xlfn.IFNA(VLOOKUP(U:U,'Example Logframe'!$B:$G,6,FALSE),"")</f>
        <v/>
      </c>
      <c r="Y21" s="174" t="str">
        <f>_xlfn.IFNA(VLOOKUP(V:V,'Example Logframe'!$B:$G,6,FALSE),"")</f>
        <v/>
      </c>
      <c r="Z21">
        <v>17</v>
      </c>
      <c r="AD21" t="str">
        <f t="shared" si="13"/>
        <v/>
      </c>
      <c r="AE21" t="str">
        <f t="shared" si="13"/>
        <v/>
      </c>
      <c r="AF21" t="str">
        <f t="shared" si="14"/>
        <v/>
      </c>
    </row>
    <row r="22" spans="1:36" x14ac:dyDescent="0.35">
      <c r="A22">
        <f>INDEX('Example Logframe'!F:F,26,1)</f>
        <v>0</v>
      </c>
      <c r="B22" s="110">
        <v>0.23</v>
      </c>
      <c r="C22" s="321" t="str">
        <f>INDEX('Example Logframe'!B:B,26,1)</f>
        <v>0</v>
      </c>
      <c r="D22" t="str">
        <f t="shared" si="5"/>
        <v/>
      </c>
      <c r="E22" t="str">
        <f t="shared" si="6"/>
        <v/>
      </c>
      <c r="F22" t="str">
        <f t="shared" si="0"/>
        <v/>
      </c>
      <c r="G22" t="str">
        <f t="shared" si="7"/>
        <v/>
      </c>
      <c r="H22" t="str">
        <f t="shared" si="1"/>
        <v/>
      </c>
      <c r="I22" s="157" t="str">
        <f t="shared" si="2"/>
        <v/>
      </c>
      <c r="J22" s="157"/>
      <c r="K22" s="157" t="str">
        <f t="shared" si="3"/>
        <v/>
      </c>
      <c r="L22" s="157" t="str">
        <f t="shared" si="4"/>
        <v/>
      </c>
      <c r="M22" s="157"/>
      <c r="N22" s="157" t="str">
        <f t="shared" si="8"/>
        <v/>
      </c>
      <c r="O22" s="174" t="str">
        <f>Table132[[#This Row],[Combined List]]</f>
        <v/>
      </c>
      <c r="P22" s="157">
        <v>18</v>
      </c>
      <c r="Q22" s="174" t="str">
        <f t="shared" si="10"/>
        <v/>
      </c>
      <c r="R22" s="174" t="str">
        <f t="shared" si="15"/>
        <v/>
      </c>
      <c r="S22" s="174" t="str">
        <f t="shared" si="11"/>
        <v/>
      </c>
      <c r="T22" s="174" t="str">
        <f t="shared" si="12"/>
        <v/>
      </c>
      <c r="U22" s="174" t="str">
        <f t="shared" si="12"/>
        <v/>
      </c>
      <c r="V22" s="174" t="str">
        <f t="shared" si="12"/>
        <v/>
      </c>
      <c r="W22" s="174" t="str">
        <f>_xlfn.IFNA(VLOOKUP(T:T,'Example Logframe'!$B:$G,6,FALSE),"")</f>
        <v/>
      </c>
      <c r="X22" s="174" t="str">
        <f>_xlfn.IFNA(VLOOKUP(U:U,'Example Logframe'!$B:$G,6,FALSE),"")</f>
        <v/>
      </c>
      <c r="Y22" s="174" t="str">
        <f>_xlfn.IFNA(VLOOKUP(V:V,'Example Logframe'!$B:$G,6,FALSE),"")</f>
        <v/>
      </c>
      <c r="Z22">
        <v>18</v>
      </c>
      <c r="AD22" t="str">
        <f t="shared" ref="AD22:AE85" si="16">RIGHT(AA:AA,7)</f>
        <v/>
      </c>
      <c r="AE22" t="str">
        <f t="shared" si="16"/>
        <v/>
      </c>
      <c r="AF22" t="str">
        <f t="shared" si="14"/>
        <v/>
      </c>
    </row>
    <row r="23" spans="1:36" x14ac:dyDescent="0.35">
      <c r="A23">
        <f>INDEX('Example Logframe'!F:F,27,1)</f>
        <v>0</v>
      </c>
      <c r="B23" s="110">
        <v>0.24</v>
      </c>
      <c r="C23" s="321" t="str">
        <f>INDEX('Example Logframe'!B:B,27,1)</f>
        <v>0</v>
      </c>
      <c r="D23" t="str">
        <f t="shared" si="5"/>
        <v/>
      </c>
      <c r="E23" t="str">
        <f t="shared" si="6"/>
        <v/>
      </c>
      <c r="F23" t="str">
        <f t="shared" si="0"/>
        <v/>
      </c>
      <c r="G23" t="str">
        <f t="shared" si="7"/>
        <v/>
      </c>
      <c r="H23" t="str">
        <f t="shared" si="1"/>
        <v/>
      </c>
      <c r="I23" s="157" t="str">
        <f t="shared" si="2"/>
        <v/>
      </c>
      <c r="J23" s="157"/>
      <c r="K23" s="157" t="str">
        <f t="shared" si="3"/>
        <v/>
      </c>
      <c r="L23" s="157" t="str">
        <f t="shared" si="4"/>
        <v/>
      </c>
      <c r="M23" s="157"/>
      <c r="N23" s="157" t="str">
        <f t="shared" si="8"/>
        <v/>
      </c>
      <c r="O23" s="174" t="str">
        <f>Table132[[#This Row],[Combined List]]</f>
        <v/>
      </c>
      <c r="P23" s="157">
        <v>19</v>
      </c>
      <c r="Q23" s="174" t="str">
        <f t="shared" si="10"/>
        <v/>
      </c>
      <c r="R23" s="174" t="str">
        <f t="shared" si="15"/>
        <v/>
      </c>
      <c r="S23" s="174" t="str">
        <f t="shared" si="11"/>
        <v/>
      </c>
      <c r="T23" s="174" t="str">
        <f t="shared" si="12"/>
        <v/>
      </c>
      <c r="U23" s="174" t="str">
        <f t="shared" si="12"/>
        <v/>
      </c>
      <c r="V23" s="174" t="str">
        <f t="shared" si="12"/>
        <v/>
      </c>
      <c r="W23" s="174" t="str">
        <f>_xlfn.IFNA(VLOOKUP(T:T,'Example Logframe'!$B:$G,6,FALSE),"")</f>
        <v/>
      </c>
      <c r="X23" s="174" t="str">
        <f>_xlfn.IFNA(VLOOKUP(U:U,'Example Logframe'!$B:$G,6,FALSE),"")</f>
        <v/>
      </c>
      <c r="Y23" s="174" t="str">
        <f>_xlfn.IFNA(VLOOKUP(V:V,'Example Logframe'!$B:$G,6,FALSE),"")</f>
        <v/>
      </c>
      <c r="Z23">
        <v>19</v>
      </c>
      <c r="AD23" t="str">
        <f t="shared" si="16"/>
        <v/>
      </c>
      <c r="AE23" t="str">
        <f t="shared" si="16"/>
        <v/>
      </c>
      <c r="AF23" t="str">
        <f t="shared" si="14"/>
        <v/>
      </c>
    </row>
    <row r="24" spans="1:36" x14ac:dyDescent="0.35">
      <c r="A24">
        <f>INDEX('Example Logframe'!F:F,28,1)</f>
        <v>0</v>
      </c>
      <c r="B24" s="110">
        <v>0.25</v>
      </c>
      <c r="C24" s="321" t="str">
        <f>INDEX('Example Logframe'!B:B,28,1)</f>
        <v>0</v>
      </c>
      <c r="D24" t="str">
        <f t="shared" si="5"/>
        <v/>
      </c>
      <c r="E24" t="str">
        <f t="shared" si="6"/>
        <v/>
      </c>
      <c r="F24" t="str">
        <f t="shared" si="0"/>
        <v/>
      </c>
      <c r="G24" t="str">
        <f t="shared" si="7"/>
        <v/>
      </c>
      <c r="H24" t="str">
        <f t="shared" si="1"/>
        <v/>
      </c>
      <c r="I24" s="157" t="str">
        <f t="shared" si="2"/>
        <v/>
      </c>
      <c r="J24" s="157"/>
      <c r="K24" s="157" t="str">
        <f t="shared" si="3"/>
        <v/>
      </c>
      <c r="L24" s="157" t="str">
        <f t="shared" si="4"/>
        <v/>
      </c>
      <c r="M24" s="157"/>
      <c r="N24" s="157" t="str">
        <f t="shared" si="8"/>
        <v/>
      </c>
      <c r="O24" s="174" t="str">
        <f>Table132[[#This Row],[Combined List]]</f>
        <v/>
      </c>
      <c r="P24" s="157">
        <v>20</v>
      </c>
      <c r="Q24" s="174" t="str">
        <f t="shared" si="10"/>
        <v/>
      </c>
      <c r="R24" s="174" t="str">
        <f t="shared" si="15"/>
        <v/>
      </c>
      <c r="S24" s="174" t="str">
        <f t="shared" si="11"/>
        <v/>
      </c>
      <c r="T24" s="174" t="str">
        <f t="shared" si="12"/>
        <v/>
      </c>
      <c r="U24" s="174" t="str">
        <f t="shared" si="12"/>
        <v/>
      </c>
      <c r="V24" s="174" t="str">
        <f t="shared" si="12"/>
        <v/>
      </c>
      <c r="W24" s="174" t="str">
        <f>_xlfn.IFNA(VLOOKUP(T:T,'Example Logframe'!$B:$G,6,FALSE),"")</f>
        <v/>
      </c>
      <c r="X24" s="174" t="str">
        <f>_xlfn.IFNA(VLOOKUP(U:U,'Example Logframe'!$B:$G,6,FALSE),"")</f>
        <v/>
      </c>
      <c r="Y24" s="174" t="str">
        <f>_xlfn.IFNA(VLOOKUP(V:V,'Example Logframe'!$B:$G,6,FALSE),"")</f>
        <v/>
      </c>
      <c r="Z24">
        <v>20</v>
      </c>
      <c r="AD24" t="str">
        <f t="shared" si="16"/>
        <v/>
      </c>
      <c r="AE24" t="str">
        <f t="shared" si="16"/>
        <v/>
      </c>
      <c r="AF24" t="str">
        <f t="shared" si="14"/>
        <v/>
      </c>
    </row>
    <row r="25" spans="1:36" x14ac:dyDescent="0.35">
      <c r="A25">
        <f>INDEX('Example Logframe'!F:F,29,1)</f>
        <v>0</v>
      </c>
      <c r="B25" s="110">
        <v>0.26</v>
      </c>
      <c r="C25" s="321" t="str">
        <f>INDEX('Example Logframe'!B:B,29,1)</f>
        <v>0</v>
      </c>
      <c r="D25" t="str">
        <f t="shared" si="5"/>
        <v/>
      </c>
      <c r="E25" t="str">
        <f t="shared" si="6"/>
        <v/>
      </c>
      <c r="F25" t="str">
        <f t="shared" si="0"/>
        <v/>
      </c>
      <c r="G25" t="str">
        <f t="shared" si="7"/>
        <v/>
      </c>
      <c r="H25" t="str">
        <f t="shared" si="1"/>
        <v/>
      </c>
      <c r="I25" s="157" t="str">
        <f t="shared" si="2"/>
        <v/>
      </c>
      <c r="J25" s="157"/>
      <c r="K25" s="157" t="str">
        <f t="shared" si="3"/>
        <v/>
      </c>
      <c r="L25" s="157" t="str">
        <f t="shared" si="4"/>
        <v/>
      </c>
      <c r="M25" s="157"/>
      <c r="N25" s="157" t="str">
        <f t="shared" si="8"/>
        <v/>
      </c>
      <c r="O25" s="174" t="str">
        <f>Table132[[#This Row],[Combined List]]</f>
        <v/>
      </c>
      <c r="P25" s="157">
        <v>21</v>
      </c>
      <c r="Q25" s="174" t="str">
        <f t="shared" si="10"/>
        <v/>
      </c>
      <c r="R25" s="174" t="str">
        <f t="shared" si="15"/>
        <v/>
      </c>
      <c r="S25" s="174" t="str">
        <f t="shared" si="11"/>
        <v/>
      </c>
      <c r="T25" s="174" t="str">
        <f t="shared" si="12"/>
        <v/>
      </c>
      <c r="U25" s="174" t="str">
        <f t="shared" si="12"/>
        <v/>
      </c>
      <c r="V25" s="174" t="str">
        <f t="shared" si="12"/>
        <v/>
      </c>
      <c r="W25" s="174" t="str">
        <f>_xlfn.IFNA(VLOOKUP(T:T,'Example Logframe'!$B:$G,6,FALSE),"")</f>
        <v/>
      </c>
      <c r="X25" s="174" t="str">
        <f>_xlfn.IFNA(VLOOKUP(U:U,'Example Logframe'!$B:$G,6,FALSE),"")</f>
        <v/>
      </c>
      <c r="Y25" s="174" t="str">
        <f>_xlfn.IFNA(VLOOKUP(V:V,'Example Logframe'!$B:$G,6,FALSE),"")</f>
        <v/>
      </c>
      <c r="Z25">
        <v>21</v>
      </c>
      <c r="AD25" t="str">
        <f t="shared" si="16"/>
        <v/>
      </c>
      <c r="AE25" t="str">
        <f t="shared" si="16"/>
        <v/>
      </c>
      <c r="AF25" t="str">
        <f t="shared" si="14"/>
        <v/>
      </c>
    </row>
    <row r="26" spans="1:36" x14ac:dyDescent="0.35">
      <c r="A26">
        <f>INDEX('Example Logframe'!F:F,30,1)</f>
        <v>0</v>
      </c>
      <c r="B26" s="110">
        <v>0.27</v>
      </c>
      <c r="C26" s="321" t="str">
        <f>INDEX('Example Logframe'!B:B,30,1)</f>
        <v>0</v>
      </c>
      <c r="D26" t="str">
        <f t="shared" si="5"/>
        <v/>
      </c>
      <c r="E26" t="str">
        <f t="shared" si="6"/>
        <v/>
      </c>
      <c r="F26" t="str">
        <f t="shared" si="0"/>
        <v/>
      </c>
      <c r="G26" t="str">
        <f t="shared" si="7"/>
        <v/>
      </c>
      <c r="H26" t="str">
        <f t="shared" si="1"/>
        <v/>
      </c>
      <c r="I26" s="157" t="str">
        <f t="shared" si="2"/>
        <v/>
      </c>
      <c r="J26" s="157"/>
      <c r="K26" s="157" t="str">
        <f t="shared" si="3"/>
        <v/>
      </c>
      <c r="L26" s="157" t="str">
        <f t="shared" si="4"/>
        <v/>
      </c>
      <c r="M26" s="157"/>
      <c r="N26" s="157" t="str">
        <f t="shared" si="8"/>
        <v/>
      </c>
      <c r="O26" s="174" t="str">
        <f>Table132[[#This Row],[Combined List]]</f>
        <v/>
      </c>
      <c r="P26" s="157">
        <v>22</v>
      </c>
      <c r="Q26" s="174" t="str">
        <f t="shared" si="10"/>
        <v/>
      </c>
      <c r="R26" s="174" t="str">
        <f t="shared" si="15"/>
        <v/>
      </c>
      <c r="S26" s="174" t="str">
        <f t="shared" si="11"/>
        <v/>
      </c>
      <c r="T26" s="174" t="str">
        <f t="shared" si="12"/>
        <v/>
      </c>
      <c r="U26" s="174" t="str">
        <f t="shared" si="12"/>
        <v/>
      </c>
      <c r="V26" s="174" t="str">
        <f t="shared" si="12"/>
        <v/>
      </c>
      <c r="W26" s="174" t="str">
        <f>_xlfn.IFNA(VLOOKUP(T:T,'Example Logframe'!$B:$G,6,FALSE),"")</f>
        <v/>
      </c>
      <c r="X26" s="174" t="str">
        <f>_xlfn.IFNA(VLOOKUP(U:U,'Example Logframe'!$B:$G,6,FALSE),"")</f>
        <v/>
      </c>
      <c r="Y26" s="174" t="str">
        <f>_xlfn.IFNA(VLOOKUP(V:V,'Example Logframe'!$B:$G,6,FALSE),"")</f>
        <v/>
      </c>
      <c r="Z26">
        <v>22</v>
      </c>
      <c r="AD26" t="str">
        <f t="shared" si="16"/>
        <v/>
      </c>
      <c r="AE26" t="str">
        <f t="shared" si="16"/>
        <v/>
      </c>
      <c r="AF26" t="str">
        <f t="shared" si="14"/>
        <v/>
      </c>
    </row>
    <row r="27" spans="1:36" x14ac:dyDescent="0.35">
      <c r="A27">
        <f>INDEX('Example Logframe'!F:F,31,1)</f>
        <v>0</v>
      </c>
      <c r="B27" s="110">
        <v>0.28000000000000003</v>
      </c>
      <c r="C27" s="321" t="str">
        <f>INDEX('Example Logframe'!B:B,31,1)</f>
        <v>0</v>
      </c>
      <c r="D27" t="str">
        <f t="shared" si="5"/>
        <v/>
      </c>
      <c r="E27" t="str">
        <f t="shared" si="6"/>
        <v/>
      </c>
      <c r="F27" t="str">
        <f t="shared" si="0"/>
        <v/>
      </c>
      <c r="G27" t="str">
        <f t="shared" si="7"/>
        <v/>
      </c>
      <c r="H27" t="str">
        <f t="shared" si="1"/>
        <v/>
      </c>
      <c r="I27" s="157" t="str">
        <f t="shared" si="2"/>
        <v/>
      </c>
      <c r="J27" s="157"/>
      <c r="K27" s="157" t="str">
        <f t="shared" si="3"/>
        <v/>
      </c>
      <c r="L27" s="157" t="str">
        <f t="shared" si="4"/>
        <v/>
      </c>
      <c r="M27" s="157"/>
      <c r="N27" s="157" t="str">
        <f t="shared" si="8"/>
        <v/>
      </c>
      <c r="O27" s="174" t="str">
        <f>Table132[[#This Row],[Combined List]]</f>
        <v/>
      </c>
      <c r="P27" s="157">
        <v>23</v>
      </c>
      <c r="Q27" s="174" t="str">
        <f t="shared" si="10"/>
        <v/>
      </c>
      <c r="R27" s="174" t="str">
        <f t="shared" si="15"/>
        <v/>
      </c>
      <c r="S27" s="174" t="str">
        <f t="shared" si="11"/>
        <v/>
      </c>
      <c r="T27" s="174" t="str">
        <f t="shared" si="12"/>
        <v/>
      </c>
      <c r="U27" s="174" t="str">
        <f t="shared" si="12"/>
        <v/>
      </c>
      <c r="V27" s="174" t="str">
        <f t="shared" si="12"/>
        <v/>
      </c>
      <c r="W27" s="174" t="str">
        <f>_xlfn.IFNA(VLOOKUP(T:T,'Example Logframe'!$B:$G,6,FALSE),"")</f>
        <v/>
      </c>
      <c r="X27" s="174" t="str">
        <f>_xlfn.IFNA(VLOOKUP(U:U,'Example Logframe'!$B:$G,6,FALSE),"")</f>
        <v/>
      </c>
      <c r="Y27" s="174" t="str">
        <f>_xlfn.IFNA(VLOOKUP(V:V,'Example Logframe'!$B:$G,6,FALSE),"")</f>
        <v/>
      </c>
      <c r="Z27">
        <v>23</v>
      </c>
      <c r="AD27" t="str">
        <f t="shared" si="16"/>
        <v/>
      </c>
      <c r="AE27" t="str">
        <f t="shared" si="16"/>
        <v/>
      </c>
      <c r="AF27" t="str">
        <f t="shared" si="14"/>
        <v/>
      </c>
    </row>
    <row r="28" spans="1:36" x14ac:dyDescent="0.35">
      <c r="A28">
        <f>INDEX('Example Logframe'!F:F,32,1)</f>
        <v>0</v>
      </c>
      <c r="B28" s="110">
        <v>0.28999999999999998</v>
      </c>
      <c r="C28" s="321" t="str">
        <f>INDEX('Example Logframe'!B:B,32,1)</f>
        <v>0Global Indicators</v>
      </c>
      <c r="D28" t="str">
        <f t="shared" si="5"/>
        <v/>
      </c>
      <c r="E28" t="str">
        <f t="shared" si="6"/>
        <v/>
      </c>
      <c r="F28" t="str">
        <f t="shared" si="0"/>
        <v/>
      </c>
      <c r="G28" t="str">
        <f t="shared" si="7"/>
        <v/>
      </c>
      <c r="H28" t="str">
        <f t="shared" si="1"/>
        <v/>
      </c>
      <c r="I28" s="157" t="str">
        <f t="shared" si="2"/>
        <v/>
      </c>
      <c r="J28" s="157"/>
      <c r="K28" s="157" t="str">
        <f t="shared" si="3"/>
        <v/>
      </c>
      <c r="L28" s="157" t="str">
        <f t="shared" si="4"/>
        <v/>
      </c>
      <c r="M28" s="157"/>
      <c r="N28" s="157" t="str">
        <f t="shared" si="8"/>
        <v/>
      </c>
      <c r="O28" s="174" t="str">
        <f>Table132[[#This Row],[Combined List]]</f>
        <v/>
      </c>
      <c r="P28" s="157">
        <v>24</v>
      </c>
      <c r="Q28" s="174" t="str">
        <f t="shared" si="10"/>
        <v/>
      </c>
      <c r="R28" s="174" t="str">
        <f t="shared" si="15"/>
        <v/>
      </c>
      <c r="S28" s="174" t="str">
        <f t="shared" si="11"/>
        <v/>
      </c>
      <c r="T28" s="174" t="str">
        <f t="shared" si="12"/>
        <v/>
      </c>
      <c r="U28" s="174" t="str">
        <f t="shared" si="12"/>
        <v/>
      </c>
      <c r="V28" s="174" t="str">
        <f t="shared" si="12"/>
        <v/>
      </c>
      <c r="W28" s="174" t="str">
        <f>_xlfn.IFNA(VLOOKUP(T:T,'Example Logframe'!$B:$G,6,FALSE),"")</f>
        <v/>
      </c>
      <c r="X28" s="174" t="str">
        <f>_xlfn.IFNA(VLOOKUP(U:U,'Example Logframe'!$B:$G,6,FALSE),"")</f>
        <v/>
      </c>
      <c r="Y28" s="174" t="str">
        <f>_xlfn.IFNA(VLOOKUP(V:V,'Example Logframe'!$B:$G,6,FALSE),"")</f>
        <v/>
      </c>
      <c r="Z28">
        <v>24</v>
      </c>
      <c r="AD28" t="str">
        <f t="shared" si="16"/>
        <v/>
      </c>
      <c r="AE28" t="str">
        <f t="shared" si="16"/>
        <v/>
      </c>
      <c r="AF28" t="str">
        <f t="shared" si="14"/>
        <v/>
      </c>
    </row>
    <row r="29" spans="1:36" x14ac:dyDescent="0.35">
      <c r="A29" t="str">
        <f>INDEX('Example Logframe'!F:F,33,1)</f>
        <v>P010100</v>
      </c>
      <c r="B29" s="110">
        <v>0.31</v>
      </c>
      <c r="C29" s="321" t="str">
        <f>INDEX('Example Logframe'!B:B,33,1)</f>
        <v>P010100</v>
      </c>
      <c r="D29" t="str">
        <f t="shared" si="5"/>
        <v/>
      </c>
      <c r="E29" t="str">
        <f t="shared" si="6"/>
        <v>P010100</v>
      </c>
      <c r="F29" t="str">
        <f t="shared" si="0"/>
        <v/>
      </c>
      <c r="G29" t="str">
        <f t="shared" si="7"/>
        <v/>
      </c>
      <c r="H29" t="str">
        <f t="shared" si="1"/>
        <v/>
      </c>
      <c r="I29" s="157" t="str">
        <f t="shared" si="2"/>
        <v/>
      </c>
      <c r="J29" s="157"/>
      <c r="K29" s="157" t="str">
        <f t="shared" si="3"/>
        <v/>
      </c>
      <c r="L29" s="157" t="str">
        <f t="shared" si="4"/>
        <v>0.31P010100</v>
      </c>
      <c r="M29" s="157"/>
      <c r="N29" s="157" t="str">
        <f t="shared" si="8"/>
        <v/>
      </c>
      <c r="O29" s="174" t="str">
        <f>Table132[[#This Row],[Combined List]]</f>
        <v/>
      </c>
      <c r="P29" s="157">
        <v>25</v>
      </c>
      <c r="Q29" s="174" t="str">
        <f t="shared" si="10"/>
        <v/>
      </c>
      <c r="R29" s="174" t="str">
        <f t="shared" si="15"/>
        <v/>
      </c>
      <c r="S29" s="174" t="str">
        <f t="shared" si="11"/>
        <v/>
      </c>
      <c r="T29" s="174" t="str">
        <f t="shared" si="12"/>
        <v/>
      </c>
      <c r="U29" s="174" t="str">
        <f t="shared" si="12"/>
        <v/>
      </c>
      <c r="V29" s="174" t="str">
        <f t="shared" si="12"/>
        <v/>
      </c>
      <c r="W29" s="174" t="str">
        <f>_xlfn.IFNA(VLOOKUP(T:T,'Example Logframe'!$B:$G,6,FALSE),"")</f>
        <v/>
      </c>
      <c r="X29" s="174" t="str">
        <f>_xlfn.IFNA(VLOOKUP(U:U,'Example Logframe'!$B:$G,6,FALSE),"")</f>
        <v/>
      </c>
      <c r="Y29" s="174" t="str">
        <f>_xlfn.IFNA(VLOOKUP(V:V,'Example Logframe'!$B:$G,6,FALSE),"")</f>
        <v/>
      </c>
      <c r="Z29">
        <v>25</v>
      </c>
      <c r="AD29" t="str">
        <f t="shared" si="16"/>
        <v/>
      </c>
      <c r="AE29" t="str">
        <f t="shared" si="16"/>
        <v/>
      </c>
      <c r="AF29" t="str">
        <f t="shared" si="14"/>
        <v/>
      </c>
    </row>
    <row r="30" spans="1:36" x14ac:dyDescent="0.35">
      <c r="A30" t="str">
        <f>INDEX('Example Logframe'!F:F,34,1)</f>
        <v>P020100</v>
      </c>
      <c r="B30" s="110">
        <v>0.32</v>
      </c>
      <c r="C30" s="321" t="str">
        <f>INDEX('Example Logframe'!B:B,34,1)</f>
        <v>P020100</v>
      </c>
      <c r="D30" t="str">
        <f t="shared" si="5"/>
        <v/>
      </c>
      <c r="E30" t="str">
        <f t="shared" si="6"/>
        <v>P020100</v>
      </c>
      <c r="F30" t="str">
        <f t="shared" si="0"/>
        <v/>
      </c>
      <c r="G30" t="str">
        <f t="shared" si="7"/>
        <v/>
      </c>
      <c r="H30" t="str">
        <f t="shared" si="1"/>
        <v/>
      </c>
      <c r="I30" s="157" t="str">
        <f t="shared" si="2"/>
        <v/>
      </c>
      <c r="J30" s="157"/>
      <c r="K30" s="157" t="str">
        <f t="shared" si="3"/>
        <v/>
      </c>
      <c r="L30" s="157" t="str">
        <f t="shared" si="4"/>
        <v>0.32P020100</v>
      </c>
      <c r="M30" s="157"/>
      <c r="N30" s="157" t="str">
        <f t="shared" si="8"/>
        <v/>
      </c>
      <c r="O30" s="174" t="str">
        <f>Table132[[#This Row],[Combined List]]</f>
        <v/>
      </c>
      <c r="P30" s="157">
        <v>26</v>
      </c>
      <c r="Q30" s="174" t="str">
        <f t="shared" si="10"/>
        <v/>
      </c>
      <c r="R30" s="174" t="str">
        <f t="shared" si="15"/>
        <v/>
      </c>
      <c r="S30" s="174" t="str">
        <f t="shared" si="11"/>
        <v/>
      </c>
      <c r="T30" s="174" t="str">
        <f t="shared" si="12"/>
        <v/>
      </c>
      <c r="U30" s="174" t="str">
        <f t="shared" si="12"/>
        <v/>
      </c>
      <c r="V30" s="174" t="str">
        <f t="shared" si="12"/>
        <v/>
      </c>
      <c r="W30" s="174" t="str">
        <f>_xlfn.IFNA(VLOOKUP(T:T,'Example Logframe'!$B:$G,6,FALSE),"")</f>
        <v/>
      </c>
      <c r="X30" s="174" t="str">
        <f>_xlfn.IFNA(VLOOKUP(U:U,'Example Logframe'!$B:$G,6,FALSE),"")</f>
        <v/>
      </c>
      <c r="Y30" s="174" t="str">
        <f>_xlfn.IFNA(VLOOKUP(V:V,'Example Logframe'!$B:$G,6,FALSE),"")</f>
        <v/>
      </c>
      <c r="Z30">
        <v>26</v>
      </c>
      <c r="AD30" t="str">
        <f t="shared" si="16"/>
        <v/>
      </c>
      <c r="AE30" t="str">
        <f t="shared" si="16"/>
        <v/>
      </c>
      <c r="AF30" t="str">
        <f t="shared" si="14"/>
        <v/>
      </c>
    </row>
    <row r="31" spans="1:36" x14ac:dyDescent="0.35">
      <c r="A31" t="str">
        <f>INDEX('Example Logframe'!F:F,35,1)</f>
        <v>B020200</v>
      </c>
      <c r="B31" s="110">
        <v>0.33</v>
      </c>
      <c r="C31" s="321" t="str">
        <f>INDEX('Example Logframe'!B:B,35,1)</f>
        <v>B020200</v>
      </c>
      <c r="D31" t="str">
        <f t="shared" si="5"/>
        <v>B020200</v>
      </c>
      <c r="E31" t="str">
        <f t="shared" si="6"/>
        <v/>
      </c>
      <c r="F31" t="str">
        <f t="shared" si="0"/>
        <v/>
      </c>
      <c r="G31" t="str">
        <f t="shared" si="7"/>
        <v/>
      </c>
      <c r="H31" t="str">
        <f t="shared" si="1"/>
        <v/>
      </c>
      <c r="I31" s="157" t="str">
        <f t="shared" si="2"/>
        <v/>
      </c>
      <c r="J31" s="157"/>
      <c r="K31" s="157" t="str">
        <f t="shared" si="3"/>
        <v>0.33B020200</v>
      </c>
      <c r="L31" s="157" t="str">
        <f t="shared" si="4"/>
        <v/>
      </c>
      <c r="M31" s="157"/>
      <c r="N31" s="157" t="str">
        <f t="shared" si="8"/>
        <v/>
      </c>
      <c r="O31" s="174" t="str">
        <f>Table132[[#This Row],[Combined List]]</f>
        <v/>
      </c>
      <c r="P31" s="157">
        <v>27</v>
      </c>
      <c r="Q31" s="174" t="str">
        <f t="shared" si="10"/>
        <v/>
      </c>
      <c r="R31" s="174" t="str">
        <f t="shared" si="15"/>
        <v/>
      </c>
      <c r="S31" s="174" t="str">
        <f t="shared" si="11"/>
        <v/>
      </c>
      <c r="T31" s="174" t="str">
        <f t="shared" si="12"/>
        <v/>
      </c>
      <c r="U31" s="174" t="str">
        <f t="shared" si="12"/>
        <v/>
      </c>
      <c r="V31" s="174" t="str">
        <f t="shared" si="12"/>
        <v/>
      </c>
      <c r="W31" s="174" t="str">
        <f>_xlfn.IFNA(VLOOKUP(T:T,'Example Logframe'!$B:$G,6,FALSE),"")</f>
        <v/>
      </c>
      <c r="X31" s="174" t="str">
        <f>_xlfn.IFNA(VLOOKUP(U:U,'Example Logframe'!$B:$G,6,FALSE),"")</f>
        <v/>
      </c>
      <c r="Y31" s="174" t="str">
        <f>_xlfn.IFNA(VLOOKUP(V:V,'Example Logframe'!$B:$G,6,FALSE),"")</f>
        <v/>
      </c>
      <c r="Z31">
        <v>27</v>
      </c>
      <c r="AD31" t="str">
        <f t="shared" si="16"/>
        <v/>
      </c>
      <c r="AE31" t="str">
        <f t="shared" si="16"/>
        <v/>
      </c>
      <c r="AF31" t="str">
        <f t="shared" si="14"/>
        <v/>
      </c>
    </row>
    <row r="32" spans="1:36" x14ac:dyDescent="0.35">
      <c r="A32" t="str">
        <f>INDEX('Example Logframe'!F:F,36,1)</f>
        <v>P020300</v>
      </c>
      <c r="B32" s="110">
        <v>0.34</v>
      </c>
      <c r="C32" s="321" t="str">
        <f>INDEX('Example Logframe'!B:B,36,1)</f>
        <v>P020300</v>
      </c>
      <c r="D32" t="str">
        <f t="shared" si="5"/>
        <v/>
      </c>
      <c r="E32" t="str">
        <f t="shared" si="6"/>
        <v>P020300</v>
      </c>
      <c r="F32" t="str">
        <f t="shared" si="0"/>
        <v/>
      </c>
      <c r="G32" t="str">
        <f t="shared" si="7"/>
        <v/>
      </c>
      <c r="H32" t="str">
        <f t="shared" si="1"/>
        <v/>
      </c>
      <c r="I32" s="157" t="str">
        <f t="shared" si="2"/>
        <v/>
      </c>
      <c r="J32" s="157"/>
      <c r="K32" s="157" t="str">
        <f t="shared" si="3"/>
        <v/>
      </c>
      <c r="L32" s="157" t="str">
        <f t="shared" si="4"/>
        <v>0.34P020300</v>
      </c>
      <c r="M32" s="157"/>
      <c r="N32" s="157" t="str">
        <f t="shared" si="8"/>
        <v/>
      </c>
      <c r="O32" s="174" t="str">
        <f>Table132[[#This Row],[Combined List]]</f>
        <v/>
      </c>
      <c r="P32" s="157">
        <v>28</v>
      </c>
      <c r="Q32" s="174" t="str">
        <f t="shared" si="10"/>
        <v/>
      </c>
      <c r="R32" s="174" t="str">
        <f t="shared" si="15"/>
        <v/>
      </c>
      <c r="S32" s="174" t="str">
        <f t="shared" si="11"/>
        <v/>
      </c>
      <c r="T32" s="174" t="str">
        <f t="shared" si="12"/>
        <v/>
      </c>
      <c r="U32" s="174" t="str">
        <f t="shared" si="12"/>
        <v/>
      </c>
      <c r="V32" s="174" t="str">
        <f t="shared" si="12"/>
        <v/>
      </c>
      <c r="W32" s="174" t="str">
        <f>_xlfn.IFNA(VLOOKUP(T:T,'Example Logframe'!$B:$G,6,FALSE),"")</f>
        <v/>
      </c>
      <c r="X32" s="174" t="str">
        <f>_xlfn.IFNA(VLOOKUP(U:U,'Example Logframe'!$B:$G,6,FALSE),"")</f>
        <v/>
      </c>
      <c r="Y32" s="174" t="str">
        <f>_xlfn.IFNA(VLOOKUP(V:V,'Example Logframe'!$B:$G,6,FALSE),"")</f>
        <v/>
      </c>
      <c r="Z32">
        <v>28</v>
      </c>
      <c r="AD32" t="str">
        <f t="shared" si="16"/>
        <v/>
      </c>
      <c r="AE32" t="str">
        <f t="shared" si="16"/>
        <v/>
      </c>
      <c r="AF32" t="str">
        <f t="shared" si="14"/>
        <v/>
      </c>
    </row>
    <row r="33" spans="1:32" x14ac:dyDescent="0.35">
      <c r="A33" t="str">
        <f>INDEX('Example Logframe'!F:F,37,1)</f>
        <v>B010300</v>
      </c>
      <c r="B33" s="110">
        <v>0.35</v>
      </c>
      <c r="C33" s="321" t="str">
        <f>INDEX('Example Logframe'!B:B,37,1)</f>
        <v>B010300</v>
      </c>
      <c r="D33" t="str">
        <f t="shared" si="5"/>
        <v>B010300</v>
      </c>
      <c r="E33" t="str">
        <f t="shared" si="6"/>
        <v/>
      </c>
      <c r="F33" t="str">
        <f t="shared" si="0"/>
        <v/>
      </c>
      <c r="G33" t="str">
        <f t="shared" si="7"/>
        <v/>
      </c>
      <c r="H33" t="str">
        <f t="shared" si="1"/>
        <v/>
      </c>
      <c r="I33" s="157" t="str">
        <f t="shared" si="2"/>
        <v/>
      </c>
      <c r="J33" s="157"/>
      <c r="K33" s="157" t="str">
        <f t="shared" si="3"/>
        <v>0.35B010300</v>
      </c>
      <c r="L33" s="157" t="str">
        <f t="shared" si="4"/>
        <v/>
      </c>
      <c r="M33" s="157"/>
      <c r="N33" s="157" t="str">
        <f t="shared" si="8"/>
        <v/>
      </c>
      <c r="O33" s="174" t="str">
        <f>Table132[[#This Row],[Combined List]]</f>
        <v/>
      </c>
      <c r="P33" s="157">
        <v>29</v>
      </c>
      <c r="Q33" s="174" t="str">
        <f t="shared" si="10"/>
        <v/>
      </c>
      <c r="R33" s="174" t="str">
        <f t="shared" si="15"/>
        <v/>
      </c>
      <c r="S33" s="174" t="str">
        <f t="shared" si="11"/>
        <v/>
      </c>
      <c r="T33" s="174" t="str">
        <f t="shared" si="12"/>
        <v/>
      </c>
      <c r="U33" s="174" t="str">
        <f t="shared" si="12"/>
        <v/>
      </c>
      <c r="V33" s="174" t="str">
        <f t="shared" si="12"/>
        <v/>
      </c>
      <c r="W33" s="174" t="str">
        <f>_xlfn.IFNA(VLOOKUP(T:T,'Example Logframe'!$B:$G,6,FALSE),"")</f>
        <v/>
      </c>
      <c r="X33" s="174" t="str">
        <f>_xlfn.IFNA(VLOOKUP(U:U,'Example Logframe'!$B:$G,6,FALSE),"")</f>
        <v/>
      </c>
      <c r="Y33" s="174" t="str">
        <f>_xlfn.IFNA(VLOOKUP(V:V,'Example Logframe'!$B:$G,6,FALSE),"")</f>
        <v/>
      </c>
      <c r="Z33">
        <v>29</v>
      </c>
      <c r="AD33" t="str">
        <f t="shared" si="16"/>
        <v/>
      </c>
      <c r="AE33" t="str">
        <f t="shared" si="16"/>
        <v/>
      </c>
      <c r="AF33" t="str">
        <f t="shared" si="14"/>
        <v/>
      </c>
    </row>
    <row r="34" spans="1:32" x14ac:dyDescent="0.35">
      <c r="A34" t="str">
        <f>INDEX('Example Logframe'!F:F,38,1)</f>
        <v>P010400</v>
      </c>
      <c r="B34" s="110">
        <v>0.36</v>
      </c>
      <c r="C34" s="321" t="str">
        <f>INDEX('Example Logframe'!B:B,38,1)</f>
        <v>P010400</v>
      </c>
      <c r="D34" t="str">
        <f t="shared" si="5"/>
        <v/>
      </c>
      <c r="E34" t="str">
        <f t="shared" si="6"/>
        <v>P010400</v>
      </c>
      <c r="F34" t="str">
        <f t="shared" si="0"/>
        <v/>
      </c>
      <c r="G34" t="str">
        <f t="shared" si="7"/>
        <v/>
      </c>
      <c r="H34" t="str">
        <f t="shared" si="1"/>
        <v/>
      </c>
      <c r="I34" s="157" t="str">
        <f t="shared" si="2"/>
        <v/>
      </c>
      <c r="J34" s="157"/>
      <c r="K34" s="157" t="str">
        <f t="shared" si="3"/>
        <v/>
      </c>
      <c r="L34" s="157" t="str">
        <f t="shared" si="4"/>
        <v>0.36P010400</v>
      </c>
      <c r="M34" s="157"/>
      <c r="N34" s="157" t="str">
        <f t="shared" si="8"/>
        <v/>
      </c>
      <c r="O34" s="174" t="str">
        <f>Table132[[#This Row],[Combined List]]</f>
        <v/>
      </c>
      <c r="P34" s="157">
        <v>30</v>
      </c>
      <c r="Q34" s="174" t="str">
        <f t="shared" si="10"/>
        <v/>
      </c>
      <c r="R34" s="174" t="str">
        <f t="shared" si="15"/>
        <v/>
      </c>
      <c r="S34" s="174" t="str">
        <f t="shared" si="11"/>
        <v/>
      </c>
      <c r="T34" s="174" t="str">
        <f t="shared" si="12"/>
        <v/>
      </c>
      <c r="U34" s="174" t="str">
        <f t="shared" si="12"/>
        <v/>
      </c>
      <c r="V34" s="174" t="str">
        <f t="shared" si="12"/>
        <v/>
      </c>
      <c r="W34" s="174" t="str">
        <f>_xlfn.IFNA(VLOOKUP(T:T,'Example Logframe'!$B:$G,6,FALSE),"")</f>
        <v/>
      </c>
      <c r="X34" s="174" t="str">
        <f>_xlfn.IFNA(VLOOKUP(U:U,'Example Logframe'!$B:$G,6,FALSE),"")</f>
        <v/>
      </c>
      <c r="Y34" s="174" t="str">
        <f>_xlfn.IFNA(VLOOKUP(V:V,'Example Logframe'!$B:$G,6,FALSE),"")</f>
        <v/>
      </c>
      <c r="Z34">
        <v>30</v>
      </c>
      <c r="AD34" t="str">
        <f t="shared" si="16"/>
        <v/>
      </c>
      <c r="AE34" t="str">
        <f t="shared" si="16"/>
        <v/>
      </c>
      <c r="AF34" t="str">
        <f t="shared" si="14"/>
        <v/>
      </c>
    </row>
    <row r="35" spans="1:32" x14ac:dyDescent="0.35">
      <c r="A35">
        <f>INDEX('Example Logframe'!F:F,39,1)</f>
        <v>0</v>
      </c>
      <c r="B35" s="110">
        <v>0.37</v>
      </c>
      <c r="C35" s="321" t="str">
        <f>INDEX('Example Logframe'!B:B,39,1)</f>
        <v>0MTO, STO, Activities</v>
      </c>
      <c r="D35" t="str">
        <f t="shared" si="5"/>
        <v/>
      </c>
      <c r="E35" t="str">
        <f t="shared" si="6"/>
        <v/>
      </c>
      <c r="F35" t="str">
        <f t="shared" si="0"/>
        <v/>
      </c>
      <c r="G35" t="str">
        <f t="shared" si="7"/>
        <v/>
      </c>
      <c r="H35" t="str">
        <f t="shared" si="1"/>
        <v/>
      </c>
      <c r="I35" s="157" t="str">
        <f t="shared" si="2"/>
        <v/>
      </c>
      <c r="J35" s="157"/>
      <c r="K35" s="157" t="str">
        <f t="shared" si="3"/>
        <v/>
      </c>
      <c r="L35" s="157" t="str">
        <f t="shared" si="4"/>
        <v/>
      </c>
      <c r="M35" s="157"/>
      <c r="N35" s="157" t="str">
        <f t="shared" si="8"/>
        <v/>
      </c>
      <c r="O35" s="174" t="str">
        <f>Table132[[#This Row],[Combined List]]</f>
        <v/>
      </c>
      <c r="P35" s="157">
        <v>31</v>
      </c>
      <c r="Q35" s="174" t="str">
        <f t="shared" si="10"/>
        <v/>
      </c>
      <c r="R35" s="174" t="str">
        <f t="shared" si="15"/>
        <v/>
      </c>
      <c r="S35" s="174" t="str">
        <f t="shared" si="11"/>
        <v/>
      </c>
      <c r="T35" s="174" t="str">
        <f t="shared" si="12"/>
        <v/>
      </c>
      <c r="U35" s="174" t="str">
        <f t="shared" si="12"/>
        <v/>
      </c>
      <c r="V35" s="174" t="str">
        <f t="shared" si="12"/>
        <v/>
      </c>
      <c r="W35" s="174" t="str">
        <f>_xlfn.IFNA(VLOOKUP(T:T,'Example Logframe'!$B:$G,6,FALSE),"")</f>
        <v/>
      </c>
      <c r="X35" s="174" t="str">
        <f>_xlfn.IFNA(VLOOKUP(U:U,'Example Logframe'!$B:$G,6,FALSE),"")</f>
        <v/>
      </c>
      <c r="Y35" s="174" t="str">
        <f>_xlfn.IFNA(VLOOKUP(V:V,'Example Logframe'!$B:$G,6,FALSE),"")</f>
        <v/>
      </c>
      <c r="Z35">
        <v>31</v>
      </c>
      <c r="AD35" t="str">
        <f t="shared" si="16"/>
        <v/>
      </c>
      <c r="AE35" t="str">
        <f t="shared" si="16"/>
        <v/>
      </c>
      <c r="AF35" t="str">
        <f t="shared" si="14"/>
        <v/>
      </c>
    </row>
    <row r="36" spans="1:32" x14ac:dyDescent="0.35">
      <c r="A36" t="str">
        <f>INDEX('Example Logframe'!F:F,40,1)</f>
        <v>FA05</v>
      </c>
      <c r="B36" s="110">
        <v>0.38</v>
      </c>
      <c r="C36" s="321" t="str">
        <f>INDEX('Example Logframe'!B:B,40,1)</f>
        <v>FA052</v>
      </c>
      <c r="D36" t="str">
        <f t="shared" si="5"/>
        <v/>
      </c>
      <c r="E36" t="str">
        <f t="shared" si="6"/>
        <v/>
      </c>
      <c r="F36" t="str">
        <f t="shared" si="0"/>
        <v>FA05</v>
      </c>
      <c r="G36" t="str">
        <f t="shared" si="7"/>
        <v/>
      </c>
      <c r="H36" t="str">
        <f t="shared" si="1"/>
        <v/>
      </c>
      <c r="I36" s="157" t="str">
        <f t="shared" si="2"/>
        <v>FA05</v>
      </c>
      <c r="J36" s="157"/>
      <c r="K36" s="157" t="str">
        <f t="shared" si="3"/>
        <v/>
      </c>
      <c r="L36" s="157" t="str">
        <f t="shared" si="4"/>
        <v/>
      </c>
      <c r="M36" s="157"/>
      <c r="N36" s="157" t="str">
        <f t="shared" si="8"/>
        <v>0.38FA05</v>
      </c>
      <c r="O36" s="174" t="str">
        <f>Table132[[#This Row],[Combined List]]</f>
        <v>FA05</v>
      </c>
      <c r="P36" s="157">
        <v>32</v>
      </c>
      <c r="Q36" s="174" t="str">
        <f t="shared" si="10"/>
        <v/>
      </c>
      <c r="R36" s="174" t="str">
        <f t="shared" si="15"/>
        <v/>
      </c>
      <c r="S36" s="174" t="str">
        <f t="shared" si="11"/>
        <v/>
      </c>
      <c r="T36" s="174" t="str">
        <f t="shared" si="12"/>
        <v/>
      </c>
      <c r="U36" s="174" t="str">
        <f t="shared" si="12"/>
        <v/>
      </c>
      <c r="V36" s="174" t="str">
        <f t="shared" si="12"/>
        <v/>
      </c>
      <c r="W36" s="174" t="str">
        <f>_xlfn.IFNA(VLOOKUP(T:T,'Example Logframe'!$B:$G,6,FALSE),"")</f>
        <v/>
      </c>
      <c r="X36" s="174" t="str">
        <f>_xlfn.IFNA(VLOOKUP(U:U,'Example Logframe'!$B:$G,6,FALSE),"")</f>
        <v/>
      </c>
      <c r="Y36" s="174" t="str">
        <f>_xlfn.IFNA(VLOOKUP(V:V,'Example Logframe'!$B:$G,6,FALSE),"")</f>
        <v/>
      </c>
      <c r="Z36">
        <v>32</v>
      </c>
      <c r="AD36" t="str">
        <f t="shared" si="16"/>
        <v/>
      </c>
      <c r="AE36" t="str">
        <f t="shared" si="16"/>
        <v/>
      </c>
      <c r="AF36" t="str">
        <f t="shared" si="14"/>
        <v/>
      </c>
    </row>
    <row r="37" spans="1:32" x14ac:dyDescent="0.35">
      <c r="A37" t="str">
        <f>INDEX('Example Logframe'!F:F,41,1)</f>
        <v>N/A2</v>
      </c>
      <c r="B37" s="110">
        <v>0.39</v>
      </c>
      <c r="C37" s="321" t="str">
        <f>INDEX('Example Logframe'!B:B,41,1)</f>
        <v>N/A22.1</v>
      </c>
      <c r="D37" t="str">
        <f t="shared" si="5"/>
        <v/>
      </c>
      <c r="E37" t="str">
        <f t="shared" si="6"/>
        <v/>
      </c>
      <c r="F37" t="str">
        <f t="shared" si="0"/>
        <v>N/A2</v>
      </c>
      <c r="G37" t="str">
        <f t="shared" si="7"/>
        <v/>
      </c>
      <c r="H37" t="str">
        <f t="shared" si="1"/>
        <v/>
      </c>
      <c r="I37" s="157" t="str">
        <f t="shared" si="2"/>
        <v>N/A2</v>
      </c>
      <c r="J37" s="157"/>
      <c r="K37" s="157" t="str">
        <f t="shared" si="3"/>
        <v/>
      </c>
      <c r="L37" s="157" t="str">
        <f t="shared" si="4"/>
        <v/>
      </c>
      <c r="M37" s="157"/>
      <c r="N37" s="157" t="str">
        <f t="shared" si="8"/>
        <v>0.39N/A2</v>
      </c>
      <c r="O37" s="174" t="str">
        <f>Table132[[#This Row],[Combined List]]</f>
        <v>N/A2</v>
      </c>
      <c r="P37" s="157">
        <v>33</v>
      </c>
      <c r="Q37" s="174" t="str">
        <f t="shared" si="10"/>
        <v/>
      </c>
      <c r="R37" s="174" t="str">
        <f t="shared" si="15"/>
        <v/>
      </c>
      <c r="S37" s="174" t="str">
        <f t="shared" si="11"/>
        <v/>
      </c>
      <c r="T37" s="174" t="str">
        <f t="shared" si="12"/>
        <v/>
      </c>
      <c r="U37" s="174" t="str">
        <f t="shared" si="12"/>
        <v/>
      </c>
      <c r="V37" s="174" t="str">
        <f t="shared" si="12"/>
        <v/>
      </c>
      <c r="W37" s="174" t="str">
        <f>_xlfn.IFNA(VLOOKUP(T:T,'Example Logframe'!$B:$G,6,FALSE),"")</f>
        <v/>
      </c>
      <c r="X37" s="174" t="str">
        <f>_xlfn.IFNA(VLOOKUP(U:U,'Example Logframe'!$B:$G,6,FALSE),"")</f>
        <v/>
      </c>
      <c r="Y37" s="174" t="str">
        <f>_xlfn.IFNA(VLOOKUP(V:V,'Example Logframe'!$B:$G,6,FALSE),"")</f>
        <v/>
      </c>
      <c r="Z37">
        <v>33</v>
      </c>
      <c r="AD37" t="str">
        <f t="shared" si="16"/>
        <v/>
      </c>
      <c r="AE37" t="str">
        <f t="shared" si="16"/>
        <v/>
      </c>
      <c r="AF37" t="str">
        <f t="shared" si="14"/>
        <v/>
      </c>
    </row>
    <row r="38" spans="1:32" x14ac:dyDescent="0.35">
      <c r="A38" t="str">
        <f>INDEX('Example Logframe'!F:F,42,1)</f>
        <v>P040204</v>
      </c>
      <c r="B38" s="110">
        <v>0.41</v>
      </c>
      <c r="C38" s="321" t="str">
        <f>INDEX('Example Logframe'!B:B,42,1)</f>
        <v>P0402042.1.1</v>
      </c>
      <c r="D38" t="str">
        <f t="shared" si="5"/>
        <v/>
      </c>
      <c r="E38" t="str">
        <f t="shared" si="6"/>
        <v>P040204</v>
      </c>
      <c r="F38" t="str">
        <f t="shared" si="0"/>
        <v/>
      </c>
      <c r="G38" t="str">
        <f t="shared" si="7"/>
        <v/>
      </c>
      <c r="H38" t="str">
        <f t="shared" si="1"/>
        <v/>
      </c>
      <c r="I38" s="157" t="str">
        <f t="shared" si="2"/>
        <v/>
      </c>
      <c r="J38" s="157"/>
      <c r="K38" s="157" t="str">
        <f t="shared" si="3"/>
        <v/>
      </c>
      <c r="L38" s="157" t="str">
        <f t="shared" si="4"/>
        <v>0.41P040204</v>
      </c>
      <c r="M38" s="157"/>
      <c r="N38" s="157" t="str">
        <f t="shared" si="8"/>
        <v/>
      </c>
      <c r="O38" s="174" t="str">
        <f>Table132[[#This Row],[Combined List]]</f>
        <v/>
      </c>
      <c r="P38" s="157">
        <v>34</v>
      </c>
      <c r="Q38" s="174" t="str">
        <f t="shared" si="10"/>
        <v/>
      </c>
      <c r="R38" s="174" t="str">
        <f t="shared" si="15"/>
        <v/>
      </c>
      <c r="S38" s="174" t="str">
        <f t="shared" si="11"/>
        <v/>
      </c>
      <c r="T38" s="174" t="str">
        <f t="shared" si="12"/>
        <v/>
      </c>
      <c r="U38" s="174" t="str">
        <f t="shared" si="12"/>
        <v/>
      </c>
      <c r="V38" s="174" t="str">
        <f t="shared" si="12"/>
        <v/>
      </c>
      <c r="W38" s="174" t="str">
        <f>_xlfn.IFNA(VLOOKUP(T:T,'Example Logframe'!$B:$G,6,FALSE),"")</f>
        <v/>
      </c>
      <c r="X38" s="174" t="str">
        <f>_xlfn.IFNA(VLOOKUP(U:U,'Example Logframe'!$B:$G,6,FALSE),"")</f>
        <v/>
      </c>
      <c r="Y38" s="174" t="str">
        <f>_xlfn.IFNA(VLOOKUP(V:V,'Example Logframe'!$B:$G,6,FALSE),"")</f>
        <v/>
      </c>
      <c r="Z38">
        <v>34</v>
      </c>
      <c r="AD38" t="str">
        <f t="shared" si="16"/>
        <v/>
      </c>
      <c r="AE38" t="str">
        <f t="shared" si="16"/>
        <v/>
      </c>
      <c r="AF38" t="str">
        <f t="shared" si="14"/>
        <v/>
      </c>
    </row>
    <row r="39" spans="1:32" x14ac:dyDescent="0.35">
      <c r="A39" t="str">
        <f>INDEX('Example Logframe'!F:F,43,1)</f>
        <v>B040001</v>
      </c>
      <c r="B39" s="110">
        <v>0.42</v>
      </c>
      <c r="C39" s="321" t="str">
        <f>INDEX('Example Logframe'!B:B,43,1)</f>
        <v>B0400012.1.2</v>
      </c>
      <c r="D39" t="str">
        <f t="shared" si="5"/>
        <v>B040001</v>
      </c>
      <c r="E39" t="str">
        <f t="shared" si="6"/>
        <v/>
      </c>
      <c r="F39" t="str">
        <f t="shared" si="0"/>
        <v/>
      </c>
      <c r="G39" t="str">
        <f t="shared" si="7"/>
        <v/>
      </c>
      <c r="H39" t="str">
        <f t="shared" si="1"/>
        <v/>
      </c>
      <c r="I39" s="157" t="str">
        <f t="shared" si="2"/>
        <v/>
      </c>
      <c r="J39" s="157"/>
      <c r="K39" s="157" t="str">
        <f t="shared" si="3"/>
        <v>0.42B040001</v>
      </c>
      <c r="L39" s="157" t="str">
        <f t="shared" si="4"/>
        <v/>
      </c>
      <c r="M39" s="157"/>
      <c r="N39" s="157" t="str">
        <f t="shared" si="8"/>
        <v/>
      </c>
      <c r="O39" s="174" t="str">
        <f>Table132[[#This Row],[Combined List]]</f>
        <v/>
      </c>
      <c r="P39" s="157">
        <v>35</v>
      </c>
      <c r="Q39" s="174" t="str">
        <f t="shared" si="10"/>
        <v/>
      </c>
      <c r="R39" s="174" t="str">
        <f t="shared" si="15"/>
        <v/>
      </c>
      <c r="S39" s="174" t="str">
        <f t="shared" si="11"/>
        <v/>
      </c>
      <c r="T39" s="174" t="str">
        <f t="shared" si="12"/>
        <v/>
      </c>
      <c r="U39" s="174" t="str">
        <f t="shared" si="12"/>
        <v/>
      </c>
      <c r="V39" s="174" t="str">
        <f t="shared" si="12"/>
        <v/>
      </c>
      <c r="W39" s="174" t="str">
        <f>_xlfn.IFNA(VLOOKUP(T:T,'Example Logframe'!$B:$G,6,FALSE),"")</f>
        <v/>
      </c>
      <c r="X39" s="174" t="str">
        <f>_xlfn.IFNA(VLOOKUP(U:U,'Example Logframe'!$B:$G,6,FALSE),"")</f>
        <v/>
      </c>
      <c r="Y39" s="174" t="str">
        <f>_xlfn.IFNA(VLOOKUP(V:V,'Example Logframe'!$B:$G,6,FALSE),"")</f>
        <v/>
      </c>
      <c r="Z39">
        <v>35</v>
      </c>
      <c r="AD39" t="str">
        <f t="shared" si="16"/>
        <v/>
      </c>
      <c r="AE39" t="str">
        <f t="shared" si="16"/>
        <v/>
      </c>
      <c r="AF39" t="str">
        <f t="shared" si="14"/>
        <v/>
      </c>
    </row>
    <row r="40" spans="1:32" x14ac:dyDescent="0.35">
      <c r="A40">
        <f>INDEX('Example Logframe'!F:F,44,1)</f>
        <v>0</v>
      </c>
      <c r="B40" s="110">
        <v>0.43</v>
      </c>
      <c r="C40" s="321" t="str">
        <f>INDEX('Example Logframe'!B:B,44,1)</f>
        <v>0</v>
      </c>
      <c r="D40" t="str">
        <f t="shared" si="5"/>
        <v/>
      </c>
      <c r="E40" t="str">
        <f t="shared" si="6"/>
        <v/>
      </c>
      <c r="F40" t="str">
        <f t="shared" si="0"/>
        <v/>
      </c>
      <c r="G40" t="str">
        <f t="shared" si="7"/>
        <v/>
      </c>
      <c r="H40" t="str">
        <f t="shared" si="1"/>
        <v/>
      </c>
      <c r="I40" s="157" t="str">
        <f t="shared" si="2"/>
        <v/>
      </c>
      <c r="J40" s="157"/>
      <c r="K40" s="157" t="str">
        <f t="shared" si="3"/>
        <v/>
      </c>
      <c r="L40" s="157" t="str">
        <f t="shared" si="4"/>
        <v/>
      </c>
      <c r="M40" s="157"/>
      <c r="N40" s="157" t="str">
        <f t="shared" si="8"/>
        <v/>
      </c>
      <c r="O40" s="174" t="str">
        <f>Table132[[#This Row],[Combined List]]</f>
        <v/>
      </c>
      <c r="P40" s="157">
        <v>36</v>
      </c>
      <c r="Q40" s="174" t="str">
        <f t="shared" si="10"/>
        <v/>
      </c>
      <c r="R40" s="174" t="str">
        <f t="shared" si="15"/>
        <v/>
      </c>
      <c r="S40" s="174" t="str">
        <f t="shared" si="11"/>
        <v/>
      </c>
      <c r="T40" s="174" t="str">
        <f t="shared" si="12"/>
        <v/>
      </c>
      <c r="U40" s="174" t="str">
        <f t="shared" si="12"/>
        <v/>
      </c>
      <c r="V40" s="174" t="str">
        <f t="shared" si="12"/>
        <v/>
      </c>
      <c r="W40" s="174" t="str">
        <f>_xlfn.IFNA(VLOOKUP(T:T,'Example Logframe'!$B:$G,6,FALSE),"")</f>
        <v/>
      </c>
      <c r="X40" s="174" t="str">
        <f>_xlfn.IFNA(VLOOKUP(U:U,'Example Logframe'!$B:$G,6,FALSE),"")</f>
        <v/>
      </c>
      <c r="Y40" s="174" t="str">
        <f>_xlfn.IFNA(VLOOKUP(V:V,'Example Logframe'!$B:$G,6,FALSE),"")</f>
        <v/>
      </c>
      <c r="Z40">
        <v>36</v>
      </c>
      <c r="AD40" t="str">
        <f t="shared" si="16"/>
        <v/>
      </c>
      <c r="AE40" t="str">
        <f t="shared" si="16"/>
        <v/>
      </c>
      <c r="AF40" t="str">
        <f t="shared" si="14"/>
        <v/>
      </c>
    </row>
    <row r="41" spans="1:32" x14ac:dyDescent="0.35">
      <c r="A41">
        <f>INDEX('Example Logframe'!F:F,45,1)</f>
        <v>0</v>
      </c>
      <c r="B41" s="110">
        <v>0.44</v>
      </c>
      <c r="C41" s="321" t="str">
        <f>INDEX('Example Logframe'!B:B,45,1)</f>
        <v>0</v>
      </c>
      <c r="D41" t="str">
        <f t="shared" si="5"/>
        <v/>
      </c>
      <c r="E41" t="str">
        <f t="shared" si="6"/>
        <v/>
      </c>
      <c r="F41" t="str">
        <f t="shared" si="0"/>
        <v/>
      </c>
      <c r="G41" t="str">
        <f t="shared" si="7"/>
        <v/>
      </c>
      <c r="H41" t="str">
        <f t="shared" si="1"/>
        <v/>
      </c>
      <c r="I41" s="157" t="str">
        <f t="shared" si="2"/>
        <v/>
      </c>
      <c r="J41" s="157"/>
      <c r="K41" s="157" t="str">
        <f t="shared" si="3"/>
        <v/>
      </c>
      <c r="L41" s="157" t="str">
        <f t="shared" si="4"/>
        <v/>
      </c>
      <c r="M41" s="157"/>
      <c r="N41" s="157" t="str">
        <f t="shared" si="8"/>
        <v/>
      </c>
      <c r="O41" s="174" t="str">
        <f>Table132[[#This Row],[Combined List]]</f>
        <v/>
      </c>
      <c r="P41" s="157">
        <v>37</v>
      </c>
      <c r="Q41" s="174" t="str">
        <f t="shared" si="10"/>
        <v/>
      </c>
      <c r="R41" s="174" t="str">
        <f t="shared" si="15"/>
        <v/>
      </c>
      <c r="S41" s="174" t="str">
        <f t="shared" si="11"/>
        <v/>
      </c>
      <c r="T41" s="174" t="str">
        <f t="shared" si="12"/>
        <v/>
      </c>
      <c r="U41" s="174" t="str">
        <f t="shared" si="12"/>
        <v/>
      </c>
      <c r="V41" s="174" t="str">
        <f t="shared" si="12"/>
        <v/>
      </c>
      <c r="W41" s="174" t="str">
        <f>_xlfn.IFNA(VLOOKUP(T:T,'Example Logframe'!$B:$G,6,FALSE),"")</f>
        <v/>
      </c>
      <c r="X41" s="174" t="str">
        <f>_xlfn.IFNA(VLOOKUP(U:U,'Example Logframe'!$B:$G,6,FALSE),"")</f>
        <v/>
      </c>
      <c r="Y41" s="174" t="str">
        <f>_xlfn.IFNA(VLOOKUP(V:V,'Example Logframe'!$B:$G,6,FALSE),"")</f>
        <v/>
      </c>
      <c r="Z41">
        <v>37</v>
      </c>
      <c r="AD41" t="str">
        <f t="shared" si="16"/>
        <v/>
      </c>
      <c r="AE41" t="str">
        <f t="shared" si="16"/>
        <v/>
      </c>
      <c r="AF41" t="str">
        <f t="shared" si="14"/>
        <v/>
      </c>
    </row>
    <row r="42" spans="1:32" x14ac:dyDescent="0.35">
      <c r="A42">
        <f>INDEX('Example Logframe'!F:F,46,1)</f>
        <v>0</v>
      </c>
      <c r="B42" s="110">
        <v>0.45</v>
      </c>
      <c r="C42" s="321" t="str">
        <f>INDEX('Example Logframe'!B:B,46,1)</f>
        <v>0</v>
      </c>
      <c r="D42" t="str">
        <f t="shared" si="5"/>
        <v/>
      </c>
      <c r="E42" t="str">
        <f t="shared" si="6"/>
        <v/>
      </c>
      <c r="F42" t="str">
        <f t="shared" si="0"/>
        <v/>
      </c>
      <c r="G42" t="str">
        <f t="shared" si="7"/>
        <v/>
      </c>
      <c r="H42" t="str">
        <f t="shared" si="1"/>
        <v/>
      </c>
      <c r="I42" s="157" t="str">
        <f t="shared" si="2"/>
        <v/>
      </c>
      <c r="J42" s="157"/>
      <c r="K42" s="157" t="str">
        <f t="shared" si="3"/>
        <v/>
      </c>
      <c r="L42" s="157" t="str">
        <f t="shared" si="4"/>
        <v/>
      </c>
      <c r="M42" s="157"/>
      <c r="N42" s="157" t="str">
        <f t="shared" si="8"/>
        <v/>
      </c>
      <c r="O42" s="174" t="str">
        <f>Table132[[#This Row],[Combined List]]</f>
        <v/>
      </c>
      <c r="P42" s="157">
        <v>38</v>
      </c>
      <c r="Q42" s="174" t="str">
        <f t="shared" si="10"/>
        <v/>
      </c>
      <c r="R42" s="174" t="str">
        <f t="shared" si="15"/>
        <v/>
      </c>
      <c r="S42" s="174" t="str">
        <f t="shared" si="11"/>
        <v/>
      </c>
      <c r="T42" s="174" t="str">
        <f t="shared" si="12"/>
        <v/>
      </c>
      <c r="U42" s="174" t="str">
        <f t="shared" si="12"/>
        <v/>
      </c>
      <c r="V42" s="174" t="str">
        <f t="shared" si="12"/>
        <v/>
      </c>
      <c r="W42" s="174" t="str">
        <f>_xlfn.IFNA(VLOOKUP(T:T,'Example Logframe'!$B:$G,6,FALSE),"")</f>
        <v/>
      </c>
      <c r="X42" s="174" t="str">
        <f>_xlfn.IFNA(VLOOKUP(U:U,'Example Logframe'!$B:$G,6,FALSE),"")</f>
        <v/>
      </c>
      <c r="Y42" s="174" t="str">
        <f>_xlfn.IFNA(VLOOKUP(V:V,'Example Logframe'!$B:$G,6,FALSE),"")</f>
        <v/>
      </c>
      <c r="Z42">
        <v>38</v>
      </c>
      <c r="AD42" t="str">
        <f t="shared" si="16"/>
        <v/>
      </c>
      <c r="AE42" t="str">
        <f t="shared" si="16"/>
        <v/>
      </c>
      <c r="AF42" t="str">
        <f t="shared" si="14"/>
        <v/>
      </c>
    </row>
    <row r="43" spans="1:32" x14ac:dyDescent="0.35">
      <c r="A43">
        <f>INDEX('Example Logframe'!F:F,47,1)</f>
        <v>0</v>
      </c>
      <c r="B43" s="110">
        <v>0.46</v>
      </c>
      <c r="C43" s="321" t="str">
        <f>INDEX('Example Logframe'!B:B,47,1)</f>
        <v>0</v>
      </c>
      <c r="D43" t="str">
        <f t="shared" si="5"/>
        <v/>
      </c>
      <c r="E43" t="str">
        <f t="shared" si="6"/>
        <v/>
      </c>
      <c r="F43" t="str">
        <f t="shared" si="0"/>
        <v/>
      </c>
      <c r="G43" t="str">
        <f t="shared" si="7"/>
        <v/>
      </c>
      <c r="H43" t="str">
        <f t="shared" si="1"/>
        <v/>
      </c>
      <c r="I43" s="157" t="str">
        <f t="shared" si="2"/>
        <v/>
      </c>
      <c r="J43" s="157"/>
      <c r="K43" s="157" t="str">
        <f t="shared" si="3"/>
        <v/>
      </c>
      <c r="L43" s="157" t="str">
        <f t="shared" si="4"/>
        <v/>
      </c>
      <c r="M43" s="157"/>
      <c r="N43" s="157" t="str">
        <f t="shared" si="8"/>
        <v/>
      </c>
      <c r="O43" s="174" t="str">
        <f>Table132[[#This Row],[Combined List]]</f>
        <v/>
      </c>
      <c r="P43" s="157">
        <v>39</v>
      </c>
      <c r="Q43" s="174" t="str">
        <f t="shared" si="10"/>
        <v/>
      </c>
      <c r="R43" s="174" t="str">
        <f t="shared" si="15"/>
        <v/>
      </c>
      <c r="S43" s="174" t="str">
        <f t="shared" si="11"/>
        <v/>
      </c>
      <c r="T43" s="174" t="str">
        <f t="shared" si="12"/>
        <v/>
      </c>
      <c r="U43" s="174" t="str">
        <f t="shared" si="12"/>
        <v/>
      </c>
      <c r="V43" s="174" t="str">
        <f t="shared" si="12"/>
        <v/>
      </c>
      <c r="W43" s="174" t="str">
        <f>_xlfn.IFNA(VLOOKUP(T:T,'Example Logframe'!$B:$G,6,FALSE),"")</f>
        <v/>
      </c>
      <c r="X43" s="174" t="str">
        <f>_xlfn.IFNA(VLOOKUP(U:U,'Example Logframe'!$B:$G,6,FALSE),"")</f>
        <v/>
      </c>
      <c r="Y43" s="174" t="str">
        <f>_xlfn.IFNA(VLOOKUP(V:V,'Example Logframe'!$B:$G,6,FALSE),"")</f>
        <v/>
      </c>
      <c r="Z43">
        <v>39</v>
      </c>
      <c r="AD43" t="str">
        <f t="shared" si="16"/>
        <v/>
      </c>
      <c r="AE43" t="str">
        <f t="shared" si="16"/>
        <v/>
      </c>
      <c r="AF43" t="str">
        <f t="shared" si="14"/>
        <v/>
      </c>
    </row>
    <row r="44" spans="1:32" x14ac:dyDescent="0.35">
      <c r="A44">
        <f>INDEX('Example Logframe'!F:F,48,1)</f>
        <v>0</v>
      </c>
      <c r="B44" s="110">
        <v>0.47</v>
      </c>
      <c r="C44" s="321" t="str">
        <f>INDEX('Example Logframe'!B:B,48,1)</f>
        <v>0</v>
      </c>
      <c r="D44" t="str">
        <f t="shared" si="5"/>
        <v/>
      </c>
      <c r="E44" t="str">
        <f t="shared" si="6"/>
        <v/>
      </c>
      <c r="F44" t="str">
        <f t="shared" si="0"/>
        <v/>
      </c>
      <c r="G44" t="str">
        <f t="shared" si="7"/>
        <v/>
      </c>
      <c r="H44" t="str">
        <f t="shared" si="1"/>
        <v/>
      </c>
      <c r="I44" s="157" t="str">
        <f t="shared" si="2"/>
        <v/>
      </c>
      <c r="J44" s="157"/>
      <c r="K44" s="157" t="str">
        <f t="shared" si="3"/>
        <v/>
      </c>
      <c r="L44" s="157" t="str">
        <f t="shared" si="4"/>
        <v/>
      </c>
      <c r="M44" s="157"/>
      <c r="N44" s="157" t="str">
        <f t="shared" si="8"/>
        <v/>
      </c>
      <c r="O44" s="174" t="str">
        <f>Table132[[#This Row],[Combined List]]</f>
        <v/>
      </c>
      <c r="P44" s="157">
        <v>40</v>
      </c>
      <c r="Q44" s="174" t="str">
        <f t="shared" si="10"/>
        <v/>
      </c>
      <c r="R44" s="174" t="str">
        <f t="shared" si="15"/>
        <v/>
      </c>
      <c r="S44" s="174" t="str">
        <f t="shared" si="11"/>
        <v/>
      </c>
      <c r="T44" s="174" t="str">
        <f t="shared" si="12"/>
        <v/>
      </c>
      <c r="U44" s="174" t="str">
        <f t="shared" si="12"/>
        <v/>
      </c>
      <c r="V44" s="174" t="str">
        <f t="shared" si="12"/>
        <v/>
      </c>
      <c r="W44" s="174" t="str">
        <f>_xlfn.IFNA(VLOOKUP(T:T,'Example Logframe'!$B:$G,6,FALSE),"")</f>
        <v/>
      </c>
      <c r="X44" s="174" t="str">
        <f>_xlfn.IFNA(VLOOKUP(U:U,'Example Logframe'!$B:$G,6,FALSE),"")</f>
        <v/>
      </c>
      <c r="Y44" s="174" t="str">
        <f>_xlfn.IFNA(VLOOKUP(V:V,'Example Logframe'!$B:$G,6,FALSE),"")</f>
        <v/>
      </c>
      <c r="Z44">
        <v>40</v>
      </c>
      <c r="AD44" t="str">
        <f t="shared" si="16"/>
        <v/>
      </c>
      <c r="AE44" t="str">
        <f t="shared" si="16"/>
        <v/>
      </c>
      <c r="AF44" t="str">
        <f t="shared" si="14"/>
        <v/>
      </c>
    </row>
    <row r="45" spans="1:32" x14ac:dyDescent="0.35">
      <c r="A45">
        <f>INDEX('Example Logframe'!F:F,49,1)</f>
        <v>0</v>
      </c>
      <c r="B45" s="110">
        <v>0.48</v>
      </c>
      <c r="C45" s="321" t="str">
        <f>INDEX('Example Logframe'!B:B,49,1)</f>
        <v>0</v>
      </c>
      <c r="D45" t="str">
        <f t="shared" si="5"/>
        <v/>
      </c>
      <c r="E45" t="str">
        <f t="shared" si="6"/>
        <v/>
      </c>
      <c r="F45" t="str">
        <f t="shared" si="0"/>
        <v/>
      </c>
      <c r="G45" t="str">
        <f t="shared" si="7"/>
        <v/>
      </c>
      <c r="H45" t="str">
        <f t="shared" si="1"/>
        <v/>
      </c>
      <c r="I45" s="157" t="str">
        <f t="shared" si="2"/>
        <v/>
      </c>
      <c r="J45" s="157"/>
      <c r="K45" s="157" t="str">
        <f t="shared" si="3"/>
        <v/>
      </c>
      <c r="L45" s="157" t="str">
        <f t="shared" si="4"/>
        <v/>
      </c>
      <c r="M45" s="157"/>
      <c r="N45" s="157" t="str">
        <f t="shared" si="8"/>
        <v/>
      </c>
      <c r="O45" s="174" t="str">
        <f>Table132[[#This Row],[Combined List]]</f>
        <v/>
      </c>
      <c r="P45" s="157">
        <v>41</v>
      </c>
      <c r="Q45" s="174" t="str">
        <f t="shared" si="10"/>
        <v/>
      </c>
      <c r="R45" s="174" t="str">
        <f t="shared" si="15"/>
        <v/>
      </c>
      <c r="S45" s="174" t="str">
        <f t="shared" si="11"/>
        <v/>
      </c>
      <c r="T45" s="174" t="str">
        <f t="shared" si="12"/>
        <v/>
      </c>
      <c r="U45" s="174" t="str">
        <f t="shared" si="12"/>
        <v/>
      </c>
      <c r="V45" s="174" t="str">
        <f t="shared" si="12"/>
        <v/>
      </c>
      <c r="W45" s="174" t="str">
        <f>_xlfn.IFNA(VLOOKUP(T:T,'Example Logframe'!$B:$G,6,FALSE),"")</f>
        <v/>
      </c>
      <c r="X45" s="174" t="str">
        <f>_xlfn.IFNA(VLOOKUP(U:U,'Example Logframe'!$B:$G,6,FALSE),"")</f>
        <v/>
      </c>
      <c r="Y45" s="174" t="str">
        <f>_xlfn.IFNA(VLOOKUP(V:V,'Example Logframe'!$B:$G,6,FALSE),"")</f>
        <v/>
      </c>
      <c r="Z45">
        <v>41</v>
      </c>
      <c r="AD45" t="str">
        <f t="shared" si="16"/>
        <v/>
      </c>
      <c r="AE45" t="str">
        <f t="shared" si="16"/>
        <v/>
      </c>
      <c r="AF45" t="str">
        <f t="shared" si="14"/>
        <v/>
      </c>
    </row>
    <row r="46" spans="1:32" x14ac:dyDescent="0.35">
      <c r="A46">
        <f>INDEX('Example Logframe'!F:F,50,1)</f>
        <v>0</v>
      </c>
      <c r="B46" s="110">
        <v>0.49</v>
      </c>
      <c r="C46" s="321" t="str">
        <f>INDEX('Example Logframe'!B:B,50,1)</f>
        <v>0</v>
      </c>
      <c r="D46" t="str">
        <f t="shared" si="5"/>
        <v/>
      </c>
      <c r="E46" t="str">
        <f t="shared" si="6"/>
        <v/>
      </c>
      <c r="F46" t="str">
        <f t="shared" si="0"/>
        <v/>
      </c>
      <c r="G46" t="str">
        <f t="shared" si="7"/>
        <v/>
      </c>
      <c r="H46" t="str">
        <f t="shared" si="1"/>
        <v/>
      </c>
      <c r="I46" s="157" t="str">
        <f t="shared" si="2"/>
        <v/>
      </c>
      <c r="J46" s="157"/>
      <c r="K46" s="157" t="str">
        <f t="shared" si="3"/>
        <v/>
      </c>
      <c r="L46" s="157" t="str">
        <f t="shared" si="4"/>
        <v/>
      </c>
      <c r="M46" s="157"/>
      <c r="N46" s="157" t="str">
        <f t="shared" si="8"/>
        <v/>
      </c>
      <c r="O46" s="174" t="str">
        <f>Table132[[#This Row],[Combined List]]</f>
        <v/>
      </c>
      <c r="P46" s="157">
        <v>42</v>
      </c>
      <c r="Q46" s="174" t="str">
        <f t="shared" si="10"/>
        <v/>
      </c>
      <c r="R46" s="174" t="str">
        <f t="shared" si="15"/>
        <v/>
      </c>
      <c r="S46" s="174" t="str">
        <f t="shared" si="11"/>
        <v/>
      </c>
      <c r="T46" s="174" t="str">
        <f t="shared" si="12"/>
        <v/>
      </c>
      <c r="U46" s="174" t="str">
        <f t="shared" si="12"/>
        <v/>
      </c>
      <c r="V46" s="174" t="str">
        <f t="shared" si="12"/>
        <v/>
      </c>
      <c r="W46" s="174" t="str">
        <f>_xlfn.IFNA(VLOOKUP(T:T,'Example Logframe'!$B:$G,6,FALSE),"")</f>
        <v/>
      </c>
      <c r="X46" s="174" t="str">
        <f>_xlfn.IFNA(VLOOKUP(U:U,'Example Logframe'!$B:$G,6,FALSE),"")</f>
        <v/>
      </c>
      <c r="Y46" s="174" t="str">
        <f>_xlfn.IFNA(VLOOKUP(V:V,'Example Logframe'!$B:$G,6,FALSE),"")</f>
        <v/>
      </c>
      <c r="Z46">
        <v>42</v>
      </c>
      <c r="AD46" t="str">
        <f t="shared" si="16"/>
        <v/>
      </c>
      <c r="AE46" t="str">
        <f t="shared" si="16"/>
        <v/>
      </c>
      <c r="AF46" t="str">
        <f t="shared" si="14"/>
        <v/>
      </c>
    </row>
    <row r="47" spans="1:32" x14ac:dyDescent="0.35">
      <c r="A47">
        <f>INDEX('Example Logframe'!F:F,51,1)</f>
        <v>0</v>
      </c>
      <c r="B47" s="110">
        <v>0.51</v>
      </c>
      <c r="C47" s="321" t="str">
        <f>INDEX('Example Logframe'!B:B,51,1)</f>
        <v>0</v>
      </c>
      <c r="D47" t="str">
        <f t="shared" si="5"/>
        <v/>
      </c>
      <c r="E47" t="str">
        <f t="shared" si="6"/>
        <v/>
      </c>
      <c r="F47" t="str">
        <f t="shared" si="0"/>
        <v/>
      </c>
      <c r="G47" t="str">
        <f t="shared" si="7"/>
        <v/>
      </c>
      <c r="H47" t="str">
        <f t="shared" si="1"/>
        <v/>
      </c>
      <c r="I47" s="157" t="str">
        <f t="shared" si="2"/>
        <v/>
      </c>
      <c r="J47" s="157"/>
      <c r="K47" s="157" t="str">
        <f t="shared" si="3"/>
        <v/>
      </c>
      <c r="L47" s="157" t="str">
        <f t="shared" si="4"/>
        <v/>
      </c>
      <c r="M47" s="157"/>
      <c r="N47" s="157" t="str">
        <f t="shared" si="8"/>
        <v/>
      </c>
      <c r="O47" s="174" t="str">
        <f>Table132[[#This Row],[Combined List]]</f>
        <v/>
      </c>
      <c r="P47" s="157">
        <v>43</v>
      </c>
      <c r="Q47" s="174" t="str">
        <f t="shared" si="10"/>
        <v/>
      </c>
      <c r="R47" s="174" t="str">
        <f t="shared" si="15"/>
        <v/>
      </c>
      <c r="S47" s="174" t="str">
        <f t="shared" si="11"/>
        <v/>
      </c>
      <c r="T47" s="174" t="str">
        <f t="shared" si="12"/>
        <v/>
      </c>
      <c r="U47" s="174" t="str">
        <f t="shared" si="12"/>
        <v/>
      </c>
      <c r="V47" s="174" t="str">
        <f t="shared" si="12"/>
        <v/>
      </c>
      <c r="W47" s="174" t="str">
        <f>_xlfn.IFNA(VLOOKUP(T:T,'Example Logframe'!$B:$G,6,FALSE),"")</f>
        <v/>
      </c>
      <c r="X47" s="174" t="str">
        <f>_xlfn.IFNA(VLOOKUP(U:U,'Example Logframe'!$B:$G,6,FALSE),"")</f>
        <v/>
      </c>
      <c r="Y47" s="174" t="str">
        <f>_xlfn.IFNA(VLOOKUP(V:V,'Example Logframe'!$B:$G,6,FALSE),"")</f>
        <v/>
      </c>
      <c r="Z47">
        <v>43</v>
      </c>
      <c r="AD47" t="str">
        <f t="shared" si="16"/>
        <v/>
      </c>
      <c r="AE47" t="str">
        <f t="shared" si="16"/>
        <v/>
      </c>
      <c r="AF47" t="str">
        <f t="shared" si="14"/>
        <v/>
      </c>
    </row>
    <row r="48" spans="1:32" x14ac:dyDescent="0.35">
      <c r="A48">
        <f>INDEX('Example Logframe'!F:F,52,1)</f>
        <v>0</v>
      </c>
      <c r="B48" s="110">
        <v>0.52</v>
      </c>
      <c r="C48" s="321" t="str">
        <f>INDEX('Example Logframe'!B:B,52,1)</f>
        <v>0</v>
      </c>
      <c r="D48" t="str">
        <f t="shared" si="5"/>
        <v/>
      </c>
      <c r="E48" t="str">
        <f t="shared" si="6"/>
        <v/>
      </c>
      <c r="F48" t="str">
        <f t="shared" si="0"/>
        <v/>
      </c>
      <c r="G48" t="str">
        <f t="shared" si="7"/>
        <v/>
      </c>
      <c r="H48" t="str">
        <f t="shared" si="1"/>
        <v/>
      </c>
      <c r="I48" s="157" t="str">
        <f t="shared" si="2"/>
        <v/>
      </c>
      <c r="J48" s="157"/>
      <c r="K48" s="157" t="str">
        <f t="shared" si="3"/>
        <v/>
      </c>
      <c r="L48" s="157" t="str">
        <f t="shared" si="4"/>
        <v/>
      </c>
      <c r="M48" s="157"/>
      <c r="N48" s="157" t="str">
        <f t="shared" si="8"/>
        <v/>
      </c>
      <c r="O48" s="174" t="str">
        <f>Table132[[#This Row],[Combined List]]</f>
        <v/>
      </c>
      <c r="P48" s="157">
        <v>44</v>
      </c>
      <c r="Q48" s="174" t="str">
        <f t="shared" si="10"/>
        <v/>
      </c>
      <c r="R48" s="174" t="str">
        <f t="shared" si="15"/>
        <v/>
      </c>
      <c r="S48" s="174" t="str">
        <f t="shared" si="11"/>
        <v/>
      </c>
      <c r="T48" s="174" t="str">
        <f t="shared" si="12"/>
        <v/>
      </c>
      <c r="U48" s="174" t="str">
        <f t="shared" si="12"/>
        <v/>
      </c>
      <c r="V48" s="174" t="str">
        <f t="shared" si="12"/>
        <v/>
      </c>
      <c r="W48" s="174" t="str">
        <f>_xlfn.IFNA(VLOOKUP(T:T,'Example Logframe'!$B:$G,6,FALSE),"")</f>
        <v/>
      </c>
      <c r="X48" s="174" t="str">
        <f>_xlfn.IFNA(VLOOKUP(U:U,'Example Logframe'!$B:$G,6,FALSE),"")</f>
        <v/>
      </c>
      <c r="Y48" s="174" t="str">
        <f>_xlfn.IFNA(VLOOKUP(V:V,'Example Logframe'!$B:$G,6,FALSE),"")</f>
        <v/>
      </c>
      <c r="Z48">
        <v>44</v>
      </c>
      <c r="AD48" t="str">
        <f t="shared" si="16"/>
        <v/>
      </c>
      <c r="AE48" t="str">
        <f t="shared" si="16"/>
        <v/>
      </c>
      <c r="AF48" t="str">
        <f t="shared" si="14"/>
        <v/>
      </c>
    </row>
    <row r="49" spans="1:32" x14ac:dyDescent="0.35">
      <c r="A49">
        <f>INDEX('Example Logframe'!F:F,53,1)</f>
        <v>0</v>
      </c>
      <c r="B49" s="110">
        <v>0.53</v>
      </c>
      <c r="C49" s="321" t="str">
        <f>INDEX('Example Logframe'!B:B,53,1)</f>
        <v>0</v>
      </c>
      <c r="D49" t="str">
        <f t="shared" si="5"/>
        <v/>
      </c>
      <c r="E49" t="str">
        <f t="shared" si="6"/>
        <v/>
      </c>
      <c r="F49" t="str">
        <f t="shared" si="0"/>
        <v/>
      </c>
      <c r="G49" t="str">
        <f t="shared" si="7"/>
        <v/>
      </c>
      <c r="H49" t="str">
        <f t="shared" si="1"/>
        <v/>
      </c>
      <c r="I49" s="157" t="str">
        <f t="shared" si="2"/>
        <v/>
      </c>
      <c r="J49" s="157"/>
      <c r="K49" s="157" t="str">
        <f t="shared" si="3"/>
        <v/>
      </c>
      <c r="L49" s="157" t="str">
        <f t="shared" si="4"/>
        <v/>
      </c>
      <c r="M49" s="157"/>
      <c r="N49" s="157" t="str">
        <f t="shared" si="8"/>
        <v/>
      </c>
      <c r="O49" s="174" t="str">
        <f>Table132[[#This Row],[Combined List]]</f>
        <v/>
      </c>
      <c r="P49" s="157">
        <v>45</v>
      </c>
      <c r="Q49" s="174" t="str">
        <f t="shared" si="10"/>
        <v/>
      </c>
      <c r="R49" s="174" t="str">
        <f t="shared" si="15"/>
        <v/>
      </c>
      <c r="S49" s="174" t="str">
        <f t="shared" si="11"/>
        <v/>
      </c>
      <c r="T49" s="174" t="str">
        <f t="shared" si="12"/>
        <v/>
      </c>
      <c r="U49" s="174" t="str">
        <f t="shared" si="12"/>
        <v/>
      </c>
      <c r="V49" s="174" t="str">
        <f t="shared" si="12"/>
        <v/>
      </c>
      <c r="W49" s="174" t="str">
        <f>_xlfn.IFNA(VLOOKUP(T:T,'Example Logframe'!$B:$G,6,FALSE),"")</f>
        <v/>
      </c>
      <c r="X49" s="174" t="str">
        <f>_xlfn.IFNA(VLOOKUP(U:U,'Example Logframe'!$B:$G,6,FALSE),"")</f>
        <v/>
      </c>
      <c r="Y49" s="174" t="str">
        <f>_xlfn.IFNA(VLOOKUP(V:V,'Example Logframe'!$B:$G,6,FALSE),"")</f>
        <v/>
      </c>
      <c r="Z49">
        <v>45</v>
      </c>
      <c r="AD49" t="str">
        <f t="shared" si="16"/>
        <v/>
      </c>
      <c r="AE49" t="str">
        <f t="shared" si="16"/>
        <v/>
      </c>
      <c r="AF49" t="str">
        <f t="shared" si="14"/>
        <v/>
      </c>
    </row>
    <row r="50" spans="1:32" x14ac:dyDescent="0.35">
      <c r="A50">
        <f>INDEX('Example Logframe'!F:F,54,1)</f>
        <v>0</v>
      </c>
      <c r="B50" s="110">
        <v>0.54</v>
      </c>
      <c r="C50" s="321" t="str">
        <f>INDEX('Example Logframe'!B:B,54,1)</f>
        <v>0</v>
      </c>
      <c r="D50" t="str">
        <f t="shared" si="5"/>
        <v/>
      </c>
      <c r="E50" t="str">
        <f t="shared" si="6"/>
        <v/>
      </c>
      <c r="F50" t="str">
        <f t="shared" si="0"/>
        <v/>
      </c>
      <c r="G50" t="str">
        <f t="shared" si="7"/>
        <v/>
      </c>
      <c r="H50" t="str">
        <f t="shared" si="1"/>
        <v/>
      </c>
      <c r="I50" s="157" t="str">
        <f t="shared" si="2"/>
        <v/>
      </c>
      <c r="J50" s="157"/>
      <c r="K50" s="157" t="str">
        <f t="shared" si="3"/>
        <v/>
      </c>
      <c r="L50" s="157" t="str">
        <f t="shared" si="4"/>
        <v/>
      </c>
      <c r="M50" s="157"/>
      <c r="N50" s="157" t="str">
        <f t="shared" si="8"/>
        <v/>
      </c>
      <c r="O50" s="174" t="str">
        <f>Table132[[#This Row],[Combined List]]</f>
        <v/>
      </c>
      <c r="P50" s="157">
        <v>46</v>
      </c>
      <c r="Q50" s="174" t="str">
        <f t="shared" si="10"/>
        <v/>
      </c>
      <c r="R50" s="174" t="str">
        <f t="shared" si="15"/>
        <v/>
      </c>
      <c r="S50" s="174" t="str">
        <f t="shared" si="11"/>
        <v/>
      </c>
      <c r="T50" s="174" t="str">
        <f t="shared" si="12"/>
        <v/>
      </c>
      <c r="U50" s="174" t="str">
        <f t="shared" si="12"/>
        <v/>
      </c>
      <c r="V50" s="174" t="str">
        <f t="shared" si="12"/>
        <v/>
      </c>
      <c r="W50" s="174" t="str">
        <f>_xlfn.IFNA(VLOOKUP(T:T,'Example Logframe'!$B:$G,6,FALSE),"")</f>
        <v/>
      </c>
      <c r="X50" s="174" t="str">
        <f>_xlfn.IFNA(VLOOKUP(U:U,'Example Logframe'!$B:$G,6,FALSE),"")</f>
        <v/>
      </c>
      <c r="Y50" s="174" t="str">
        <f>_xlfn.IFNA(VLOOKUP(V:V,'Example Logframe'!$B:$G,6,FALSE),"")</f>
        <v/>
      </c>
      <c r="Z50">
        <v>46</v>
      </c>
      <c r="AD50" t="str">
        <f t="shared" si="16"/>
        <v/>
      </c>
      <c r="AE50" t="str">
        <f t="shared" si="16"/>
        <v/>
      </c>
      <c r="AF50" t="str">
        <f t="shared" si="14"/>
        <v/>
      </c>
    </row>
    <row r="51" spans="1:32" x14ac:dyDescent="0.35">
      <c r="A51">
        <f>INDEX('Example Logframe'!F:F,55,1)</f>
        <v>0</v>
      </c>
      <c r="B51" s="110">
        <v>0.55000000000000004</v>
      </c>
      <c r="C51" s="321" t="str">
        <f>INDEX('Example Logframe'!B:B,55,1)</f>
        <v>0</v>
      </c>
      <c r="D51" t="str">
        <f t="shared" si="5"/>
        <v/>
      </c>
      <c r="E51" t="str">
        <f t="shared" si="6"/>
        <v/>
      </c>
      <c r="F51" t="str">
        <f t="shared" si="0"/>
        <v/>
      </c>
      <c r="G51" t="str">
        <f t="shared" si="7"/>
        <v/>
      </c>
      <c r="H51" t="str">
        <f t="shared" si="1"/>
        <v/>
      </c>
      <c r="I51" s="157" t="str">
        <f t="shared" si="2"/>
        <v/>
      </c>
      <c r="J51" s="157"/>
      <c r="K51" s="157" t="str">
        <f t="shared" si="3"/>
        <v/>
      </c>
      <c r="L51" s="157" t="str">
        <f t="shared" si="4"/>
        <v/>
      </c>
      <c r="M51" s="157"/>
      <c r="N51" s="157" t="str">
        <f t="shared" si="8"/>
        <v/>
      </c>
      <c r="O51" s="174" t="str">
        <f>Table132[[#This Row],[Combined List]]</f>
        <v/>
      </c>
      <c r="P51" s="157">
        <v>47</v>
      </c>
      <c r="Q51" s="174" t="str">
        <f t="shared" si="10"/>
        <v/>
      </c>
      <c r="R51" s="174" t="str">
        <f t="shared" si="15"/>
        <v/>
      </c>
      <c r="S51" s="174" t="str">
        <f t="shared" si="11"/>
        <v/>
      </c>
      <c r="T51" s="174" t="str">
        <f t="shared" si="12"/>
        <v/>
      </c>
      <c r="U51" s="174" t="str">
        <f t="shared" si="12"/>
        <v/>
      </c>
      <c r="V51" s="174" t="str">
        <f t="shared" si="12"/>
        <v/>
      </c>
      <c r="W51" s="174" t="str">
        <f>_xlfn.IFNA(VLOOKUP(T:T,'Example Logframe'!$B:$G,6,FALSE),"")</f>
        <v/>
      </c>
      <c r="X51" s="174" t="str">
        <f>_xlfn.IFNA(VLOOKUP(U:U,'Example Logframe'!$B:$G,6,FALSE),"")</f>
        <v/>
      </c>
      <c r="Y51" s="174" t="str">
        <f>_xlfn.IFNA(VLOOKUP(V:V,'Example Logframe'!$B:$G,6,FALSE),"")</f>
        <v/>
      </c>
      <c r="Z51">
        <v>47</v>
      </c>
      <c r="AD51" t="str">
        <f t="shared" si="16"/>
        <v/>
      </c>
      <c r="AE51" t="str">
        <f t="shared" si="16"/>
        <v/>
      </c>
      <c r="AF51" t="str">
        <f t="shared" si="14"/>
        <v/>
      </c>
    </row>
    <row r="52" spans="1:32" x14ac:dyDescent="0.35">
      <c r="A52">
        <f>INDEX('Example Logframe'!F:F,56,1)</f>
        <v>0</v>
      </c>
      <c r="B52" s="110">
        <v>0.56000000000000005</v>
      </c>
      <c r="C52" s="321" t="str">
        <f>INDEX('Example Logframe'!B:B,56,1)</f>
        <v>0</v>
      </c>
      <c r="D52" t="str">
        <f t="shared" si="5"/>
        <v/>
      </c>
      <c r="E52" t="str">
        <f t="shared" si="6"/>
        <v/>
      </c>
      <c r="F52" t="str">
        <f t="shared" si="0"/>
        <v/>
      </c>
      <c r="G52" t="str">
        <f t="shared" si="7"/>
        <v/>
      </c>
      <c r="H52" t="str">
        <f t="shared" si="1"/>
        <v/>
      </c>
      <c r="I52" s="157" t="str">
        <f t="shared" si="2"/>
        <v/>
      </c>
      <c r="J52" s="157"/>
      <c r="K52" s="157" t="str">
        <f t="shared" si="3"/>
        <v/>
      </c>
      <c r="L52" s="157" t="str">
        <f t="shared" si="4"/>
        <v/>
      </c>
      <c r="M52" s="157"/>
      <c r="N52" s="157" t="str">
        <f t="shared" si="8"/>
        <v/>
      </c>
      <c r="O52" s="174" t="str">
        <f>Table132[[#This Row],[Combined List]]</f>
        <v/>
      </c>
      <c r="P52" s="157">
        <v>48</v>
      </c>
      <c r="Q52" s="174" t="str">
        <f t="shared" si="10"/>
        <v/>
      </c>
      <c r="R52" s="174" t="str">
        <f t="shared" si="15"/>
        <v/>
      </c>
      <c r="S52" s="174" t="str">
        <f t="shared" si="11"/>
        <v/>
      </c>
      <c r="T52" s="174" t="str">
        <f t="shared" si="12"/>
        <v/>
      </c>
      <c r="U52" s="174" t="str">
        <f t="shared" si="12"/>
        <v/>
      </c>
      <c r="V52" s="174" t="str">
        <f t="shared" si="12"/>
        <v/>
      </c>
      <c r="W52" s="174" t="str">
        <f>_xlfn.IFNA(VLOOKUP(T:T,'Example Logframe'!$B:$G,6,FALSE),"")</f>
        <v/>
      </c>
      <c r="X52" s="174" t="str">
        <f>_xlfn.IFNA(VLOOKUP(U:U,'Example Logframe'!$B:$G,6,FALSE),"")</f>
        <v/>
      </c>
      <c r="Y52" s="174" t="str">
        <f>_xlfn.IFNA(VLOOKUP(V:V,'Example Logframe'!$B:$G,6,FALSE),"")</f>
        <v/>
      </c>
      <c r="Z52">
        <v>48</v>
      </c>
      <c r="AD52" t="str">
        <f t="shared" si="16"/>
        <v/>
      </c>
      <c r="AE52" t="str">
        <f t="shared" si="16"/>
        <v/>
      </c>
      <c r="AF52" t="str">
        <f t="shared" si="14"/>
        <v/>
      </c>
    </row>
    <row r="53" spans="1:32" x14ac:dyDescent="0.35">
      <c r="A53">
        <f>INDEX('Example Logframe'!F:F,57,1)</f>
        <v>0</v>
      </c>
      <c r="B53" s="110">
        <v>0.56999999999999995</v>
      </c>
      <c r="C53" s="321" t="str">
        <f>INDEX('Example Logframe'!B:B,57,1)</f>
        <v>0Global Indicators</v>
      </c>
      <c r="D53" t="str">
        <f t="shared" si="5"/>
        <v/>
      </c>
      <c r="E53" t="str">
        <f t="shared" si="6"/>
        <v/>
      </c>
      <c r="F53" t="str">
        <f t="shared" si="0"/>
        <v/>
      </c>
      <c r="G53" t="str">
        <f t="shared" si="7"/>
        <v/>
      </c>
      <c r="H53" t="str">
        <f t="shared" si="1"/>
        <v/>
      </c>
      <c r="I53" s="157" t="str">
        <f t="shared" si="2"/>
        <v/>
      </c>
      <c r="J53" s="157"/>
      <c r="K53" s="157" t="str">
        <f t="shared" si="3"/>
        <v/>
      </c>
      <c r="L53" s="157" t="str">
        <f t="shared" si="4"/>
        <v/>
      </c>
      <c r="M53" s="157"/>
      <c r="N53" s="157" t="str">
        <f t="shared" si="8"/>
        <v/>
      </c>
      <c r="O53" s="174" t="str">
        <f>Table132[[#This Row],[Combined List]]</f>
        <v/>
      </c>
      <c r="P53" s="157">
        <v>49</v>
      </c>
      <c r="Q53" s="174" t="str">
        <f t="shared" si="10"/>
        <v/>
      </c>
      <c r="R53" s="174" t="str">
        <f t="shared" si="15"/>
        <v/>
      </c>
      <c r="S53" s="174" t="str">
        <f t="shared" si="11"/>
        <v/>
      </c>
      <c r="T53" s="174" t="str">
        <f t="shared" si="12"/>
        <v/>
      </c>
      <c r="U53" s="174" t="str">
        <f t="shared" si="12"/>
        <v/>
      </c>
      <c r="V53" s="174" t="str">
        <f t="shared" si="12"/>
        <v/>
      </c>
      <c r="W53" s="174" t="str">
        <f>_xlfn.IFNA(VLOOKUP(T:T,'Example Logframe'!$B:$G,6,FALSE),"")</f>
        <v/>
      </c>
      <c r="X53" s="174" t="str">
        <f>_xlfn.IFNA(VLOOKUP(U:U,'Example Logframe'!$B:$G,6,FALSE),"")</f>
        <v/>
      </c>
      <c r="Y53" s="174" t="str">
        <f>_xlfn.IFNA(VLOOKUP(V:V,'Example Logframe'!$B:$G,6,FALSE),"")</f>
        <v/>
      </c>
      <c r="Z53">
        <v>49</v>
      </c>
      <c r="AD53" t="str">
        <f t="shared" si="16"/>
        <v/>
      </c>
      <c r="AE53" t="str">
        <f t="shared" si="16"/>
        <v/>
      </c>
      <c r="AF53" t="str">
        <f t="shared" si="14"/>
        <v/>
      </c>
    </row>
    <row r="54" spans="1:32" x14ac:dyDescent="0.35">
      <c r="A54" t="str">
        <f>INDEX('Example Logframe'!F:F,58,1)</f>
        <v>P040200</v>
      </c>
      <c r="B54" s="110">
        <v>0.57999999999999996</v>
      </c>
      <c r="C54" s="321" t="str">
        <f>INDEX('Example Logframe'!B:B,58,1)</f>
        <v>P040200</v>
      </c>
      <c r="D54" t="str">
        <f t="shared" si="5"/>
        <v/>
      </c>
      <c r="E54" t="str">
        <f t="shared" si="6"/>
        <v>P040200</v>
      </c>
      <c r="F54" t="str">
        <f t="shared" si="0"/>
        <v/>
      </c>
      <c r="G54" t="str">
        <f t="shared" si="7"/>
        <v/>
      </c>
      <c r="H54" t="str">
        <f t="shared" si="1"/>
        <v/>
      </c>
      <c r="I54" s="157" t="str">
        <f t="shared" si="2"/>
        <v/>
      </c>
      <c r="J54" s="157"/>
      <c r="K54" s="157" t="str">
        <f t="shared" si="3"/>
        <v/>
      </c>
      <c r="L54" s="157" t="str">
        <f t="shared" si="4"/>
        <v>0.58P040200</v>
      </c>
      <c r="M54" s="157"/>
      <c r="N54" s="157" t="str">
        <f t="shared" si="8"/>
        <v/>
      </c>
      <c r="O54" s="174" t="str">
        <f>Table132[[#This Row],[Combined List]]</f>
        <v/>
      </c>
      <c r="P54" s="157">
        <v>50</v>
      </c>
      <c r="Q54" s="174" t="str">
        <f t="shared" si="10"/>
        <v/>
      </c>
      <c r="R54" s="174" t="str">
        <f t="shared" si="15"/>
        <v/>
      </c>
      <c r="S54" s="174" t="str">
        <f t="shared" si="11"/>
        <v/>
      </c>
      <c r="T54" s="174" t="str">
        <f t="shared" si="12"/>
        <v/>
      </c>
      <c r="U54" s="174" t="str">
        <f t="shared" si="12"/>
        <v/>
      </c>
      <c r="V54" s="174" t="str">
        <f t="shared" si="12"/>
        <v/>
      </c>
      <c r="W54" s="174" t="str">
        <f>_xlfn.IFNA(VLOOKUP(T:T,'Example Logframe'!$B:$G,6,FALSE),"")</f>
        <v/>
      </c>
      <c r="X54" s="174" t="str">
        <f>_xlfn.IFNA(VLOOKUP(U:U,'Example Logframe'!$B:$G,6,FALSE),"")</f>
        <v/>
      </c>
      <c r="Y54" s="174" t="str">
        <f>_xlfn.IFNA(VLOOKUP(V:V,'Example Logframe'!$B:$G,6,FALSE),"")</f>
        <v/>
      </c>
      <c r="Z54">
        <v>50</v>
      </c>
      <c r="AD54" t="str">
        <f t="shared" si="16"/>
        <v/>
      </c>
      <c r="AE54" t="str">
        <f t="shared" si="16"/>
        <v/>
      </c>
      <c r="AF54" t="str">
        <f t="shared" si="14"/>
        <v/>
      </c>
    </row>
    <row r="55" spans="1:32" x14ac:dyDescent="0.35">
      <c r="A55">
        <f>INDEX('Example Logframe'!F:F,59,1)</f>
        <v>0</v>
      </c>
      <c r="B55" s="110">
        <v>0.59</v>
      </c>
      <c r="C55" s="321" t="str">
        <f>INDEX('Example Logframe'!B:B,59,1)</f>
        <v>0</v>
      </c>
      <c r="D55" t="str">
        <f t="shared" si="5"/>
        <v/>
      </c>
      <c r="E55" t="str">
        <f t="shared" si="6"/>
        <v/>
      </c>
      <c r="F55" t="str">
        <f t="shared" si="0"/>
        <v/>
      </c>
      <c r="G55" t="str">
        <f t="shared" si="7"/>
        <v/>
      </c>
      <c r="H55" t="str">
        <f t="shared" si="1"/>
        <v/>
      </c>
      <c r="I55" s="157" t="str">
        <f t="shared" si="2"/>
        <v/>
      </c>
      <c r="J55" s="157"/>
      <c r="K55" s="157" t="str">
        <f t="shared" si="3"/>
        <v/>
      </c>
      <c r="L55" s="157" t="str">
        <f t="shared" si="4"/>
        <v/>
      </c>
      <c r="M55" s="157"/>
      <c r="N55" s="157" t="str">
        <f t="shared" si="8"/>
        <v/>
      </c>
      <c r="O55" s="174" t="str">
        <f>Table132[[#This Row],[Combined List]]</f>
        <v/>
      </c>
      <c r="P55" s="157">
        <v>51</v>
      </c>
      <c r="Q55" s="174" t="str">
        <f t="shared" si="10"/>
        <v/>
      </c>
      <c r="R55" s="174" t="str">
        <f t="shared" si="15"/>
        <v/>
      </c>
      <c r="S55" s="174" t="str">
        <f t="shared" si="11"/>
        <v/>
      </c>
      <c r="T55" s="174" t="str">
        <f t="shared" si="12"/>
        <v/>
      </c>
      <c r="U55" s="174" t="str">
        <f t="shared" si="12"/>
        <v/>
      </c>
      <c r="V55" s="174" t="str">
        <f t="shared" si="12"/>
        <v/>
      </c>
      <c r="W55" s="174" t="str">
        <f>_xlfn.IFNA(VLOOKUP(T:T,'Example Logframe'!$B:$G,6,FALSE),"")</f>
        <v/>
      </c>
      <c r="X55" s="174" t="str">
        <f>_xlfn.IFNA(VLOOKUP(U:U,'Example Logframe'!$B:$G,6,FALSE),"")</f>
        <v/>
      </c>
      <c r="Y55" s="174" t="str">
        <f>_xlfn.IFNA(VLOOKUP(V:V,'Example Logframe'!$B:$G,6,FALSE),"")</f>
        <v/>
      </c>
      <c r="Z55">
        <v>51</v>
      </c>
      <c r="AD55" t="str">
        <f t="shared" si="16"/>
        <v/>
      </c>
      <c r="AE55" t="str">
        <f t="shared" si="16"/>
        <v/>
      </c>
      <c r="AF55" t="str">
        <f t="shared" si="14"/>
        <v/>
      </c>
    </row>
    <row r="56" spans="1:32" x14ac:dyDescent="0.35">
      <c r="A56">
        <f>INDEX('Example Logframe'!F:F,60,1)</f>
        <v>0</v>
      </c>
      <c r="B56" s="110">
        <v>0.61</v>
      </c>
      <c r="C56" s="321" t="str">
        <f>INDEX('Example Logframe'!B:B,60,1)</f>
        <v>0</v>
      </c>
      <c r="D56" t="str">
        <f t="shared" si="5"/>
        <v/>
      </c>
      <c r="E56" t="str">
        <f t="shared" si="6"/>
        <v/>
      </c>
      <c r="F56" t="str">
        <f t="shared" si="0"/>
        <v/>
      </c>
      <c r="G56" t="str">
        <f t="shared" si="7"/>
        <v/>
      </c>
      <c r="H56" t="str">
        <f t="shared" si="1"/>
        <v/>
      </c>
      <c r="I56" s="157" t="str">
        <f t="shared" si="2"/>
        <v/>
      </c>
      <c r="J56" s="157"/>
      <c r="K56" s="157" t="str">
        <f t="shared" si="3"/>
        <v/>
      </c>
      <c r="L56" s="157" t="str">
        <f t="shared" si="4"/>
        <v/>
      </c>
      <c r="M56" s="157"/>
      <c r="N56" s="157" t="str">
        <f t="shared" si="8"/>
        <v/>
      </c>
      <c r="O56" s="174" t="str">
        <f>Table132[[#This Row],[Combined List]]</f>
        <v/>
      </c>
      <c r="P56" s="157">
        <v>52</v>
      </c>
      <c r="Q56" s="174" t="str">
        <f t="shared" si="10"/>
        <v/>
      </c>
      <c r="R56" s="174" t="str">
        <f t="shared" si="15"/>
        <v/>
      </c>
      <c r="S56" s="174" t="str">
        <f t="shared" si="11"/>
        <v/>
      </c>
      <c r="T56" s="174" t="str">
        <f t="shared" si="12"/>
        <v/>
      </c>
      <c r="U56" s="174" t="str">
        <f t="shared" si="12"/>
        <v/>
      </c>
      <c r="V56" s="174" t="str">
        <f t="shared" si="12"/>
        <v/>
      </c>
      <c r="W56" s="174" t="str">
        <f>_xlfn.IFNA(VLOOKUP(T:T,'Example Logframe'!$B:$G,6,FALSE),"")</f>
        <v/>
      </c>
      <c r="X56" s="174" t="str">
        <f>_xlfn.IFNA(VLOOKUP(U:U,'Example Logframe'!$B:$G,6,FALSE),"")</f>
        <v/>
      </c>
      <c r="Y56" s="174" t="str">
        <f>_xlfn.IFNA(VLOOKUP(V:V,'Example Logframe'!$B:$G,6,FALSE),"")</f>
        <v/>
      </c>
      <c r="Z56">
        <v>52</v>
      </c>
      <c r="AD56" t="str">
        <f t="shared" si="16"/>
        <v/>
      </c>
      <c r="AE56" t="str">
        <f t="shared" si="16"/>
        <v/>
      </c>
      <c r="AF56" t="str">
        <f t="shared" si="14"/>
        <v/>
      </c>
    </row>
    <row r="57" spans="1:32" x14ac:dyDescent="0.35">
      <c r="A57">
        <f>INDEX('Example Logframe'!F:F,61,1)</f>
        <v>0</v>
      </c>
      <c r="B57" s="110">
        <v>0.62</v>
      </c>
      <c r="C57" s="321" t="str">
        <f>INDEX('Example Logframe'!B:B,61,1)</f>
        <v>0</v>
      </c>
      <c r="D57" t="str">
        <f t="shared" si="5"/>
        <v/>
      </c>
      <c r="E57" t="str">
        <f t="shared" si="6"/>
        <v/>
      </c>
      <c r="F57" t="str">
        <f t="shared" si="0"/>
        <v/>
      </c>
      <c r="G57" t="str">
        <f t="shared" si="7"/>
        <v/>
      </c>
      <c r="H57" t="str">
        <f t="shared" si="1"/>
        <v/>
      </c>
      <c r="I57" s="157" t="str">
        <f t="shared" si="2"/>
        <v/>
      </c>
      <c r="J57" s="157"/>
      <c r="K57" s="157" t="str">
        <f t="shared" si="3"/>
        <v/>
      </c>
      <c r="L57" s="157" t="str">
        <f t="shared" si="4"/>
        <v/>
      </c>
      <c r="M57" s="157"/>
      <c r="N57" s="157" t="str">
        <f t="shared" si="8"/>
        <v/>
      </c>
      <c r="O57" s="174" t="str">
        <f>Table132[[#This Row],[Combined List]]</f>
        <v/>
      </c>
      <c r="P57" s="157">
        <v>53</v>
      </c>
      <c r="Q57" s="174" t="str">
        <f t="shared" si="10"/>
        <v/>
      </c>
      <c r="R57" s="174" t="str">
        <f t="shared" si="15"/>
        <v/>
      </c>
      <c r="S57" s="174" t="str">
        <f t="shared" si="11"/>
        <v/>
      </c>
      <c r="T57" s="174" t="str">
        <f t="shared" si="12"/>
        <v/>
      </c>
      <c r="U57" s="174" t="str">
        <f t="shared" si="12"/>
        <v/>
      </c>
      <c r="V57" s="174" t="str">
        <f t="shared" si="12"/>
        <v/>
      </c>
      <c r="W57" s="174" t="str">
        <f>_xlfn.IFNA(VLOOKUP(T:T,'Example Logframe'!$B:$G,6,FALSE),"")</f>
        <v/>
      </c>
      <c r="X57" s="174" t="str">
        <f>_xlfn.IFNA(VLOOKUP(U:U,'Example Logframe'!$B:$G,6,FALSE),"")</f>
        <v/>
      </c>
      <c r="Y57" s="174" t="str">
        <f>_xlfn.IFNA(VLOOKUP(V:V,'Example Logframe'!$B:$G,6,FALSE),"")</f>
        <v/>
      </c>
      <c r="Z57">
        <v>53</v>
      </c>
      <c r="AD57" t="str">
        <f t="shared" si="16"/>
        <v/>
      </c>
      <c r="AE57" t="str">
        <f t="shared" si="16"/>
        <v/>
      </c>
      <c r="AF57" t="str">
        <f t="shared" si="14"/>
        <v/>
      </c>
    </row>
    <row r="58" spans="1:32" x14ac:dyDescent="0.35">
      <c r="A58">
        <f>INDEX('Example Logframe'!F:F,62,1)</f>
        <v>0</v>
      </c>
      <c r="B58" s="110">
        <v>0.63</v>
      </c>
      <c r="C58" s="321" t="str">
        <f>INDEX('Example Logframe'!B:B,62,1)</f>
        <v>0</v>
      </c>
      <c r="D58" t="str">
        <f t="shared" si="5"/>
        <v/>
      </c>
      <c r="E58" t="str">
        <f t="shared" si="6"/>
        <v/>
      </c>
      <c r="F58" t="str">
        <f t="shared" si="0"/>
        <v/>
      </c>
      <c r="G58" t="str">
        <f t="shared" si="7"/>
        <v/>
      </c>
      <c r="H58" t="str">
        <f t="shared" si="1"/>
        <v/>
      </c>
      <c r="I58" s="157" t="str">
        <f t="shared" si="2"/>
        <v/>
      </c>
      <c r="J58" s="157"/>
      <c r="K58" s="157" t="str">
        <f t="shared" si="3"/>
        <v/>
      </c>
      <c r="L58" s="157" t="str">
        <f t="shared" si="4"/>
        <v/>
      </c>
      <c r="M58" s="157"/>
      <c r="N58" s="157" t="str">
        <f t="shared" si="8"/>
        <v/>
      </c>
      <c r="O58" s="174" t="str">
        <f>Table132[[#This Row],[Combined List]]</f>
        <v/>
      </c>
      <c r="P58" s="157">
        <v>54</v>
      </c>
      <c r="Q58" s="174" t="str">
        <f t="shared" si="10"/>
        <v/>
      </c>
      <c r="R58" s="174" t="str">
        <f t="shared" si="15"/>
        <v/>
      </c>
      <c r="S58" s="174" t="str">
        <f t="shared" si="11"/>
        <v/>
      </c>
      <c r="T58" s="174" t="str">
        <f t="shared" si="12"/>
        <v/>
      </c>
      <c r="U58" s="174" t="str">
        <f t="shared" si="12"/>
        <v/>
      </c>
      <c r="V58" s="174" t="str">
        <f t="shared" si="12"/>
        <v/>
      </c>
      <c r="W58" s="174" t="str">
        <f>_xlfn.IFNA(VLOOKUP(T:T,'Example Logframe'!$B:$G,6,FALSE),"")</f>
        <v/>
      </c>
      <c r="X58" s="174" t="str">
        <f>_xlfn.IFNA(VLOOKUP(U:U,'Example Logframe'!$B:$G,6,FALSE),"")</f>
        <v/>
      </c>
      <c r="Y58" s="174" t="str">
        <f>_xlfn.IFNA(VLOOKUP(V:V,'Example Logframe'!$B:$G,6,FALSE),"")</f>
        <v/>
      </c>
      <c r="Z58">
        <v>54</v>
      </c>
      <c r="AD58" t="str">
        <f t="shared" si="16"/>
        <v/>
      </c>
      <c r="AE58" t="str">
        <f t="shared" si="16"/>
        <v/>
      </c>
      <c r="AF58" t="str">
        <f t="shared" si="14"/>
        <v/>
      </c>
    </row>
    <row r="59" spans="1:32" x14ac:dyDescent="0.35">
      <c r="A59">
        <f>INDEX('Example Logframe'!F:F,63,1)</f>
        <v>0</v>
      </c>
      <c r="B59" s="110">
        <v>0.64</v>
      </c>
      <c r="C59" s="321" t="str">
        <f>INDEX('Example Logframe'!B:B,63,1)</f>
        <v>0</v>
      </c>
      <c r="D59" t="str">
        <f t="shared" si="5"/>
        <v/>
      </c>
      <c r="E59" t="str">
        <f t="shared" si="6"/>
        <v/>
      </c>
      <c r="F59" t="str">
        <f t="shared" si="0"/>
        <v/>
      </c>
      <c r="G59" t="str">
        <f t="shared" si="7"/>
        <v/>
      </c>
      <c r="H59" t="str">
        <f t="shared" si="1"/>
        <v/>
      </c>
      <c r="I59" s="157" t="str">
        <f t="shared" si="2"/>
        <v/>
      </c>
      <c r="J59" s="157"/>
      <c r="K59" s="157" t="str">
        <f t="shared" si="3"/>
        <v/>
      </c>
      <c r="L59" s="157" t="str">
        <f t="shared" si="4"/>
        <v/>
      </c>
      <c r="M59" s="157"/>
      <c r="N59" s="157" t="str">
        <f t="shared" si="8"/>
        <v/>
      </c>
      <c r="O59" s="174" t="str">
        <f>Table132[[#This Row],[Combined List]]</f>
        <v/>
      </c>
      <c r="P59" s="157">
        <v>55</v>
      </c>
      <c r="Q59" s="174" t="str">
        <f t="shared" si="10"/>
        <v/>
      </c>
      <c r="R59" s="174" t="str">
        <f t="shared" si="15"/>
        <v/>
      </c>
      <c r="S59" s="174" t="str">
        <f t="shared" si="11"/>
        <v/>
      </c>
      <c r="T59" s="174" t="str">
        <f t="shared" si="12"/>
        <v/>
      </c>
      <c r="U59" s="174" t="str">
        <f t="shared" si="12"/>
        <v/>
      </c>
      <c r="V59" s="174" t="str">
        <f t="shared" si="12"/>
        <v/>
      </c>
      <c r="W59" s="174" t="str">
        <f>_xlfn.IFNA(VLOOKUP(T:T,'Example Logframe'!$B:$G,6,FALSE),"")</f>
        <v/>
      </c>
      <c r="X59" s="174" t="str">
        <f>_xlfn.IFNA(VLOOKUP(U:U,'Example Logframe'!$B:$G,6,FALSE),"")</f>
        <v/>
      </c>
      <c r="Y59" s="174" t="str">
        <f>_xlfn.IFNA(VLOOKUP(V:V,'Example Logframe'!$B:$G,6,FALSE),"")</f>
        <v/>
      </c>
      <c r="Z59">
        <v>55</v>
      </c>
      <c r="AD59" t="str">
        <f t="shared" si="16"/>
        <v/>
      </c>
      <c r="AE59" t="str">
        <f t="shared" si="16"/>
        <v/>
      </c>
      <c r="AF59" t="str">
        <f t="shared" si="14"/>
        <v/>
      </c>
    </row>
    <row r="60" spans="1:32" x14ac:dyDescent="0.35">
      <c r="A60">
        <f>INDEX('Example Logframe'!F:F,64,1)</f>
        <v>0</v>
      </c>
      <c r="B60" s="110">
        <v>0.65</v>
      </c>
      <c r="C60" s="321" t="str">
        <f>INDEX('Example Logframe'!B:B,64,1)</f>
        <v>0</v>
      </c>
      <c r="D60" t="str">
        <f t="shared" si="5"/>
        <v/>
      </c>
      <c r="E60" t="str">
        <f t="shared" si="6"/>
        <v/>
      </c>
      <c r="F60" t="str">
        <f t="shared" si="0"/>
        <v/>
      </c>
      <c r="G60" t="str">
        <f t="shared" si="7"/>
        <v/>
      </c>
      <c r="H60" t="str">
        <f t="shared" si="1"/>
        <v/>
      </c>
      <c r="I60" s="157" t="str">
        <f t="shared" si="2"/>
        <v/>
      </c>
      <c r="J60" s="157"/>
      <c r="K60" s="157" t="str">
        <f t="shared" si="3"/>
        <v/>
      </c>
      <c r="L60" s="157" t="str">
        <f t="shared" si="4"/>
        <v/>
      </c>
      <c r="M60" s="157"/>
      <c r="N60" s="157" t="str">
        <f t="shared" si="8"/>
        <v/>
      </c>
      <c r="O60" s="174" t="str">
        <f>Table132[[#This Row],[Combined List]]</f>
        <v/>
      </c>
      <c r="P60" s="157">
        <v>56</v>
      </c>
      <c r="Q60" s="174" t="str">
        <f t="shared" si="10"/>
        <v/>
      </c>
      <c r="R60" s="174" t="str">
        <f t="shared" si="15"/>
        <v/>
      </c>
      <c r="S60" s="174" t="str">
        <f t="shared" si="11"/>
        <v/>
      </c>
      <c r="T60" s="174" t="str">
        <f t="shared" si="12"/>
        <v/>
      </c>
      <c r="U60" s="174" t="str">
        <f t="shared" si="12"/>
        <v/>
      </c>
      <c r="V60" s="174" t="str">
        <f t="shared" si="12"/>
        <v/>
      </c>
      <c r="W60" s="174" t="str">
        <f>_xlfn.IFNA(VLOOKUP(T:T,'Example Logframe'!$B:$G,6,FALSE),"")</f>
        <v/>
      </c>
      <c r="X60" s="174" t="str">
        <f>_xlfn.IFNA(VLOOKUP(U:U,'Example Logframe'!$B:$G,6,FALSE),"")</f>
        <v/>
      </c>
      <c r="Y60" s="174" t="str">
        <f>_xlfn.IFNA(VLOOKUP(V:V,'Example Logframe'!$B:$G,6,FALSE),"")</f>
        <v/>
      </c>
      <c r="Z60">
        <v>56</v>
      </c>
      <c r="AD60" t="str">
        <f t="shared" si="16"/>
        <v/>
      </c>
      <c r="AE60" t="str">
        <f t="shared" si="16"/>
        <v/>
      </c>
      <c r="AF60" t="str">
        <f t="shared" si="14"/>
        <v/>
      </c>
    </row>
    <row r="61" spans="1:32" x14ac:dyDescent="0.35">
      <c r="A61">
        <f>INDEX('Example Logframe'!F:F,65,1)</f>
        <v>0</v>
      </c>
      <c r="B61" s="110">
        <v>0.66</v>
      </c>
      <c r="C61" s="321" t="str">
        <f>INDEX('Example Logframe'!B:B,65,1)</f>
        <v>0MTO, STO, Activities</v>
      </c>
      <c r="D61" t="str">
        <f t="shared" si="5"/>
        <v/>
      </c>
      <c r="E61" t="str">
        <f t="shared" si="6"/>
        <v/>
      </c>
      <c r="F61" t="str">
        <f t="shared" si="0"/>
        <v/>
      </c>
      <c r="G61" t="str">
        <f t="shared" si="7"/>
        <v/>
      </c>
      <c r="H61" t="str">
        <f t="shared" si="1"/>
        <v/>
      </c>
      <c r="I61" s="157" t="str">
        <f t="shared" si="2"/>
        <v/>
      </c>
      <c r="J61" s="157"/>
      <c r="K61" s="157" t="str">
        <f t="shared" si="3"/>
        <v/>
      </c>
      <c r="L61" s="157" t="str">
        <f t="shared" si="4"/>
        <v/>
      </c>
      <c r="M61" s="157"/>
      <c r="N61" s="157" t="str">
        <f t="shared" si="8"/>
        <v/>
      </c>
      <c r="O61" s="174" t="str">
        <f>Table132[[#This Row],[Combined List]]</f>
        <v/>
      </c>
      <c r="P61" s="157">
        <v>57</v>
      </c>
      <c r="Q61" s="174" t="str">
        <f t="shared" si="10"/>
        <v/>
      </c>
      <c r="R61" s="174" t="str">
        <f t="shared" si="15"/>
        <v/>
      </c>
      <c r="S61" s="174" t="str">
        <f t="shared" si="11"/>
        <v/>
      </c>
      <c r="T61" s="174" t="str">
        <f t="shared" si="12"/>
        <v/>
      </c>
      <c r="U61" s="174" t="str">
        <f t="shared" si="12"/>
        <v/>
      </c>
      <c r="V61" s="174" t="str">
        <f t="shared" si="12"/>
        <v/>
      </c>
      <c r="W61" s="174" t="str">
        <f>_xlfn.IFNA(VLOOKUP(T:T,'Example Logframe'!$B:$G,6,FALSE),"")</f>
        <v/>
      </c>
      <c r="X61" s="174" t="str">
        <f>_xlfn.IFNA(VLOOKUP(U:U,'Example Logframe'!$B:$G,6,FALSE),"")</f>
        <v/>
      </c>
      <c r="Y61" s="174" t="str">
        <f>_xlfn.IFNA(VLOOKUP(V:V,'Example Logframe'!$B:$G,6,FALSE),"")</f>
        <v/>
      </c>
      <c r="Z61">
        <v>57</v>
      </c>
      <c r="AD61" t="str">
        <f t="shared" si="16"/>
        <v/>
      </c>
      <c r="AE61" t="str">
        <f t="shared" si="16"/>
        <v/>
      </c>
      <c r="AF61" t="str">
        <f t="shared" si="14"/>
        <v/>
      </c>
    </row>
    <row r="62" spans="1:32" x14ac:dyDescent="0.35">
      <c r="A62">
        <f>INDEX('Example Logframe'!F:F,66,1)</f>
        <v>0</v>
      </c>
      <c r="B62" s="110">
        <v>0.67</v>
      </c>
      <c r="C62" s="321" t="str">
        <f>INDEX('Example Logframe'!B:B,66,1)</f>
        <v>0</v>
      </c>
      <c r="D62" t="str">
        <f t="shared" si="5"/>
        <v/>
      </c>
      <c r="E62" t="str">
        <f t="shared" si="6"/>
        <v/>
      </c>
      <c r="F62" t="str">
        <f t="shared" si="0"/>
        <v/>
      </c>
      <c r="G62" t="str">
        <f t="shared" si="7"/>
        <v/>
      </c>
      <c r="H62" t="str">
        <f t="shared" si="1"/>
        <v/>
      </c>
      <c r="I62" s="157" t="str">
        <f t="shared" si="2"/>
        <v/>
      </c>
      <c r="J62" s="157"/>
      <c r="K62" s="157" t="str">
        <f t="shared" si="3"/>
        <v/>
      </c>
      <c r="L62" s="157" t="str">
        <f t="shared" si="4"/>
        <v/>
      </c>
      <c r="M62" s="157"/>
      <c r="N62" s="157" t="str">
        <f t="shared" si="8"/>
        <v/>
      </c>
      <c r="O62" s="174" t="str">
        <f>Table132[[#This Row],[Combined List]]</f>
        <v/>
      </c>
      <c r="P62" s="157">
        <v>58</v>
      </c>
      <c r="Q62" s="174" t="str">
        <f t="shared" si="10"/>
        <v/>
      </c>
      <c r="R62" s="174" t="str">
        <f t="shared" si="15"/>
        <v/>
      </c>
      <c r="S62" s="174" t="str">
        <f t="shared" si="11"/>
        <v/>
      </c>
      <c r="T62" s="174" t="str">
        <f t="shared" si="12"/>
        <v/>
      </c>
      <c r="U62" s="174" t="str">
        <f t="shared" si="12"/>
        <v/>
      </c>
      <c r="V62" s="174" t="str">
        <f t="shared" si="12"/>
        <v/>
      </c>
      <c r="W62" s="174" t="str">
        <f>_xlfn.IFNA(VLOOKUP(T:T,'Example Logframe'!$B:$G,6,FALSE),"")</f>
        <v/>
      </c>
      <c r="X62" s="174" t="str">
        <f>_xlfn.IFNA(VLOOKUP(U:U,'Example Logframe'!$B:$G,6,FALSE),"")</f>
        <v/>
      </c>
      <c r="Y62" s="174" t="str">
        <f>_xlfn.IFNA(VLOOKUP(V:V,'Example Logframe'!$B:$G,6,FALSE),"")</f>
        <v/>
      </c>
      <c r="Z62">
        <v>58</v>
      </c>
      <c r="AD62" t="str">
        <f t="shared" si="16"/>
        <v/>
      </c>
      <c r="AE62" t="str">
        <f t="shared" si="16"/>
        <v/>
      </c>
      <c r="AF62" t="str">
        <f t="shared" si="14"/>
        <v/>
      </c>
    </row>
    <row r="63" spans="1:32" x14ac:dyDescent="0.35">
      <c r="A63">
        <f>INDEX('Example Logframe'!F:F,67,1)</f>
        <v>0</v>
      </c>
      <c r="B63" s="110">
        <v>0.68</v>
      </c>
      <c r="C63" s="321" t="str">
        <f>INDEX('Example Logframe'!B:B,67,1)</f>
        <v>0</v>
      </c>
      <c r="D63" t="str">
        <f t="shared" si="5"/>
        <v/>
      </c>
      <c r="E63" t="str">
        <f t="shared" si="6"/>
        <v/>
      </c>
      <c r="F63" t="str">
        <f t="shared" si="0"/>
        <v/>
      </c>
      <c r="G63" t="str">
        <f t="shared" si="7"/>
        <v/>
      </c>
      <c r="H63" t="str">
        <f t="shared" si="1"/>
        <v/>
      </c>
      <c r="I63" s="157" t="str">
        <f t="shared" si="2"/>
        <v/>
      </c>
      <c r="J63" s="157"/>
      <c r="K63" s="157" t="str">
        <f t="shared" si="3"/>
        <v/>
      </c>
      <c r="L63" s="157" t="str">
        <f t="shared" si="4"/>
        <v/>
      </c>
      <c r="M63" s="157"/>
      <c r="N63" s="157" t="str">
        <f t="shared" si="8"/>
        <v/>
      </c>
      <c r="O63" s="174" t="str">
        <f>Table132[[#This Row],[Combined List]]</f>
        <v/>
      </c>
      <c r="P63" s="157">
        <v>59</v>
      </c>
      <c r="Q63" s="174" t="str">
        <f t="shared" si="10"/>
        <v/>
      </c>
      <c r="R63" s="174" t="str">
        <f t="shared" si="15"/>
        <v/>
      </c>
      <c r="S63" s="174" t="str">
        <f t="shared" si="11"/>
        <v/>
      </c>
      <c r="T63" s="174" t="str">
        <f t="shared" si="12"/>
        <v/>
      </c>
      <c r="U63" s="174" t="str">
        <f t="shared" si="12"/>
        <v/>
      </c>
      <c r="V63" s="174" t="str">
        <f t="shared" si="12"/>
        <v/>
      </c>
      <c r="W63" s="174" t="str">
        <f>_xlfn.IFNA(VLOOKUP(T:T,'Example Logframe'!$B:$G,6,FALSE),"")</f>
        <v/>
      </c>
      <c r="X63" s="174" t="str">
        <f>_xlfn.IFNA(VLOOKUP(U:U,'Example Logframe'!$B:$G,6,FALSE),"")</f>
        <v/>
      </c>
      <c r="Y63" s="174" t="str">
        <f>_xlfn.IFNA(VLOOKUP(V:V,'Example Logframe'!$B:$G,6,FALSE),"")</f>
        <v/>
      </c>
      <c r="Z63">
        <v>59</v>
      </c>
      <c r="AD63" t="str">
        <f t="shared" si="16"/>
        <v/>
      </c>
      <c r="AE63" t="str">
        <f t="shared" si="16"/>
        <v/>
      </c>
      <c r="AF63" t="str">
        <f t="shared" si="14"/>
        <v/>
      </c>
    </row>
    <row r="64" spans="1:32" x14ac:dyDescent="0.35">
      <c r="A64">
        <f>INDEX('Example Logframe'!F:F,68,1)</f>
        <v>0</v>
      </c>
      <c r="B64" s="110">
        <v>0.69</v>
      </c>
      <c r="C64" s="321" t="str">
        <f>INDEX('Example Logframe'!B:B,68,1)</f>
        <v>0</v>
      </c>
      <c r="D64" t="str">
        <f t="shared" si="5"/>
        <v/>
      </c>
      <c r="E64" t="str">
        <f t="shared" si="6"/>
        <v/>
      </c>
      <c r="F64" t="str">
        <f t="shared" si="0"/>
        <v/>
      </c>
      <c r="G64" t="str">
        <f t="shared" si="7"/>
        <v/>
      </c>
      <c r="H64" t="str">
        <f t="shared" si="1"/>
        <v/>
      </c>
      <c r="I64" s="157" t="str">
        <f t="shared" si="2"/>
        <v/>
      </c>
      <c r="J64" s="157"/>
      <c r="K64" s="157" t="str">
        <f t="shared" si="3"/>
        <v/>
      </c>
      <c r="L64" s="157" t="str">
        <f t="shared" si="4"/>
        <v/>
      </c>
      <c r="M64" s="157"/>
      <c r="N64" s="157" t="str">
        <f t="shared" si="8"/>
        <v/>
      </c>
      <c r="O64" s="174" t="str">
        <f>Table132[[#This Row],[Combined List]]</f>
        <v/>
      </c>
      <c r="P64" s="157">
        <v>60</v>
      </c>
      <c r="Q64" s="174" t="str">
        <f t="shared" si="10"/>
        <v/>
      </c>
      <c r="R64" s="174" t="str">
        <f t="shared" si="15"/>
        <v/>
      </c>
      <c r="S64" s="174" t="str">
        <f t="shared" si="11"/>
        <v/>
      </c>
      <c r="T64" s="174" t="str">
        <f t="shared" si="12"/>
        <v/>
      </c>
      <c r="U64" s="174" t="str">
        <f t="shared" si="12"/>
        <v/>
      </c>
      <c r="V64" s="174" t="str">
        <f t="shared" si="12"/>
        <v/>
      </c>
      <c r="W64" s="174" t="str">
        <f>_xlfn.IFNA(VLOOKUP(T:T,'Example Logframe'!$B:$G,6,FALSE),"")</f>
        <v/>
      </c>
      <c r="X64" s="174" t="str">
        <f>_xlfn.IFNA(VLOOKUP(U:U,'Example Logframe'!$B:$G,6,FALSE),"")</f>
        <v/>
      </c>
      <c r="Y64" s="174" t="str">
        <f>_xlfn.IFNA(VLOOKUP(V:V,'Example Logframe'!$B:$G,6,FALSE),"")</f>
        <v/>
      </c>
      <c r="Z64">
        <v>60</v>
      </c>
      <c r="AD64" t="str">
        <f t="shared" si="16"/>
        <v/>
      </c>
      <c r="AE64" t="str">
        <f t="shared" si="16"/>
        <v/>
      </c>
      <c r="AF64" t="str">
        <f t="shared" si="14"/>
        <v/>
      </c>
    </row>
    <row r="65" spans="1:32" x14ac:dyDescent="0.35">
      <c r="A65">
        <f>INDEX('Example Logframe'!F:F,69,1)</f>
        <v>0</v>
      </c>
      <c r="B65" s="110">
        <v>0.71</v>
      </c>
      <c r="C65" s="321" t="str">
        <f>INDEX('Example Logframe'!B:B,69,1)</f>
        <v>0</v>
      </c>
      <c r="D65" t="str">
        <f t="shared" si="5"/>
        <v/>
      </c>
      <c r="E65" t="str">
        <f t="shared" si="6"/>
        <v/>
      </c>
      <c r="F65" t="str">
        <f t="shared" si="0"/>
        <v/>
      </c>
      <c r="G65" t="str">
        <f t="shared" si="7"/>
        <v/>
      </c>
      <c r="H65" t="str">
        <f t="shared" si="1"/>
        <v/>
      </c>
      <c r="I65" s="157" t="str">
        <f t="shared" si="2"/>
        <v/>
      </c>
      <c r="J65" s="157"/>
      <c r="K65" s="157" t="str">
        <f t="shared" si="3"/>
        <v/>
      </c>
      <c r="L65" s="157" t="str">
        <f t="shared" si="4"/>
        <v/>
      </c>
      <c r="M65" s="157"/>
      <c r="N65" s="157" t="str">
        <f t="shared" si="8"/>
        <v/>
      </c>
      <c r="O65" s="174" t="str">
        <f>Table132[[#This Row],[Combined List]]</f>
        <v/>
      </c>
      <c r="P65" s="157">
        <v>61</v>
      </c>
      <c r="Q65" s="174" t="str">
        <f t="shared" si="10"/>
        <v/>
      </c>
      <c r="R65" s="174" t="str">
        <f t="shared" si="15"/>
        <v/>
      </c>
      <c r="S65" s="174" t="str">
        <f t="shared" si="11"/>
        <v/>
      </c>
      <c r="T65" s="174" t="str">
        <f t="shared" si="12"/>
        <v/>
      </c>
      <c r="U65" s="174" t="str">
        <f t="shared" si="12"/>
        <v/>
      </c>
      <c r="V65" s="174" t="str">
        <f t="shared" si="12"/>
        <v/>
      </c>
      <c r="W65" s="174" t="str">
        <f>_xlfn.IFNA(VLOOKUP(T:T,'Example Logframe'!$B:$G,6,FALSE),"")</f>
        <v/>
      </c>
      <c r="X65" s="174" t="str">
        <f>_xlfn.IFNA(VLOOKUP(U:U,'Example Logframe'!$B:$G,6,FALSE),"")</f>
        <v/>
      </c>
      <c r="Y65" s="174" t="str">
        <f>_xlfn.IFNA(VLOOKUP(V:V,'Example Logframe'!$B:$G,6,FALSE),"")</f>
        <v/>
      </c>
      <c r="Z65">
        <v>61</v>
      </c>
      <c r="AD65" t="str">
        <f t="shared" si="16"/>
        <v/>
      </c>
      <c r="AE65" t="str">
        <f t="shared" si="16"/>
        <v/>
      </c>
      <c r="AF65" t="str">
        <f t="shared" si="14"/>
        <v/>
      </c>
    </row>
    <row r="66" spans="1:32" x14ac:dyDescent="0.35">
      <c r="A66">
        <f>INDEX('Example Logframe'!F:F,70,1)</f>
        <v>0</v>
      </c>
      <c r="B66" s="110">
        <v>0.72</v>
      </c>
      <c r="C66" s="321" t="str">
        <f>INDEX('Example Logframe'!B:B,70,1)</f>
        <v>0</v>
      </c>
      <c r="D66" t="str">
        <f t="shared" si="5"/>
        <v/>
      </c>
      <c r="E66" t="str">
        <f t="shared" si="6"/>
        <v/>
      </c>
      <c r="F66" t="str">
        <f t="shared" ref="F66:F129" si="17">IF(ISNUMBER(SEARCH("Code",A:A)),"",IF(LEN(A66)=4,A66,""))</f>
        <v/>
      </c>
      <c r="G66" t="str">
        <f t="shared" si="7"/>
        <v/>
      </c>
      <c r="H66" t="str">
        <f t="shared" ref="H66:H129" si="18">IF(LEN(A66)=5,A66,"")</f>
        <v/>
      </c>
      <c r="I66" s="157" t="str">
        <f t="shared" ref="I66:I129" si="19">CONCATENATE(F:F,G:G,H:H)</f>
        <v/>
      </c>
      <c r="J66" s="157"/>
      <c r="K66" s="157" t="str">
        <f t="shared" ref="K66:K129" si="20">IF(LEN(CONCATENATE(B:B,D:D))&gt;4,CONCATENATE(B:B,D:D),"")</f>
        <v/>
      </c>
      <c r="L66" s="157" t="str">
        <f t="shared" ref="L66:L129" si="21">IF(LEN(CONCATENATE(B:B,E:E))&gt;4,CONCATENATE(B:B,E:E),"")</f>
        <v/>
      </c>
      <c r="M66" s="157"/>
      <c r="N66" s="157" t="str">
        <f t="shared" ref="N66:N129" si="22">IF(LEN(CONCATENATE(B:B,I:I))&gt;4,CONCATENATE(B:B,I:I),"")</f>
        <v/>
      </c>
      <c r="O66" s="174" t="str">
        <f>Table132[[#This Row],[Combined List]]</f>
        <v/>
      </c>
      <c r="P66" s="157">
        <v>62</v>
      </c>
      <c r="Q66" s="174" t="str">
        <f t="shared" si="10"/>
        <v/>
      </c>
      <c r="R66" s="174" t="str">
        <f t="shared" si="15"/>
        <v/>
      </c>
      <c r="S66" s="174" t="str">
        <f t="shared" si="11"/>
        <v/>
      </c>
      <c r="T66" s="174" t="str">
        <f t="shared" si="12"/>
        <v/>
      </c>
      <c r="U66" s="174" t="str">
        <f t="shared" si="12"/>
        <v/>
      </c>
      <c r="V66" s="174" t="str">
        <f t="shared" si="12"/>
        <v/>
      </c>
      <c r="W66" s="174" t="str">
        <f>_xlfn.IFNA(VLOOKUP(T:T,'Example Logframe'!$B:$G,6,FALSE),"")</f>
        <v/>
      </c>
      <c r="X66" s="174" t="str">
        <f>_xlfn.IFNA(VLOOKUP(U:U,'Example Logframe'!$B:$G,6,FALSE),"")</f>
        <v/>
      </c>
      <c r="Y66" s="174" t="str">
        <f>_xlfn.IFNA(VLOOKUP(V:V,'Example Logframe'!$B:$G,6,FALSE),"")</f>
        <v/>
      </c>
      <c r="Z66">
        <v>62</v>
      </c>
      <c r="AD66" t="str">
        <f t="shared" si="16"/>
        <v/>
      </c>
      <c r="AE66" t="str">
        <f t="shared" si="16"/>
        <v/>
      </c>
      <c r="AF66" t="str">
        <f t="shared" si="14"/>
        <v/>
      </c>
    </row>
    <row r="67" spans="1:32" x14ac:dyDescent="0.35">
      <c r="A67">
        <f>INDEX('Example Logframe'!F:F,71,1)</f>
        <v>0</v>
      </c>
      <c r="B67" s="110">
        <v>0.73</v>
      </c>
      <c r="C67" s="321" t="str">
        <f>INDEX('Example Logframe'!B:B,71,1)</f>
        <v>0</v>
      </c>
      <c r="D67" t="str">
        <f t="shared" ref="D67:D130" si="23">IF(LEFT(A67,1)="B",A67,"")</f>
        <v/>
      </c>
      <c r="E67" t="str">
        <f t="shared" ref="E67:E130" si="24">IF(LEN(IF(LEFT(A67,1)="P",A67,""))=7,IF(LEFT(A67,1)="P",A67,""),"")</f>
        <v/>
      </c>
      <c r="F67" t="str">
        <f t="shared" si="17"/>
        <v/>
      </c>
      <c r="G67" t="str">
        <f t="shared" ref="G67:G130" si="25">IF(LEN(A67)=3,A67,"")</f>
        <v/>
      </c>
      <c r="H67" t="str">
        <f t="shared" si="18"/>
        <v/>
      </c>
      <c r="I67" s="157" t="str">
        <f t="shared" si="19"/>
        <v/>
      </c>
      <c r="J67" s="157"/>
      <c r="K67" s="157" t="str">
        <f t="shared" si="20"/>
        <v/>
      </c>
      <c r="L67" s="157" t="str">
        <f t="shared" si="21"/>
        <v/>
      </c>
      <c r="M67" s="157"/>
      <c r="N67" s="157" t="str">
        <f t="shared" si="22"/>
        <v/>
      </c>
      <c r="O67" s="174" t="str">
        <f>Table132[[#This Row],[Combined List]]</f>
        <v/>
      </c>
      <c r="P67" s="157">
        <v>63</v>
      </c>
      <c r="Q67" s="174" t="str">
        <f t="shared" si="10"/>
        <v/>
      </c>
      <c r="R67" s="174" t="str">
        <f t="shared" si="15"/>
        <v/>
      </c>
      <c r="S67" s="174" t="str">
        <f t="shared" si="11"/>
        <v/>
      </c>
      <c r="T67" s="174" t="str">
        <f t="shared" si="12"/>
        <v/>
      </c>
      <c r="U67" s="174" t="str">
        <f t="shared" si="12"/>
        <v/>
      </c>
      <c r="V67" s="174" t="str">
        <f t="shared" si="12"/>
        <v/>
      </c>
      <c r="W67" s="174" t="str">
        <f>_xlfn.IFNA(VLOOKUP(T:T,'Example Logframe'!$B:$G,6,FALSE),"")</f>
        <v/>
      </c>
      <c r="X67" s="174" t="str">
        <f>_xlfn.IFNA(VLOOKUP(U:U,'Example Logframe'!$B:$G,6,FALSE),"")</f>
        <v/>
      </c>
      <c r="Y67" s="174" t="str">
        <f>_xlfn.IFNA(VLOOKUP(V:V,'Example Logframe'!$B:$G,6,FALSE),"")</f>
        <v/>
      </c>
      <c r="Z67">
        <v>63</v>
      </c>
      <c r="AD67" t="str">
        <f t="shared" si="16"/>
        <v/>
      </c>
      <c r="AE67" t="str">
        <f t="shared" si="16"/>
        <v/>
      </c>
      <c r="AF67" t="str">
        <f t="shared" si="14"/>
        <v/>
      </c>
    </row>
    <row r="68" spans="1:32" x14ac:dyDescent="0.35">
      <c r="A68">
        <f>INDEX('Example Logframe'!F:F,72,1)</f>
        <v>0</v>
      </c>
      <c r="B68" s="110">
        <v>0.74</v>
      </c>
      <c r="C68" s="321" t="str">
        <f>INDEX('Example Logframe'!B:B,72,1)</f>
        <v>0</v>
      </c>
      <c r="D68" t="str">
        <f t="shared" si="23"/>
        <v/>
      </c>
      <c r="E68" t="str">
        <f t="shared" si="24"/>
        <v/>
      </c>
      <c r="F68" t="str">
        <f t="shared" si="17"/>
        <v/>
      </c>
      <c r="G68" t="str">
        <f t="shared" si="25"/>
        <v/>
      </c>
      <c r="H68" t="str">
        <f t="shared" si="18"/>
        <v/>
      </c>
      <c r="I68" s="157" t="str">
        <f t="shared" si="19"/>
        <v/>
      </c>
      <c r="J68" s="157"/>
      <c r="K68" s="157" t="str">
        <f t="shared" si="20"/>
        <v/>
      </c>
      <c r="L68" s="157" t="str">
        <f t="shared" si="21"/>
        <v/>
      </c>
      <c r="M68" s="157"/>
      <c r="N68" s="157" t="str">
        <f t="shared" si="22"/>
        <v/>
      </c>
      <c r="O68" s="174" t="str">
        <f>Table132[[#This Row],[Combined List]]</f>
        <v/>
      </c>
      <c r="P68" s="157">
        <v>64</v>
      </c>
      <c r="Q68" s="174" t="str">
        <f t="shared" si="10"/>
        <v/>
      </c>
      <c r="R68" s="174" t="str">
        <f t="shared" si="15"/>
        <v/>
      </c>
      <c r="S68" s="174" t="str">
        <f t="shared" si="11"/>
        <v/>
      </c>
      <c r="T68" s="174" t="str">
        <f t="shared" si="12"/>
        <v/>
      </c>
      <c r="U68" s="174" t="str">
        <f t="shared" si="12"/>
        <v/>
      </c>
      <c r="V68" s="174" t="str">
        <f t="shared" si="12"/>
        <v/>
      </c>
      <c r="W68" s="174" t="str">
        <f>_xlfn.IFNA(VLOOKUP(T:T,'Example Logframe'!$B:$G,6,FALSE),"")</f>
        <v/>
      </c>
      <c r="X68" s="174" t="str">
        <f>_xlfn.IFNA(VLOOKUP(U:U,'Example Logframe'!$B:$G,6,FALSE),"")</f>
        <v/>
      </c>
      <c r="Y68" s="174" t="str">
        <f>_xlfn.IFNA(VLOOKUP(V:V,'Example Logframe'!$B:$G,6,FALSE),"")</f>
        <v/>
      </c>
      <c r="Z68">
        <v>64</v>
      </c>
      <c r="AD68" t="str">
        <f t="shared" si="16"/>
        <v/>
      </c>
      <c r="AE68" t="str">
        <f t="shared" si="16"/>
        <v/>
      </c>
      <c r="AF68" t="str">
        <f t="shared" si="14"/>
        <v/>
      </c>
    </row>
    <row r="69" spans="1:32" x14ac:dyDescent="0.35">
      <c r="A69">
        <f>INDEX('Example Logframe'!F:F,73,1)</f>
        <v>0</v>
      </c>
      <c r="B69" s="110">
        <v>0.75</v>
      </c>
      <c r="C69" s="321" t="str">
        <f>INDEX('Example Logframe'!B:B,73,1)</f>
        <v>0</v>
      </c>
      <c r="D69" t="str">
        <f t="shared" si="23"/>
        <v/>
      </c>
      <c r="E69" t="str">
        <f t="shared" si="24"/>
        <v/>
      </c>
      <c r="F69" t="str">
        <f t="shared" si="17"/>
        <v/>
      </c>
      <c r="G69" t="str">
        <f t="shared" si="25"/>
        <v/>
      </c>
      <c r="H69" t="str">
        <f t="shared" si="18"/>
        <v/>
      </c>
      <c r="I69" s="157" t="str">
        <f t="shared" si="19"/>
        <v/>
      </c>
      <c r="J69" s="157"/>
      <c r="K69" s="157" t="str">
        <f t="shared" si="20"/>
        <v/>
      </c>
      <c r="L69" s="157" t="str">
        <f t="shared" si="21"/>
        <v/>
      </c>
      <c r="M69" s="157"/>
      <c r="N69" s="157" t="str">
        <f t="shared" si="22"/>
        <v/>
      </c>
      <c r="O69" s="174" t="str">
        <f>Table132[[#This Row],[Combined List]]</f>
        <v/>
      </c>
      <c r="P69" s="157">
        <v>65</v>
      </c>
      <c r="Q69" s="174" t="str">
        <f t="shared" si="10"/>
        <v/>
      </c>
      <c r="R69" s="174" t="str">
        <f t="shared" si="15"/>
        <v/>
      </c>
      <c r="S69" s="174" t="str">
        <f t="shared" si="11"/>
        <v/>
      </c>
      <c r="T69" s="174" t="str">
        <f t="shared" si="12"/>
        <v/>
      </c>
      <c r="U69" s="174" t="str">
        <f t="shared" si="12"/>
        <v/>
      </c>
      <c r="V69" s="174" t="str">
        <f t="shared" ref="V69:V132" si="26">_xlfn.IFNA(VLOOKUP(S:S,$B:$C,2,FALSE),"")</f>
        <v/>
      </c>
      <c r="W69" s="174" t="str">
        <f>_xlfn.IFNA(VLOOKUP(T:T,'Example Logframe'!$B:$G,6,FALSE),"")</f>
        <v/>
      </c>
      <c r="X69" s="174" t="str">
        <f>_xlfn.IFNA(VLOOKUP(U:U,'Example Logframe'!$B:$G,6,FALSE),"")</f>
        <v/>
      </c>
      <c r="Y69" s="174" t="str">
        <f>_xlfn.IFNA(VLOOKUP(V:V,'Example Logframe'!$B:$G,6,FALSE),"")</f>
        <v/>
      </c>
      <c r="Z69">
        <v>65</v>
      </c>
      <c r="AD69" t="str">
        <f t="shared" si="16"/>
        <v/>
      </c>
      <c r="AE69" t="str">
        <f t="shared" si="16"/>
        <v/>
      </c>
      <c r="AF69" t="str">
        <f t="shared" si="14"/>
        <v/>
      </c>
    </row>
    <row r="70" spans="1:32" x14ac:dyDescent="0.35">
      <c r="A70">
        <f>INDEX('Example Logframe'!F:F,74,1)</f>
        <v>0</v>
      </c>
      <c r="B70" s="110">
        <v>0.76</v>
      </c>
      <c r="C70" s="321" t="str">
        <f>INDEX('Example Logframe'!B:B,74,1)</f>
        <v>0</v>
      </c>
      <c r="D70" t="str">
        <f t="shared" si="23"/>
        <v/>
      </c>
      <c r="E70" t="str">
        <f t="shared" si="24"/>
        <v/>
      </c>
      <c r="F70" t="str">
        <f t="shared" si="17"/>
        <v/>
      </c>
      <c r="G70" t="str">
        <f t="shared" si="25"/>
        <v/>
      </c>
      <c r="H70" t="str">
        <f t="shared" si="18"/>
        <v/>
      </c>
      <c r="I70" s="157" t="str">
        <f t="shared" si="19"/>
        <v/>
      </c>
      <c r="J70" s="157"/>
      <c r="K70" s="157" t="str">
        <f t="shared" si="20"/>
        <v/>
      </c>
      <c r="L70" s="157" t="str">
        <f t="shared" si="21"/>
        <v/>
      </c>
      <c r="M70" s="157"/>
      <c r="N70" s="157" t="str">
        <f t="shared" si="22"/>
        <v/>
      </c>
      <c r="O70" s="174" t="str">
        <f>Table132[[#This Row],[Combined List]]</f>
        <v/>
      </c>
      <c r="P70" s="157">
        <v>66</v>
      </c>
      <c r="Q70" s="174" t="str">
        <f t="shared" ref="Q70:Q133" si="27">IFERROR(VALUE(LEFT(AA:AA,4)),"")</f>
        <v/>
      </c>
      <c r="R70" s="174" t="str">
        <f t="shared" ref="R70:R133" si="28">IFERROR(VALUE(LEFT(AB:AB,4)),"")</f>
        <v/>
      </c>
      <c r="S70" s="174" t="str">
        <f t="shared" ref="S70:S133" si="29">IFERROR(VALUE(LEFT(AC:AC,4)),"")</f>
        <v/>
      </c>
      <c r="T70" s="174" t="str">
        <f t="shared" ref="T70:V133" si="30">_xlfn.IFNA(VLOOKUP(Q:Q,$B:$C,2,FALSE),"")</f>
        <v/>
      </c>
      <c r="U70" s="174" t="str">
        <f t="shared" si="30"/>
        <v/>
      </c>
      <c r="V70" s="174" t="str">
        <f t="shared" si="26"/>
        <v/>
      </c>
      <c r="W70" s="174" t="str">
        <f>_xlfn.IFNA(VLOOKUP(T:T,'Example Logframe'!$B:$G,6,FALSE),"")</f>
        <v/>
      </c>
      <c r="X70" s="174" t="str">
        <f>_xlfn.IFNA(VLOOKUP(U:U,'Example Logframe'!$B:$G,6,FALSE),"")</f>
        <v/>
      </c>
      <c r="Y70" s="174" t="str">
        <f>_xlfn.IFNA(VLOOKUP(V:V,'Example Logframe'!$B:$G,6,FALSE),"")</f>
        <v/>
      </c>
      <c r="Z70">
        <v>66</v>
      </c>
      <c r="AD70" t="str">
        <f t="shared" si="16"/>
        <v/>
      </c>
      <c r="AE70" t="str">
        <f t="shared" si="16"/>
        <v/>
      </c>
      <c r="AF70" t="str">
        <f t="shared" ref="AF70:AF133" si="31">_xlfn.IFNA(VLOOKUP(AC:AC,N:O,2,FALSE),"")</f>
        <v/>
      </c>
    </row>
    <row r="71" spans="1:32" x14ac:dyDescent="0.35">
      <c r="A71">
        <f>INDEX('Example Logframe'!F:F,75,1)</f>
        <v>0</v>
      </c>
      <c r="B71" s="110">
        <v>0.77</v>
      </c>
      <c r="C71" s="321" t="str">
        <f>INDEX('Example Logframe'!B:B,75,1)</f>
        <v>0</v>
      </c>
      <c r="D71" t="str">
        <f t="shared" si="23"/>
        <v/>
      </c>
      <c r="E71" t="str">
        <f t="shared" si="24"/>
        <v/>
      </c>
      <c r="F71" t="str">
        <f t="shared" si="17"/>
        <v/>
      </c>
      <c r="G71" t="str">
        <f t="shared" si="25"/>
        <v/>
      </c>
      <c r="H71" t="str">
        <f t="shared" si="18"/>
        <v/>
      </c>
      <c r="I71" s="157" t="str">
        <f t="shared" si="19"/>
        <v/>
      </c>
      <c r="J71" s="157"/>
      <c r="K71" s="157" t="str">
        <f t="shared" si="20"/>
        <v/>
      </c>
      <c r="L71" s="157" t="str">
        <f t="shared" si="21"/>
        <v/>
      </c>
      <c r="M71" s="157"/>
      <c r="N71" s="157" t="str">
        <f t="shared" si="22"/>
        <v/>
      </c>
      <c r="O71" s="174" t="str">
        <f>Table132[[#This Row],[Combined List]]</f>
        <v/>
      </c>
      <c r="P71" s="157">
        <v>67</v>
      </c>
      <c r="Q71" s="174" t="str">
        <f t="shared" si="27"/>
        <v/>
      </c>
      <c r="R71" s="174" t="str">
        <f t="shared" si="28"/>
        <v/>
      </c>
      <c r="S71" s="174" t="str">
        <f t="shared" si="29"/>
        <v/>
      </c>
      <c r="T71" s="174" t="str">
        <f t="shared" si="30"/>
        <v/>
      </c>
      <c r="U71" s="174" t="str">
        <f t="shared" si="30"/>
        <v/>
      </c>
      <c r="V71" s="174" t="str">
        <f t="shared" si="26"/>
        <v/>
      </c>
      <c r="W71" s="174" t="str">
        <f>_xlfn.IFNA(VLOOKUP(T:T,'Example Logframe'!$B:$G,6,FALSE),"")</f>
        <v/>
      </c>
      <c r="X71" s="174" t="str">
        <f>_xlfn.IFNA(VLOOKUP(U:U,'Example Logframe'!$B:$G,6,FALSE),"")</f>
        <v/>
      </c>
      <c r="Y71" s="174" t="str">
        <f>_xlfn.IFNA(VLOOKUP(V:V,'Example Logframe'!$B:$G,6,FALSE),"")</f>
        <v/>
      </c>
      <c r="Z71">
        <v>67</v>
      </c>
      <c r="AD71" t="str">
        <f t="shared" si="16"/>
        <v/>
      </c>
      <c r="AE71" t="str">
        <f t="shared" si="16"/>
        <v/>
      </c>
      <c r="AF71" t="str">
        <f t="shared" si="31"/>
        <v/>
      </c>
    </row>
    <row r="72" spans="1:32" x14ac:dyDescent="0.35">
      <c r="A72">
        <f>INDEX('Example Logframe'!F:F,76,1)</f>
        <v>0</v>
      </c>
      <c r="B72" s="110">
        <v>0.78</v>
      </c>
      <c r="C72" s="321" t="str">
        <f>INDEX('Example Logframe'!B:B,76,1)</f>
        <v>0</v>
      </c>
      <c r="D72" t="str">
        <f t="shared" si="23"/>
        <v/>
      </c>
      <c r="E72" t="str">
        <f t="shared" si="24"/>
        <v/>
      </c>
      <c r="F72" t="str">
        <f t="shared" si="17"/>
        <v/>
      </c>
      <c r="G72" t="str">
        <f t="shared" si="25"/>
        <v/>
      </c>
      <c r="H72" t="str">
        <f t="shared" si="18"/>
        <v/>
      </c>
      <c r="I72" s="157" t="str">
        <f t="shared" si="19"/>
        <v/>
      </c>
      <c r="J72" s="157"/>
      <c r="K72" s="157" t="str">
        <f t="shared" si="20"/>
        <v/>
      </c>
      <c r="L72" s="157" t="str">
        <f t="shared" si="21"/>
        <v/>
      </c>
      <c r="M72" s="157"/>
      <c r="N72" s="157" t="str">
        <f t="shared" si="22"/>
        <v/>
      </c>
      <c r="O72" s="174" t="str">
        <f>Table132[[#This Row],[Combined List]]</f>
        <v/>
      </c>
      <c r="P72" s="157">
        <v>68</v>
      </c>
      <c r="Q72" s="174" t="str">
        <f t="shared" si="27"/>
        <v/>
      </c>
      <c r="R72" s="174" t="str">
        <f t="shared" si="28"/>
        <v/>
      </c>
      <c r="S72" s="174" t="str">
        <f t="shared" si="29"/>
        <v/>
      </c>
      <c r="T72" s="174" t="str">
        <f t="shared" si="30"/>
        <v/>
      </c>
      <c r="U72" s="174" t="str">
        <f t="shared" si="30"/>
        <v/>
      </c>
      <c r="V72" s="174" t="str">
        <f t="shared" si="26"/>
        <v/>
      </c>
      <c r="W72" s="174" t="str">
        <f>_xlfn.IFNA(VLOOKUP(T:T,'Example Logframe'!$B:$G,6,FALSE),"")</f>
        <v/>
      </c>
      <c r="X72" s="174" t="str">
        <f>_xlfn.IFNA(VLOOKUP(U:U,'Example Logframe'!$B:$G,6,FALSE),"")</f>
        <v/>
      </c>
      <c r="Y72" s="174" t="str">
        <f>_xlfn.IFNA(VLOOKUP(V:V,'Example Logframe'!$B:$G,6,FALSE),"")</f>
        <v/>
      </c>
      <c r="Z72">
        <v>68</v>
      </c>
      <c r="AD72" t="str">
        <f t="shared" si="16"/>
        <v/>
      </c>
      <c r="AE72" t="str">
        <f t="shared" si="16"/>
        <v/>
      </c>
      <c r="AF72" t="str">
        <f t="shared" si="31"/>
        <v/>
      </c>
    </row>
    <row r="73" spans="1:32" x14ac:dyDescent="0.35">
      <c r="A73">
        <f>INDEX('Example Logframe'!F:F,77,1)</f>
        <v>0</v>
      </c>
      <c r="B73" s="110">
        <v>0.79</v>
      </c>
      <c r="C73" s="321" t="str">
        <f>INDEX('Example Logframe'!B:B,77,1)</f>
        <v>0</v>
      </c>
      <c r="D73" t="str">
        <f t="shared" si="23"/>
        <v/>
      </c>
      <c r="E73" t="str">
        <f t="shared" si="24"/>
        <v/>
      </c>
      <c r="F73" t="str">
        <f t="shared" si="17"/>
        <v/>
      </c>
      <c r="G73" t="str">
        <f t="shared" si="25"/>
        <v/>
      </c>
      <c r="H73" t="str">
        <f t="shared" si="18"/>
        <v/>
      </c>
      <c r="I73" s="157" t="str">
        <f t="shared" si="19"/>
        <v/>
      </c>
      <c r="J73" s="157"/>
      <c r="K73" s="157" t="str">
        <f t="shared" si="20"/>
        <v/>
      </c>
      <c r="L73" s="157" t="str">
        <f t="shared" si="21"/>
        <v/>
      </c>
      <c r="M73" s="157"/>
      <c r="N73" s="157" t="str">
        <f t="shared" si="22"/>
        <v/>
      </c>
      <c r="O73" s="174" t="str">
        <f>Table132[[#This Row],[Combined List]]</f>
        <v/>
      </c>
      <c r="P73" s="157">
        <v>69</v>
      </c>
      <c r="Q73" s="174" t="str">
        <f t="shared" si="27"/>
        <v/>
      </c>
      <c r="R73" s="174" t="str">
        <f t="shared" si="28"/>
        <v/>
      </c>
      <c r="S73" s="174" t="str">
        <f t="shared" si="29"/>
        <v/>
      </c>
      <c r="T73" s="174" t="str">
        <f t="shared" si="30"/>
        <v/>
      </c>
      <c r="U73" s="174" t="str">
        <f t="shared" si="30"/>
        <v/>
      </c>
      <c r="V73" s="174" t="str">
        <f t="shared" si="26"/>
        <v/>
      </c>
      <c r="W73" s="174" t="str">
        <f>_xlfn.IFNA(VLOOKUP(T:T,'Example Logframe'!$B:$G,6,FALSE),"")</f>
        <v/>
      </c>
      <c r="X73" s="174" t="str">
        <f>_xlfn.IFNA(VLOOKUP(U:U,'Example Logframe'!$B:$G,6,FALSE),"")</f>
        <v/>
      </c>
      <c r="Y73" s="174" t="str">
        <f>_xlfn.IFNA(VLOOKUP(V:V,'Example Logframe'!$B:$G,6,FALSE),"")</f>
        <v/>
      </c>
      <c r="Z73">
        <v>69</v>
      </c>
      <c r="AD73" t="str">
        <f t="shared" si="16"/>
        <v/>
      </c>
      <c r="AE73" t="str">
        <f t="shared" si="16"/>
        <v/>
      </c>
      <c r="AF73" t="str">
        <f t="shared" si="31"/>
        <v/>
      </c>
    </row>
    <row r="74" spans="1:32" x14ac:dyDescent="0.35">
      <c r="A74">
        <f>INDEX('Example Logframe'!F:F,78,1)</f>
        <v>0</v>
      </c>
      <c r="B74" s="110">
        <v>0.81</v>
      </c>
      <c r="C74" s="321" t="str">
        <f>INDEX('Example Logframe'!B:B,78,1)</f>
        <v>0</v>
      </c>
      <c r="D74" t="str">
        <f t="shared" si="23"/>
        <v/>
      </c>
      <c r="E74" t="str">
        <f t="shared" si="24"/>
        <v/>
      </c>
      <c r="F74" t="str">
        <f t="shared" si="17"/>
        <v/>
      </c>
      <c r="G74" t="str">
        <f t="shared" si="25"/>
        <v/>
      </c>
      <c r="H74" t="str">
        <f t="shared" si="18"/>
        <v/>
      </c>
      <c r="I74" s="157" t="str">
        <f t="shared" si="19"/>
        <v/>
      </c>
      <c r="J74" s="157"/>
      <c r="K74" s="157" t="str">
        <f t="shared" si="20"/>
        <v/>
      </c>
      <c r="L74" s="157" t="str">
        <f t="shared" si="21"/>
        <v/>
      </c>
      <c r="M74" s="157"/>
      <c r="N74" s="157" t="str">
        <f t="shared" si="22"/>
        <v/>
      </c>
      <c r="O74" s="174" t="str">
        <f>Table132[[#This Row],[Combined List]]</f>
        <v/>
      </c>
      <c r="P74" s="157">
        <v>70</v>
      </c>
      <c r="Q74" s="174" t="str">
        <f t="shared" si="27"/>
        <v/>
      </c>
      <c r="R74" s="174" t="str">
        <f t="shared" si="28"/>
        <v/>
      </c>
      <c r="S74" s="174" t="str">
        <f t="shared" si="29"/>
        <v/>
      </c>
      <c r="T74" s="174" t="str">
        <f t="shared" si="30"/>
        <v/>
      </c>
      <c r="U74" s="174" t="str">
        <f t="shared" si="30"/>
        <v/>
      </c>
      <c r="V74" s="174" t="str">
        <f t="shared" si="26"/>
        <v/>
      </c>
      <c r="W74" s="174" t="str">
        <f>_xlfn.IFNA(VLOOKUP(T:T,'Example Logframe'!$B:$G,6,FALSE),"")</f>
        <v/>
      </c>
      <c r="X74" s="174" t="str">
        <f>_xlfn.IFNA(VLOOKUP(U:U,'Example Logframe'!$B:$G,6,FALSE),"")</f>
        <v/>
      </c>
      <c r="Y74" s="174" t="str">
        <f>_xlfn.IFNA(VLOOKUP(V:V,'Example Logframe'!$B:$G,6,FALSE),"")</f>
        <v/>
      </c>
      <c r="Z74">
        <v>70</v>
      </c>
      <c r="AD74" t="str">
        <f t="shared" si="16"/>
        <v/>
      </c>
      <c r="AE74" t="str">
        <f t="shared" si="16"/>
        <v/>
      </c>
      <c r="AF74" t="str">
        <f t="shared" si="31"/>
        <v/>
      </c>
    </row>
    <row r="75" spans="1:32" x14ac:dyDescent="0.35">
      <c r="A75">
        <f>INDEX('Example Logframe'!F:F,79,1)</f>
        <v>0</v>
      </c>
      <c r="B75" s="110">
        <v>0.82</v>
      </c>
      <c r="C75" s="321" t="str">
        <f>INDEX('Example Logframe'!B:B,79,1)</f>
        <v>0</v>
      </c>
      <c r="D75" t="str">
        <f t="shared" si="23"/>
        <v/>
      </c>
      <c r="E75" t="str">
        <f t="shared" si="24"/>
        <v/>
      </c>
      <c r="F75" t="str">
        <f t="shared" si="17"/>
        <v/>
      </c>
      <c r="G75" t="str">
        <f t="shared" si="25"/>
        <v/>
      </c>
      <c r="H75" t="str">
        <f t="shared" si="18"/>
        <v/>
      </c>
      <c r="I75" s="157" t="str">
        <f t="shared" si="19"/>
        <v/>
      </c>
      <c r="J75" s="157"/>
      <c r="K75" s="157" t="str">
        <f t="shared" si="20"/>
        <v/>
      </c>
      <c r="L75" s="157" t="str">
        <f t="shared" si="21"/>
        <v/>
      </c>
      <c r="M75" s="157"/>
      <c r="N75" s="157" t="str">
        <f t="shared" si="22"/>
        <v/>
      </c>
      <c r="O75" s="174" t="str">
        <f>Table132[[#This Row],[Combined List]]</f>
        <v/>
      </c>
      <c r="P75" s="157">
        <v>71</v>
      </c>
      <c r="Q75" s="174" t="str">
        <f t="shared" si="27"/>
        <v/>
      </c>
      <c r="R75" s="174" t="str">
        <f t="shared" si="28"/>
        <v/>
      </c>
      <c r="S75" s="174" t="str">
        <f t="shared" si="29"/>
        <v/>
      </c>
      <c r="T75" s="174" t="str">
        <f t="shared" si="30"/>
        <v/>
      </c>
      <c r="U75" s="174" t="str">
        <f t="shared" si="30"/>
        <v/>
      </c>
      <c r="V75" s="174" t="str">
        <f t="shared" si="26"/>
        <v/>
      </c>
      <c r="W75" s="174" t="str">
        <f>_xlfn.IFNA(VLOOKUP(T:T,'Example Logframe'!$B:$G,6,FALSE),"")</f>
        <v/>
      </c>
      <c r="X75" s="174" t="str">
        <f>_xlfn.IFNA(VLOOKUP(U:U,'Example Logframe'!$B:$G,6,FALSE),"")</f>
        <v/>
      </c>
      <c r="Y75" s="174" t="str">
        <f>_xlfn.IFNA(VLOOKUP(V:V,'Example Logframe'!$B:$G,6,FALSE),"")</f>
        <v/>
      </c>
      <c r="Z75">
        <v>71</v>
      </c>
      <c r="AD75" t="str">
        <f t="shared" si="16"/>
        <v/>
      </c>
      <c r="AE75" t="str">
        <f t="shared" si="16"/>
        <v/>
      </c>
      <c r="AF75" t="str">
        <f t="shared" si="31"/>
        <v/>
      </c>
    </row>
    <row r="76" spans="1:32" x14ac:dyDescent="0.35">
      <c r="A76">
        <f>INDEX('Example Logframe'!F:F,80,1)</f>
        <v>0</v>
      </c>
      <c r="B76" s="110">
        <v>0.83</v>
      </c>
      <c r="C76" s="321" t="str">
        <f>INDEX('Example Logframe'!B:B,80,1)</f>
        <v>0</v>
      </c>
      <c r="D76" t="str">
        <f t="shared" si="23"/>
        <v/>
      </c>
      <c r="E76" t="str">
        <f t="shared" si="24"/>
        <v/>
      </c>
      <c r="F76" t="str">
        <f t="shared" si="17"/>
        <v/>
      </c>
      <c r="G76" t="str">
        <f t="shared" si="25"/>
        <v/>
      </c>
      <c r="H76" t="str">
        <f t="shared" si="18"/>
        <v/>
      </c>
      <c r="I76" s="157" t="str">
        <f t="shared" si="19"/>
        <v/>
      </c>
      <c r="J76" s="157"/>
      <c r="K76" s="157" t="str">
        <f t="shared" si="20"/>
        <v/>
      </c>
      <c r="L76" s="157" t="str">
        <f t="shared" si="21"/>
        <v/>
      </c>
      <c r="M76" s="157"/>
      <c r="N76" s="157" t="str">
        <f t="shared" si="22"/>
        <v/>
      </c>
      <c r="O76" s="174" t="str">
        <f>Table132[[#This Row],[Combined List]]</f>
        <v/>
      </c>
      <c r="P76" s="157">
        <v>72</v>
      </c>
      <c r="Q76" s="174" t="str">
        <f t="shared" si="27"/>
        <v/>
      </c>
      <c r="R76" s="174" t="str">
        <f t="shared" si="28"/>
        <v/>
      </c>
      <c r="S76" s="174" t="str">
        <f t="shared" si="29"/>
        <v/>
      </c>
      <c r="T76" s="174" t="str">
        <f t="shared" si="30"/>
        <v/>
      </c>
      <c r="U76" s="174" t="str">
        <f t="shared" si="30"/>
        <v/>
      </c>
      <c r="V76" s="174" t="str">
        <f t="shared" si="26"/>
        <v/>
      </c>
      <c r="W76" s="174" t="str">
        <f>_xlfn.IFNA(VLOOKUP(T:T,'Example Logframe'!$B:$G,6,FALSE),"")</f>
        <v/>
      </c>
      <c r="X76" s="174" t="str">
        <f>_xlfn.IFNA(VLOOKUP(U:U,'Example Logframe'!$B:$G,6,FALSE),"")</f>
        <v/>
      </c>
      <c r="Y76" s="174" t="str">
        <f>_xlfn.IFNA(VLOOKUP(V:V,'Example Logframe'!$B:$G,6,FALSE),"")</f>
        <v/>
      </c>
      <c r="Z76">
        <v>72</v>
      </c>
      <c r="AD76" t="str">
        <f t="shared" si="16"/>
        <v/>
      </c>
      <c r="AE76" t="str">
        <f t="shared" si="16"/>
        <v/>
      </c>
      <c r="AF76" t="str">
        <f t="shared" si="31"/>
        <v/>
      </c>
    </row>
    <row r="77" spans="1:32" x14ac:dyDescent="0.35">
      <c r="A77">
        <f>INDEX('Example Logframe'!F:F,81,1)</f>
        <v>0</v>
      </c>
      <c r="B77" s="110">
        <v>0.84</v>
      </c>
      <c r="C77" s="321" t="str">
        <f>INDEX('Example Logframe'!B:B,81,1)</f>
        <v>0</v>
      </c>
      <c r="D77" t="str">
        <f t="shared" si="23"/>
        <v/>
      </c>
      <c r="E77" t="str">
        <f t="shared" si="24"/>
        <v/>
      </c>
      <c r="F77" t="str">
        <f t="shared" si="17"/>
        <v/>
      </c>
      <c r="G77" t="str">
        <f t="shared" si="25"/>
        <v/>
      </c>
      <c r="H77" t="str">
        <f t="shared" si="18"/>
        <v/>
      </c>
      <c r="I77" s="157" t="str">
        <f t="shared" si="19"/>
        <v/>
      </c>
      <c r="J77" s="157"/>
      <c r="K77" s="157" t="str">
        <f t="shared" si="20"/>
        <v/>
      </c>
      <c r="L77" s="157" t="str">
        <f t="shared" si="21"/>
        <v/>
      </c>
      <c r="M77" s="157"/>
      <c r="N77" s="157" t="str">
        <f t="shared" si="22"/>
        <v/>
      </c>
      <c r="O77" s="174" t="str">
        <f>Table132[[#This Row],[Combined List]]</f>
        <v/>
      </c>
      <c r="P77" s="157">
        <v>73</v>
      </c>
      <c r="Q77" s="174" t="str">
        <f t="shared" si="27"/>
        <v/>
      </c>
      <c r="R77" s="174" t="str">
        <f t="shared" si="28"/>
        <v/>
      </c>
      <c r="S77" s="174" t="str">
        <f t="shared" si="29"/>
        <v/>
      </c>
      <c r="T77" s="174" t="str">
        <f t="shared" si="30"/>
        <v/>
      </c>
      <c r="U77" s="174" t="str">
        <f t="shared" si="30"/>
        <v/>
      </c>
      <c r="V77" s="174" t="str">
        <f t="shared" si="26"/>
        <v/>
      </c>
      <c r="W77" s="174" t="str">
        <f>_xlfn.IFNA(VLOOKUP(T:T,'Example Logframe'!$B:$G,6,FALSE),"")</f>
        <v/>
      </c>
      <c r="X77" s="174" t="str">
        <f>_xlfn.IFNA(VLOOKUP(U:U,'Example Logframe'!$B:$G,6,FALSE),"")</f>
        <v/>
      </c>
      <c r="Y77" s="174" t="str">
        <f>_xlfn.IFNA(VLOOKUP(V:V,'Example Logframe'!$B:$G,6,FALSE),"")</f>
        <v/>
      </c>
      <c r="Z77">
        <v>73</v>
      </c>
      <c r="AD77" t="str">
        <f t="shared" si="16"/>
        <v/>
      </c>
      <c r="AE77" t="str">
        <f t="shared" si="16"/>
        <v/>
      </c>
      <c r="AF77" t="str">
        <f t="shared" si="31"/>
        <v/>
      </c>
    </row>
    <row r="78" spans="1:32" x14ac:dyDescent="0.35">
      <c r="A78">
        <f>INDEX('Example Logframe'!F:F,82,1)</f>
        <v>0</v>
      </c>
      <c r="B78" s="110">
        <v>0.85</v>
      </c>
      <c r="C78" s="321" t="str">
        <f>INDEX('Example Logframe'!B:B,82,1)</f>
        <v>0</v>
      </c>
      <c r="D78" t="str">
        <f t="shared" si="23"/>
        <v/>
      </c>
      <c r="E78" t="str">
        <f t="shared" si="24"/>
        <v/>
      </c>
      <c r="F78" t="str">
        <f t="shared" si="17"/>
        <v/>
      </c>
      <c r="G78" t="str">
        <f t="shared" si="25"/>
        <v/>
      </c>
      <c r="H78" t="str">
        <f t="shared" si="18"/>
        <v/>
      </c>
      <c r="I78" s="157" t="str">
        <f t="shared" si="19"/>
        <v/>
      </c>
      <c r="J78" s="157"/>
      <c r="K78" s="157" t="str">
        <f t="shared" si="20"/>
        <v/>
      </c>
      <c r="L78" s="157" t="str">
        <f t="shared" si="21"/>
        <v/>
      </c>
      <c r="M78" s="157"/>
      <c r="N78" s="157" t="str">
        <f t="shared" si="22"/>
        <v/>
      </c>
      <c r="O78" s="174" t="str">
        <f>Table132[[#This Row],[Combined List]]</f>
        <v/>
      </c>
      <c r="P78" s="157">
        <v>74</v>
      </c>
      <c r="Q78" s="174" t="str">
        <f t="shared" si="27"/>
        <v/>
      </c>
      <c r="R78" s="174" t="str">
        <f t="shared" si="28"/>
        <v/>
      </c>
      <c r="S78" s="174" t="str">
        <f t="shared" si="29"/>
        <v/>
      </c>
      <c r="T78" s="174" t="str">
        <f t="shared" si="30"/>
        <v/>
      </c>
      <c r="U78" s="174" t="str">
        <f t="shared" si="30"/>
        <v/>
      </c>
      <c r="V78" s="174" t="str">
        <f t="shared" si="26"/>
        <v/>
      </c>
      <c r="W78" s="174" t="str">
        <f>_xlfn.IFNA(VLOOKUP(T:T,'Example Logframe'!$B:$G,6,FALSE),"")</f>
        <v/>
      </c>
      <c r="X78" s="174" t="str">
        <f>_xlfn.IFNA(VLOOKUP(U:U,'Example Logframe'!$B:$G,6,FALSE),"")</f>
        <v/>
      </c>
      <c r="Y78" s="174" t="str">
        <f>_xlfn.IFNA(VLOOKUP(V:V,'Example Logframe'!$B:$G,6,FALSE),"")</f>
        <v/>
      </c>
      <c r="Z78">
        <v>74</v>
      </c>
      <c r="AD78" t="str">
        <f t="shared" si="16"/>
        <v/>
      </c>
      <c r="AE78" t="str">
        <f t="shared" si="16"/>
        <v/>
      </c>
      <c r="AF78" t="str">
        <f t="shared" si="31"/>
        <v/>
      </c>
    </row>
    <row r="79" spans="1:32" x14ac:dyDescent="0.35">
      <c r="A79">
        <f>INDEX('Example Logframe'!F:F,83,1)</f>
        <v>0</v>
      </c>
      <c r="B79" s="110">
        <v>0.86</v>
      </c>
      <c r="C79" s="321" t="str">
        <f>INDEX('Example Logframe'!B:B,83,1)</f>
        <v>0Global Indicators</v>
      </c>
      <c r="D79" t="str">
        <f t="shared" si="23"/>
        <v/>
      </c>
      <c r="E79" t="str">
        <f t="shared" si="24"/>
        <v/>
      </c>
      <c r="F79" t="str">
        <f t="shared" si="17"/>
        <v/>
      </c>
      <c r="G79" t="str">
        <f t="shared" si="25"/>
        <v/>
      </c>
      <c r="H79" t="str">
        <f t="shared" si="18"/>
        <v/>
      </c>
      <c r="I79" s="157" t="str">
        <f t="shared" si="19"/>
        <v/>
      </c>
      <c r="J79" s="157"/>
      <c r="K79" s="157" t="str">
        <f t="shared" si="20"/>
        <v/>
      </c>
      <c r="L79" s="157" t="str">
        <f t="shared" si="21"/>
        <v/>
      </c>
      <c r="M79" s="157"/>
      <c r="N79" s="157" t="str">
        <f t="shared" si="22"/>
        <v/>
      </c>
      <c r="O79" s="174" t="str">
        <f>Table132[[#This Row],[Combined List]]</f>
        <v/>
      </c>
      <c r="P79" s="157">
        <v>75</v>
      </c>
      <c r="Q79" s="174" t="str">
        <f t="shared" si="27"/>
        <v/>
      </c>
      <c r="R79" s="174" t="str">
        <f t="shared" si="28"/>
        <v/>
      </c>
      <c r="S79" s="174" t="str">
        <f t="shared" si="29"/>
        <v/>
      </c>
      <c r="T79" s="174" t="str">
        <f t="shared" si="30"/>
        <v/>
      </c>
      <c r="U79" s="174" t="str">
        <f t="shared" si="30"/>
        <v/>
      </c>
      <c r="V79" s="174" t="str">
        <f t="shared" si="26"/>
        <v/>
      </c>
      <c r="W79" s="174" t="str">
        <f>_xlfn.IFNA(VLOOKUP(T:T,'Example Logframe'!$B:$G,6,FALSE),"")</f>
        <v/>
      </c>
      <c r="X79" s="174" t="str">
        <f>_xlfn.IFNA(VLOOKUP(U:U,'Example Logframe'!$B:$G,6,FALSE),"")</f>
        <v/>
      </c>
      <c r="Y79" s="174" t="str">
        <f>_xlfn.IFNA(VLOOKUP(V:V,'Example Logframe'!$B:$G,6,FALSE),"")</f>
        <v/>
      </c>
      <c r="Z79">
        <v>75</v>
      </c>
      <c r="AD79" t="str">
        <f t="shared" si="16"/>
        <v/>
      </c>
      <c r="AE79" t="str">
        <f t="shared" si="16"/>
        <v/>
      </c>
      <c r="AF79" t="str">
        <f t="shared" si="31"/>
        <v/>
      </c>
    </row>
    <row r="80" spans="1:32" x14ac:dyDescent="0.35">
      <c r="A80">
        <f>INDEX('Example Logframe'!F:F,84,1)</f>
        <v>0</v>
      </c>
      <c r="B80" s="110">
        <v>0.87</v>
      </c>
      <c r="C80" s="321" t="str">
        <f>INDEX('Example Logframe'!B:B,84,1)</f>
        <v>0</v>
      </c>
      <c r="D80" t="str">
        <f t="shared" si="23"/>
        <v/>
      </c>
      <c r="E80" t="str">
        <f t="shared" si="24"/>
        <v/>
      </c>
      <c r="F80" t="str">
        <f t="shared" si="17"/>
        <v/>
      </c>
      <c r="G80" t="str">
        <f t="shared" si="25"/>
        <v/>
      </c>
      <c r="H80" t="str">
        <f t="shared" si="18"/>
        <v/>
      </c>
      <c r="I80" s="157" t="str">
        <f t="shared" si="19"/>
        <v/>
      </c>
      <c r="J80" s="157"/>
      <c r="K80" s="157" t="str">
        <f t="shared" si="20"/>
        <v/>
      </c>
      <c r="L80" s="157" t="str">
        <f t="shared" si="21"/>
        <v/>
      </c>
      <c r="M80" s="157"/>
      <c r="N80" s="157" t="str">
        <f t="shared" si="22"/>
        <v/>
      </c>
      <c r="O80" s="174" t="str">
        <f>Table132[[#This Row],[Combined List]]</f>
        <v/>
      </c>
      <c r="P80" s="157">
        <v>76</v>
      </c>
      <c r="Q80" s="174" t="str">
        <f t="shared" si="27"/>
        <v/>
      </c>
      <c r="R80" s="174" t="str">
        <f t="shared" si="28"/>
        <v/>
      </c>
      <c r="S80" s="174" t="str">
        <f t="shared" si="29"/>
        <v/>
      </c>
      <c r="T80" s="174" t="str">
        <f t="shared" si="30"/>
        <v/>
      </c>
      <c r="U80" s="174" t="str">
        <f t="shared" si="30"/>
        <v/>
      </c>
      <c r="V80" s="174" t="str">
        <f t="shared" si="26"/>
        <v/>
      </c>
      <c r="W80" s="174" t="str">
        <f>_xlfn.IFNA(VLOOKUP(T:T,'Example Logframe'!$B:$G,6,FALSE),"")</f>
        <v/>
      </c>
      <c r="X80" s="174" t="str">
        <f>_xlfn.IFNA(VLOOKUP(U:U,'Example Logframe'!$B:$G,6,FALSE),"")</f>
        <v/>
      </c>
      <c r="Y80" s="174" t="str">
        <f>_xlfn.IFNA(VLOOKUP(V:V,'Example Logframe'!$B:$G,6,FALSE),"")</f>
        <v/>
      </c>
      <c r="Z80">
        <v>76</v>
      </c>
      <c r="AD80" t="str">
        <f t="shared" si="16"/>
        <v/>
      </c>
      <c r="AE80" t="str">
        <f t="shared" si="16"/>
        <v/>
      </c>
      <c r="AF80" t="str">
        <f t="shared" si="31"/>
        <v/>
      </c>
    </row>
    <row r="81" spans="1:32" x14ac:dyDescent="0.35">
      <c r="A81">
        <f>INDEX('Example Logframe'!F:F,85,1)</f>
        <v>0</v>
      </c>
      <c r="B81" s="110">
        <v>0.88</v>
      </c>
      <c r="C81" s="321" t="str">
        <f>INDEX('Example Logframe'!B:B,85,1)</f>
        <v>0</v>
      </c>
      <c r="D81" t="str">
        <f t="shared" si="23"/>
        <v/>
      </c>
      <c r="E81" t="str">
        <f t="shared" si="24"/>
        <v/>
      </c>
      <c r="F81" t="str">
        <f t="shared" si="17"/>
        <v/>
      </c>
      <c r="G81" t="str">
        <f t="shared" si="25"/>
        <v/>
      </c>
      <c r="H81" t="str">
        <f t="shared" si="18"/>
        <v/>
      </c>
      <c r="I81" s="157" t="str">
        <f t="shared" si="19"/>
        <v/>
      </c>
      <c r="J81" s="157"/>
      <c r="K81" s="157" t="str">
        <f t="shared" si="20"/>
        <v/>
      </c>
      <c r="L81" s="157" t="str">
        <f t="shared" si="21"/>
        <v/>
      </c>
      <c r="M81" s="157"/>
      <c r="N81" s="157" t="str">
        <f t="shared" si="22"/>
        <v/>
      </c>
      <c r="O81" s="174" t="str">
        <f>Table132[[#This Row],[Combined List]]</f>
        <v/>
      </c>
      <c r="P81" s="157">
        <v>77</v>
      </c>
      <c r="Q81" s="174" t="str">
        <f t="shared" si="27"/>
        <v/>
      </c>
      <c r="R81" s="174" t="str">
        <f t="shared" si="28"/>
        <v/>
      </c>
      <c r="S81" s="174" t="str">
        <f t="shared" si="29"/>
        <v/>
      </c>
      <c r="T81" s="174" t="str">
        <f t="shared" si="30"/>
        <v/>
      </c>
      <c r="U81" s="174" t="str">
        <f t="shared" si="30"/>
        <v/>
      </c>
      <c r="V81" s="174" t="str">
        <f t="shared" si="26"/>
        <v/>
      </c>
      <c r="W81" s="174" t="str">
        <f>_xlfn.IFNA(VLOOKUP(T:T,'Example Logframe'!$B:$G,6,FALSE),"")</f>
        <v/>
      </c>
      <c r="X81" s="174" t="str">
        <f>_xlfn.IFNA(VLOOKUP(U:U,'Example Logframe'!$B:$G,6,FALSE),"")</f>
        <v/>
      </c>
      <c r="Y81" s="174" t="str">
        <f>_xlfn.IFNA(VLOOKUP(V:V,'Example Logframe'!$B:$G,6,FALSE),"")</f>
        <v/>
      </c>
      <c r="Z81">
        <v>77</v>
      </c>
      <c r="AD81" t="str">
        <f t="shared" si="16"/>
        <v/>
      </c>
      <c r="AE81" t="str">
        <f t="shared" si="16"/>
        <v/>
      </c>
      <c r="AF81" t="str">
        <f t="shared" si="31"/>
        <v/>
      </c>
    </row>
    <row r="82" spans="1:32" x14ac:dyDescent="0.35">
      <c r="A82">
        <f>INDEX('Example Logframe'!F:F,86,1)</f>
        <v>0</v>
      </c>
      <c r="B82" s="110">
        <v>0.89</v>
      </c>
      <c r="C82" s="321" t="str">
        <f>INDEX('Example Logframe'!B:B,86,1)</f>
        <v>0</v>
      </c>
      <c r="D82" t="str">
        <f t="shared" si="23"/>
        <v/>
      </c>
      <c r="E82" t="str">
        <f t="shared" si="24"/>
        <v/>
      </c>
      <c r="F82" t="str">
        <f t="shared" si="17"/>
        <v/>
      </c>
      <c r="G82" t="str">
        <f t="shared" si="25"/>
        <v/>
      </c>
      <c r="H82" t="str">
        <f t="shared" si="18"/>
        <v/>
      </c>
      <c r="I82" s="157" t="str">
        <f t="shared" si="19"/>
        <v/>
      </c>
      <c r="J82" s="157"/>
      <c r="K82" s="157" t="str">
        <f t="shared" si="20"/>
        <v/>
      </c>
      <c r="L82" s="157" t="str">
        <f t="shared" si="21"/>
        <v/>
      </c>
      <c r="M82" s="157"/>
      <c r="N82" s="157" t="str">
        <f t="shared" si="22"/>
        <v/>
      </c>
      <c r="O82" s="174" t="str">
        <f>Table132[[#This Row],[Combined List]]</f>
        <v/>
      </c>
      <c r="P82" s="157">
        <v>78</v>
      </c>
      <c r="Q82" s="174" t="str">
        <f t="shared" si="27"/>
        <v/>
      </c>
      <c r="R82" s="174" t="str">
        <f t="shared" si="28"/>
        <v/>
      </c>
      <c r="S82" s="174" t="str">
        <f t="shared" si="29"/>
        <v/>
      </c>
      <c r="T82" s="174" t="str">
        <f t="shared" si="30"/>
        <v/>
      </c>
      <c r="U82" s="174" t="str">
        <f t="shared" si="30"/>
        <v/>
      </c>
      <c r="V82" s="174" t="str">
        <f t="shared" si="26"/>
        <v/>
      </c>
      <c r="W82" s="174" t="str">
        <f>_xlfn.IFNA(VLOOKUP(T:T,'Example Logframe'!$B:$G,6,FALSE),"")</f>
        <v/>
      </c>
      <c r="X82" s="174" t="str">
        <f>_xlfn.IFNA(VLOOKUP(U:U,'Example Logframe'!$B:$G,6,FALSE),"")</f>
        <v/>
      </c>
      <c r="Y82" s="174" t="str">
        <f>_xlfn.IFNA(VLOOKUP(V:V,'Example Logframe'!$B:$G,6,FALSE),"")</f>
        <v/>
      </c>
      <c r="Z82">
        <v>78</v>
      </c>
      <c r="AD82" t="str">
        <f t="shared" si="16"/>
        <v/>
      </c>
      <c r="AE82" t="str">
        <f t="shared" si="16"/>
        <v/>
      </c>
      <c r="AF82" t="str">
        <f t="shared" si="31"/>
        <v/>
      </c>
    </row>
    <row r="83" spans="1:32" x14ac:dyDescent="0.35">
      <c r="A83">
        <f>INDEX('Example Logframe'!F:F,87,1)</f>
        <v>0</v>
      </c>
      <c r="B83" s="110">
        <v>0.91</v>
      </c>
      <c r="C83" s="321" t="str">
        <f>INDEX('Example Logframe'!B:B,87,1)</f>
        <v>0</v>
      </c>
      <c r="D83" t="str">
        <f t="shared" si="23"/>
        <v/>
      </c>
      <c r="E83" t="str">
        <f t="shared" si="24"/>
        <v/>
      </c>
      <c r="F83" t="str">
        <f t="shared" si="17"/>
        <v/>
      </c>
      <c r="G83" t="str">
        <f t="shared" si="25"/>
        <v/>
      </c>
      <c r="H83" t="str">
        <f t="shared" si="18"/>
        <v/>
      </c>
      <c r="I83" s="157" t="str">
        <f t="shared" si="19"/>
        <v/>
      </c>
      <c r="J83" s="157"/>
      <c r="K83" s="157" t="str">
        <f t="shared" si="20"/>
        <v/>
      </c>
      <c r="L83" s="157" t="str">
        <f t="shared" si="21"/>
        <v/>
      </c>
      <c r="M83" s="157"/>
      <c r="N83" s="157" t="str">
        <f t="shared" si="22"/>
        <v/>
      </c>
      <c r="O83" s="174" t="str">
        <f>Table132[[#This Row],[Combined List]]</f>
        <v/>
      </c>
      <c r="P83" s="157">
        <v>79</v>
      </c>
      <c r="Q83" s="174" t="str">
        <f t="shared" si="27"/>
        <v/>
      </c>
      <c r="R83" s="174" t="str">
        <f t="shared" si="28"/>
        <v/>
      </c>
      <c r="S83" s="174" t="str">
        <f t="shared" si="29"/>
        <v/>
      </c>
      <c r="T83" s="174" t="str">
        <f t="shared" si="30"/>
        <v/>
      </c>
      <c r="U83" s="174" t="str">
        <f t="shared" si="30"/>
        <v/>
      </c>
      <c r="V83" s="174" t="str">
        <f t="shared" si="26"/>
        <v/>
      </c>
      <c r="W83" s="174" t="str">
        <f>_xlfn.IFNA(VLOOKUP(T:T,'Example Logframe'!$B:$G,6,FALSE),"")</f>
        <v/>
      </c>
      <c r="X83" s="174" t="str">
        <f>_xlfn.IFNA(VLOOKUP(U:U,'Example Logframe'!$B:$G,6,FALSE),"")</f>
        <v/>
      </c>
      <c r="Y83" s="174" t="str">
        <f>_xlfn.IFNA(VLOOKUP(V:V,'Example Logframe'!$B:$G,6,FALSE),"")</f>
        <v/>
      </c>
      <c r="Z83">
        <v>79</v>
      </c>
      <c r="AD83" t="str">
        <f t="shared" si="16"/>
        <v/>
      </c>
      <c r="AE83" t="str">
        <f t="shared" si="16"/>
        <v/>
      </c>
      <c r="AF83" t="str">
        <f t="shared" si="31"/>
        <v/>
      </c>
    </row>
    <row r="84" spans="1:32" x14ac:dyDescent="0.35">
      <c r="A84">
        <f>INDEX('Example Logframe'!F:F,88,1)</f>
        <v>0</v>
      </c>
      <c r="B84" s="110">
        <v>0.92</v>
      </c>
      <c r="C84" s="321" t="str">
        <f>INDEX('Example Logframe'!B:B,88,1)</f>
        <v>0</v>
      </c>
      <c r="D84" t="str">
        <f t="shared" si="23"/>
        <v/>
      </c>
      <c r="E84" t="str">
        <f t="shared" si="24"/>
        <v/>
      </c>
      <c r="F84" t="str">
        <f t="shared" si="17"/>
        <v/>
      </c>
      <c r="G84" t="str">
        <f t="shared" si="25"/>
        <v/>
      </c>
      <c r="H84" t="str">
        <f t="shared" si="18"/>
        <v/>
      </c>
      <c r="I84" s="157" t="str">
        <f t="shared" si="19"/>
        <v/>
      </c>
      <c r="J84" s="157"/>
      <c r="K84" s="157" t="str">
        <f t="shared" si="20"/>
        <v/>
      </c>
      <c r="L84" s="157" t="str">
        <f t="shared" si="21"/>
        <v/>
      </c>
      <c r="M84" s="157"/>
      <c r="N84" s="157" t="str">
        <f t="shared" si="22"/>
        <v/>
      </c>
      <c r="O84" s="174" t="str">
        <f>Table132[[#This Row],[Combined List]]</f>
        <v/>
      </c>
      <c r="P84" s="157">
        <v>80</v>
      </c>
      <c r="Q84" s="174" t="str">
        <f t="shared" si="27"/>
        <v/>
      </c>
      <c r="R84" s="174" t="str">
        <f t="shared" si="28"/>
        <v/>
      </c>
      <c r="S84" s="174" t="str">
        <f t="shared" si="29"/>
        <v/>
      </c>
      <c r="T84" s="174" t="str">
        <f t="shared" si="30"/>
        <v/>
      </c>
      <c r="U84" s="174" t="str">
        <f t="shared" si="30"/>
        <v/>
      </c>
      <c r="V84" s="174" t="str">
        <f t="shared" si="26"/>
        <v/>
      </c>
      <c r="W84" s="174" t="str">
        <f>_xlfn.IFNA(VLOOKUP(T:T,'Example Logframe'!$B:$G,6,FALSE),"")</f>
        <v/>
      </c>
      <c r="X84" s="174" t="str">
        <f>_xlfn.IFNA(VLOOKUP(U:U,'Example Logframe'!$B:$G,6,FALSE),"")</f>
        <v/>
      </c>
      <c r="Y84" s="174" t="str">
        <f>_xlfn.IFNA(VLOOKUP(V:V,'Example Logframe'!$B:$G,6,FALSE),"")</f>
        <v/>
      </c>
      <c r="Z84">
        <v>80</v>
      </c>
      <c r="AD84" t="str">
        <f t="shared" si="16"/>
        <v/>
      </c>
      <c r="AE84" t="str">
        <f t="shared" si="16"/>
        <v/>
      </c>
      <c r="AF84" t="str">
        <f t="shared" si="31"/>
        <v/>
      </c>
    </row>
    <row r="85" spans="1:32" x14ac:dyDescent="0.35">
      <c r="A85">
        <f>INDEX('Example Logframe'!F:F,89,1)</f>
        <v>0</v>
      </c>
      <c r="B85" s="110">
        <v>0.93</v>
      </c>
      <c r="C85" s="321" t="str">
        <f>INDEX('Example Logframe'!B:B,89,1)</f>
        <v>0</v>
      </c>
      <c r="D85" t="str">
        <f t="shared" si="23"/>
        <v/>
      </c>
      <c r="E85" t="str">
        <f t="shared" si="24"/>
        <v/>
      </c>
      <c r="F85" t="str">
        <f t="shared" si="17"/>
        <v/>
      </c>
      <c r="G85" t="str">
        <f t="shared" si="25"/>
        <v/>
      </c>
      <c r="H85" t="str">
        <f t="shared" si="18"/>
        <v/>
      </c>
      <c r="I85" s="157" t="str">
        <f t="shared" si="19"/>
        <v/>
      </c>
      <c r="J85" s="157"/>
      <c r="K85" s="157" t="str">
        <f t="shared" si="20"/>
        <v/>
      </c>
      <c r="L85" s="157" t="str">
        <f t="shared" si="21"/>
        <v/>
      </c>
      <c r="M85" s="157"/>
      <c r="N85" s="157" t="str">
        <f t="shared" si="22"/>
        <v/>
      </c>
      <c r="O85" s="174" t="str">
        <f>Table132[[#This Row],[Combined List]]</f>
        <v/>
      </c>
      <c r="P85" s="157">
        <v>81</v>
      </c>
      <c r="Q85" s="174" t="str">
        <f t="shared" si="27"/>
        <v/>
      </c>
      <c r="R85" s="174" t="str">
        <f t="shared" si="28"/>
        <v/>
      </c>
      <c r="S85" s="174" t="str">
        <f t="shared" si="29"/>
        <v/>
      </c>
      <c r="T85" s="174" t="str">
        <f t="shared" si="30"/>
        <v/>
      </c>
      <c r="U85" s="174" t="str">
        <f t="shared" si="30"/>
        <v/>
      </c>
      <c r="V85" s="174" t="str">
        <f t="shared" si="26"/>
        <v/>
      </c>
      <c r="W85" s="174" t="str">
        <f>_xlfn.IFNA(VLOOKUP(T:T,'Example Logframe'!$B:$G,6,FALSE),"")</f>
        <v/>
      </c>
      <c r="X85" s="174" t="str">
        <f>_xlfn.IFNA(VLOOKUP(U:U,'Example Logframe'!$B:$G,6,FALSE),"")</f>
        <v/>
      </c>
      <c r="Y85" s="174" t="str">
        <f>_xlfn.IFNA(VLOOKUP(V:V,'Example Logframe'!$B:$G,6,FALSE),"")</f>
        <v/>
      </c>
      <c r="Z85">
        <v>81</v>
      </c>
      <c r="AD85" t="str">
        <f t="shared" si="16"/>
        <v/>
      </c>
      <c r="AE85" t="str">
        <f t="shared" si="16"/>
        <v/>
      </c>
      <c r="AF85" t="str">
        <f t="shared" si="31"/>
        <v/>
      </c>
    </row>
    <row r="86" spans="1:32" x14ac:dyDescent="0.35">
      <c r="A86">
        <f>INDEX('Example Logframe'!F:F,90,1)</f>
        <v>0</v>
      </c>
      <c r="B86" s="110">
        <v>0.94</v>
      </c>
      <c r="C86" s="321" t="str">
        <f>INDEX('Example Logframe'!B:B,90,1)</f>
        <v>0</v>
      </c>
      <c r="D86" t="str">
        <f t="shared" si="23"/>
        <v/>
      </c>
      <c r="E86" t="str">
        <f t="shared" si="24"/>
        <v/>
      </c>
      <c r="F86" t="str">
        <f t="shared" si="17"/>
        <v/>
      </c>
      <c r="G86" t="str">
        <f t="shared" si="25"/>
        <v/>
      </c>
      <c r="H86" t="str">
        <f t="shared" si="18"/>
        <v/>
      </c>
      <c r="I86" s="157" t="str">
        <f t="shared" si="19"/>
        <v/>
      </c>
      <c r="J86" s="157"/>
      <c r="K86" s="157" t="str">
        <f t="shared" si="20"/>
        <v/>
      </c>
      <c r="L86" s="157" t="str">
        <f t="shared" si="21"/>
        <v/>
      </c>
      <c r="M86" s="157"/>
      <c r="N86" s="157" t="str">
        <f t="shared" si="22"/>
        <v/>
      </c>
      <c r="O86" s="174" t="str">
        <f>Table132[[#This Row],[Combined List]]</f>
        <v/>
      </c>
      <c r="P86" s="157">
        <v>82</v>
      </c>
      <c r="Q86" s="174" t="str">
        <f t="shared" si="27"/>
        <v/>
      </c>
      <c r="R86" s="174" t="str">
        <f t="shared" si="28"/>
        <v/>
      </c>
      <c r="S86" s="174" t="str">
        <f t="shared" si="29"/>
        <v/>
      </c>
      <c r="T86" s="174" t="str">
        <f t="shared" si="30"/>
        <v/>
      </c>
      <c r="U86" s="174" t="str">
        <f t="shared" si="30"/>
        <v/>
      </c>
      <c r="V86" s="174" t="str">
        <f t="shared" si="26"/>
        <v/>
      </c>
      <c r="W86" s="174" t="str">
        <f>_xlfn.IFNA(VLOOKUP(T:T,'Example Logframe'!$B:$G,6,FALSE),"")</f>
        <v/>
      </c>
      <c r="X86" s="174" t="str">
        <f>_xlfn.IFNA(VLOOKUP(U:U,'Example Logframe'!$B:$G,6,FALSE),"")</f>
        <v/>
      </c>
      <c r="Y86" s="174" t="str">
        <f>_xlfn.IFNA(VLOOKUP(V:V,'Example Logframe'!$B:$G,6,FALSE),"")</f>
        <v/>
      </c>
      <c r="Z86">
        <v>82</v>
      </c>
      <c r="AD86" t="str">
        <f t="shared" ref="AD86:AE149" si="32">RIGHT(AA:AA,7)</f>
        <v/>
      </c>
      <c r="AE86" t="str">
        <f t="shared" si="32"/>
        <v/>
      </c>
      <c r="AF86" t="str">
        <f t="shared" si="31"/>
        <v/>
      </c>
    </row>
    <row r="87" spans="1:32" x14ac:dyDescent="0.35">
      <c r="A87">
        <f>INDEX('Example Logframe'!F:F,91,1)</f>
        <v>0</v>
      </c>
      <c r="B87" s="110">
        <v>0.95</v>
      </c>
      <c r="C87" s="321" t="str">
        <f>INDEX('Example Logframe'!B:B,91,1)</f>
        <v>0</v>
      </c>
      <c r="D87" t="str">
        <f t="shared" si="23"/>
        <v/>
      </c>
      <c r="E87" t="str">
        <f t="shared" si="24"/>
        <v/>
      </c>
      <c r="F87" t="str">
        <f t="shared" si="17"/>
        <v/>
      </c>
      <c r="G87" t="str">
        <f t="shared" si="25"/>
        <v/>
      </c>
      <c r="H87" t="str">
        <f t="shared" si="18"/>
        <v/>
      </c>
      <c r="I87" s="157" t="str">
        <f t="shared" si="19"/>
        <v/>
      </c>
      <c r="J87" s="157"/>
      <c r="K87" s="157" t="str">
        <f t="shared" si="20"/>
        <v/>
      </c>
      <c r="L87" s="157" t="str">
        <f t="shared" si="21"/>
        <v/>
      </c>
      <c r="M87" s="157"/>
      <c r="N87" s="157" t="str">
        <f t="shared" si="22"/>
        <v/>
      </c>
      <c r="O87" s="174" t="str">
        <f>Table132[[#This Row],[Combined List]]</f>
        <v/>
      </c>
      <c r="P87" s="157">
        <v>83</v>
      </c>
      <c r="Q87" s="174" t="str">
        <f t="shared" si="27"/>
        <v/>
      </c>
      <c r="R87" s="174" t="str">
        <f t="shared" si="28"/>
        <v/>
      </c>
      <c r="S87" s="174" t="str">
        <f t="shared" si="29"/>
        <v/>
      </c>
      <c r="T87" s="174" t="str">
        <f t="shared" si="30"/>
        <v/>
      </c>
      <c r="U87" s="174" t="str">
        <f t="shared" si="30"/>
        <v/>
      </c>
      <c r="V87" s="174" t="str">
        <f t="shared" si="26"/>
        <v/>
      </c>
      <c r="W87" s="174" t="str">
        <f>_xlfn.IFNA(VLOOKUP(T:T,'Example Logframe'!$B:$G,6,FALSE),"")</f>
        <v/>
      </c>
      <c r="X87" s="174" t="str">
        <f>_xlfn.IFNA(VLOOKUP(U:U,'Example Logframe'!$B:$G,6,FALSE),"")</f>
        <v/>
      </c>
      <c r="Y87" s="174" t="str">
        <f>_xlfn.IFNA(VLOOKUP(V:V,'Example Logframe'!$B:$G,6,FALSE),"")</f>
        <v/>
      </c>
      <c r="Z87">
        <v>83</v>
      </c>
      <c r="AD87" t="str">
        <f t="shared" si="32"/>
        <v/>
      </c>
      <c r="AE87" t="str">
        <f t="shared" si="32"/>
        <v/>
      </c>
      <c r="AF87" t="str">
        <f t="shared" si="31"/>
        <v/>
      </c>
    </row>
    <row r="88" spans="1:32" x14ac:dyDescent="0.35">
      <c r="A88">
        <f>INDEX('Example Logframe'!F:F,92,1)</f>
        <v>0</v>
      </c>
      <c r="B88" s="110">
        <v>0.96</v>
      </c>
      <c r="C88" s="321" t="str">
        <f>INDEX('Example Logframe'!B:B,92,1)</f>
        <v>0</v>
      </c>
      <c r="D88" t="str">
        <f t="shared" si="23"/>
        <v/>
      </c>
      <c r="E88" t="str">
        <f t="shared" si="24"/>
        <v/>
      </c>
      <c r="F88" t="str">
        <f t="shared" si="17"/>
        <v/>
      </c>
      <c r="G88" t="str">
        <f t="shared" si="25"/>
        <v/>
      </c>
      <c r="H88" t="str">
        <f t="shared" si="18"/>
        <v/>
      </c>
      <c r="I88" s="157" t="str">
        <f t="shared" si="19"/>
        <v/>
      </c>
      <c r="J88" s="157"/>
      <c r="K88" s="157" t="str">
        <f t="shared" si="20"/>
        <v/>
      </c>
      <c r="L88" s="157" t="str">
        <f t="shared" si="21"/>
        <v/>
      </c>
      <c r="M88" s="157"/>
      <c r="N88" s="157" t="str">
        <f t="shared" si="22"/>
        <v/>
      </c>
      <c r="O88" s="174" t="str">
        <f>Table132[[#This Row],[Combined List]]</f>
        <v/>
      </c>
      <c r="P88" s="157">
        <v>84</v>
      </c>
      <c r="Q88" s="174" t="str">
        <f t="shared" si="27"/>
        <v/>
      </c>
      <c r="R88" s="174" t="str">
        <f t="shared" si="28"/>
        <v/>
      </c>
      <c r="S88" s="174" t="str">
        <f t="shared" si="29"/>
        <v/>
      </c>
      <c r="T88" s="174" t="str">
        <f t="shared" si="30"/>
        <v/>
      </c>
      <c r="U88" s="174" t="str">
        <f t="shared" si="30"/>
        <v/>
      </c>
      <c r="V88" s="174" t="str">
        <f t="shared" si="26"/>
        <v/>
      </c>
      <c r="W88" s="174" t="str">
        <f>_xlfn.IFNA(VLOOKUP(T:T,'Example Logframe'!$B:$G,6,FALSE),"")</f>
        <v/>
      </c>
      <c r="X88" s="174" t="str">
        <f>_xlfn.IFNA(VLOOKUP(U:U,'Example Logframe'!$B:$G,6,FALSE),"")</f>
        <v/>
      </c>
      <c r="Y88" s="174" t="str">
        <f>_xlfn.IFNA(VLOOKUP(V:V,'Example Logframe'!$B:$G,6,FALSE),"")</f>
        <v/>
      </c>
      <c r="Z88">
        <v>84</v>
      </c>
      <c r="AD88" t="str">
        <f t="shared" si="32"/>
        <v/>
      </c>
      <c r="AE88" t="str">
        <f t="shared" si="32"/>
        <v/>
      </c>
      <c r="AF88" t="str">
        <f t="shared" si="31"/>
        <v/>
      </c>
    </row>
    <row r="89" spans="1:32" x14ac:dyDescent="0.35">
      <c r="A89">
        <f>INDEX('Example Logframe'!F:F,93,1)</f>
        <v>0</v>
      </c>
      <c r="B89" s="110">
        <v>0.97</v>
      </c>
      <c r="C89" s="321" t="str">
        <f>INDEX('Example Logframe'!B:B,93,1)</f>
        <v>0</v>
      </c>
      <c r="D89" t="str">
        <f t="shared" si="23"/>
        <v/>
      </c>
      <c r="E89" t="str">
        <f t="shared" si="24"/>
        <v/>
      </c>
      <c r="F89" t="str">
        <f t="shared" si="17"/>
        <v/>
      </c>
      <c r="G89" t="str">
        <f t="shared" si="25"/>
        <v/>
      </c>
      <c r="H89" t="str">
        <f t="shared" si="18"/>
        <v/>
      </c>
      <c r="I89" s="157" t="str">
        <f t="shared" si="19"/>
        <v/>
      </c>
      <c r="J89" s="157"/>
      <c r="K89" s="157" t="str">
        <f t="shared" si="20"/>
        <v/>
      </c>
      <c r="L89" s="157" t="str">
        <f t="shared" si="21"/>
        <v/>
      </c>
      <c r="M89" s="157"/>
      <c r="N89" s="157" t="str">
        <f t="shared" si="22"/>
        <v/>
      </c>
      <c r="O89" s="174" t="str">
        <f>Table132[[#This Row],[Combined List]]</f>
        <v/>
      </c>
      <c r="P89" s="157">
        <v>85</v>
      </c>
      <c r="Q89" s="174" t="str">
        <f t="shared" si="27"/>
        <v/>
      </c>
      <c r="R89" s="174" t="str">
        <f t="shared" si="28"/>
        <v/>
      </c>
      <c r="S89" s="174" t="str">
        <f t="shared" si="29"/>
        <v/>
      </c>
      <c r="T89" s="174" t="str">
        <f t="shared" si="30"/>
        <v/>
      </c>
      <c r="U89" s="174" t="str">
        <f t="shared" si="30"/>
        <v/>
      </c>
      <c r="V89" s="174" t="str">
        <f t="shared" si="26"/>
        <v/>
      </c>
      <c r="W89" s="174" t="str">
        <f>_xlfn.IFNA(VLOOKUP(T:T,'Example Logframe'!$B:$G,6,FALSE),"")</f>
        <v/>
      </c>
      <c r="X89" s="174" t="str">
        <f>_xlfn.IFNA(VLOOKUP(U:U,'Example Logframe'!$B:$G,6,FALSE),"")</f>
        <v/>
      </c>
      <c r="Y89" s="174" t="str">
        <f>_xlfn.IFNA(VLOOKUP(V:V,'Example Logframe'!$B:$G,6,FALSE),"")</f>
        <v/>
      </c>
      <c r="Z89">
        <v>85</v>
      </c>
      <c r="AD89" t="str">
        <f t="shared" si="32"/>
        <v/>
      </c>
      <c r="AE89" t="str">
        <f t="shared" si="32"/>
        <v/>
      </c>
      <c r="AF89" t="str">
        <f t="shared" si="31"/>
        <v/>
      </c>
    </row>
    <row r="90" spans="1:32" x14ac:dyDescent="0.35">
      <c r="A90">
        <f>INDEX('Example Logframe'!F:F,94,1)</f>
        <v>0</v>
      </c>
      <c r="B90" s="110">
        <v>0.98</v>
      </c>
      <c r="C90" s="321" t="str">
        <f>INDEX('Example Logframe'!B:B,94,1)</f>
        <v>0</v>
      </c>
      <c r="D90" t="str">
        <f t="shared" si="23"/>
        <v/>
      </c>
      <c r="E90" t="str">
        <f t="shared" si="24"/>
        <v/>
      </c>
      <c r="F90" t="str">
        <f t="shared" si="17"/>
        <v/>
      </c>
      <c r="G90" t="str">
        <f t="shared" si="25"/>
        <v/>
      </c>
      <c r="H90" t="str">
        <f t="shared" si="18"/>
        <v/>
      </c>
      <c r="I90" s="157" t="str">
        <f t="shared" si="19"/>
        <v/>
      </c>
      <c r="J90" s="157"/>
      <c r="K90" s="157" t="str">
        <f t="shared" si="20"/>
        <v/>
      </c>
      <c r="L90" s="157" t="str">
        <f t="shared" si="21"/>
        <v/>
      </c>
      <c r="M90" s="157"/>
      <c r="N90" s="157" t="str">
        <f t="shared" si="22"/>
        <v/>
      </c>
      <c r="O90" s="174" t="str">
        <f>Table132[[#This Row],[Combined List]]</f>
        <v/>
      </c>
      <c r="P90" s="157">
        <v>86</v>
      </c>
      <c r="Q90" s="174" t="str">
        <f t="shared" si="27"/>
        <v/>
      </c>
      <c r="R90" s="174" t="str">
        <f t="shared" si="28"/>
        <v/>
      </c>
      <c r="S90" s="174" t="str">
        <f t="shared" si="29"/>
        <v/>
      </c>
      <c r="T90" s="174" t="str">
        <f t="shared" si="30"/>
        <v/>
      </c>
      <c r="U90" s="174" t="str">
        <f t="shared" si="30"/>
        <v/>
      </c>
      <c r="V90" s="174" t="str">
        <f t="shared" si="26"/>
        <v/>
      </c>
      <c r="W90" s="174" t="str">
        <f>_xlfn.IFNA(VLOOKUP(T:T,'Example Logframe'!$B:$G,6,FALSE),"")</f>
        <v/>
      </c>
      <c r="X90" s="174" t="str">
        <f>_xlfn.IFNA(VLOOKUP(U:U,'Example Logframe'!$B:$G,6,FALSE),"")</f>
        <v/>
      </c>
      <c r="Y90" s="174" t="str">
        <f>_xlfn.IFNA(VLOOKUP(V:V,'Example Logframe'!$B:$G,6,FALSE),"")</f>
        <v/>
      </c>
      <c r="Z90">
        <v>86</v>
      </c>
      <c r="AD90" t="str">
        <f t="shared" si="32"/>
        <v/>
      </c>
      <c r="AE90" t="str">
        <f t="shared" si="32"/>
        <v/>
      </c>
      <c r="AF90" t="str">
        <f t="shared" si="31"/>
        <v/>
      </c>
    </row>
    <row r="91" spans="1:32" x14ac:dyDescent="0.35">
      <c r="A91">
        <f>INDEX('Example Logframe'!F:F,95,1)</f>
        <v>0</v>
      </c>
      <c r="B91" s="110">
        <v>0.99</v>
      </c>
      <c r="C91" s="321" t="str">
        <f>INDEX('Example Logframe'!B:B,95,1)</f>
        <v>0</v>
      </c>
      <c r="D91" t="str">
        <f t="shared" si="23"/>
        <v/>
      </c>
      <c r="E91" t="str">
        <f t="shared" si="24"/>
        <v/>
      </c>
      <c r="F91" t="str">
        <f t="shared" si="17"/>
        <v/>
      </c>
      <c r="G91" t="str">
        <f t="shared" si="25"/>
        <v/>
      </c>
      <c r="H91" t="str">
        <f t="shared" si="18"/>
        <v/>
      </c>
      <c r="I91" s="157" t="str">
        <f t="shared" si="19"/>
        <v/>
      </c>
      <c r="J91" s="157"/>
      <c r="K91" s="157" t="str">
        <f t="shared" si="20"/>
        <v/>
      </c>
      <c r="L91" s="157" t="str">
        <f t="shared" si="21"/>
        <v/>
      </c>
      <c r="M91" s="157"/>
      <c r="N91" s="157" t="str">
        <f t="shared" si="22"/>
        <v/>
      </c>
      <c r="O91" s="174" t="str">
        <f>Table132[[#This Row],[Combined List]]</f>
        <v/>
      </c>
      <c r="P91" s="157">
        <v>87</v>
      </c>
      <c r="Q91" s="174" t="str">
        <f t="shared" si="27"/>
        <v/>
      </c>
      <c r="R91" s="174" t="str">
        <f t="shared" si="28"/>
        <v/>
      </c>
      <c r="S91" s="174" t="str">
        <f t="shared" si="29"/>
        <v/>
      </c>
      <c r="T91" s="174" t="str">
        <f t="shared" si="30"/>
        <v/>
      </c>
      <c r="U91" s="174" t="str">
        <f t="shared" si="30"/>
        <v/>
      </c>
      <c r="V91" s="174" t="str">
        <f t="shared" si="26"/>
        <v/>
      </c>
      <c r="W91" s="174" t="str">
        <f>_xlfn.IFNA(VLOOKUP(T:T,'Example Logframe'!$B:$G,6,FALSE),"")</f>
        <v/>
      </c>
      <c r="X91" s="174" t="str">
        <f>_xlfn.IFNA(VLOOKUP(U:U,'Example Logframe'!$B:$G,6,FALSE),"")</f>
        <v/>
      </c>
      <c r="Y91" s="174" t="str">
        <f>_xlfn.IFNA(VLOOKUP(V:V,'Example Logframe'!$B:$G,6,FALSE),"")</f>
        <v/>
      </c>
      <c r="Z91">
        <v>87</v>
      </c>
      <c r="AD91" t="str">
        <f t="shared" si="32"/>
        <v/>
      </c>
      <c r="AE91" t="str">
        <f t="shared" si="32"/>
        <v/>
      </c>
      <c r="AF91" t="str">
        <f t="shared" si="31"/>
        <v/>
      </c>
    </row>
    <row r="92" spans="1:32" x14ac:dyDescent="0.35">
      <c r="A92">
        <f>INDEX('Example Logframe'!F:F,96,1)</f>
        <v>0</v>
      </c>
      <c r="B92" s="110">
        <v>1.01</v>
      </c>
      <c r="C92" s="321" t="str">
        <f>INDEX('Example Logframe'!B:B,96,1)</f>
        <v>0</v>
      </c>
      <c r="D92" t="str">
        <f t="shared" si="23"/>
        <v/>
      </c>
      <c r="E92" t="str">
        <f t="shared" si="24"/>
        <v/>
      </c>
      <c r="F92" t="str">
        <f t="shared" si="17"/>
        <v/>
      </c>
      <c r="G92" t="str">
        <f t="shared" si="25"/>
        <v/>
      </c>
      <c r="H92" t="str">
        <f t="shared" si="18"/>
        <v/>
      </c>
      <c r="I92" s="157" t="str">
        <f t="shared" si="19"/>
        <v/>
      </c>
      <c r="J92" s="157"/>
      <c r="K92" s="157" t="str">
        <f t="shared" si="20"/>
        <v/>
      </c>
      <c r="L92" s="157" t="str">
        <f t="shared" si="21"/>
        <v/>
      </c>
      <c r="M92" s="157"/>
      <c r="N92" s="157" t="str">
        <f t="shared" si="22"/>
        <v/>
      </c>
      <c r="O92" s="174" t="str">
        <f>Table132[[#This Row],[Combined List]]</f>
        <v/>
      </c>
      <c r="P92" s="157">
        <v>88</v>
      </c>
      <c r="Q92" s="174" t="str">
        <f t="shared" si="27"/>
        <v/>
      </c>
      <c r="R92" s="174" t="str">
        <f t="shared" si="28"/>
        <v/>
      </c>
      <c r="S92" s="174" t="str">
        <f t="shared" si="29"/>
        <v/>
      </c>
      <c r="T92" s="174" t="str">
        <f t="shared" si="30"/>
        <v/>
      </c>
      <c r="U92" s="174" t="str">
        <f t="shared" si="30"/>
        <v/>
      </c>
      <c r="V92" s="174" t="str">
        <f t="shared" si="26"/>
        <v/>
      </c>
      <c r="W92" s="174" t="str">
        <f>_xlfn.IFNA(VLOOKUP(T:T,'Example Logframe'!$B:$G,6,FALSE),"")</f>
        <v/>
      </c>
      <c r="X92" s="174" t="str">
        <f>_xlfn.IFNA(VLOOKUP(U:U,'Example Logframe'!$B:$G,6,FALSE),"")</f>
        <v/>
      </c>
      <c r="Y92" s="174" t="str">
        <f>_xlfn.IFNA(VLOOKUP(V:V,'Example Logframe'!$B:$G,6,FALSE),"")</f>
        <v/>
      </c>
      <c r="Z92">
        <v>88</v>
      </c>
      <c r="AD92" t="str">
        <f t="shared" si="32"/>
        <v/>
      </c>
      <c r="AE92" t="str">
        <f t="shared" si="32"/>
        <v/>
      </c>
      <c r="AF92" t="str">
        <f t="shared" si="31"/>
        <v/>
      </c>
    </row>
    <row r="93" spans="1:32" x14ac:dyDescent="0.35">
      <c r="A93">
        <f>INDEX('Example Logframe'!F:F,97,1)</f>
        <v>0</v>
      </c>
      <c r="B93" s="110">
        <v>1.02</v>
      </c>
      <c r="C93" s="321" t="str">
        <f>INDEX('Example Logframe'!B:B,97,1)</f>
        <v>0</v>
      </c>
      <c r="D93" t="str">
        <f t="shared" si="23"/>
        <v/>
      </c>
      <c r="E93" t="str">
        <f t="shared" si="24"/>
        <v/>
      </c>
      <c r="F93" t="str">
        <f t="shared" si="17"/>
        <v/>
      </c>
      <c r="G93" t="str">
        <f t="shared" si="25"/>
        <v/>
      </c>
      <c r="H93" t="str">
        <f t="shared" si="18"/>
        <v/>
      </c>
      <c r="I93" s="157" t="str">
        <f t="shared" si="19"/>
        <v/>
      </c>
      <c r="J93" s="157"/>
      <c r="K93" s="157" t="str">
        <f t="shared" si="20"/>
        <v/>
      </c>
      <c r="L93" s="157" t="str">
        <f t="shared" si="21"/>
        <v/>
      </c>
      <c r="M93" s="157"/>
      <c r="N93" s="157" t="str">
        <f t="shared" si="22"/>
        <v/>
      </c>
      <c r="O93" s="174" t="str">
        <f>Table132[[#This Row],[Combined List]]</f>
        <v/>
      </c>
      <c r="P93" s="157">
        <v>89</v>
      </c>
      <c r="Q93" s="174" t="str">
        <f t="shared" si="27"/>
        <v/>
      </c>
      <c r="R93" s="174" t="str">
        <f t="shared" si="28"/>
        <v/>
      </c>
      <c r="S93" s="174" t="str">
        <f t="shared" si="29"/>
        <v/>
      </c>
      <c r="T93" s="174" t="str">
        <f t="shared" si="30"/>
        <v/>
      </c>
      <c r="U93" s="174" t="str">
        <f t="shared" si="30"/>
        <v/>
      </c>
      <c r="V93" s="174" t="str">
        <f t="shared" si="26"/>
        <v/>
      </c>
      <c r="W93" s="174" t="str">
        <f>_xlfn.IFNA(VLOOKUP(T:T,'Example Logframe'!$B:$G,6,FALSE),"")</f>
        <v/>
      </c>
      <c r="X93" s="174" t="str">
        <f>_xlfn.IFNA(VLOOKUP(U:U,'Example Logframe'!$B:$G,6,FALSE),"")</f>
        <v/>
      </c>
      <c r="Y93" s="174" t="str">
        <f>_xlfn.IFNA(VLOOKUP(V:V,'Example Logframe'!$B:$G,6,FALSE),"")</f>
        <v/>
      </c>
      <c r="Z93">
        <v>89</v>
      </c>
      <c r="AD93" t="str">
        <f t="shared" si="32"/>
        <v/>
      </c>
      <c r="AE93" t="str">
        <f t="shared" si="32"/>
        <v/>
      </c>
      <c r="AF93" t="str">
        <f t="shared" si="31"/>
        <v/>
      </c>
    </row>
    <row r="94" spans="1:32" x14ac:dyDescent="0.35">
      <c r="A94">
        <f>INDEX('Example Logframe'!F:F,98,1)</f>
        <v>0</v>
      </c>
      <c r="B94" s="110">
        <v>1.03</v>
      </c>
      <c r="C94" s="321" t="str">
        <f>INDEX('Example Logframe'!B:B,98,1)</f>
        <v>0</v>
      </c>
      <c r="D94" t="str">
        <f t="shared" si="23"/>
        <v/>
      </c>
      <c r="E94" t="str">
        <f t="shared" si="24"/>
        <v/>
      </c>
      <c r="F94" t="str">
        <f t="shared" si="17"/>
        <v/>
      </c>
      <c r="G94" t="str">
        <f t="shared" si="25"/>
        <v/>
      </c>
      <c r="H94" t="str">
        <f t="shared" si="18"/>
        <v/>
      </c>
      <c r="I94" s="157" t="str">
        <f t="shared" si="19"/>
        <v/>
      </c>
      <c r="J94" s="157"/>
      <c r="K94" s="157" t="str">
        <f t="shared" si="20"/>
        <v/>
      </c>
      <c r="L94" s="157" t="str">
        <f t="shared" si="21"/>
        <v/>
      </c>
      <c r="M94" s="157"/>
      <c r="N94" s="157" t="str">
        <f t="shared" si="22"/>
        <v/>
      </c>
      <c r="O94" s="174" t="str">
        <f>Table132[[#This Row],[Combined List]]</f>
        <v/>
      </c>
      <c r="P94" s="157">
        <v>90</v>
      </c>
      <c r="Q94" s="174" t="str">
        <f t="shared" si="27"/>
        <v/>
      </c>
      <c r="R94" s="174" t="str">
        <f t="shared" si="28"/>
        <v/>
      </c>
      <c r="S94" s="174" t="str">
        <f t="shared" si="29"/>
        <v/>
      </c>
      <c r="T94" s="174" t="str">
        <f t="shared" si="30"/>
        <v/>
      </c>
      <c r="U94" s="174" t="str">
        <f t="shared" si="30"/>
        <v/>
      </c>
      <c r="V94" s="174" t="str">
        <f t="shared" si="26"/>
        <v/>
      </c>
      <c r="W94" s="174" t="str">
        <f>_xlfn.IFNA(VLOOKUP(T:T,'Example Logframe'!$B:$G,6,FALSE),"")</f>
        <v/>
      </c>
      <c r="X94" s="174" t="str">
        <f>_xlfn.IFNA(VLOOKUP(U:U,'Example Logframe'!$B:$G,6,FALSE),"")</f>
        <v/>
      </c>
      <c r="Y94" s="174" t="str">
        <f>_xlfn.IFNA(VLOOKUP(V:V,'Example Logframe'!$B:$G,6,FALSE),"")</f>
        <v/>
      </c>
      <c r="Z94">
        <v>90</v>
      </c>
      <c r="AD94" t="str">
        <f t="shared" si="32"/>
        <v/>
      </c>
      <c r="AE94" t="str">
        <f t="shared" si="32"/>
        <v/>
      </c>
      <c r="AF94" t="str">
        <f t="shared" si="31"/>
        <v/>
      </c>
    </row>
    <row r="95" spans="1:32" x14ac:dyDescent="0.35">
      <c r="A95">
        <f>INDEX('Example Logframe'!F:F,99,1)</f>
        <v>0</v>
      </c>
      <c r="B95" s="110">
        <v>1.04</v>
      </c>
      <c r="C95" s="321" t="str">
        <f>INDEX('Example Logframe'!B:B,99,1)</f>
        <v>0</v>
      </c>
      <c r="D95" t="str">
        <f t="shared" si="23"/>
        <v/>
      </c>
      <c r="E95" t="str">
        <f t="shared" si="24"/>
        <v/>
      </c>
      <c r="F95" t="str">
        <f t="shared" si="17"/>
        <v/>
      </c>
      <c r="G95" t="str">
        <f t="shared" si="25"/>
        <v/>
      </c>
      <c r="H95" t="str">
        <f t="shared" si="18"/>
        <v/>
      </c>
      <c r="I95" s="157" t="str">
        <f t="shared" si="19"/>
        <v/>
      </c>
      <c r="J95" s="157"/>
      <c r="K95" s="157" t="str">
        <f t="shared" si="20"/>
        <v/>
      </c>
      <c r="L95" s="157" t="str">
        <f t="shared" si="21"/>
        <v/>
      </c>
      <c r="M95" s="157"/>
      <c r="N95" s="157" t="str">
        <f t="shared" si="22"/>
        <v/>
      </c>
      <c r="O95" s="174" t="str">
        <f>Table132[[#This Row],[Combined List]]</f>
        <v/>
      </c>
      <c r="P95" s="157">
        <v>91</v>
      </c>
      <c r="Q95" s="174" t="str">
        <f t="shared" si="27"/>
        <v/>
      </c>
      <c r="R95" s="174" t="str">
        <f t="shared" si="28"/>
        <v/>
      </c>
      <c r="S95" s="174" t="str">
        <f t="shared" si="29"/>
        <v/>
      </c>
      <c r="T95" s="174" t="str">
        <f t="shared" si="30"/>
        <v/>
      </c>
      <c r="U95" s="174" t="str">
        <f t="shared" si="30"/>
        <v/>
      </c>
      <c r="V95" s="174" t="str">
        <f t="shared" si="26"/>
        <v/>
      </c>
      <c r="W95" s="174" t="str">
        <f>_xlfn.IFNA(VLOOKUP(T:T,'Example Logframe'!$B:$G,6,FALSE),"")</f>
        <v/>
      </c>
      <c r="X95" s="174" t="str">
        <f>_xlfn.IFNA(VLOOKUP(U:U,'Example Logframe'!$B:$G,6,FALSE),"")</f>
        <v/>
      </c>
      <c r="Y95" s="174" t="str">
        <f>_xlfn.IFNA(VLOOKUP(V:V,'Example Logframe'!$B:$G,6,FALSE),"")</f>
        <v/>
      </c>
      <c r="Z95">
        <v>91</v>
      </c>
      <c r="AD95" t="str">
        <f t="shared" si="32"/>
        <v/>
      </c>
      <c r="AE95" t="str">
        <f t="shared" si="32"/>
        <v/>
      </c>
      <c r="AF95" t="str">
        <f t="shared" si="31"/>
        <v/>
      </c>
    </row>
    <row r="96" spans="1:32" x14ac:dyDescent="0.35">
      <c r="A96">
        <f>INDEX('Example Logframe'!F:F,100,1)</f>
        <v>0</v>
      </c>
      <c r="B96" s="110">
        <v>1.05</v>
      </c>
      <c r="C96" s="321" t="str">
        <f>INDEX('Example Logframe'!B:B,100,1)</f>
        <v>0</v>
      </c>
      <c r="D96" t="str">
        <f t="shared" si="23"/>
        <v/>
      </c>
      <c r="E96" t="str">
        <f t="shared" si="24"/>
        <v/>
      </c>
      <c r="F96" t="str">
        <f t="shared" si="17"/>
        <v/>
      </c>
      <c r="G96" t="str">
        <f t="shared" si="25"/>
        <v/>
      </c>
      <c r="H96" t="str">
        <f t="shared" si="18"/>
        <v/>
      </c>
      <c r="I96" s="157" t="str">
        <f t="shared" si="19"/>
        <v/>
      </c>
      <c r="J96" s="157"/>
      <c r="K96" s="157" t="str">
        <f t="shared" si="20"/>
        <v/>
      </c>
      <c r="L96" s="157" t="str">
        <f t="shared" si="21"/>
        <v/>
      </c>
      <c r="M96" s="157"/>
      <c r="N96" s="157" t="str">
        <f t="shared" si="22"/>
        <v/>
      </c>
      <c r="O96" s="174" t="str">
        <f>Table132[[#This Row],[Combined List]]</f>
        <v/>
      </c>
      <c r="P96" s="157">
        <v>92</v>
      </c>
      <c r="Q96" s="174" t="str">
        <f t="shared" si="27"/>
        <v/>
      </c>
      <c r="R96" s="174" t="str">
        <f t="shared" si="28"/>
        <v/>
      </c>
      <c r="S96" s="174" t="str">
        <f t="shared" si="29"/>
        <v/>
      </c>
      <c r="T96" s="174" t="str">
        <f t="shared" si="30"/>
        <v/>
      </c>
      <c r="U96" s="174" t="str">
        <f t="shared" si="30"/>
        <v/>
      </c>
      <c r="V96" s="174" t="str">
        <f t="shared" si="26"/>
        <v/>
      </c>
      <c r="W96" s="174" t="str">
        <f>_xlfn.IFNA(VLOOKUP(T:T,'Example Logframe'!$B:$G,6,FALSE),"")</f>
        <v/>
      </c>
      <c r="X96" s="174" t="str">
        <f>_xlfn.IFNA(VLOOKUP(U:U,'Example Logframe'!$B:$G,6,FALSE),"")</f>
        <v/>
      </c>
      <c r="Y96" s="174" t="str">
        <f>_xlfn.IFNA(VLOOKUP(V:V,'Example Logframe'!$B:$G,6,FALSE),"")</f>
        <v/>
      </c>
      <c r="Z96">
        <v>92</v>
      </c>
      <c r="AD96" t="str">
        <f t="shared" si="32"/>
        <v/>
      </c>
      <c r="AE96" t="str">
        <f t="shared" si="32"/>
        <v/>
      </c>
      <c r="AF96" t="str">
        <f t="shared" si="31"/>
        <v/>
      </c>
    </row>
    <row r="97" spans="1:32" x14ac:dyDescent="0.35">
      <c r="A97">
        <f>INDEX('Example Logframe'!F:F,101,1)</f>
        <v>0</v>
      </c>
      <c r="B97" s="110">
        <v>1.06</v>
      </c>
      <c r="C97" s="321" t="str">
        <f>INDEX('Example Logframe'!B:B,101,1)</f>
        <v>0</v>
      </c>
      <c r="D97" t="str">
        <f t="shared" si="23"/>
        <v/>
      </c>
      <c r="E97" t="str">
        <f t="shared" si="24"/>
        <v/>
      </c>
      <c r="F97" t="str">
        <f t="shared" si="17"/>
        <v/>
      </c>
      <c r="G97" t="str">
        <f t="shared" si="25"/>
        <v/>
      </c>
      <c r="H97" t="str">
        <f t="shared" si="18"/>
        <v/>
      </c>
      <c r="I97" s="157" t="str">
        <f t="shared" si="19"/>
        <v/>
      </c>
      <c r="J97" s="157"/>
      <c r="K97" s="157" t="str">
        <f t="shared" si="20"/>
        <v/>
      </c>
      <c r="L97" s="157" t="str">
        <f t="shared" si="21"/>
        <v/>
      </c>
      <c r="M97" s="157"/>
      <c r="N97" s="157" t="str">
        <f t="shared" si="22"/>
        <v/>
      </c>
      <c r="O97" s="174" t="str">
        <f>Table132[[#This Row],[Combined List]]</f>
        <v/>
      </c>
      <c r="P97" s="157">
        <v>93</v>
      </c>
      <c r="Q97" s="174" t="str">
        <f t="shared" si="27"/>
        <v/>
      </c>
      <c r="R97" s="174" t="str">
        <f t="shared" si="28"/>
        <v/>
      </c>
      <c r="S97" s="174" t="str">
        <f t="shared" si="29"/>
        <v/>
      </c>
      <c r="T97" s="174" t="str">
        <f t="shared" si="30"/>
        <v/>
      </c>
      <c r="U97" s="174" t="str">
        <f t="shared" si="30"/>
        <v/>
      </c>
      <c r="V97" s="174" t="str">
        <f t="shared" si="26"/>
        <v/>
      </c>
      <c r="W97" s="174" t="str">
        <f>_xlfn.IFNA(VLOOKUP(T:T,'Example Logframe'!$B:$G,6,FALSE),"")</f>
        <v/>
      </c>
      <c r="X97" s="174" t="str">
        <f>_xlfn.IFNA(VLOOKUP(U:U,'Example Logframe'!$B:$G,6,FALSE),"")</f>
        <v/>
      </c>
      <c r="Y97" s="174" t="str">
        <f>_xlfn.IFNA(VLOOKUP(V:V,'Example Logframe'!$B:$G,6,FALSE),"")</f>
        <v/>
      </c>
      <c r="Z97">
        <v>93</v>
      </c>
      <c r="AD97" t="str">
        <f t="shared" si="32"/>
        <v/>
      </c>
      <c r="AE97" t="str">
        <f t="shared" si="32"/>
        <v/>
      </c>
      <c r="AF97" t="str">
        <f t="shared" si="31"/>
        <v/>
      </c>
    </row>
    <row r="98" spans="1:32" x14ac:dyDescent="0.35">
      <c r="A98">
        <f>INDEX('Example Logframe'!F:F,102,1)</f>
        <v>0</v>
      </c>
      <c r="B98" s="110">
        <v>1.07</v>
      </c>
      <c r="C98" s="321" t="str">
        <f>INDEX('Example Logframe'!B:B,102,1)</f>
        <v>0</v>
      </c>
      <c r="D98" t="str">
        <f t="shared" si="23"/>
        <v/>
      </c>
      <c r="E98" t="str">
        <f t="shared" si="24"/>
        <v/>
      </c>
      <c r="F98" t="str">
        <f t="shared" si="17"/>
        <v/>
      </c>
      <c r="G98" t="str">
        <f t="shared" si="25"/>
        <v/>
      </c>
      <c r="H98" t="str">
        <f t="shared" si="18"/>
        <v/>
      </c>
      <c r="I98" s="157" t="str">
        <f t="shared" si="19"/>
        <v/>
      </c>
      <c r="J98" s="157"/>
      <c r="K98" s="157" t="str">
        <f t="shared" si="20"/>
        <v/>
      </c>
      <c r="L98" s="157" t="str">
        <f t="shared" si="21"/>
        <v/>
      </c>
      <c r="M98" s="157"/>
      <c r="N98" s="157" t="str">
        <f t="shared" si="22"/>
        <v/>
      </c>
      <c r="O98" s="174" t="str">
        <f>Table132[[#This Row],[Combined List]]</f>
        <v/>
      </c>
      <c r="P98" s="157">
        <v>94</v>
      </c>
      <c r="Q98" s="174" t="str">
        <f t="shared" si="27"/>
        <v/>
      </c>
      <c r="R98" s="174" t="str">
        <f t="shared" si="28"/>
        <v/>
      </c>
      <c r="S98" s="174" t="str">
        <f t="shared" si="29"/>
        <v/>
      </c>
      <c r="T98" s="174" t="str">
        <f t="shared" si="30"/>
        <v/>
      </c>
      <c r="U98" s="174" t="str">
        <f t="shared" si="30"/>
        <v/>
      </c>
      <c r="V98" s="174" t="str">
        <f t="shared" si="26"/>
        <v/>
      </c>
      <c r="W98" s="174" t="str">
        <f>_xlfn.IFNA(VLOOKUP(T:T,'Example Logframe'!$B:$G,6,FALSE),"")</f>
        <v/>
      </c>
      <c r="X98" s="174" t="str">
        <f>_xlfn.IFNA(VLOOKUP(U:U,'Example Logframe'!$B:$G,6,FALSE),"")</f>
        <v/>
      </c>
      <c r="Y98" s="174" t="str">
        <f>_xlfn.IFNA(VLOOKUP(V:V,'Example Logframe'!$B:$G,6,FALSE),"")</f>
        <v/>
      </c>
      <c r="Z98">
        <v>94</v>
      </c>
      <c r="AD98" t="str">
        <f t="shared" si="32"/>
        <v/>
      </c>
      <c r="AE98" t="str">
        <f t="shared" si="32"/>
        <v/>
      </c>
      <c r="AF98" t="str">
        <f t="shared" si="31"/>
        <v/>
      </c>
    </row>
    <row r="99" spans="1:32" x14ac:dyDescent="0.35">
      <c r="A99">
        <f>INDEX('Example Logframe'!F:F,103,1)</f>
        <v>0</v>
      </c>
      <c r="B99" s="110">
        <v>1.08</v>
      </c>
      <c r="C99" s="321" t="str">
        <f>INDEX('Example Logframe'!B:B,103,1)</f>
        <v>0</v>
      </c>
      <c r="D99" t="str">
        <f t="shared" si="23"/>
        <v/>
      </c>
      <c r="E99" t="str">
        <f t="shared" si="24"/>
        <v/>
      </c>
      <c r="F99" t="str">
        <f t="shared" si="17"/>
        <v/>
      </c>
      <c r="G99" t="str">
        <f t="shared" si="25"/>
        <v/>
      </c>
      <c r="H99" t="str">
        <f t="shared" si="18"/>
        <v/>
      </c>
      <c r="I99" s="157" t="str">
        <f t="shared" si="19"/>
        <v/>
      </c>
      <c r="J99" s="157"/>
      <c r="K99" s="157" t="str">
        <f t="shared" si="20"/>
        <v/>
      </c>
      <c r="L99" s="157" t="str">
        <f t="shared" si="21"/>
        <v/>
      </c>
      <c r="M99" s="157"/>
      <c r="N99" s="157" t="str">
        <f t="shared" si="22"/>
        <v/>
      </c>
      <c r="O99" s="174" t="str">
        <f>Table132[[#This Row],[Combined List]]</f>
        <v/>
      </c>
      <c r="P99" s="157">
        <v>95</v>
      </c>
      <c r="Q99" s="174" t="str">
        <f t="shared" si="27"/>
        <v/>
      </c>
      <c r="R99" s="174" t="str">
        <f t="shared" si="28"/>
        <v/>
      </c>
      <c r="S99" s="174" t="str">
        <f t="shared" si="29"/>
        <v/>
      </c>
      <c r="T99" s="174" t="str">
        <f t="shared" si="30"/>
        <v/>
      </c>
      <c r="U99" s="174" t="str">
        <f t="shared" si="30"/>
        <v/>
      </c>
      <c r="V99" s="174" t="str">
        <f t="shared" si="26"/>
        <v/>
      </c>
      <c r="W99" s="174" t="str">
        <f>_xlfn.IFNA(VLOOKUP(T:T,'Example Logframe'!$B:$G,6,FALSE),"")</f>
        <v/>
      </c>
      <c r="X99" s="174" t="str">
        <f>_xlfn.IFNA(VLOOKUP(U:U,'Example Logframe'!$B:$G,6,FALSE),"")</f>
        <v/>
      </c>
      <c r="Y99" s="174" t="str">
        <f>_xlfn.IFNA(VLOOKUP(V:V,'Example Logframe'!$B:$G,6,FALSE),"")</f>
        <v/>
      </c>
      <c r="Z99">
        <v>95</v>
      </c>
      <c r="AD99" t="str">
        <f t="shared" si="32"/>
        <v/>
      </c>
      <c r="AE99" t="str">
        <f t="shared" si="32"/>
        <v/>
      </c>
      <c r="AF99" t="str">
        <f t="shared" si="31"/>
        <v/>
      </c>
    </row>
    <row r="100" spans="1:32" x14ac:dyDescent="0.35">
      <c r="A100">
        <f>INDEX('Example Logframe'!F:F,104,1)</f>
        <v>0</v>
      </c>
      <c r="B100" s="110">
        <v>1.0900000000000001</v>
      </c>
      <c r="C100" s="321" t="str">
        <f>INDEX('Example Logframe'!B:B,104,1)</f>
        <v>0</v>
      </c>
      <c r="D100" t="str">
        <f t="shared" si="23"/>
        <v/>
      </c>
      <c r="E100" t="str">
        <f t="shared" si="24"/>
        <v/>
      </c>
      <c r="F100" t="str">
        <f t="shared" si="17"/>
        <v/>
      </c>
      <c r="G100" t="str">
        <f t="shared" si="25"/>
        <v/>
      </c>
      <c r="H100" t="str">
        <f t="shared" si="18"/>
        <v/>
      </c>
      <c r="I100" s="157" t="str">
        <f t="shared" si="19"/>
        <v/>
      </c>
      <c r="J100" s="157"/>
      <c r="K100" s="157" t="str">
        <f t="shared" si="20"/>
        <v/>
      </c>
      <c r="L100" s="157" t="str">
        <f t="shared" si="21"/>
        <v/>
      </c>
      <c r="M100" s="157"/>
      <c r="N100" s="157" t="str">
        <f t="shared" si="22"/>
        <v/>
      </c>
      <c r="O100" s="174" t="str">
        <f>Table132[[#This Row],[Combined List]]</f>
        <v/>
      </c>
      <c r="P100" s="157">
        <v>96</v>
      </c>
      <c r="Q100" s="174" t="str">
        <f t="shared" si="27"/>
        <v/>
      </c>
      <c r="R100" s="174" t="str">
        <f t="shared" si="28"/>
        <v/>
      </c>
      <c r="S100" s="174" t="str">
        <f t="shared" si="29"/>
        <v/>
      </c>
      <c r="T100" s="174" t="str">
        <f t="shared" si="30"/>
        <v/>
      </c>
      <c r="U100" s="174" t="str">
        <f t="shared" si="30"/>
        <v/>
      </c>
      <c r="V100" s="174" t="str">
        <f t="shared" si="26"/>
        <v/>
      </c>
      <c r="W100" s="174" t="str">
        <f>_xlfn.IFNA(VLOOKUP(T:T,'Example Logframe'!$B:$G,6,FALSE),"")</f>
        <v/>
      </c>
      <c r="X100" s="174" t="str">
        <f>_xlfn.IFNA(VLOOKUP(U:U,'Example Logframe'!$B:$G,6,FALSE),"")</f>
        <v/>
      </c>
      <c r="Y100" s="174" t="str">
        <f>_xlfn.IFNA(VLOOKUP(V:V,'Example Logframe'!$B:$G,6,FALSE),"")</f>
        <v/>
      </c>
      <c r="Z100">
        <v>96</v>
      </c>
      <c r="AD100" t="str">
        <f t="shared" si="32"/>
        <v/>
      </c>
      <c r="AE100" t="str">
        <f t="shared" si="32"/>
        <v/>
      </c>
      <c r="AF100" t="str">
        <f t="shared" si="31"/>
        <v/>
      </c>
    </row>
    <row r="101" spans="1:32" x14ac:dyDescent="0.35">
      <c r="A101">
        <f>INDEX('Example Logframe'!F:F,105,1)</f>
        <v>0</v>
      </c>
      <c r="B101" s="110">
        <v>1.1100000000000001</v>
      </c>
      <c r="C101" s="321" t="str">
        <f>INDEX('Example Logframe'!B:B,105,1)</f>
        <v>0</v>
      </c>
      <c r="D101" t="str">
        <f t="shared" si="23"/>
        <v/>
      </c>
      <c r="E101" t="str">
        <f t="shared" si="24"/>
        <v/>
      </c>
      <c r="F101" t="str">
        <f t="shared" si="17"/>
        <v/>
      </c>
      <c r="G101" t="str">
        <f t="shared" si="25"/>
        <v/>
      </c>
      <c r="H101" t="str">
        <f t="shared" si="18"/>
        <v/>
      </c>
      <c r="I101" s="157" t="str">
        <f t="shared" si="19"/>
        <v/>
      </c>
      <c r="J101" s="157"/>
      <c r="K101" s="157" t="str">
        <f t="shared" si="20"/>
        <v/>
      </c>
      <c r="L101" s="157" t="str">
        <f t="shared" si="21"/>
        <v/>
      </c>
      <c r="M101" s="157"/>
      <c r="N101" s="157" t="str">
        <f t="shared" si="22"/>
        <v/>
      </c>
      <c r="O101" s="174" t="str">
        <f>Table132[[#This Row],[Combined List]]</f>
        <v/>
      </c>
      <c r="P101" s="157">
        <v>97</v>
      </c>
      <c r="Q101" s="174" t="str">
        <f t="shared" si="27"/>
        <v/>
      </c>
      <c r="R101" s="174" t="str">
        <f t="shared" si="28"/>
        <v/>
      </c>
      <c r="S101" s="174" t="str">
        <f t="shared" si="29"/>
        <v/>
      </c>
      <c r="T101" s="174" t="str">
        <f t="shared" si="30"/>
        <v/>
      </c>
      <c r="U101" s="174" t="str">
        <f t="shared" si="30"/>
        <v/>
      </c>
      <c r="V101" s="174" t="str">
        <f t="shared" si="26"/>
        <v/>
      </c>
      <c r="W101" s="174" t="str">
        <f>_xlfn.IFNA(VLOOKUP(T:T,'Example Logframe'!$B:$G,6,FALSE),"")</f>
        <v/>
      </c>
      <c r="X101" s="174" t="str">
        <f>_xlfn.IFNA(VLOOKUP(U:U,'Example Logframe'!$B:$G,6,FALSE),"")</f>
        <v/>
      </c>
      <c r="Y101" s="174" t="str">
        <f>_xlfn.IFNA(VLOOKUP(V:V,'Example Logframe'!$B:$G,6,FALSE),"")</f>
        <v/>
      </c>
      <c r="Z101">
        <v>97</v>
      </c>
      <c r="AD101" t="str">
        <f t="shared" si="32"/>
        <v/>
      </c>
      <c r="AE101" t="str">
        <f t="shared" si="32"/>
        <v/>
      </c>
      <c r="AF101" t="str">
        <f t="shared" si="31"/>
        <v/>
      </c>
    </row>
    <row r="102" spans="1:32" x14ac:dyDescent="0.35">
      <c r="A102">
        <f>INDEX('Example Logframe'!F:F,106,1)</f>
        <v>0</v>
      </c>
      <c r="B102" s="110">
        <v>1.1200000000000001</v>
      </c>
      <c r="C102" s="321" t="str">
        <f>INDEX('Example Logframe'!B:B,106,1)</f>
        <v>0</v>
      </c>
      <c r="D102" t="str">
        <f t="shared" si="23"/>
        <v/>
      </c>
      <c r="E102" t="str">
        <f t="shared" si="24"/>
        <v/>
      </c>
      <c r="F102" t="str">
        <f t="shared" si="17"/>
        <v/>
      </c>
      <c r="G102" t="str">
        <f t="shared" si="25"/>
        <v/>
      </c>
      <c r="H102" t="str">
        <f t="shared" si="18"/>
        <v/>
      </c>
      <c r="I102" s="157" t="str">
        <f t="shared" si="19"/>
        <v/>
      </c>
      <c r="J102" s="157"/>
      <c r="K102" s="157" t="str">
        <f t="shared" si="20"/>
        <v/>
      </c>
      <c r="L102" s="157" t="str">
        <f t="shared" si="21"/>
        <v/>
      </c>
      <c r="M102" s="157"/>
      <c r="N102" s="157" t="str">
        <f t="shared" si="22"/>
        <v/>
      </c>
      <c r="O102" s="174" t="str">
        <f>Table132[[#This Row],[Combined List]]</f>
        <v/>
      </c>
      <c r="P102" s="157">
        <v>98</v>
      </c>
      <c r="Q102" s="174" t="str">
        <f t="shared" si="27"/>
        <v/>
      </c>
      <c r="R102" s="174" t="str">
        <f t="shared" si="28"/>
        <v/>
      </c>
      <c r="S102" s="174" t="str">
        <f t="shared" si="29"/>
        <v/>
      </c>
      <c r="T102" s="174" t="str">
        <f t="shared" si="30"/>
        <v/>
      </c>
      <c r="U102" s="174" t="str">
        <f t="shared" si="30"/>
        <v/>
      </c>
      <c r="V102" s="174" t="str">
        <f t="shared" si="26"/>
        <v/>
      </c>
      <c r="W102" s="174" t="str">
        <f>_xlfn.IFNA(VLOOKUP(T:T,'Example Logframe'!$B:$G,6,FALSE),"")</f>
        <v/>
      </c>
      <c r="X102" s="174" t="str">
        <f>_xlfn.IFNA(VLOOKUP(U:U,'Example Logframe'!$B:$G,6,FALSE),"")</f>
        <v/>
      </c>
      <c r="Y102" s="174" t="str">
        <f>_xlfn.IFNA(VLOOKUP(V:V,'Example Logframe'!$B:$G,6,FALSE),"")</f>
        <v/>
      </c>
      <c r="Z102">
        <v>98</v>
      </c>
      <c r="AD102" t="str">
        <f t="shared" si="32"/>
        <v/>
      </c>
      <c r="AE102" t="str">
        <f t="shared" si="32"/>
        <v/>
      </c>
      <c r="AF102" t="str">
        <f t="shared" si="31"/>
        <v/>
      </c>
    </row>
    <row r="103" spans="1:32" x14ac:dyDescent="0.35">
      <c r="A103">
        <f>INDEX('Example Logframe'!F:F,107,1)</f>
        <v>0</v>
      </c>
      <c r="B103" s="110">
        <v>1.1299999999999999</v>
      </c>
      <c r="C103" s="321" t="str">
        <f>INDEX('Example Logframe'!B:B,107,1)</f>
        <v>0</v>
      </c>
      <c r="D103" t="str">
        <f t="shared" si="23"/>
        <v/>
      </c>
      <c r="E103" t="str">
        <f t="shared" si="24"/>
        <v/>
      </c>
      <c r="F103" t="str">
        <f t="shared" si="17"/>
        <v/>
      </c>
      <c r="G103" t="str">
        <f t="shared" si="25"/>
        <v/>
      </c>
      <c r="H103" t="str">
        <f t="shared" si="18"/>
        <v/>
      </c>
      <c r="I103" s="157" t="str">
        <f t="shared" si="19"/>
        <v/>
      </c>
      <c r="J103" s="157"/>
      <c r="K103" s="157" t="str">
        <f t="shared" si="20"/>
        <v/>
      </c>
      <c r="L103" s="157" t="str">
        <f t="shared" si="21"/>
        <v/>
      </c>
      <c r="M103" s="157"/>
      <c r="N103" s="157" t="str">
        <f t="shared" si="22"/>
        <v/>
      </c>
      <c r="O103" s="174" t="str">
        <f>Table132[[#This Row],[Combined List]]</f>
        <v/>
      </c>
      <c r="P103" s="157">
        <v>99</v>
      </c>
      <c r="Q103" s="174" t="str">
        <f t="shared" si="27"/>
        <v/>
      </c>
      <c r="R103" s="174" t="str">
        <f t="shared" si="28"/>
        <v/>
      </c>
      <c r="S103" s="174" t="str">
        <f t="shared" si="29"/>
        <v/>
      </c>
      <c r="T103" s="174" t="str">
        <f t="shared" si="30"/>
        <v/>
      </c>
      <c r="U103" s="174" t="str">
        <f t="shared" si="30"/>
        <v/>
      </c>
      <c r="V103" s="174" t="str">
        <f t="shared" si="26"/>
        <v/>
      </c>
      <c r="W103" s="174" t="str">
        <f>_xlfn.IFNA(VLOOKUP(T:T,'Example Logframe'!$B:$G,6,FALSE),"")</f>
        <v/>
      </c>
      <c r="X103" s="174" t="str">
        <f>_xlfn.IFNA(VLOOKUP(U:U,'Example Logframe'!$B:$G,6,FALSE),"")</f>
        <v/>
      </c>
      <c r="Y103" s="174" t="str">
        <f>_xlfn.IFNA(VLOOKUP(V:V,'Example Logframe'!$B:$G,6,FALSE),"")</f>
        <v/>
      </c>
      <c r="Z103">
        <v>99</v>
      </c>
      <c r="AD103" t="str">
        <f t="shared" si="32"/>
        <v/>
      </c>
      <c r="AE103" t="str">
        <f t="shared" si="32"/>
        <v/>
      </c>
      <c r="AF103" t="str">
        <f t="shared" si="31"/>
        <v/>
      </c>
    </row>
    <row r="104" spans="1:32" x14ac:dyDescent="0.35">
      <c r="A104">
        <f>INDEX('Example Logframe'!F:F,108,1)</f>
        <v>0</v>
      </c>
      <c r="B104" s="110">
        <v>1.1399999999999999</v>
      </c>
      <c r="C104" s="321" t="str">
        <f>INDEX('Example Logframe'!B:B,108,1)</f>
        <v>0</v>
      </c>
      <c r="D104" t="str">
        <f t="shared" si="23"/>
        <v/>
      </c>
      <c r="E104" t="str">
        <f t="shared" si="24"/>
        <v/>
      </c>
      <c r="F104" t="str">
        <f t="shared" si="17"/>
        <v/>
      </c>
      <c r="G104" t="str">
        <f t="shared" si="25"/>
        <v/>
      </c>
      <c r="H104" t="str">
        <f t="shared" si="18"/>
        <v/>
      </c>
      <c r="I104" s="157" t="str">
        <f t="shared" si="19"/>
        <v/>
      </c>
      <c r="J104" s="157"/>
      <c r="K104" s="157" t="str">
        <f t="shared" si="20"/>
        <v/>
      </c>
      <c r="L104" s="157" t="str">
        <f t="shared" si="21"/>
        <v/>
      </c>
      <c r="M104" s="157"/>
      <c r="N104" s="157" t="str">
        <f t="shared" si="22"/>
        <v/>
      </c>
      <c r="O104" s="174" t="str">
        <f>Table132[[#This Row],[Combined List]]</f>
        <v/>
      </c>
      <c r="P104" s="157">
        <v>100</v>
      </c>
      <c r="Q104" s="174" t="str">
        <f t="shared" si="27"/>
        <v/>
      </c>
      <c r="R104" s="174" t="str">
        <f t="shared" si="28"/>
        <v/>
      </c>
      <c r="S104" s="174" t="str">
        <f t="shared" si="29"/>
        <v/>
      </c>
      <c r="T104" s="174" t="str">
        <f t="shared" si="30"/>
        <v/>
      </c>
      <c r="U104" s="174" t="str">
        <f t="shared" si="30"/>
        <v/>
      </c>
      <c r="V104" s="174" t="str">
        <f t="shared" si="26"/>
        <v/>
      </c>
      <c r="W104" s="174" t="str">
        <f>_xlfn.IFNA(VLOOKUP(T:T,'Example Logframe'!$B:$G,6,FALSE),"")</f>
        <v/>
      </c>
      <c r="X104" s="174" t="str">
        <f>_xlfn.IFNA(VLOOKUP(U:U,'Example Logframe'!$B:$G,6,FALSE),"")</f>
        <v/>
      </c>
      <c r="Y104" s="174" t="str">
        <f>_xlfn.IFNA(VLOOKUP(V:V,'Example Logframe'!$B:$G,6,FALSE),"")</f>
        <v/>
      </c>
      <c r="Z104">
        <v>100</v>
      </c>
      <c r="AD104" t="str">
        <f t="shared" si="32"/>
        <v/>
      </c>
      <c r="AE104" t="str">
        <f t="shared" si="32"/>
        <v/>
      </c>
      <c r="AF104" t="str">
        <f t="shared" si="31"/>
        <v/>
      </c>
    </row>
    <row r="105" spans="1:32" x14ac:dyDescent="0.35">
      <c r="A105">
        <f>INDEX('Example Logframe'!F:F,109,1)</f>
        <v>0</v>
      </c>
      <c r="B105" s="110">
        <v>1.1499999999999999</v>
      </c>
      <c r="C105" s="321" t="str">
        <f>INDEX('Example Logframe'!B:B,109,1)</f>
        <v>0</v>
      </c>
      <c r="D105" t="str">
        <f t="shared" si="23"/>
        <v/>
      </c>
      <c r="E105" t="str">
        <f t="shared" si="24"/>
        <v/>
      </c>
      <c r="F105" t="str">
        <f t="shared" si="17"/>
        <v/>
      </c>
      <c r="G105" t="str">
        <f t="shared" si="25"/>
        <v/>
      </c>
      <c r="H105" t="str">
        <f t="shared" si="18"/>
        <v/>
      </c>
      <c r="I105" s="157" t="str">
        <f t="shared" si="19"/>
        <v/>
      </c>
      <c r="J105" s="157"/>
      <c r="K105" s="157" t="str">
        <f t="shared" si="20"/>
        <v/>
      </c>
      <c r="L105" s="157" t="str">
        <f t="shared" si="21"/>
        <v/>
      </c>
      <c r="M105" s="157"/>
      <c r="N105" s="157" t="str">
        <f t="shared" si="22"/>
        <v/>
      </c>
      <c r="O105" s="174" t="str">
        <f>Table132[[#This Row],[Combined List]]</f>
        <v/>
      </c>
      <c r="P105" s="157">
        <v>101</v>
      </c>
      <c r="Q105" s="174" t="str">
        <f t="shared" si="27"/>
        <v/>
      </c>
      <c r="R105" s="174" t="str">
        <f t="shared" si="28"/>
        <v/>
      </c>
      <c r="S105" s="174" t="str">
        <f t="shared" si="29"/>
        <v/>
      </c>
      <c r="T105" s="174" t="str">
        <f t="shared" si="30"/>
        <v/>
      </c>
      <c r="U105" s="174" t="str">
        <f t="shared" si="30"/>
        <v/>
      </c>
      <c r="V105" s="174" t="str">
        <f t="shared" si="26"/>
        <v/>
      </c>
      <c r="W105" s="174" t="str">
        <f>_xlfn.IFNA(VLOOKUP(T:T,'Example Logframe'!$B:$G,6,FALSE),"")</f>
        <v/>
      </c>
      <c r="X105" s="174" t="str">
        <f>_xlfn.IFNA(VLOOKUP(U:U,'Example Logframe'!$B:$G,6,FALSE),"")</f>
        <v/>
      </c>
      <c r="Y105" s="174" t="str">
        <f>_xlfn.IFNA(VLOOKUP(V:V,'Example Logframe'!$B:$G,6,FALSE),"")</f>
        <v/>
      </c>
      <c r="Z105">
        <v>101</v>
      </c>
      <c r="AD105" t="str">
        <f t="shared" si="32"/>
        <v/>
      </c>
      <c r="AE105" t="str">
        <f t="shared" si="32"/>
        <v/>
      </c>
      <c r="AF105" t="str">
        <f t="shared" si="31"/>
        <v/>
      </c>
    </row>
    <row r="106" spans="1:32" x14ac:dyDescent="0.35">
      <c r="A106">
        <f>INDEX('Example Logframe'!F:F,110,1)</f>
        <v>0</v>
      </c>
      <c r="B106" s="110">
        <v>1.1599999999999999</v>
      </c>
      <c r="C106" s="321" t="str">
        <f>INDEX('Example Logframe'!B:B,110,1)</f>
        <v>0</v>
      </c>
      <c r="D106" t="str">
        <f t="shared" si="23"/>
        <v/>
      </c>
      <c r="E106" t="str">
        <f t="shared" si="24"/>
        <v/>
      </c>
      <c r="F106" t="str">
        <f t="shared" si="17"/>
        <v/>
      </c>
      <c r="G106" t="str">
        <f t="shared" si="25"/>
        <v/>
      </c>
      <c r="H106" t="str">
        <f t="shared" si="18"/>
        <v/>
      </c>
      <c r="I106" s="157" t="str">
        <f t="shared" si="19"/>
        <v/>
      </c>
      <c r="J106" s="157"/>
      <c r="K106" s="157" t="str">
        <f t="shared" si="20"/>
        <v/>
      </c>
      <c r="L106" s="157" t="str">
        <f t="shared" si="21"/>
        <v/>
      </c>
      <c r="M106" s="157"/>
      <c r="N106" s="157" t="str">
        <f t="shared" si="22"/>
        <v/>
      </c>
      <c r="O106" s="174" t="str">
        <f>Table132[[#This Row],[Combined List]]</f>
        <v/>
      </c>
      <c r="P106" s="157">
        <v>102</v>
      </c>
      <c r="Q106" s="174" t="str">
        <f t="shared" si="27"/>
        <v/>
      </c>
      <c r="R106" s="174" t="str">
        <f t="shared" si="28"/>
        <v/>
      </c>
      <c r="S106" s="174" t="str">
        <f t="shared" si="29"/>
        <v/>
      </c>
      <c r="T106" s="174" t="str">
        <f t="shared" si="30"/>
        <v/>
      </c>
      <c r="U106" s="174" t="str">
        <f t="shared" si="30"/>
        <v/>
      </c>
      <c r="V106" s="174" t="str">
        <f t="shared" si="26"/>
        <v/>
      </c>
      <c r="W106" s="174" t="str">
        <f>_xlfn.IFNA(VLOOKUP(T:T,'Example Logframe'!$B:$G,6,FALSE),"")</f>
        <v/>
      </c>
      <c r="X106" s="174" t="str">
        <f>_xlfn.IFNA(VLOOKUP(U:U,'Example Logframe'!$B:$G,6,FALSE),"")</f>
        <v/>
      </c>
      <c r="Y106" s="174" t="str">
        <f>_xlfn.IFNA(VLOOKUP(V:V,'Example Logframe'!$B:$G,6,FALSE),"")</f>
        <v/>
      </c>
      <c r="Z106">
        <v>102</v>
      </c>
      <c r="AD106" t="str">
        <f t="shared" si="32"/>
        <v/>
      </c>
      <c r="AE106" t="str">
        <f t="shared" si="32"/>
        <v/>
      </c>
      <c r="AF106" t="str">
        <f t="shared" si="31"/>
        <v/>
      </c>
    </row>
    <row r="107" spans="1:32" x14ac:dyDescent="0.35">
      <c r="A107">
        <f>INDEX('Example Logframe'!F:F,111,1)</f>
        <v>0</v>
      </c>
      <c r="B107" s="110">
        <v>1.17</v>
      </c>
      <c r="C107" s="321" t="str">
        <f>INDEX('Example Logframe'!B:B,111,1)</f>
        <v>0</v>
      </c>
      <c r="D107" t="str">
        <f t="shared" si="23"/>
        <v/>
      </c>
      <c r="E107" t="str">
        <f t="shared" si="24"/>
        <v/>
      </c>
      <c r="F107" t="str">
        <f t="shared" si="17"/>
        <v/>
      </c>
      <c r="G107" t="str">
        <f t="shared" si="25"/>
        <v/>
      </c>
      <c r="H107" t="str">
        <f t="shared" si="18"/>
        <v/>
      </c>
      <c r="I107" s="157" t="str">
        <f t="shared" si="19"/>
        <v/>
      </c>
      <c r="J107" s="157"/>
      <c r="K107" s="157" t="str">
        <f t="shared" si="20"/>
        <v/>
      </c>
      <c r="L107" s="157" t="str">
        <f t="shared" si="21"/>
        <v/>
      </c>
      <c r="M107" s="157"/>
      <c r="N107" s="157" t="str">
        <f t="shared" si="22"/>
        <v/>
      </c>
      <c r="O107" s="174" t="str">
        <f>Table132[[#This Row],[Combined List]]</f>
        <v/>
      </c>
      <c r="P107" s="157">
        <v>103</v>
      </c>
      <c r="Q107" s="174" t="str">
        <f t="shared" si="27"/>
        <v/>
      </c>
      <c r="R107" s="174" t="str">
        <f t="shared" si="28"/>
        <v/>
      </c>
      <c r="S107" s="174" t="str">
        <f t="shared" si="29"/>
        <v/>
      </c>
      <c r="T107" s="174" t="str">
        <f t="shared" si="30"/>
        <v/>
      </c>
      <c r="U107" s="174" t="str">
        <f t="shared" si="30"/>
        <v/>
      </c>
      <c r="V107" s="174" t="str">
        <f t="shared" si="26"/>
        <v/>
      </c>
      <c r="W107" s="174" t="str">
        <f>_xlfn.IFNA(VLOOKUP(T:T,'Example Logframe'!$B:$G,6,FALSE),"")</f>
        <v/>
      </c>
      <c r="X107" s="174" t="str">
        <f>_xlfn.IFNA(VLOOKUP(U:U,'Example Logframe'!$B:$G,6,FALSE),"")</f>
        <v/>
      </c>
      <c r="Y107" s="174" t="str">
        <f>_xlfn.IFNA(VLOOKUP(V:V,'Example Logframe'!$B:$G,6,FALSE),"")</f>
        <v/>
      </c>
      <c r="Z107">
        <v>103</v>
      </c>
      <c r="AD107" t="str">
        <f t="shared" si="32"/>
        <v/>
      </c>
      <c r="AE107" t="str">
        <f t="shared" si="32"/>
        <v/>
      </c>
      <c r="AF107" t="str">
        <f t="shared" si="31"/>
        <v/>
      </c>
    </row>
    <row r="108" spans="1:32" x14ac:dyDescent="0.35">
      <c r="A108">
        <f>INDEX('Example Logframe'!F:F,112,1)</f>
        <v>0</v>
      </c>
      <c r="B108" s="110">
        <v>1.18</v>
      </c>
      <c r="C108" s="321" t="str">
        <f>INDEX('Example Logframe'!B:B,112,1)</f>
        <v>0</v>
      </c>
      <c r="D108" t="str">
        <f t="shared" si="23"/>
        <v/>
      </c>
      <c r="E108" t="str">
        <f t="shared" si="24"/>
        <v/>
      </c>
      <c r="F108" t="str">
        <f t="shared" si="17"/>
        <v/>
      </c>
      <c r="G108" t="str">
        <f t="shared" si="25"/>
        <v/>
      </c>
      <c r="H108" t="str">
        <f t="shared" si="18"/>
        <v/>
      </c>
      <c r="I108" s="157" t="str">
        <f t="shared" si="19"/>
        <v/>
      </c>
      <c r="J108" s="157"/>
      <c r="K108" s="157" t="str">
        <f t="shared" si="20"/>
        <v/>
      </c>
      <c r="L108" s="157" t="str">
        <f t="shared" si="21"/>
        <v/>
      </c>
      <c r="M108" s="157"/>
      <c r="N108" s="157" t="str">
        <f t="shared" si="22"/>
        <v/>
      </c>
      <c r="O108" s="174" t="str">
        <f>Table132[[#This Row],[Combined List]]</f>
        <v/>
      </c>
      <c r="P108" s="157">
        <v>104</v>
      </c>
      <c r="Q108" s="174" t="str">
        <f t="shared" si="27"/>
        <v/>
      </c>
      <c r="R108" s="174" t="str">
        <f t="shared" si="28"/>
        <v/>
      </c>
      <c r="S108" s="174" t="str">
        <f t="shared" si="29"/>
        <v/>
      </c>
      <c r="T108" s="174" t="str">
        <f t="shared" si="30"/>
        <v/>
      </c>
      <c r="U108" s="174" t="str">
        <f t="shared" si="30"/>
        <v/>
      </c>
      <c r="V108" s="174" t="str">
        <f t="shared" si="26"/>
        <v/>
      </c>
      <c r="W108" s="174" t="str">
        <f>_xlfn.IFNA(VLOOKUP(T:T,'Example Logframe'!$B:$G,6,FALSE),"")</f>
        <v/>
      </c>
      <c r="X108" s="174" t="str">
        <f>_xlfn.IFNA(VLOOKUP(U:U,'Example Logframe'!$B:$G,6,FALSE),"")</f>
        <v/>
      </c>
      <c r="Y108" s="174" t="str">
        <f>_xlfn.IFNA(VLOOKUP(V:V,'Example Logframe'!$B:$G,6,FALSE),"")</f>
        <v/>
      </c>
      <c r="Z108">
        <v>104</v>
      </c>
      <c r="AD108" t="str">
        <f t="shared" si="32"/>
        <v/>
      </c>
      <c r="AE108" t="str">
        <f t="shared" si="32"/>
        <v/>
      </c>
      <c r="AF108" t="str">
        <f t="shared" si="31"/>
        <v/>
      </c>
    </row>
    <row r="109" spans="1:32" x14ac:dyDescent="0.35">
      <c r="A109">
        <f>INDEX('Example Logframe'!F:F,113,1)</f>
        <v>0</v>
      </c>
      <c r="B109" s="110">
        <v>1.19</v>
      </c>
      <c r="C109" s="321" t="str">
        <f>INDEX('Example Logframe'!B:B,113,1)</f>
        <v>0</v>
      </c>
      <c r="D109" t="str">
        <f t="shared" si="23"/>
        <v/>
      </c>
      <c r="E109" t="str">
        <f t="shared" si="24"/>
        <v/>
      </c>
      <c r="F109" t="str">
        <f t="shared" si="17"/>
        <v/>
      </c>
      <c r="G109" t="str">
        <f t="shared" si="25"/>
        <v/>
      </c>
      <c r="H109" t="str">
        <f t="shared" si="18"/>
        <v/>
      </c>
      <c r="I109" s="157" t="str">
        <f t="shared" si="19"/>
        <v/>
      </c>
      <c r="J109" s="157"/>
      <c r="K109" s="157" t="str">
        <f t="shared" si="20"/>
        <v/>
      </c>
      <c r="L109" s="157" t="str">
        <f t="shared" si="21"/>
        <v/>
      </c>
      <c r="M109" s="157"/>
      <c r="N109" s="157" t="str">
        <f t="shared" si="22"/>
        <v/>
      </c>
      <c r="O109" s="174" t="str">
        <f>Table132[[#This Row],[Combined List]]</f>
        <v/>
      </c>
      <c r="P109" s="157">
        <v>105</v>
      </c>
      <c r="Q109" s="174" t="str">
        <f t="shared" si="27"/>
        <v/>
      </c>
      <c r="R109" s="174" t="str">
        <f t="shared" si="28"/>
        <v/>
      </c>
      <c r="S109" s="174" t="str">
        <f t="shared" si="29"/>
        <v/>
      </c>
      <c r="T109" s="174" t="str">
        <f t="shared" si="30"/>
        <v/>
      </c>
      <c r="U109" s="174" t="str">
        <f t="shared" si="30"/>
        <v/>
      </c>
      <c r="V109" s="174" t="str">
        <f t="shared" si="26"/>
        <v/>
      </c>
      <c r="W109" s="174" t="str">
        <f>_xlfn.IFNA(VLOOKUP(T:T,'Example Logframe'!$B:$G,6,FALSE),"")</f>
        <v/>
      </c>
      <c r="X109" s="174" t="str">
        <f>_xlfn.IFNA(VLOOKUP(U:U,'Example Logframe'!$B:$G,6,FALSE),"")</f>
        <v/>
      </c>
      <c r="Y109" s="174" t="str">
        <f>_xlfn.IFNA(VLOOKUP(V:V,'Example Logframe'!$B:$G,6,FALSE),"")</f>
        <v/>
      </c>
      <c r="Z109">
        <v>105</v>
      </c>
      <c r="AD109" t="str">
        <f t="shared" si="32"/>
        <v/>
      </c>
      <c r="AE109" t="str">
        <f t="shared" si="32"/>
        <v/>
      </c>
      <c r="AF109" t="str">
        <f t="shared" si="31"/>
        <v/>
      </c>
    </row>
    <row r="110" spans="1:32" x14ac:dyDescent="0.35">
      <c r="A110">
        <f>INDEX('Example Logframe'!F:F,114,1)</f>
        <v>0</v>
      </c>
      <c r="B110" s="110">
        <v>1.21</v>
      </c>
      <c r="C110" s="321" t="str">
        <f>INDEX('Example Logframe'!B:B,114,1)</f>
        <v>0</v>
      </c>
      <c r="D110" t="str">
        <f t="shared" si="23"/>
        <v/>
      </c>
      <c r="E110" t="str">
        <f t="shared" si="24"/>
        <v/>
      </c>
      <c r="F110" t="str">
        <f t="shared" si="17"/>
        <v/>
      </c>
      <c r="G110" t="str">
        <f t="shared" si="25"/>
        <v/>
      </c>
      <c r="H110" t="str">
        <f t="shared" si="18"/>
        <v/>
      </c>
      <c r="I110" s="157" t="str">
        <f t="shared" si="19"/>
        <v/>
      </c>
      <c r="J110" s="157"/>
      <c r="K110" s="157" t="str">
        <f t="shared" si="20"/>
        <v/>
      </c>
      <c r="L110" s="157" t="str">
        <f t="shared" si="21"/>
        <v/>
      </c>
      <c r="M110" s="157"/>
      <c r="N110" s="157" t="str">
        <f t="shared" si="22"/>
        <v/>
      </c>
      <c r="O110" s="174" t="str">
        <f>Table132[[#This Row],[Combined List]]</f>
        <v/>
      </c>
      <c r="P110" s="157">
        <v>106</v>
      </c>
      <c r="Q110" s="174" t="str">
        <f t="shared" si="27"/>
        <v/>
      </c>
      <c r="R110" s="174" t="str">
        <f t="shared" si="28"/>
        <v/>
      </c>
      <c r="S110" s="174" t="str">
        <f t="shared" si="29"/>
        <v/>
      </c>
      <c r="T110" s="174" t="str">
        <f t="shared" si="30"/>
        <v/>
      </c>
      <c r="U110" s="174" t="str">
        <f t="shared" si="30"/>
        <v/>
      </c>
      <c r="V110" s="174" t="str">
        <f t="shared" si="26"/>
        <v/>
      </c>
      <c r="W110" s="174" t="str">
        <f>_xlfn.IFNA(VLOOKUP(T:T,'Example Logframe'!$B:$G,6,FALSE),"")</f>
        <v/>
      </c>
      <c r="X110" s="174" t="str">
        <f>_xlfn.IFNA(VLOOKUP(U:U,'Example Logframe'!$B:$G,6,FALSE),"")</f>
        <v/>
      </c>
      <c r="Y110" s="174" t="str">
        <f>_xlfn.IFNA(VLOOKUP(V:V,'Example Logframe'!$B:$G,6,FALSE),"")</f>
        <v/>
      </c>
      <c r="Z110">
        <v>106</v>
      </c>
      <c r="AD110" t="str">
        <f t="shared" si="32"/>
        <v/>
      </c>
      <c r="AE110" t="str">
        <f t="shared" si="32"/>
        <v/>
      </c>
      <c r="AF110" t="str">
        <f t="shared" si="31"/>
        <v/>
      </c>
    </row>
    <row r="111" spans="1:32" x14ac:dyDescent="0.35">
      <c r="A111">
        <f>INDEX('Example Logframe'!F:F,115,1)</f>
        <v>0</v>
      </c>
      <c r="B111" s="110">
        <v>1.22</v>
      </c>
      <c r="C111" s="321" t="str">
        <f>INDEX('Example Logframe'!B:B,115,1)</f>
        <v>0</v>
      </c>
      <c r="D111" t="str">
        <f t="shared" si="23"/>
        <v/>
      </c>
      <c r="E111" t="str">
        <f t="shared" si="24"/>
        <v/>
      </c>
      <c r="F111" t="str">
        <f t="shared" si="17"/>
        <v/>
      </c>
      <c r="G111" t="str">
        <f t="shared" si="25"/>
        <v/>
      </c>
      <c r="H111" t="str">
        <f t="shared" si="18"/>
        <v/>
      </c>
      <c r="I111" s="157" t="str">
        <f t="shared" si="19"/>
        <v/>
      </c>
      <c r="J111" s="157"/>
      <c r="K111" s="157" t="str">
        <f t="shared" si="20"/>
        <v/>
      </c>
      <c r="L111" s="157" t="str">
        <f t="shared" si="21"/>
        <v/>
      </c>
      <c r="M111" s="157"/>
      <c r="N111" s="157" t="str">
        <f t="shared" si="22"/>
        <v/>
      </c>
      <c r="O111" s="174" t="str">
        <f>Table132[[#This Row],[Combined List]]</f>
        <v/>
      </c>
      <c r="P111" s="157">
        <v>107</v>
      </c>
      <c r="Q111" s="174" t="str">
        <f t="shared" si="27"/>
        <v/>
      </c>
      <c r="R111" s="174" t="str">
        <f t="shared" si="28"/>
        <v/>
      </c>
      <c r="S111" s="174" t="str">
        <f t="shared" si="29"/>
        <v/>
      </c>
      <c r="T111" s="174" t="str">
        <f t="shared" si="30"/>
        <v/>
      </c>
      <c r="U111" s="174" t="str">
        <f t="shared" si="30"/>
        <v/>
      </c>
      <c r="V111" s="174" t="str">
        <f t="shared" si="26"/>
        <v/>
      </c>
      <c r="W111" s="174" t="str">
        <f>_xlfn.IFNA(VLOOKUP(T:T,'Example Logframe'!$B:$G,6,FALSE),"")</f>
        <v/>
      </c>
      <c r="X111" s="174" t="str">
        <f>_xlfn.IFNA(VLOOKUP(U:U,'Example Logframe'!$B:$G,6,FALSE),"")</f>
        <v/>
      </c>
      <c r="Y111" s="174" t="str">
        <f>_xlfn.IFNA(VLOOKUP(V:V,'Example Logframe'!$B:$G,6,FALSE),"")</f>
        <v/>
      </c>
      <c r="Z111">
        <v>107</v>
      </c>
      <c r="AD111" t="str">
        <f t="shared" si="32"/>
        <v/>
      </c>
      <c r="AE111" t="str">
        <f t="shared" si="32"/>
        <v/>
      </c>
      <c r="AF111" t="str">
        <f t="shared" si="31"/>
        <v/>
      </c>
    </row>
    <row r="112" spans="1:32" x14ac:dyDescent="0.35">
      <c r="A112">
        <f>INDEX('Example Logframe'!F:F,116,1)</f>
        <v>0</v>
      </c>
      <c r="B112" s="110">
        <v>1.23</v>
      </c>
      <c r="C112" s="321" t="str">
        <f>INDEX('Example Logframe'!B:B,116,1)</f>
        <v>0</v>
      </c>
      <c r="D112" t="str">
        <f t="shared" si="23"/>
        <v/>
      </c>
      <c r="E112" t="str">
        <f t="shared" si="24"/>
        <v/>
      </c>
      <c r="F112" t="str">
        <f t="shared" si="17"/>
        <v/>
      </c>
      <c r="G112" t="str">
        <f t="shared" si="25"/>
        <v/>
      </c>
      <c r="H112" t="str">
        <f t="shared" si="18"/>
        <v/>
      </c>
      <c r="I112" s="157" t="str">
        <f t="shared" si="19"/>
        <v/>
      </c>
      <c r="J112" s="157"/>
      <c r="K112" s="157" t="str">
        <f t="shared" si="20"/>
        <v/>
      </c>
      <c r="L112" s="157" t="str">
        <f t="shared" si="21"/>
        <v/>
      </c>
      <c r="M112" s="157"/>
      <c r="N112" s="157" t="str">
        <f t="shared" si="22"/>
        <v/>
      </c>
      <c r="O112" s="174" t="str">
        <f>Table132[[#This Row],[Combined List]]</f>
        <v/>
      </c>
      <c r="P112" s="157">
        <v>108</v>
      </c>
      <c r="Q112" s="174" t="str">
        <f t="shared" si="27"/>
        <v/>
      </c>
      <c r="R112" s="174" t="str">
        <f t="shared" si="28"/>
        <v/>
      </c>
      <c r="S112" s="174" t="str">
        <f t="shared" si="29"/>
        <v/>
      </c>
      <c r="T112" s="174" t="str">
        <f t="shared" si="30"/>
        <v/>
      </c>
      <c r="U112" s="174" t="str">
        <f t="shared" si="30"/>
        <v/>
      </c>
      <c r="V112" s="174" t="str">
        <f t="shared" si="26"/>
        <v/>
      </c>
      <c r="W112" s="174" t="str">
        <f>_xlfn.IFNA(VLOOKUP(T:T,'Example Logframe'!$B:$G,6,FALSE),"")</f>
        <v/>
      </c>
      <c r="X112" s="174" t="str">
        <f>_xlfn.IFNA(VLOOKUP(U:U,'Example Logframe'!$B:$G,6,FALSE),"")</f>
        <v/>
      </c>
      <c r="Y112" s="174" t="str">
        <f>_xlfn.IFNA(VLOOKUP(V:V,'Example Logframe'!$B:$G,6,FALSE),"")</f>
        <v/>
      </c>
      <c r="Z112">
        <v>108</v>
      </c>
      <c r="AD112" t="str">
        <f t="shared" si="32"/>
        <v/>
      </c>
      <c r="AE112" t="str">
        <f t="shared" si="32"/>
        <v/>
      </c>
      <c r="AF112" t="str">
        <f t="shared" si="31"/>
        <v/>
      </c>
    </row>
    <row r="113" spans="1:32" x14ac:dyDescent="0.35">
      <c r="A113">
        <f>INDEX('Example Logframe'!F:F,117,1)</f>
        <v>0</v>
      </c>
      <c r="B113" s="110">
        <v>1.24</v>
      </c>
      <c r="C113" s="321" t="str">
        <f>INDEX('Example Logframe'!B:B,117,1)</f>
        <v>0</v>
      </c>
      <c r="D113" t="str">
        <f t="shared" si="23"/>
        <v/>
      </c>
      <c r="E113" t="str">
        <f t="shared" si="24"/>
        <v/>
      </c>
      <c r="F113" t="str">
        <f t="shared" si="17"/>
        <v/>
      </c>
      <c r="G113" t="str">
        <f t="shared" si="25"/>
        <v/>
      </c>
      <c r="H113" t="str">
        <f t="shared" si="18"/>
        <v/>
      </c>
      <c r="I113" s="157" t="str">
        <f t="shared" si="19"/>
        <v/>
      </c>
      <c r="J113" s="157"/>
      <c r="K113" s="157" t="str">
        <f t="shared" si="20"/>
        <v/>
      </c>
      <c r="L113" s="157" t="str">
        <f t="shared" si="21"/>
        <v/>
      </c>
      <c r="M113" s="157"/>
      <c r="N113" s="157" t="str">
        <f t="shared" si="22"/>
        <v/>
      </c>
      <c r="O113" s="174" t="str">
        <f>Table132[[#This Row],[Combined List]]</f>
        <v/>
      </c>
      <c r="P113" s="157">
        <v>109</v>
      </c>
      <c r="Q113" s="174" t="str">
        <f t="shared" si="27"/>
        <v/>
      </c>
      <c r="R113" s="174" t="str">
        <f t="shared" si="28"/>
        <v/>
      </c>
      <c r="S113" s="174" t="str">
        <f t="shared" si="29"/>
        <v/>
      </c>
      <c r="T113" s="174" t="str">
        <f t="shared" si="30"/>
        <v/>
      </c>
      <c r="U113" s="174" t="str">
        <f t="shared" si="30"/>
        <v/>
      </c>
      <c r="V113" s="174" t="str">
        <f t="shared" si="26"/>
        <v/>
      </c>
      <c r="W113" s="174" t="str">
        <f>_xlfn.IFNA(VLOOKUP(T:T,'Example Logframe'!$B:$G,6,FALSE),"")</f>
        <v/>
      </c>
      <c r="X113" s="174" t="str">
        <f>_xlfn.IFNA(VLOOKUP(U:U,'Example Logframe'!$B:$G,6,FALSE),"")</f>
        <v/>
      </c>
      <c r="Y113" s="174" t="str">
        <f>_xlfn.IFNA(VLOOKUP(V:V,'Example Logframe'!$B:$G,6,FALSE),"")</f>
        <v/>
      </c>
      <c r="Z113">
        <v>109</v>
      </c>
      <c r="AD113" t="str">
        <f t="shared" si="32"/>
        <v/>
      </c>
      <c r="AE113" t="str">
        <f t="shared" si="32"/>
        <v/>
      </c>
      <c r="AF113" t="str">
        <f t="shared" si="31"/>
        <v/>
      </c>
    </row>
    <row r="114" spans="1:32" x14ac:dyDescent="0.35">
      <c r="A114">
        <f>INDEX('Example Logframe'!F:F,118,1)</f>
        <v>0</v>
      </c>
      <c r="B114" s="110">
        <v>1.25</v>
      </c>
      <c r="C114" s="321" t="str">
        <f>INDEX('Example Logframe'!B:B,118,1)</f>
        <v>0</v>
      </c>
      <c r="D114" t="str">
        <f t="shared" si="23"/>
        <v/>
      </c>
      <c r="E114" t="str">
        <f t="shared" si="24"/>
        <v/>
      </c>
      <c r="F114" t="str">
        <f t="shared" si="17"/>
        <v/>
      </c>
      <c r="G114" t="str">
        <f t="shared" si="25"/>
        <v/>
      </c>
      <c r="H114" t="str">
        <f t="shared" si="18"/>
        <v/>
      </c>
      <c r="I114" s="157" t="str">
        <f t="shared" si="19"/>
        <v/>
      </c>
      <c r="J114" s="157"/>
      <c r="K114" s="157" t="str">
        <f t="shared" si="20"/>
        <v/>
      </c>
      <c r="L114" s="157" t="str">
        <f t="shared" si="21"/>
        <v/>
      </c>
      <c r="M114" s="157"/>
      <c r="N114" s="157" t="str">
        <f t="shared" si="22"/>
        <v/>
      </c>
      <c r="O114" s="174" t="str">
        <f>Table132[[#This Row],[Combined List]]</f>
        <v/>
      </c>
      <c r="P114" s="157">
        <v>110</v>
      </c>
      <c r="Q114" s="174" t="str">
        <f t="shared" si="27"/>
        <v/>
      </c>
      <c r="R114" s="174" t="str">
        <f t="shared" si="28"/>
        <v/>
      </c>
      <c r="S114" s="174" t="str">
        <f t="shared" si="29"/>
        <v/>
      </c>
      <c r="T114" s="174" t="str">
        <f t="shared" si="30"/>
        <v/>
      </c>
      <c r="U114" s="174" t="str">
        <f t="shared" si="30"/>
        <v/>
      </c>
      <c r="V114" s="174" t="str">
        <f t="shared" si="26"/>
        <v/>
      </c>
      <c r="W114" s="174" t="str">
        <f>_xlfn.IFNA(VLOOKUP(T:T,'Example Logframe'!$B:$G,6,FALSE),"")</f>
        <v/>
      </c>
      <c r="X114" s="174" t="str">
        <f>_xlfn.IFNA(VLOOKUP(U:U,'Example Logframe'!$B:$G,6,FALSE),"")</f>
        <v/>
      </c>
      <c r="Y114" s="174" t="str">
        <f>_xlfn.IFNA(VLOOKUP(V:V,'Example Logframe'!$B:$G,6,FALSE),"")</f>
        <v/>
      </c>
      <c r="Z114">
        <v>110</v>
      </c>
      <c r="AD114" t="str">
        <f t="shared" si="32"/>
        <v/>
      </c>
      <c r="AE114" t="str">
        <f t="shared" si="32"/>
        <v/>
      </c>
      <c r="AF114" t="str">
        <f t="shared" si="31"/>
        <v/>
      </c>
    </row>
    <row r="115" spans="1:32" x14ac:dyDescent="0.35">
      <c r="A115">
        <f>INDEX('Example Logframe'!F:F,119,1)</f>
        <v>0</v>
      </c>
      <c r="B115" s="110">
        <v>1.26</v>
      </c>
      <c r="C115" s="321" t="str">
        <f>INDEX('Example Logframe'!B:B,119,1)</f>
        <v>0</v>
      </c>
      <c r="D115" t="str">
        <f t="shared" si="23"/>
        <v/>
      </c>
      <c r="E115" t="str">
        <f t="shared" si="24"/>
        <v/>
      </c>
      <c r="F115" t="str">
        <f t="shared" si="17"/>
        <v/>
      </c>
      <c r="G115" t="str">
        <f t="shared" si="25"/>
        <v/>
      </c>
      <c r="H115" t="str">
        <f t="shared" si="18"/>
        <v/>
      </c>
      <c r="I115" s="157" t="str">
        <f t="shared" si="19"/>
        <v/>
      </c>
      <c r="J115" s="157"/>
      <c r="K115" s="157" t="str">
        <f t="shared" si="20"/>
        <v/>
      </c>
      <c r="L115" s="157" t="str">
        <f t="shared" si="21"/>
        <v/>
      </c>
      <c r="M115" s="157"/>
      <c r="N115" s="157" t="str">
        <f t="shared" si="22"/>
        <v/>
      </c>
      <c r="O115" s="174" t="str">
        <f>Table132[[#This Row],[Combined List]]</f>
        <v/>
      </c>
      <c r="P115" s="157">
        <v>111</v>
      </c>
      <c r="Q115" s="174" t="str">
        <f t="shared" si="27"/>
        <v/>
      </c>
      <c r="R115" s="174" t="str">
        <f t="shared" si="28"/>
        <v/>
      </c>
      <c r="S115" s="174" t="str">
        <f t="shared" si="29"/>
        <v/>
      </c>
      <c r="T115" s="174" t="str">
        <f t="shared" si="30"/>
        <v/>
      </c>
      <c r="U115" s="174" t="str">
        <f t="shared" si="30"/>
        <v/>
      </c>
      <c r="V115" s="174" t="str">
        <f t="shared" si="26"/>
        <v/>
      </c>
      <c r="W115" s="174" t="str">
        <f>_xlfn.IFNA(VLOOKUP(T:T,'Example Logframe'!$B:$G,6,FALSE),"")</f>
        <v/>
      </c>
      <c r="X115" s="174" t="str">
        <f>_xlfn.IFNA(VLOOKUP(U:U,'Example Logframe'!$B:$G,6,FALSE),"")</f>
        <v/>
      </c>
      <c r="Y115" s="174" t="str">
        <f>_xlfn.IFNA(VLOOKUP(V:V,'Example Logframe'!$B:$G,6,FALSE),"")</f>
        <v/>
      </c>
      <c r="Z115">
        <v>111</v>
      </c>
      <c r="AD115" t="str">
        <f t="shared" si="32"/>
        <v/>
      </c>
      <c r="AE115" t="str">
        <f t="shared" si="32"/>
        <v/>
      </c>
      <c r="AF115" t="str">
        <f t="shared" si="31"/>
        <v/>
      </c>
    </row>
    <row r="116" spans="1:32" x14ac:dyDescent="0.35">
      <c r="A116">
        <f>INDEX('Example Logframe'!F:F,120,1)</f>
        <v>0</v>
      </c>
      <c r="B116" s="110">
        <v>1.27</v>
      </c>
      <c r="C116" s="321" t="str">
        <f>INDEX('Example Logframe'!B:B,120,1)</f>
        <v>0</v>
      </c>
      <c r="D116" t="str">
        <f t="shared" si="23"/>
        <v/>
      </c>
      <c r="E116" t="str">
        <f t="shared" si="24"/>
        <v/>
      </c>
      <c r="F116" t="str">
        <f t="shared" si="17"/>
        <v/>
      </c>
      <c r="G116" t="str">
        <f t="shared" si="25"/>
        <v/>
      </c>
      <c r="H116" t="str">
        <f t="shared" si="18"/>
        <v/>
      </c>
      <c r="I116" s="157" t="str">
        <f t="shared" si="19"/>
        <v/>
      </c>
      <c r="J116" s="157"/>
      <c r="K116" s="157" t="str">
        <f t="shared" si="20"/>
        <v/>
      </c>
      <c r="L116" s="157" t="str">
        <f t="shared" si="21"/>
        <v/>
      </c>
      <c r="M116" s="157"/>
      <c r="N116" s="157" t="str">
        <f t="shared" si="22"/>
        <v/>
      </c>
      <c r="O116" s="174" t="str">
        <f>Table132[[#This Row],[Combined List]]</f>
        <v/>
      </c>
      <c r="P116" s="157">
        <v>112</v>
      </c>
      <c r="Q116" s="174" t="str">
        <f t="shared" si="27"/>
        <v/>
      </c>
      <c r="R116" s="174" t="str">
        <f t="shared" si="28"/>
        <v/>
      </c>
      <c r="S116" s="174" t="str">
        <f t="shared" si="29"/>
        <v/>
      </c>
      <c r="T116" s="174" t="str">
        <f t="shared" si="30"/>
        <v/>
      </c>
      <c r="U116" s="174" t="str">
        <f t="shared" si="30"/>
        <v/>
      </c>
      <c r="V116" s="174" t="str">
        <f t="shared" si="26"/>
        <v/>
      </c>
      <c r="W116" s="174" t="str">
        <f>_xlfn.IFNA(VLOOKUP(T:T,'Example Logframe'!$B:$G,6,FALSE),"")</f>
        <v/>
      </c>
      <c r="X116" s="174" t="str">
        <f>_xlfn.IFNA(VLOOKUP(U:U,'Example Logframe'!$B:$G,6,FALSE),"")</f>
        <v/>
      </c>
      <c r="Y116" s="174" t="str">
        <f>_xlfn.IFNA(VLOOKUP(V:V,'Example Logframe'!$B:$G,6,FALSE),"")</f>
        <v/>
      </c>
      <c r="Z116">
        <v>112</v>
      </c>
      <c r="AD116" t="str">
        <f t="shared" si="32"/>
        <v/>
      </c>
      <c r="AE116" t="str">
        <f t="shared" si="32"/>
        <v/>
      </c>
      <c r="AF116" t="str">
        <f t="shared" si="31"/>
        <v/>
      </c>
    </row>
    <row r="117" spans="1:32" x14ac:dyDescent="0.35">
      <c r="A117">
        <f>INDEX('Example Logframe'!F:F,121,1)</f>
        <v>0</v>
      </c>
      <c r="B117" s="110">
        <v>1.28</v>
      </c>
      <c r="C117" s="321" t="str">
        <f>INDEX('Example Logframe'!B:B,121,1)</f>
        <v>0</v>
      </c>
      <c r="D117" t="str">
        <f t="shared" si="23"/>
        <v/>
      </c>
      <c r="E117" t="str">
        <f t="shared" si="24"/>
        <v/>
      </c>
      <c r="F117" t="str">
        <f t="shared" si="17"/>
        <v/>
      </c>
      <c r="G117" t="str">
        <f t="shared" si="25"/>
        <v/>
      </c>
      <c r="H117" t="str">
        <f t="shared" si="18"/>
        <v/>
      </c>
      <c r="I117" s="157" t="str">
        <f t="shared" si="19"/>
        <v/>
      </c>
      <c r="J117" s="157"/>
      <c r="K117" s="157" t="str">
        <f t="shared" si="20"/>
        <v/>
      </c>
      <c r="L117" s="157" t="str">
        <f t="shared" si="21"/>
        <v/>
      </c>
      <c r="M117" s="157"/>
      <c r="N117" s="157" t="str">
        <f t="shared" si="22"/>
        <v/>
      </c>
      <c r="O117" s="174" t="str">
        <f>Table132[[#This Row],[Combined List]]</f>
        <v/>
      </c>
      <c r="P117" s="157">
        <v>113</v>
      </c>
      <c r="Q117" s="174" t="str">
        <f t="shared" si="27"/>
        <v/>
      </c>
      <c r="R117" s="174" t="str">
        <f t="shared" si="28"/>
        <v/>
      </c>
      <c r="S117" s="174" t="str">
        <f t="shared" si="29"/>
        <v/>
      </c>
      <c r="T117" s="174" t="str">
        <f t="shared" si="30"/>
        <v/>
      </c>
      <c r="U117" s="174" t="str">
        <f t="shared" si="30"/>
        <v/>
      </c>
      <c r="V117" s="174" t="str">
        <f t="shared" si="26"/>
        <v/>
      </c>
      <c r="W117" s="174" t="str">
        <f>_xlfn.IFNA(VLOOKUP(T:T,'Example Logframe'!$B:$G,6,FALSE),"")</f>
        <v/>
      </c>
      <c r="X117" s="174" t="str">
        <f>_xlfn.IFNA(VLOOKUP(U:U,'Example Logframe'!$B:$G,6,FALSE),"")</f>
        <v/>
      </c>
      <c r="Y117" s="174" t="str">
        <f>_xlfn.IFNA(VLOOKUP(V:V,'Example Logframe'!$B:$G,6,FALSE),"")</f>
        <v/>
      </c>
      <c r="Z117">
        <v>113</v>
      </c>
      <c r="AD117" t="str">
        <f t="shared" si="32"/>
        <v/>
      </c>
      <c r="AE117" t="str">
        <f t="shared" si="32"/>
        <v/>
      </c>
      <c r="AF117" t="str">
        <f t="shared" si="31"/>
        <v/>
      </c>
    </row>
    <row r="118" spans="1:32" x14ac:dyDescent="0.35">
      <c r="A118">
        <f>INDEX('Example Logframe'!F:F,122,1)</f>
        <v>0</v>
      </c>
      <c r="B118" s="110">
        <v>1.29</v>
      </c>
      <c r="C118" s="321" t="str">
        <f>INDEX('Example Logframe'!B:B,122,1)</f>
        <v>0</v>
      </c>
      <c r="D118" t="str">
        <f t="shared" si="23"/>
        <v/>
      </c>
      <c r="E118" t="str">
        <f t="shared" si="24"/>
        <v/>
      </c>
      <c r="F118" t="str">
        <f t="shared" si="17"/>
        <v/>
      </c>
      <c r="G118" t="str">
        <f t="shared" si="25"/>
        <v/>
      </c>
      <c r="H118" t="str">
        <f t="shared" si="18"/>
        <v/>
      </c>
      <c r="I118" s="157" t="str">
        <f t="shared" si="19"/>
        <v/>
      </c>
      <c r="J118" s="157"/>
      <c r="K118" s="157" t="str">
        <f t="shared" si="20"/>
        <v/>
      </c>
      <c r="L118" s="157" t="str">
        <f t="shared" si="21"/>
        <v/>
      </c>
      <c r="M118" s="157"/>
      <c r="N118" s="157" t="str">
        <f t="shared" si="22"/>
        <v/>
      </c>
      <c r="O118" s="174" t="str">
        <f>Table132[[#This Row],[Combined List]]</f>
        <v/>
      </c>
      <c r="P118" s="157">
        <v>114</v>
      </c>
      <c r="Q118" s="174" t="str">
        <f t="shared" si="27"/>
        <v/>
      </c>
      <c r="R118" s="174" t="str">
        <f t="shared" si="28"/>
        <v/>
      </c>
      <c r="S118" s="174" t="str">
        <f t="shared" si="29"/>
        <v/>
      </c>
      <c r="T118" s="174" t="str">
        <f t="shared" si="30"/>
        <v/>
      </c>
      <c r="U118" s="174" t="str">
        <f t="shared" si="30"/>
        <v/>
      </c>
      <c r="V118" s="174" t="str">
        <f t="shared" si="26"/>
        <v/>
      </c>
      <c r="W118" s="174" t="str">
        <f>_xlfn.IFNA(VLOOKUP(T:T,'Example Logframe'!$B:$G,6,FALSE),"")</f>
        <v/>
      </c>
      <c r="X118" s="174" t="str">
        <f>_xlfn.IFNA(VLOOKUP(U:U,'Example Logframe'!$B:$G,6,FALSE),"")</f>
        <v/>
      </c>
      <c r="Y118" s="174" t="str">
        <f>_xlfn.IFNA(VLOOKUP(V:V,'Example Logframe'!$B:$G,6,FALSE),"")</f>
        <v/>
      </c>
      <c r="Z118">
        <v>114</v>
      </c>
      <c r="AD118" t="str">
        <f t="shared" si="32"/>
        <v/>
      </c>
      <c r="AE118" t="str">
        <f t="shared" si="32"/>
        <v/>
      </c>
      <c r="AF118" t="str">
        <f t="shared" si="31"/>
        <v/>
      </c>
    </row>
    <row r="119" spans="1:32" x14ac:dyDescent="0.35">
      <c r="A119">
        <f>INDEX('Example Logframe'!F:F,123,1)</f>
        <v>0</v>
      </c>
      <c r="B119" s="110">
        <v>1.31</v>
      </c>
      <c r="C119" s="321" t="str">
        <f>INDEX('Example Logframe'!B:B,123,1)</f>
        <v>0</v>
      </c>
      <c r="D119" t="str">
        <f t="shared" si="23"/>
        <v/>
      </c>
      <c r="E119" t="str">
        <f t="shared" si="24"/>
        <v/>
      </c>
      <c r="F119" t="str">
        <f t="shared" si="17"/>
        <v/>
      </c>
      <c r="G119" t="str">
        <f t="shared" si="25"/>
        <v/>
      </c>
      <c r="H119" t="str">
        <f t="shared" si="18"/>
        <v/>
      </c>
      <c r="I119" s="157" t="str">
        <f t="shared" si="19"/>
        <v/>
      </c>
      <c r="J119" s="157"/>
      <c r="K119" s="157" t="str">
        <f t="shared" si="20"/>
        <v/>
      </c>
      <c r="L119" s="157" t="str">
        <f t="shared" si="21"/>
        <v/>
      </c>
      <c r="M119" s="157"/>
      <c r="N119" s="157" t="str">
        <f t="shared" si="22"/>
        <v/>
      </c>
      <c r="O119" s="174" t="str">
        <f>Table132[[#This Row],[Combined List]]</f>
        <v/>
      </c>
      <c r="P119" s="157">
        <v>115</v>
      </c>
      <c r="Q119" s="174" t="str">
        <f t="shared" si="27"/>
        <v/>
      </c>
      <c r="R119" s="174" t="str">
        <f t="shared" si="28"/>
        <v/>
      </c>
      <c r="S119" s="174" t="str">
        <f t="shared" si="29"/>
        <v/>
      </c>
      <c r="T119" s="174" t="str">
        <f t="shared" si="30"/>
        <v/>
      </c>
      <c r="U119" s="174" t="str">
        <f t="shared" si="30"/>
        <v/>
      </c>
      <c r="V119" s="174" t="str">
        <f t="shared" si="26"/>
        <v/>
      </c>
      <c r="W119" s="174" t="str">
        <f>_xlfn.IFNA(VLOOKUP(T:T,'Example Logframe'!$B:$G,6,FALSE),"")</f>
        <v/>
      </c>
      <c r="X119" s="174" t="str">
        <f>_xlfn.IFNA(VLOOKUP(U:U,'Example Logframe'!$B:$G,6,FALSE),"")</f>
        <v/>
      </c>
      <c r="Y119" s="174" t="str">
        <f>_xlfn.IFNA(VLOOKUP(V:V,'Example Logframe'!$B:$G,6,FALSE),"")</f>
        <v/>
      </c>
      <c r="Z119">
        <v>115</v>
      </c>
      <c r="AD119" t="str">
        <f t="shared" si="32"/>
        <v/>
      </c>
      <c r="AE119" t="str">
        <f t="shared" si="32"/>
        <v/>
      </c>
      <c r="AF119" t="str">
        <f t="shared" si="31"/>
        <v/>
      </c>
    </row>
    <row r="120" spans="1:32" x14ac:dyDescent="0.35">
      <c r="A120">
        <f>INDEX('Example Logframe'!F:F,124,1)</f>
        <v>0</v>
      </c>
      <c r="B120" s="110">
        <v>1.32</v>
      </c>
      <c r="C120" s="321" t="str">
        <f>INDEX('Example Logframe'!B:B,124,1)</f>
        <v>0</v>
      </c>
      <c r="D120" t="str">
        <f t="shared" si="23"/>
        <v/>
      </c>
      <c r="E120" t="str">
        <f t="shared" si="24"/>
        <v/>
      </c>
      <c r="F120" t="str">
        <f t="shared" si="17"/>
        <v/>
      </c>
      <c r="G120" t="str">
        <f t="shared" si="25"/>
        <v/>
      </c>
      <c r="H120" t="str">
        <f t="shared" si="18"/>
        <v/>
      </c>
      <c r="I120" s="157" t="str">
        <f t="shared" si="19"/>
        <v/>
      </c>
      <c r="J120" s="157"/>
      <c r="K120" s="157" t="str">
        <f t="shared" si="20"/>
        <v/>
      </c>
      <c r="L120" s="157" t="str">
        <f t="shared" si="21"/>
        <v/>
      </c>
      <c r="M120" s="157"/>
      <c r="N120" s="157" t="str">
        <f t="shared" si="22"/>
        <v/>
      </c>
      <c r="O120" s="174" t="str">
        <f>Table132[[#This Row],[Combined List]]</f>
        <v/>
      </c>
      <c r="P120" s="157">
        <v>116</v>
      </c>
      <c r="Q120" s="174" t="str">
        <f t="shared" si="27"/>
        <v/>
      </c>
      <c r="R120" s="174" t="str">
        <f t="shared" si="28"/>
        <v/>
      </c>
      <c r="S120" s="174" t="str">
        <f t="shared" si="29"/>
        <v/>
      </c>
      <c r="T120" s="174" t="str">
        <f t="shared" si="30"/>
        <v/>
      </c>
      <c r="U120" s="174" t="str">
        <f t="shared" si="30"/>
        <v/>
      </c>
      <c r="V120" s="174" t="str">
        <f t="shared" si="26"/>
        <v/>
      </c>
      <c r="W120" s="174" t="str">
        <f>_xlfn.IFNA(VLOOKUP(T:T,'Example Logframe'!$B:$G,6,FALSE),"")</f>
        <v/>
      </c>
      <c r="X120" s="174" t="str">
        <f>_xlfn.IFNA(VLOOKUP(U:U,'Example Logframe'!$B:$G,6,FALSE),"")</f>
        <v/>
      </c>
      <c r="Y120" s="174" t="str">
        <f>_xlfn.IFNA(VLOOKUP(V:V,'Example Logframe'!$B:$G,6,FALSE),"")</f>
        <v/>
      </c>
      <c r="Z120">
        <v>116</v>
      </c>
      <c r="AD120" t="str">
        <f t="shared" si="32"/>
        <v/>
      </c>
      <c r="AE120" t="str">
        <f t="shared" si="32"/>
        <v/>
      </c>
      <c r="AF120" t="str">
        <f t="shared" si="31"/>
        <v/>
      </c>
    </row>
    <row r="121" spans="1:32" x14ac:dyDescent="0.35">
      <c r="A121">
        <f>INDEX('Example Logframe'!F:F,125,1)</f>
        <v>0</v>
      </c>
      <c r="B121" s="110">
        <v>1.33</v>
      </c>
      <c r="C121" s="321" t="str">
        <f>INDEX('Example Logframe'!B:B,125,1)</f>
        <v>0</v>
      </c>
      <c r="D121" t="str">
        <f t="shared" si="23"/>
        <v/>
      </c>
      <c r="E121" t="str">
        <f t="shared" si="24"/>
        <v/>
      </c>
      <c r="F121" t="str">
        <f t="shared" si="17"/>
        <v/>
      </c>
      <c r="G121" t="str">
        <f t="shared" si="25"/>
        <v/>
      </c>
      <c r="H121" t="str">
        <f t="shared" si="18"/>
        <v/>
      </c>
      <c r="I121" s="157" t="str">
        <f t="shared" si="19"/>
        <v/>
      </c>
      <c r="J121" s="157"/>
      <c r="K121" s="157" t="str">
        <f t="shared" si="20"/>
        <v/>
      </c>
      <c r="L121" s="157" t="str">
        <f t="shared" si="21"/>
        <v/>
      </c>
      <c r="M121" s="157"/>
      <c r="N121" s="157" t="str">
        <f t="shared" si="22"/>
        <v/>
      </c>
      <c r="O121" s="174" t="str">
        <f>Table132[[#This Row],[Combined List]]</f>
        <v/>
      </c>
      <c r="P121" s="157">
        <v>117</v>
      </c>
      <c r="Q121" s="174" t="str">
        <f t="shared" si="27"/>
        <v/>
      </c>
      <c r="R121" s="174" t="str">
        <f t="shared" si="28"/>
        <v/>
      </c>
      <c r="S121" s="174" t="str">
        <f t="shared" si="29"/>
        <v/>
      </c>
      <c r="T121" s="174" t="str">
        <f t="shared" si="30"/>
        <v/>
      </c>
      <c r="U121" s="174" t="str">
        <f t="shared" si="30"/>
        <v/>
      </c>
      <c r="V121" s="174" t="str">
        <f t="shared" si="26"/>
        <v/>
      </c>
      <c r="W121" s="174" t="str">
        <f>_xlfn.IFNA(VLOOKUP(T:T,'Example Logframe'!$B:$G,6,FALSE),"")</f>
        <v/>
      </c>
      <c r="X121" s="174" t="str">
        <f>_xlfn.IFNA(VLOOKUP(U:U,'Example Logframe'!$B:$G,6,FALSE),"")</f>
        <v/>
      </c>
      <c r="Y121" s="174" t="str">
        <f>_xlfn.IFNA(VLOOKUP(V:V,'Example Logframe'!$B:$G,6,FALSE),"")</f>
        <v/>
      </c>
      <c r="Z121">
        <v>117</v>
      </c>
      <c r="AD121" t="str">
        <f t="shared" si="32"/>
        <v/>
      </c>
      <c r="AE121" t="str">
        <f t="shared" si="32"/>
        <v/>
      </c>
      <c r="AF121" t="str">
        <f t="shared" si="31"/>
        <v/>
      </c>
    </row>
    <row r="122" spans="1:32" x14ac:dyDescent="0.35">
      <c r="A122">
        <f>INDEX('Example Logframe'!F:F,126,1)</f>
        <v>0</v>
      </c>
      <c r="B122" s="110">
        <v>1.34</v>
      </c>
      <c r="C122" s="321" t="str">
        <f>INDEX('Example Logframe'!B:B,126,1)</f>
        <v>0</v>
      </c>
      <c r="D122" t="str">
        <f t="shared" si="23"/>
        <v/>
      </c>
      <c r="E122" t="str">
        <f t="shared" si="24"/>
        <v/>
      </c>
      <c r="F122" t="str">
        <f t="shared" si="17"/>
        <v/>
      </c>
      <c r="G122" t="str">
        <f t="shared" si="25"/>
        <v/>
      </c>
      <c r="H122" t="str">
        <f t="shared" si="18"/>
        <v/>
      </c>
      <c r="I122" s="157" t="str">
        <f t="shared" si="19"/>
        <v/>
      </c>
      <c r="J122" s="157"/>
      <c r="K122" s="157" t="str">
        <f t="shared" si="20"/>
        <v/>
      </c>
      <c r="L122" s="157" t="str">
        <f t="shared" si="21"/>
        <v/>
      </c>
      <c r="M122" s="157"/>
      <c r="N122" s="157" t="str">
        <f t="shared" si="22"/>
        <v/>
      </c>
      <c r="O122" s="174" t="str">
        <f>Table132[[#This Row],[Combined List]]</f>
        <v/>
      </c>
      <c r="P122" s="157">
        <v>118</v>
      </c>
      <c r="Q122" s="174" t="str">
        <f t="shared" si="27"/>
        <v/>
      </c>
      <c r="R122" s="174" t="str">
        <f t="shared" si="28"/>
        <v/>
      </c>
      <c r="S122" s="174" t="str">
        <f t="shared" si="29"/>
        <v/>
      </c>
      <c r="T122" s="174" t="str">
        <f t="shared" si="30"/>
        <v/>
      </c>
      <c r="U122" s="174" t="str">
        <f t="shared" si="30"/>
        <v/>
      </c>
      <c r="V122" s="174" t="str">
        <f t="shared" si="26"/>
        <v/>
      </c>
      <c r="W122" s="174" t="str">
        <f>_xlfn.IFNA(VLOOKUP(T:T,'Example Logframe'!$B:$G,6,FALSE),"")</f>
        <v/>
      </c>
      <c r="X122" s="174" t="str">
        <f>_xlfn.IFNA(VLOOKUP(U:U,'Example Logframe'!$B:$G,6,FALSE),"")</f>
        <v/>
      </c>
      <c r="Y122" s="174" t="str">
        <f>_xlfn.IFNA(VLOOKUP(V:V,'Example Logframe'!$B:$G,6,FALSE),"")</f>
        <v/>
      </c>
      <c r="Z122">
        <v>118</v>
      </c>
      <c r="AD122" t="str">
        <f t="shared" si="32"/>
        <v/>
      </c>
      <c r="AE122" t="str">
        <f t="shared" si="32"/>
        <v/>
      </c>
      <c r="AF122" t="str">
        <f t="shared" si="31"/>
        <v/>
      </c>
    </row>
    <row r="123" spans="1:32" x14ac:dyDescent="0.35">
      <c r="A123">
        <f>INDEX('Example Logframe'!F:F,127,1)</f>
        <v>0</v>
      </c>
      <c r="B123" s="110">
        <v>1.35</v>
      </c>
      <c r="C123" s="321" t="str">
        <f>INDEX('Example Logframe'!B:B,127,1)</f>
        <v>0</v>
      </c>
      <c r="D123" t="str">
        <f t="shared" si="23"/>
        <v/>
      </c>
      <c r="E123" t="str">
        <f t="shared" si="24"/>
        <v/>
      </c>
      <c r="F123" t="str">
        <f t="shared" si="17"/>
        <v/>
      </c>
      <c r="G123" t="str">
        <f t="shared" si="25"/>
        <v/>
      </c>
      <c r="H123" t="str">
        <f t="shared" si="18"/>
        <v/>
      </c>
      <c r="I123" s="157" t="str">
        <f t="shared" si="19"/>
        <v/>
      </c>
      <c r="J123" s="157"/>
      <c r="K123" s="157" t="str">
        <f t="shared" si="20"/>
        <v/>
      </c>
      <c r="L123" s="157" t="str">
        <f t="shared" si="21"/>
        <v/>
      </c>
      <c r="M123" s="157"/>
      <c r="N123" s="157" t="str">
        <f t="shared" si="22"/>
        <v/>
      </c>
      <c r="O123" s="174" t="str">
        <f>Table132[[#This Row],[Combined List]]</f>
        <v/>
      </c>
      <c r="P123" s="157">
        <v>119</v>
      </c>
      <c r="Q123" s="174" t="str">
        <f t="shared" si="27"/>
        <v/>
      </c>
      <c r="R123" s="174" t="str">
        <f t="shared" si="28"/>
        <v/>
      </c>
      <c r="S123" s="174" t="str">
        <f t="shared" si="29"/>
        <v/>
      </c>
      <c r="T123" s="174" t="str">
        <f t="shared" si="30"/>
        <v/>
      </c>
      <c r="U123" s="174" t="str">
        <f t="shared" si="30"/>
        <v/>
      </c>
      <c r="V123" s="174" t="str">
        <f t="shared" si="26"/>
        <v/>
      </c>
      <c r="W123" s="174" t="str">
        <f>_xlfn.IFNA(VLOOKUP(T:T,'Example Logframe'!$B:$G,6,FALSE),"")</f>
        <v/>
      </c>
      <c r="X123" s="174" t="str">
        <f>_xlfn.IFNA(VLOOKUP(U:U,'Example Logframe'!$B:$G,6,FALSE),"")</f>
        <v/>
      </c>
      <c r="Y123" s="174" t="str">
        <f>_xlfn.IFNA(VLOOKUP(V:V,'Example Logframe'!$B:$G,6,FALSE),"")</f>
        <v/>
      </c>
      <c r="Z123">
        <v>119</v>
      </c>
      <c r="AD123" t="str">
        <f t="shared" si="32"/>
        <v/>
      </c>
      <c r="AE123" t="str">
        <f t="shared" si="32"/>
        <v/>
      </c>
      <c r="AF123" t="str">
        <f t="shared" si="31"/>
        <v/>
      </c>
    </row>
    <row r="124" spans="1:32" x14ac:dyDescent="0.35">
      <c r="A124">
        <f>INDEX('Example Logframe'!F:F,128,1)</f>
        <v>0</v>
      </c>
      <c r="B124" s="110">
        <v>1.36</v>
      </c>
      <c r="C124" s="321" t="str">
        <f>INDEX('Example Logframe'!B:B,128,1)</f>
        <v>0</v>
      </c>
      <c r="D124" t="str">
        <f t="shared" si="23"/>
        <v/>
      </c>
      <c r="E124" t="str">
        <f t="shared" si="24"/>
        <v/>
      </c>
      <c r="F124" t="str">
        <f t="shared" si="17"/>
        <v/>
      </c>
      <c r="G124" t="str">
        <f t="shared" si="25"/>
        <v/>
      </c>
      <c r="H124" t="str">
        <f t="shared" si="18"/>
        <v/>
      </c>
      <c r="I124" s="157" t="str">
        <f t="shared" si="19"/>
        <v/>
      </c>
      <c r="J124" s="157"/>
      <c r="K124" s="157" t="str">
        <f t="shared" si="20"/>
        <v/>
      </c>
      <c r="L124" s="157" t="str">
        <f t="shared" si="21"/>
        <v/>
      </c>
      <c r="M124" s="157"/>
      <c r="N124" s="157" t="str">
        <f t="shared" si="22"/>
        <v/>
      </c>
      <c r="O124" s="174" t="str">
        <f>Table132[[#This Row],[Combined List]]</f>
        <v/>
      </c>
      <c r="P124" s="157">
        <v>120</v>
      </c>
      <c r="Q124" s="174" t="str">
        <f t="shared" si="27"/>
        <v/>
      </c>
      <c r="R124" s="174" t="str">
        <f t="shared" si="28"/>
        <v/>
      </c>
      <c r="S124" s="174" t="str">
        <f t="shared" si="29"/>
        <v/>
      </c>
      <c r="T124" s="174" t="str">
        <f t="shared" si="30"/>
        <v/>
      </c>
      <c r="U124" s="174" t="str">
        <f t="shared" si="30"/>
        <v/>
      </c>
      <c r="V124" s="174" t="str">
        <f t="shared" si="26"/>
        <v/>
      </c>
      <c r="W124" s="174" t="str">
        <f>_xlfn.IFNA(VLOOKUP(T:T,'Example Logframe'!$B:$G,6,FALSE),"")</f>
        <v/>
      </c>
      <c r="X124" s="174" t="str">
        <f>_xlfn.IFNA(VLOOKUP(U:U,'Example Logframe'!$B:$G,6,FALSE),"")</f>
        <v/>
      </c>
      <c r="Y124" s="174" t="str">
        <f>_xlfn.IFNA(VLOOKUP(V:V,'Example Logframe'!$B:$G,6,FALSE),"")</f>
        <v/>
      </c>
      <c r="Z124">
        <v>120</v>
      </c>
      <c r="AD124" t="str">
        <f t="shared" si="32"/>
        <v/>
      </c>
      <c r="AE124" t="str">
        <f t="shared" si="32"/>
        <v/>
      </c>
      <c r="AF124" t="str">
        <f t="shared" si="31"/>
        <v/>
      </c>
    </row>
    <row r="125" spans="1:32" x14ac:dyDescent="0.35">
      <c r="A125">
        <f>INDEX('Example Logframe'!F:F,129,1)</f>
        <v>0</v>
      </c>
      <c r="B125" s="110">
        <v>1.37</v>
      </c>
      <c r="C125" s="321" t="str">
        <f>INDEX('Example Logframe'!B:B,129,1)</f>
        <v>0</v>
      </c>
      <c r="D125" t="str">
        <f t="shared" si="23"/>
        <v/>
      </c>
      <c r="E125" t="str">
        <f t="shared" si="24"/>
        <v/>
      </c>
      <c r="F125" t="str">
        <f t="shared" si="17"/>
        <v/>
      </c>
      <c r="G125" t="str">
        <f t="shared" si="25"/>
        <v/>
      </c>
      <c r="H125" t="str">
        <f t="shared" si="18"/>
        <v/>
      </c>
      <c r="I125" s="157" t="str">
        <f t="shared" si="19"/>
        <v/>
      </c>
      <c r="J125" s="157"/>
      <c r="K125" s="157" t="str">
        <f t="shared" si="20"/>
        <v/>
      </c>
      <c r="L125" s="157" t="str">
        <f t="shared" si="21"/>
        <v/>
      </c>
      <c r="M125" s="157"/>
      <c r="N125" s="157" t="str">
        <f t="shared" si="22"/>
        <v/>
      </c>
      <c r="O125" s="174" t="str">
        <f>Table132[[#This Row],[Combined List]]</f>
        <v/>
      </c>
      <c r="P125" s="157">
        <v>121</v>
      </c>
      <c r="Q125" s="174" t="str">
        <f t="shared" si="27"/>
        <v/>
      </c>
      <c r="R125" s="174" t="str">
        <f t="shared" si="28"/>
        <v/>
      </c>
      <c r="S125" s="174" t="str">
        <f t="shared" si="29"/>
        <v/>
      </c>
      <c r="T125" s="174" t="str">
        <f t="shared" si="30"/>
        <v/>
      </c>
      <c r="U125" s="174" t="str">
        <f t="shared" si="30"/>
        <v/>
      </c>
      <c r="V125" s="174" t="str">
        <f t="shared" si="26"/>
        <v/>
      </c>
      <c r="W125" s="174" t="str">
        <f>_xlfn.IFNA(VLOOKUP(T:T,'Example Logframe'!$B:$G,6,FALSE),"")</f>
        <v/>
      </c>
      <c r="X125" s="174" t="str">
        <f>_xlfn.IFNA(VLOOKUP(U:U,'Example Logframe'!$B:$G,6,FALSE),"")</f>
        <v/>
      </c>
      <c r="Y125" s="174" t="str">
        <f>_xlfn.IFNA(VLOOKUP(V:V,'Example Logframe'!$B:$G,6,FALSE),"")</f>
        <v/>
      </c>
      <c r="Z125">
        <v>121</v>
      </c>
      <c r="AD125" t="str">
        <f t="shared" si="32"/>
        <v/>
      </c>
      <c r="AE125" t="str">
        <f t="shared" si="32"/>
        <v/>
      </c>
      <c r="AF125" t="str">
        <f t="shared" si="31"/>
        <v/>
      </c>
    </row>
    <row r="126" spans="1:32" x14ac:dyDescent="0.35">
      <c r="A126">
        <f>INDEX('Example Logframe'!F:F,130,1)</f>
        <v>0</v>
      </c>
      <c r="B126" s="110">
        <v>1.38</v>
      </c>
      <c r="C126" s="321" t="str">
        <f>INDEX('Example Logframe'!B:B,130,1)</f>
        <v>0</v>
      </c>
      <c r="D126" t="str">
        <f t="shared" si="23"/>
        <v/>
      </c>
      <c r="E126" t="str">
        <f t="shared" si="24"/>
        <v/>
      </c>
      <c r="F126" t="str">
        <f t="shared" si="17"/>
        <v/>
      </c>
      <c r="G126" t="str">
        <f t="shared" si="25"/>
        <v/>
      </c>
      <c r="H126" t="str">
        <f t="shared" si="18"/>
        <v/>
      </c>
      <c r="I126" s="157" t="str">
        <f t="shared" si="19"/>
        <v/>
      </c>
      <c r="J126" s="157"/>
      <c r="K126" s="157" t="str">
        <f t="shared" si="20"/>
        <v/>
      </c>
      <c r="L126" s="157" t="str">
        <f t="shared" si="21"/>
        <v/>
      </c>
      <c r="M126" s="157"/>
      <c r="N126" s="157" t="str">
        <f t="shared" si="22"/>
        <v/>
      </c>
      <c r="O126" s="174" t="str">
        <f>Table132[[#This Row],[Combined List]]</f>
        <v/>
      </c>
      <c r="P126" s="157">
        <v>122</v>
      </c>
      <c r="Q126" s="174" t="str">
        <f t="shared" si="27"/>
        <v/>
      </c>
      <c r="R126" s="174" t="str">
        <f t="shared" si="28"/>
        <v/>
      </c>
      <c r="S126" s="174" t="str">
        <f t="shared" si="29"/>
        <v/>
      </c>
      <c r="T126" s="174" t="str">
        <f t="shared" si="30"/>
        <v/>
      </c>
      <c r="U126" s="174" t="str">
        <f t="shared" si="30"/>
        <v/>
      </c>
      <c r="V126" s="174" t="str">
        <f t="shared" si="26"/>
        <v/>
      </c>
      <c r="W126" s="174" t="str">
        <f>_xlfn.IFNA(VLOOKUP(T:T,'Example Logframe'!$B:$G,6,FALSE),"")</f>
        <v/>
      </c>
      <c r="X126" s="174" t="str">
        <f>_xlfn.IFNA(VLOOKUP(U:U,'Example Logframe'!$B:$G,6,FALSE),"")</f>
        <v/>
      </c>
      <c r="Y126" s="174" t="str">
        <f>_xlfn.IFNA(VLOOKUP(V:V,'Example Logframe'!$B:$G,6,FALSE),"")</f>
        <v/>
      </c>
      <c r="Z126">
        <v>122</v>
      </c>
      <c r="AD126" t="str">
        <f t="shared" si="32"/>
        <v/>
      </c>
      <c r="AE126" t="str">
        <f t="shared" si="32"/>
        <v/>
      </c>
      <c r="AF126" t="str">
        <f t="shared" si="31"/>
        <v/>
      </c>
    </row>
    <row r="127" spans="1:32" x14ac:dyDescent="0.35">
      <c r="A127">
        <f>INDEX('Example Logframe'!F:F,131,1)</f>
        <v>0</v>
      </c>
      <c r="B127" s="110">
        <v>1.39</v>
      </c>
      <c r="C127" s="321" t="str">
        <f>INDEX('Example Logframe'!B:B,131,1)</f>
        <v>0</v>
      </c>
      <c r="D127" t="str">
        <f t="shared" si="23"/>
        <v/>
      </c>
      <c r="E127" t="str">
        <f t="shared" si="24"/>
        <v/>
      </c>
      <c r="F127" t="str">
        <f t="shared" si="17"/>
        <v/>
      </c>
      <c r="G127" t="str">
        <f t="shared" si="25"/>
        <v/>
      </c>
      <c r="H127" t="str">
        <f t="shared" si="18"/>
        <v/>
      </c>
      <c r="I127" s="157" t="str">
        <f t="shared" si="19"/>
        <v/>
      </c>
      <c r="J127" s="157"/>
      <c r="K127" s="157" t="str">
        <f t="shared" si="20"/>
        <v/>
      </c>
      <c r="L127" s="157" t="str">
        <f t="shared" si="21"/>
        <v/>
      </c>
      <c r="M127" s="157"/>
      <c r="N127" s="157" t="str">
        <f t="shared" si="22"/>
        <v/>
      </c>
      <c r="O127" s="174" t="str">
        <f>Table132[[#This Row],[Combined List]]</f>
        <v/>
      </c>
      <c r="P127" s="157">
        <v>123</v>
      </c>
      <c r="Q127" s="174" t="str">
        <f t="shared" si="27"/>
        <v/>
      </c>
      <c r="R127" s="174" t="str">
        <f t="shared" si="28"/>
        <v/>
      </c>
      <c r="S127" s="174" t="str">
        <f t="shared" si="29"/>
        <v/>
      </c>
      <c r="T127" s="174" t="str">
        <f t="shared" si="30"/>
        <v/>
      </c>
      <c r="U127" s="174" t="str">
        <f t="shared" si="30"/>
        <v/>
      </c>
      <c r="V127" s="174" t="str">
        <f t="shared" si="26"/>
        <v/>
      </c>
      <c r="W127" s="174" t="str">
        <f>_xlfn.IFNA(VLOOKUP(T:T,'Example Logframe'!$B:$G,6,FALSE),"")</f>
        <v/>
      </c>
      <c r="X127" s="174" t="str">
        <f>_xlfn.IFNA(VLOOKUP(U:U,'Example Logframe'!$B:$G,6,FALSE),"")</f>
        <v/>
      </c>
      <c r="Y127" s="174" t="str">
        <f>_xlfn.IFNA(VLOOKUP(V:V,'Example Logframe'!$B:$G,6,FALSE),"")</f>
        <v/>
      </c>
      <c r="Z127">
        <v>123</v>
      </c>
      <c r="AD127" t="str">
        <f t="shared" si="32"/>
        <v/>
      </c>
      <c r="AE127" t="str">
        <f t="shared" si="32"/>
        <v/>
      </c>
      <c r="AF127" t="str">
        <f t="shared" si="31"/>
        <v/>
      </c>
    </row>
    <row r="128" spans="1:32" x14ac:dyDescent="0.35">
      <c r="A128">
        <f>INDEX('Example Logframe'!F:F,132,1)</f>
        <v>0</v>
      </c>
      <c r="B128" s="110">
        <v>1.41</v>
      </c>
      <c r="C128" s="321" t="str">
        <f>INDEX('Example Logframe'!B:B,132,1)</f>
        <v>0</v>
      </c>
      <c r="D128" t="str">
        <f t="shared" si="23"/>
        <v/>
      </c>
      <c r="E128" t="str">
        <f t="shared" si="24"/>
        <v/>
      </c>
      <c r="F128" t="str">
        <f t="shared" si="17"/>
        <v/>
      </c>
      <c r="G128" t="str">
        <f t="shared" si="25"/>
        <v/>
      </c>
      <c r="H128" t="str">
        <f t="shared" si="18"/>
        <v/>
      </c>
      <c r="I128" s="157" t="str">
        <f t="shared" si="19"/>
        <v/>
      </c>
      <c r="J128" s="157"/>
      <c r="K128" s="157" t="str">
        <f t="shared" si="20"/>
        <v/>
      </c>
      <c r="L128" s="157" t="str">
        <f t="shared" si="21"/>
        <v/>
      </c>
      <c r="M128" s="157"/>
      <c r="N128" s="157" t="str">
        <f t="shared" si="22"/>
        <v/>
      </c>
      <c r="O128" s="174" t="str">
        <f>Table132[[#This Row],[Combined List]]</f>
        <v/>
      </c>
      <c r="P128" s="157">
        <v>124</v>
      </c>
      <c r="Q128" s="174" t="str">
        <f t="shared" si="27"/>
        <v/>
      </c>
      <c r="R128" s="174" t="str">
        <f t="shared" si="28"/>
        <v/>
      </c>
      <c r="S128" s="174" t="str">
        <f t="shared" si="29"/>
        <v/>
      </c>
      <c r="T128" s="174" t="str">
        <f t="shared" si="30"/>
        <v/>
      </c>
      <c r="U128" s="174" t="str">
        <f t="shared" si="30"/>
        <v/>
      </c>
      <c r="V128" s="174" t="str">
        <f t="shared" si="26"/>
        <v/>
      </c>
      <c r="W128" s="174" t="str">
        <f>_xlfn.IFNA(VLOOKUP(T:T,'Example Logframe'!$B:$G,6,FALSE),"")</f>
        <v/>
      </c>
      <c r="X128" s="174" t="str">
        <f>_xlfn.IFNA(VLOOKUP(U:U,'Example Logframe'!$B:$G,6,FALSE),"")</f>
        <v/>
      </c>
      <c r="Y128" s="174" t="str">
        <f>_xlfn.IFNA(VLOOKUP(V:V,'Example Logframe'!$B:$G,6,FALSE),"")</f>
        <v/>
      </c>
      <c r="Z128">
        <v>124</v>
      </c>
      <c r="AD128" t="str">
        <f t="shared" si="32"/>
        <v/>
      </c>
      <c r="AE128" t="str">
        <f t="shared" si="32"/>
        <v/>
      </c>
      <c r="AF128" t="str">
        <f t="shared" si="31"/>
        <v/>
      </c>
    </row>
    <row r="129" spans="1:32" x14ac:dyDescent="0.35">
      <c r="A129">
        <f>INDEX('Example Logframe'!F:F,133,1)</f>
        <v>0</v>
      </c>
      <c r="B129" s="110">
        <v>1.42</v>
      </c>
      <c r="C129" s="321" t="str">
        <f>INDEX('Example Logframe'!B:B,133,1)</f>
        <v>0</v>
      </c>
      <c r="D129" t="str">
        <f t="shared" si="23"/>
        <v/>
      </c>
      <c r="E129" t="str">
        <f t="shared" si="24"/>
        <v/>
      </c>
      <c r="F129" t="str">
        <f t="shared" si="17"/>
        <v/>
      </c>
      <c r="G129" t="str">
        <f t="shared" si="25"/>
        <v/>
      </c>
      <c r="H129" t="str">
        <f t="shared" si="18"/>
        <v/>
      </c>
      <c r="I129" s="157" t="str">
        <f t="shared" si="19"/>
        <v/>
      </c>
      <c r="J129" s="157"/>
      <c r="K129" s="157" t="str">
        <f t="shared" si="20"/>
        <v/>
      </c>
      <c r="L129" s="157" t="str">
        <f t="shared" si="21"/>
        <v/>
      </c>
      <c r="M129" s="157"/>
      <c r="N129" s="157" t="str">
        <f t="shared" si="22"/>
        <v/>
      </c>
      <c r="O129" s="174" t="str">
        <f>Table132[[#This Row],[Combined List]]</f>
        <v/>
      </c>
      <c r="P129" s="157">
        <v>125</v>
      </c>
      <c r="Q129" s="174" t="str">
        <f t="shared" si="27"/>
        <v/>
      </c>
      <c r="R129" s="174" t="str">
        <f t="shared" si="28"/>
        <v/>
      </c>
      <c r="S129" s="174" t="str">
        <f t="shared" si="29"/>
        <v/>
      </c>
      <c r="T129" s="174" t="str">
        <f t="shared" si="30"/>
        <v/>
      </c>
      <c r="U129" s="174" t="str">
        <f t="shared" si="30"/>
        <v/>
      </c>
      <c r="V129" s="174" t="str">
        <f t="shared" si="26"/>
        <v/>
      </c>
      <c r="W129" s="174" t="str">
        <f>_xlfn.IFNA(VLOOKUP(T:T,'Example Logframe'!$B:$G,6,FALSE),"")</f>
        <v/>
      </c>
      <c r="X129" s="174" t="str">
        <f>_xlfn.IFNA(VLOOKUP(U:U,'Example Logframe'!$B:$G,6,FALSE),"")</f>
        <v/>
      </c>
      <c r="Y129" s="174" t="str">
        <f>_xlfn.IFNA(VLOOKUP(V:V,'Example Logframe'!$B:$G,6,FALSE),"")</f>
        <v/>
      </c>
      <c r="Z129">
        <v>125</v>
      </c>
      <c r="AD129" t="str">
        <f t="shared" si="32"/>
        <v/>
      </c>
      <c r="AE129" t="str">
        <f t="shared" si="32"/>
        <v/>
      </c>
      <c r="AF129" t="str">
        <f t="shared" si="31"/>
        <v/>
      </c>
    </row>
    <row r="130" spans="1:32" x14ac:dyDescent="0.35">
      <c r="A130">
        <f>INDEX('Example Logframe'!F:F,134,1)</f>
        <v>0</v>
      </c>
      <c r="B130" s="110">
        <v>1.43</v>
      </c>
      <c r="C130" s="321" t="str">
        <f>INDEX('Example Logframe'!B:B,134,1)</f>
        <v>0</v>
      </c>
      <c r="D130" t="str">
        <f t="shared" si="23"/>
        <v/>
      </c>
      <c r="E130" t="str">
        <f t="shared" si="24"/>
        <v/>
      </c>
      <c r="F130" t="str">
        <f t="shared" ref="F130:F193" si="33">IF(ISNUMBER(SEARCH("Code",A:A)),"",IF(LEN(A130)=4,A130,""))</f>
        <v/>
      </c>
      <c r="G130" t="str">
        <f t="shared" si="25"/>
        <v/>
      </c>
      <c r="H130" t="str">
        <f t="shared" ref="H130:H193" si="34">IF(LEN(A130)=5,A130,"")</f>
        <v/>
      </c>
      <c r="I130" s="157" t="str">
        <f t="shared" ref="I130:I193" si="35">CONCATENATE(F:F,G:G,H:H)</f>
        <v/>
      </c>
      <c r="J130" s="157"/>
      <c r="K130" s="157" t="str">
        <f t="shared" ref="K130:K193" si="36">IF(LEN(CONCATENATE(B:B,D:D))&gt;4,CONCATENATE(B:B,D:D),"")</f>
        <v/>
      </c>
      <c r="L130" s="157" t="str">
        <f t="shared" ref="L130:L193" si="37">IF(LEN(CONCATENATE(B:B,E:E))&gt;4,CONCATENATE(B:B,E:E),"")</f>
        <v/>
      </c>
      <c r="M130" s="157"/>
      <c r="N130" s="157" t="str">
        <f t="shared" ref="N130:N193" si="38">IF(LEN(CONCATENATE(B:B,I:I))&gt;4,CONCATENATE(B:B,I:I),"")</f>
        <v/>
      </c>
      <c r="O130" s="174" t="str">
        <f>Table132[[#This Row],[Combined List]]</f>
        <v/>
      </c>
      <c r="P130" s="157">
        <v>126</v>
      </c>
      <c r="Q130" s="174" t="str">
        <f t="shared" si="27"/>
        <v/>
      </c>
      <c r="R130" s="174" t="str">
        <f t="shared" si="28"/>
        <v/>
      </c>
      <c r="S130" s="174" t="str">
        <f t="shared" si="29"/>
        <v/>
      </c>
      <c r="T130" s="174" t="str">
        <f t="shared" si="30"/>
        <v/>
      </c>
      <c r="U130" s="174" t="str">
        <f t="shared" si="30"/>
        <v/>
      </c>
      <c r="V130" s="174" t="str">
        <f t="shared" si="26"/>
        <v/>
      </c>
      <c r="W130" s="174" t="str">
        <f>_xlfn.IFNA(VLOOKUP(T:T,'Example Logframe'!$B:$G,6,FALSE),"")</f>
        <v/>
      </c>
      <c r="X130" s="174" t="str">
        <f>_xlfn.IFNA(VLOOKUP(U:U,'Example Logframe'!$B:$G,6,FALSE),"")</f>
        <v/>
      </c>
      <c r="Y130" s="174" t="str">
        <f>_xlfn.IFNA(VLOOKUP(V:V,'Example Logframe'!$B:$G,6,FALSE),"")</f>
        <v/>
      </c>
      <c r="Z130">
        <v>126</v>
      </c>
      <c r="AD130" t="str">
        <f t="shared" si="32"/>
        <v/>
      </c>
      <c r="AE130" t="str">
        <f t="shared" si="32"/>
        <v/>
      </c>
      <c r="AF130" t="str">
        <f t="shared" si="31"/>
        <v/>
      </c>
    </row>
    <row r="131" spans="1:32" x14ac:dyDescent="0.35">
      <c r="A131">
        <f>INDEX('Example Logframe'!F:F,135,1)</f>
        <v>0</v>
      </c>
      <c r="B131" s="110">
        <v>1.44</v>
      </c>
      <c r="C131" s="321" t="str">
        <f>INDEX('Example Logframe'!B:B,135,1)</f>
        <v>0</v>
      </c>
      <c r="D131" t="str">
        <f t="shared" ref="D131:D194" si="39">IF(LEFT(A131,1)="B",A131,"")</f>
        <v/>
      </c>
      <c r="E131" t="str">
        <f t="shared" ref="E131:E194" si="40">IF(LEN(IF(LEFT(A131,1)="P",A131,""))=7,IF(LEFT(A131,1)="P",A131,""),"")</f>
        <v/>
      </c>
      <c r="F131" t="str">
        <f t="shared" si="33"/>
        <v/>
      </c>
      <c r="G131" t="str">
        <f t="shared" ref="G131:G194" si="41">IF(LEN(A131)=3,A131,"")</f>
        <v/>
      </c>
      <c r="H131" t="str">
        <f t="shared" si="34"/>
        <v/>
      </c>
      <c r="I131" s="157" t="str">
        <f t="shared" si="35"/>
        <v/>
      </c>
      <c r="J131" s="157"/>
      <c r="K131" s="157" t="str">
        <f t="shared" si="36"/>
        <v/>
      </c>
      <c r="L131" s="157" t="str">
        <f t="shared" si="37"/>
        <v/>
      </c>
      <c r="M131" s="157"/>
      <c r="N131" s="157" t="str">
        <f t="shared" si="38"/>
        <v/>
      </c>
      <c r="O131" s="174" t="str">
        <f>Table132[[#This Row],[Combined List]]</f>
        <v/>
      </c>
      <c r="P131" s="157">
        <v>127</v>
      </c>
      <c r="Q131" s="174" t="str">
        <f t="shared" si="27"/>
        <v/>
      </c>
      <c r="R131" s="174" t="str">
        <f t="shared" si="28"/>
        <v/>
      </c>
      <c r="S131" s="174" t="str">
        <f t="shared" si="29"/>
        <v/>
      </c>
      <c r="T131" s="174" t="str">
        <f t="shared" si="30"/>
        <v/>
      </c>
      <c r="U131" s="174" t="str">
        <f t="shared" si="30"/>
        <v/>
      </c>
      <c r="V131" s="174" t="str">
        <f t="shared" si="26"/>
        <v/>
      </c>
      <c r="W131" s="174" t="str">
        <f>_xlfn.IFNA(VLOOKUP(T:T,'Example Logframe'!$B:$G,6,FALSE),"")</f>
        <v/>
      </c>
      <c r="X131" s="174" t="str">
        <f>_xlfn.IFNA(VLOOKUP(U:U,'Example Logframe'!$B:$G,6,FALSE),"")</f>
        <v/>
      </c>
      <c r="Y131" s="174" t="str">
        <f>_xlfn.IFNA(VLOOKUP(V:V,'Example Logframe'!$B:$G,6,FALSE),"")</f>
        <v/>
      </c>
      <c r="Z131">
        <v>127</v>
      </c>
      <c r="AD131" t="str">
        <f t="shared" si="32"/>
        <v/>
      </c>
      <c r="AE131" t="str">
        <f t="shared" si="32"/>
        <v/>
      </c>
      <c r="AF131" t="str">
        <f t="shared" si="31"/>
        <v/>
      </c>
    </row>
    <row r="132" spans="1:32" x14ac:dyDescent="0.35">
      <c r="A132">
        <f>INDEX('Example Logframe'!F:F,136,1)</f>
        <v>0</v>
      </c>
      <c r="B132" s="110">
        <v>1.45</v>
      </c>
      <c r="C132" s="321" t="str">
        <f>INDEX('Example Logframe'!B:B,136,1)</f>
        <v>0</v>
      </c>
      <c r="D132" t="str">
        <f t="shared" si="39"/>
        <v/>
      </c>
      <c r="E132" t="str">
        <f t="shared" si="40"/>
        <v/>
      </c>
      <c r="F132" t="str">
        <f t="shared" si="33"/>
        <v/>
      </c>
      <c r="G132" t="str">
        <f t="shared" si="41"/>
        <v/>
      </c>
      <c r="H132" t="str">
        <f t="shared" si="34"/>
        <v/>
      </c>
      <c r="I132" s="157" t="str">
        <f t="shared" si="35"/>
        <v/>
      </c>
      <c r="J132" s="157"/>
      <c r="K132" s="157" t="str">
        <f t="shared" si="36"/>
        <v/>
      </c>
      <c r="L132" s="157" t="str">
        <f t="shared" si="37"/>
        <v/>
      </c>
      <c r="M132" s="157"/>
      <c r="N132" s="157" t="str">
        <f t="shared" si="38"/>
        <v/>
      </c>
      <c r="O132" s="174" t="str">
        <f>Table132[[#This Row],[Combined List]]</f>
        <v/>
      </c>
      <c r="P132" s="157">
        <v>128</v>
      </c>
      <c r="Q132" s="174" t="str">
        <f t="shared" si="27"/>
        <v/>
      </c>
      <c r="R132" s="174" t="str">
        <f t="shared" si="28"/>
        <v/>
      </c>
      <c r="S132" s="174" t="str">
        <f t="shared" si="29"/>
        <v/>
      </c>
      <c r="T132" s="174" t="str">
        <f t="shared" si="30"/>
        <v/>
      </c>
      <c r="U132" s="174" t="str">
        <f t="shared" si="30"/>
        <v/>
      </c>
      <c r="V132" s="174" t="str">
        <f t="shared" si="26"/>
        <v/>
      </c>
      <c r="W132" s="174" t="str">
        <f>_xlfn.IFNA(VLOOKUP(T:T,'Example Logframe'!$B:$G,6,FALSE),"")</f>
        <v/>
      </c>
      <c r="X132" s="174" t="str">
        <f>_xlfn.IFNA(VLOOKUP(U:U,'Example Logframe'!$B:$G,6,FALSE),"")</f>
        <v/>
      </c>
      <c r="Y132" s="174" t="str">
        <f>_xlfn.IFNA(VLOOKUP(V:V,'Example Logframe'!$B:$G,6,FALSE),"")</f>
        <v/>
      </c>
      <c r="Z132">
        <v>128</v>
      </c>
      <c r="AD132" t="str">
        <f t="shared" si="32"/>
        <v/>
      </c>
      <c r="AE132" t="str">
        <f t="shared" si="32"/>
        <v/>
      </c>
      <c r="AF132" t="str">
        <f t="shared" si="31"/>
        <v/>
      </c>
    </row>
    <row r="133" spans="1:32" x14ac:dyDescent="0.35">
      <c r="A133">
        <f>INDEX('Example Logframe'!F:F,137,1)</f>
        <v>0</v>
      </c>
      <c r="B133" s="110">
        <v>1.46</v>
      </c>
      <c r="C133" s="321" t="str">
        <f>INDEX('Example Logframe'!B:B,137,1)</f>
        <v>0</v>
      </c>
      <c r="D133" t="str">
        <f t="shared" si="39"/>
        <v/>
      </c>
      <c r="E133" t="str">
        <f t="shared" si="40"/>
        <v/>
      </c>
      <c r="F133" t="str">
        <f t="shared" si="33"/>
        <v/>
      </c>
      <c r="G133" t="str">
        <f t="shared" si="41"/>
        <v/>
      </c>
      <c r="H133" t="str">
        <f t="shared" si="34"/>
        <v/>
      </c>
      <c r="I133" s="157" t="str">
        <f t="shared" si="35"/>
        <v/>
      </c>
      <c r="J133" s="157"/>
      <c r="K133" s="157" t="str">
        <f t="shared" si="36"/>
        <v/>
      </c>
      <c r="L133" s="157" t="str">
        <f t="shared" si="37"/>
        <v/>
      </c>
      <c r="M133" s="157"/>
      <c r="N133" s="157" t="str">
        <f t="shared" si="38"/>
        <v/>
      </c>
      <c r="O133" s="174" t="str">
        <f>Table132[[#This Row],[Combined List]]</f>
        <v/>
      </c>
      <c r="P133" s="157">
        <v>129</v>
      </c>
      <c r="Q133" s="174" t="str">
        <f t="shared" si="27"/>
        <v/>
      </c>
      <c r="R133" s="174" t="str">
        <f t="shared" si="28"/>
        <v/>
      </c>
      <c r="S133" s="174" t="str">
        <f t="shared" si="29"/>
        <v/>
      </c>
      <c r="T133" s="174" t="str">
        <f t="shared" si="30"/>
        <v/>
      </c>
      <c r="U133" s="174" t="str">
        <f t="shared" si="30"/>
        <v/>
      </c>
      <c r="V133" s="174" t="str">
        <f t="shared" si="30"/>
        <v/>
      </c>
      <c r="W133" s="174" t="str">
        <f>_xlfn.IFNA(VLOOKUP(T:T,'Example Logframe'!$B:$G,6,FALSE),"")</f>
        <v/>
      </c>
      <c r="X133" s="174" t="str">
        <f>_xlfn.IFNA(VLOOKUP(U:U,'Example Logframe'!$B:$G,6,FALSE),"")</f>
        <v/>
      </c>
      <c r="Y133" s="174" t="str">
        <f>_xlfn.IFNA(VLOOKUP(V:V,'Example Logframe'!$B:$G,6,FALSE),"")</f>
        <v/>
      </c>
      <c r="Z133">
        <v>129</v>
      </c>
      <c r="AD133" t="str">
        <f t="shared" si="32"/>
        <v/>
      </c>
      <c r="AE133" t="str">
        <f t="shared" si="32"/>
        <v/>
      </c>
      <c r="AF133" t="str">
        <f t="shared" si="31"/>
        <v/>
      </c>
    </row>
    <row r="134" spans="1:32" x14ac:dyDescent="0.35">
      <c r="A134">
        <f>INDEX('Example Logframe'!F:F,138,1)</f>
        <v>0</v>
      </c>
      <c r="B134" s="110">
        <v>1.47</v>
      </c>
      <c r="C134" s="321" t="str">
        <f>INDEX('Example Logframe'!B:B,138,1)</f>
        <v>0</v>
      </c>
      <c r="D134" t="str">
        <f t="shared" si="39"/>
        <v/>
      </c>
      <c r="E134" t="str">
        <f t="shared" si="40"/>
        <v/>
      </c>
      <c r="F134" t="str">
        <f t="shared" si="33"/>
        <v/>
      </c>
      <c r="G134" t="str">
        <f t="shared" si="41"/>
        <v/>
      </c>
      <c r="H134" t="str">
        <f t="shared" si="34"/>
        <v/>
      </c>
      <c r="I134" s="157" t="str">
        <f t="shared" si="35"/>
        <v/>
      </c>
      <c r="J134" s="157"/>
      <c r="K134" s="157" t="str">
        <f t="shared" si="36"/>
        <v/>
      </c>
      <c r="L134" s="157" t="str">
        <f t="shared" si="37"/>
        <v/>
      </c>
      <c r="M134" s="157"/>
      <c r="N134" s="157" t="str">
        <f t="shared" si="38"/>
        <v/>
      </c>
      <c r="O134" s="174" t="str">
        <f>Table132[[#This Row],[Combined List]]</f>
        <v/>
      </c>
      <c r="P134" s="157">
        <v>130</v>
      </c>
      <c r="Q134" s="174" t="str">
        <f t="shared" ref="Q134:Q197" si="42">IFERROR(VALUE(LEFT(AA:AA,4)),"")</f>
        <v/>
      </c>
      <c r="R134" s="174" t="str">
        <f t="shared" ref="R134:R197" si="43">IFERROR(VALUE(LEFT(AB:AB,4)),"")</f>
        <v/>
      </c>
      <c r="S134" s="174" t="str">
        <f t="shared" ref="S134:S197" si="44">IFERROR(VALUE(LEFT(AC:AC,4)),"")</f>
        <v/>
      </c>
      <c r="T134" s="174" t="str">
        <f t="shared" ref="T134:V197" si="45">_xlfn.IFNA(VLOOKUP(Q:Q,$B:$C,2,FALSE),"")</f>
        <v/>
      </c>
      <c r="U134" s="174" t="str">
        <f t="shared" si="45"/>
        <v/>
      </c>
      <c r="V134" s="174" t="str">
        <f t="shared" si="45"/>
        <v/>
      </c>
      <c r="W134" s="174" t="str">
        <f>_xlfn.IFNA(VLOOKUP(T:T,'Example Logframe'!$B:$G,6,FALSE),"")</f>
        <v/>
      </c>
      <c r="X134" s="174" t="str">
        <f>_xlfn.IFNA(VLOOKUP(U:U,'Example Logframe'!$B:$G,6,FALSE),"")</f>
        <v/>
      </c>
      <c r="Y134" s="174" t="str">
        <f>_xlfn.IFNA(VLOOKUP(V:V,'Example Logframe'!$B:$G,6,FALSE),"")</f>
        <v/>
      </c>
      <c r="Z134">
        <v>130</v>
      </c>
      <c r="AD134" t="str">
        <f t="shared" si="32"/>
        <v/>
      </c>
      <c r="AE134" t="str">
        <f t="shared" si="32"/>
        <v/>
      </c>
      <c r="AF134" t="str">
        <f t="shared" ref="AF134:AF197" si="46">_xlfn.IFNA(VLOOKUP(AC:AC,N:O,2,FALSE),"")</f>
        <v/>
      </c>
    </row>
    <row r="135" spans="1:32" x14ac:dyDescent="0.35">
      <c r="A135">
        <f>INDEX('Example Logframe'!F:F,139,1)</f>
        <v>0</v>
      </c>
      <c r="B135" s="110">
        <v>1.48</v>
      </c>
      <c r="C135" s="321" t="str">
        <f>INDEX('Example Logframe'!B:B,139,1)</f>
        <v>0</v>
      </c>
      <c r="D135" t="str">
        <f t="shared" si="39"/>
        <v/>
      </c>
      <c r="E135" t="str">
        <f t="shared" si="40"/>
        <v/>
      </c>
      <c r="F135" t="str">
        <f t="shared" si="33"/>
        <v/>
      </c>
      <c r="G135" t="str">
        <f t="shared" si="41"/>
        <v/>
      </c>
      <c r="H135" t="str">
        <f t="shared" si="34"/>
        <v/>
      </c>
      <c r="I135" s="157" t="str">
        <f t="shared" si="35"/>
        <v/>
      </c>
      <c r="J135" s="157"/>
      <c r="K135" s="157" t="str">
        <f t="shared" si="36"/>
        <v/>
      </c>
      <c r="L135" s="157" t="str">
        <f t="shared" si="37"/>
        <v/>
      </c>
      <c r="M135" s="157"/>
      <c r="N135" s="157" t="str">
        <f t="shared" si="38"/>
        <v/>
      </c>
      <c r="O135" s="174" t="str">
        <f>Table132[[#This Row],[Combined List]]</f>
        <v/>
      </c>
      <c r="P135" s="157">
        <v>131</v>
      </c>
      <c r="Q135" s="174" t="str">
        <f t="shared" si="42"/>
        <v/>
      </c>
      <c r="R135" s="174" t="str">
        <f t="shared" si="43"/>
        <v/>
      </c>
      <c r="S135" s="174" t="str">
        <f t="shared" si="44"/>
        <v/>
      </c>
      <c r="T135" s="174" t="str">
        <f t="shared" si="45"/>
        <v/>
      </c>
      <c r="U135" s="174" t="str">
        <f t="shared" si="45"/>
        <v/>
      </c>
      <c r="V135" s="174" t="str">
        <f t="shared" si="45"/>
        <v/>
      </c>
      <c r="W135" s="174" t="str">
        <f>_xlfn.IFNA(VLOOKUP(T:T,'Example Logframe'!$B:$G,6,FALSE),"")</f>
        <v/>
      </c>
      <c r="X135" s="174" t="str">
        <f>_xlfn.IFNA(VLOOKUP(U:U,'Example Logframe'!$B:$G,6,FALSE),"")</f>
        <v/>
      </c>
      <c r="Y135" s="174" t="str">
        <f>_xlfn.IFNA(VLOOKUP(V:V,'Example Logframe'!$B:$G,6,FALSE),"")</f>
        <v/>
      </c>
      <c r="Z135">
        <v>131</v>
      </c>
      <c r="AD135" t="str">
        <f t="shared" si="32"/>
        <v/>
      </c>
      <c r="AE135" t="str">
        <f t="shared" si="32"/>
        <v/>
      </c>
      <c r="AF135" t="str">
        <f t="shared" si="46"/>
        <v/>
      </c>
    </row>
    <row r="136" spans="1:32" x14ac:dyDescent="0.35">
      <c r="A136">
        <f>INDEX('Example Logframe'!F:F,140,1)</f>
        <v>0</v>
      </c>
      <c r="B136" s="110">
        <v>1.49</v>
      </c>
      <c r="C136" s="321" t="str">
        <f>INDEX('Example Logframe'!B:B,140,1)</f>
        <v>0</v>
      </c>
      <c r="D136" t="str">
        <f t="shared" si="39"/>
        <v/>
      </c>
      <c r="E136" t="str">
        <f t="shared" si="40"/>
        <v/>
      </c>
      <c r="F136" t="str">
        <f t="shared" si="33"/>
        <v/>
      </c>
      <c r="G136" t="str">
        <f t="shared" si="41"/>
        <v/>
      </c>
      <c r="H136" t="str">
        <f t="shared" si="34"/>
        <v/>
      </c>
      <c r="I136" s="157" t="str">
        <f t="shared" si="35"/>
        <v/>
      </c>
      <c r="J136" s="157"/>
      <c r="K136" s="157" t="str">
        <f t="shared" si="36"/>
        <v/>
      </c>
      <c r="L136" s="157" t="str">
        <f t="shared" si="37"/>
        <v/>
      </c>
      <c r="M136" s="157"/>
      <c r="N136" s="157" t="str">
        <f t="shared" si="38"/>
        <v/>
      </c>
      <c r="O136" s="174" t="str">
        <f>Table132[[#This Row],[Combined List]]</f>
        <v/>
      </c>
      <c r="P136" s="157">
        <v>132</v>
      </c>
      <c r="Q136" s="174" t="str">
        <f t="shared" si="42"/>
        <v/>
      </c>
      <c r="R136" s="174" t="str">
        <f t="shared" si="43"/>
        <v/>
      </c>
      <c r="S136" s="174" t="str">
        <f t="shared" si="44"/>
        <v/>
      </c>
      <c r="T136" s="174" t="str">
        <f t="shared" si="45"/>
        <v/>
      </c>
      <c r="U136" s="174" t="str">
        <f t="shared" si="45"/>
        <v/>
      </c>
      <c r="V136" s="174" t="str">
        <f t="shared" si="45"/>
        <v/>
      </c>
      <c r="W136" s="174" t="str">
        <f>_xlfn.IFNA(VLOOKUP(T:T,'Example Logframe'!$B:$G,6,FALSE),"")</f>
        <v/>
      </c>
      <c r="X136" s="174" t="str">
        <f>_xlfn.IFNA(VLOOKUP(U:U,'Example Logframe'!$B:$G,6,FALSE),"")</f>
        <v/>
      </c>
      <c r="Y136" s="174" t="str">
        <f>_xlfn.IFNA(VLOOKUP(V:V,'Example Logframe'!$B:$G,6,FALSE),"")</f>
        <v/>
      </c>
      <c r="Z136">
        <v>132</v>
      </c>
      <c r="AD136" t="str">
        <f t="shared" si="32"/>
        <v/>
      </c>
      <c r="AE136" t="str">
        <f t="shared" si="32"/>
        <v/>
      </c>
      <c r="AF136" t="str">
        <f t="shared" si="46"/>
        <v/>
      </c>
    </row>
    <row r="137" spans="1:32" x14ac:dyDescent="0.35">
      <c r="A137">
        <f>INDEX('Example Logframe'!F:F,141,1)</f>
        <v>0</v>
      </c>
      <c r="B137" s="110">
        <v>1.51</v>
      </c>
      <c r="C137" s="321" t="str">
        <f>INDEX('Example Logframe'!B:B,141,1)</f>
        <v>0</v>
      </c>
      <c r="D137" t="str">
        <f t="shared" si="39"/>
        <v/>
      </c>
      <c r="E137" t="str">
        <f t="shared" si="40"/>
        <v/>
      </c>
      <c r="F137" t="str">
        <f t="shared" si="33"/>
        <v/>
      </c>
      <c r="G137" t="str">
        <f t="shared" si="41"/>
        <v/>
      </c>
      <c r="H137" t="str">
        <f t="shared" si="34"/>
        <v/>
      </c>
      <c r="I137" s="157" t="str">
        <f t="shared" si="35"/>
        <v/>
      </c>
      <c r="J137" s="157"/>
      <c r="K137" s="157" t="str">
        <f t="shared" si="36"/>
        <v/>
      </c>
      <c r="L137" s="157" t="str">
        <f t="shared" si="37"/>
        <v/>
      </c>
      <c r="M137" s="157"/>
      <c r="N137" s="157" t="str">
        <f t="shared" si="38"/>
        <v/>
      </c>
      <c r="O137" s="174" t="str">
        <f>Table132[[#This Row],[Combined List]]</f>
        <v/>
      </c>
      <c r="P137" s="157">
        <v>133</v>
      </c>
      <c r="Q137" s="174" t="str">
        <f t="shared" si="42"/>
        <v/>
      </c>
      <c r="R137" s="174" t="str">
        <f t="shared" si="43"/>
        <v/>
      </c>
      <c r="S137" s="174" t="str">
        <f t="shared" si="44"/>
        <v/>
      </c>
      <c r="T137" s="174" t="str">
        <f t="shared" si="45"/>
        <v/>
      </c>
      <c r="U137" s="174" t="str">
        <f t="shared" si="45"/>
        <v/>
      </c>
      <c r="V137" s="174" t="str">
        <f t="shared" si="45"/>
        <v/>
      </c>
      <c r="W137" s="174" t="str">
        <f>_xlfn.IFNA(VLOOKUP(T:T,'Example Logframe'!$B:$G,6,FALSE),"")</f>
        <v/>
      </c>
      <c r="X137" s="174" t="str">
        <f>_xlfn.IFNA(VLOOKUP(U:U,'Example Logframe'!$B:$G,6,FALSE),"")</f>
        <v/>
      </c>
      <c r="Y137" s="174" t="str">
        <f>_xlfn.IFNA(VLOOKUP(V:V,'Example Logframe'!$B:$G,6,FALSE),"")</f>
        <v/>
      </c>
      <c r="Z137">
        <v>133</v>
      </c>
      <c r="AD137" t="str">
        <f t="shared" si="32"/>
        <v/>
      </c>
      <c r="AE137" t="str">
        <f t="shared" si="32"/>
        <v/>
      </c>
      <c r="AF137" t="str">
        <f t="shared" si="46"/>
        <v/>
      </c>
    </row>
    <row r="138" spans="1:32" x14ac:dyDescent="0.35">
      <c r="A138">
        <f>INDEX('Example Logframe'!F:F,142,1)</f>
        <v>0</v>
      </c>
      <c r="B138" s="110">
        <v>1.52</v>
      </c>
      <c r="C138" s="321" t="str">
        <f>INDEX('Example Logframe'!B:B,142,1)</f>
        <v>0</v>
      </c>
      <c r="D138" t="str">
        <f t="shared" si="39"/>
        <v/>
      </c>
      <c r="E138" t="str">
        <f t="shared" si="40"/>
        <v/>
      </c>
      <c r="F138" t="str">
        <f t="shared" si="33"/>
        <v/>
      </c>
      <c r="G138" t="str">
        <f t="shared" si="41"/>
        <v/>
      </c>
      <c r="H138" t="str">
        <f t="shared" si="34"/>
        <v/>
      </c>
      <c r="I138" s="157" t="str">
        <f t="shared" si="35"/>
        <v/>
      </c>
      <c r="J138" s="157"/>
      <c r="K138" s="157" t="str">
        <f t="shared" si="36"/>
        <v/>
      </c>
      <c r="L138" s="157" t="str">
        <f t="shared" si="37"/>
        <v/>
      </c>
      <c r="M138" s="157"/>
      <c r="N138" s="157" t="str">
        <f t="shared" si="38"/>
        <v/>
      </c>
      <c r="O138" s="174" t="str">
        <f>Table132[[#This Row],[Combined List]]</f>
        <v/>
      </c>
      <c r="P138" s="157">
        <v>134</v>
      </c>
      <c r="Q138" s="174" t="str">
        <f t="shared" si="42"/>
        <v/>
      </c>
      <c r="R138" s="174" t="str">
        <f t="shared" si="43"/>
        <v/>
      </c>
      <c r="S138" s="174" t="str">
        <f t="shared" si="44"/>
        <v/>
      </c>
      <c r="T138" s="174" t="str">
        <f t="shared" si="45"/>
        <v/>
      </c>
      <c r="U138" s="174" t="str">
        <f t="shared" si="45"/>
        <v/>
      </c>
      <c r="V138" s="174" t="str">
        <f t="shared" si="45"/>
        <v/>
      </c>
      <c r="W138" s="174" t="str">
        <f>_xlfn.IFNA(VLOOKUP(T:T,'Example Logframe'!$B:$G,6,FALSE),"")</f>
        <v/>
      </c>
      <c r="X138" s="174" t="str">
        <f>_xlfn.IFNA(VLOOKUP(U:U,'Example Logframe'!$B:$G,6,FALSE),"")</f>
        <v/>
      </c>
      <c r="Y138" s="174" t="str">
        <f>_xlfn.IFNA(VLOOKUP(V:V,'Example Logframe'!$B:$G,6,FALSE),"")</f>
        <v/>
      </c>
      <c r="Z138">
        <v>134</v>
      </c>
      <c r="AD138" t="str">
        <f t="shared" si="32"/>
        <v/>
      </c>
      <c r="AE138" t="str">
        <f t="shared" si="32"/>
        <v/>
      </c>
      <c r="AF138" t="str">
        <f t="shared" si="46"/>
        <v/>
      </c>
    </row>
    <row r="139" spans="1:32" x14ac:dyDescent="0.35">
      <c r="A139">
        <f>INDEX('Example Logframe'!F:F,143,1)</f>
        <v>0</v>
      </c>
      <c r="B139" s="110">
        <v>1.53</v>
      </c>
      <c r="C139" s="321" t="str">
        <f>INDEX('Example Logframe'!B:B,143,1)</f>
        <v>0</v>
      </c>
      <c r="D139" t="str">
        <f t="shared" si="39"/>
        <v/>
      </c>
      <c r="E139" t="str">
        <f t="shared" si="40"/>
        <v/>
      </c>
      <c r="F139" t="str">
        <f t="shared" si="33"/>
        <v/>
      </c>
      <c r="G139" t="str">
        <f t="shared" si="41"/>
        <v/>
      </c>
      <c r="H139" t="str">
        <f t="shared" si="34"/>
        <v/>
      </c>
      <c r="I139" s="157" t="str">
        <f t="shared" si="35"/>
        <v/>
      </c>
      <c r="J139" s="157"/>
      <c r="K139" s="157" t="str">
        <f t="shared" si="36"/>
        <v/>
      </c>
      <c r="L139" s="157" t="str">
        <f t="shared" si="37"/>
        <v/>
      </c>
      <c r="M139" s="157"/>
      <c r="N139" s="157" t="str">
        <f t="shared" si="38"/>
        <v/>
      </c>
      <c r="O139" s="174" t="str">
        <f>Table132[[#This Row],[Combined List]]</f>
        <v/>
      </c>
      <c r="P139" s="157">
        <v>135</v>
      </c>
      <c r="Q139" s="174" t="str">
        <f t="shared" si="42"/>
        <v/>
      </c>
      <c r="R139" s="174" t="str">
        <f t="shared" si="43"/>
        <v/>
      </c>
      <c r="S139" s="174" t="str">
        <f t="shared" si="44"/>
        <v/>
      </c>
      <c r="T139" s="174" t="str">
        <f t="shared" si="45"/>
        <v/>
      </c>
      <c r="U139" s="174" t="str">
        <f t="shared" si="45"/>
        <v/>
      </c>
      <c r="V139" s="174" t="str">
        <f t="shared" si="45"/>
        <v/>
      </c>
      <c r="W139" s="174" t="str">
        <f>_xlfn.IFNA(VLOOKUP(T:T,'Example Logframe'!$B:$G,6,FALSE),"")</f>
        <v/>
      </c>
      <c r="X139" s="174" t="str">
        <f>_xlfn.IFNA(VLOOKUP(U:U,'Example Logframe'!$B:$G,6,FALSE),"")</f>
        <v/>
      </c>
      <c r="Y139" s="174" t="str">
        <f>_xlfn.IFNA(VLOOKUP(V:V,'Example Logframe'!$B:$G,6,FALSE),"")</f>
        <v/>
      </c>
      <c r="Z139">
        <v>135</v>
      </c>
      <c r="AD139" t="str">
        <f t="shared" si="32"/>
        <v/>
      </c>
      <c r="AE139" t="str">
        <f t="shared" si="32"/>
        <v/>
      </c>
      <c r="AF139" t="str">
        <f t="shared" si="46"/>
        <v/>
      </c>
    </row>
    <row r="140" spans="1:32" x14ac:dyDescent="0.35">
      <c r="A140">
        <f>INDEX('Example Logframe'!F:F,144,1)</f>
        <v>0</v>
      </c>
      <c r="B140" s="110">
        <v>1.54</v>
      </c>
      <c r="C140" s="321" t="str">
        <f>INDEX('Example Logframe'!B:B,144,1)</f>
        <v>0</v>
      </c>
      <c r="D140" t="str">
        <f t="shared" si="39"/>
        <v/>
      </c>
      <c r="E140" t="str">
        <f t="shared" si="40"/>
        <v/>
      </c>
      <c r="F140" t="str">
        <f t="shared" si="33"/>
        <v/>
      </c>
      <c r="G140" t="str">
        <f t="shared" si="41"/>
        <v/>
      </c>
      <c r="H140" t="str">
        <f t="shared" si="34"/>
        <v/>
      </c>
      <c r="I140" s="157" t="str">
        <f t="shared" si="35"/>
        <v/>
      </c>
      <c r="J140" s="157"/>
      <c r="K140" s="157" t="str">
        <f t="shared" si="36"/>
        <v/>
      </c>
      <c r="L140" s="157" t="str">
        <f t="shared" si="37"/>
        <v/>
      </c>
      <c r="M140" s="157"/>
      <c r="N140" s="157" t="str">
        <f t="shared" si="38"/>
        <v/>
      </c>
      <c r="O140" s="174" t="str">
        <f>Table132[[#This Row],[Combined List]]</f>
        <v/>
      </c>
      <c r="P140" s="157">
        <v>136</v>
      </c>
      <c r="Q140" s="174" t="str">
        <f t="shared" si="42"/>
        <v/>
      </c>
      <c r="R140" s="174" t="str">
        <f t="shared" si="43"/>
        <v/>
      </c>
      <c r="S140" s="174" t="str">
        <f t="shared" si="44"/>
        <v/>
      </c>
      <c r="T140" s="174" t="str">
        <f t="shared" si="45"/>
        <v/>
      </c>
      <c r="U140" s="174" t="str">
        <f t="shared" si="45"/>
        <v/>
      </c>
      <c r="V140" s="174" t="str">
        <f t="shared" si="45"/>
        <v/>
      </c>
      <c r="W140" s="174" t="str">
        <f>_xlfn.IFNA(VLOOKUP(T:T,'Example Logframe'!$B:$G,6,FALSE),"")</f>
        <v/>
      </c>
      <c r="X140" s="174" t="str">
        <f>_xlfn.IFNA(VLOOKUP(U:U,'Example Logframe'!$B:$G,6,FALSE),"")</f>
        <v/>
      </c>
      <c r="Y140" s="174" t="str">
        <f>_xlfn.IFNA(VLOOKUP(V:V,'Example Logframe'!$B:$G,6,FALSE),"")</f>
        <v/>
      </c>
      <c r="Z140">
        <v>136</v>
      </c>
      <c r="AD140" t="str">
        <f t="shared" si="32"/>
        <v/>
      </c>
      <c r="AE140" t="str">
        <f t="shared" si="32"/>
        <v/>
      </c>
      <c r="AF140" t="str">
        <f t="shared" si="46"/>
        <v/>
      </c>
    </row>
    <row r="141" spans="1:32" x14ac:dyDescent="0.35">
      <c r="A141">
        <f>INDEX('Example Logframe'!F:F,145,1)</f>
        <v>0</v>
      </c>
      <c r="B141" s="110">
        <v>1.55</v>
      </c>
      <c r="C141" s="321" t="str">
        <f>INDEX('Example Logframe'!B:B,145,1)</f>
        <v>0</v>
      </c>
      <c r="D141" t="str">
        <f t="shared" si="39"/>
        <v/>
      </c>
      <c r="E141" t="str">
        <f t="shared" si="40"/>
        <v/>
      </c>
      <c r="F141" t="str">
        <f t="shared" si="33"/>
        <v/>
      </c>
      <c r="G141" t="str">
        <f t="shared" si="41"/>
        <v/>
      </c>
      <c r="H141" t="str">
        <f t="shared" si="34"/>
        <v/>
      </c>
      <c r="I141" s="157" t="str">
        <f t="shared" si="35"/>
        <v/>
      </c>
      <c r="J141" s="157"/>
      <c r="K141" s="157" t="str">
        <f t="shared" si="36"/>
        <v/>
      </c>
      <c r="L141" s="157" t="str">
        <f t="shared" si="37"/>
        <v/>
      </c>
      <c r="M141" s="157"/>
      <c r="N141" s="157" t="str">
        <f t="shared" si="38"/>
        <v/>
      </c>
      <c r="O141" s="174" t="str">
        <f>Table132[[#This Row],[Combined List]]</f>
        <v/>
      </c>
      <c r="P141" s="157">
        <v>137</v>
      </c>
      <c r="Q141" s="174" t="str">
        <f t="shared" si="42"/>
        <v/>
      </c>
      <c r="R141" s="174" t="str">
        <f t="shared" si="43"/>
        <v/>
      </c>
      <c r="S141" s="174" t="str">
        <f t="shared" si="44"/>
        <v/>
      </c>
      <c r="T141" s="174" t="str">
        <f t="shared" si="45"/>
        <v/>
      </c>
      <c r="U141" s="174" t="str">
        <f t="shared" si="45"/>
        <v/>
      </c>
      <c r="V141" s="174" t="str">
        <f t="shared" si="45"/>
        <v/>
      </c>
      <c r="W141" s="174" t="str">
        <f>_xlfn.IFNA(VLOOKUP(T:T,'Example Logframe'!$B:$G,6,FALSE),"")</f>
        <v/>
      </c>
      <c r="X141" s="174" t="str">
        <f>_xlfn.IFNA(VLOOKUP(U:U,'Example Logframe'!$B:$G,6,FALSE),"")</f>
        <v/>
      </c>
      <c r="Y141" s="174" t="str">
        <f>_xlfn.IFNA(VLOOKUP(V:V,'Example Logframe'!$B:$G,6,FALSE),"")</f>
        <v/>
      </c>
      <c r="Z141">
        <v>137</v>
      </c>
      <c r="AD141" t="str">
        <f t="shared" si="32"/>
        <v/>
      </c>
      <c r="AE141" t="str">
        <f t="shared" si="32"/>
        <v/>
      </c>
      <c r="AF141" t="str">
        <f t="shared" si="46"/>
        <v/>
      </c>
    </row>
    <row r="142" spans="1:32" x14ac:dyDescent="0.35">
      <c r="A142">
        <f>INDEX('Example Logframe'!F:F,146,1)</f>
        <v>0</v>
      </c>
      <c r="B142" s="110">
        <v>1.56</v>
      </c>
      <c r="C142" s="321" t="str">
        <f>INDEX('Example Logframe'!B:B,146,1)</f>
        <v>0</v>
      </c>
      <c r="D142" t="str">
        <f t="shared" si="39"/>
        <v/>
      </c>
      <c r="E142" t="str">
        <f t="shared" si="40"/>
        <v/>
      </c>
      <c r="F142" t="str">
        <f t="shared" si="33"/>
        <v/>
      </c>
      <c r="G142" t="str">
        <f t="shared" si="41"/>
        <v/>
      </c>
      <c r="H142" t="str">
        <f t="shared" si="34"/>
        <v/>
      </c>
      <c r="I142" s="157" t="str">
        <f t="shared" si="35"/>
        <v/>
      </c>
      <c r="J142" s="157"/>
      <c r="K142" s="157" t="str">
        <f t="shared" si="36"/>
        <v/>
      </c>
      <c r="L142" s="157" t="str">
        <f t="shared" si="37"/>
        <v/>
      </c>
      <c r="M142" s="157"/>
      <c r="N142" s="157" t="str">
        <f t="shared" si="38"/>
        <v/>
      </c>
      <c r="O142" s="174" t="str">
        <f>Table132[[#This Row],[Combined List]]</f>
        <v/>
      </c>
      <c r="P142" s="157">
        <v>138</v>
      </c>
      <c r="Q142" s="174" t="str">
        <f t="shared" si="42"/>
        <v/>
      </c>
      <c r="R142" s="174" t="str">
        <f t="shared" si="43"/>
        <v/>
      </c>
      <c r="S142" s="174" t="str">
        <f t="shared" si="44"/>
        <v/>
      </c>
      <c r="T142" s="174" t="str">
        <f t="shared" si="45"/>
        <v/>
      </c>
      <c r="U142" s="174" t="str">
        <f t="shared" si="45"/>
        <v/>
      </c>
      <c r="V142" s="174" t="str">
        <f t="shared" si="45"/>
        <v/>
      </c>
      <c r="W142" s="174" t="str">
        <f>_xlfn.IFNA(VLOOKUP(T:T,'Example Logframe'!$B:$G,6,FALSE),"")</f>
        <v/>
      </c>
      <c r="X142" s="174" t="str">
        <f>_xlfn.IFNA(VLOOKUP(U:U,'Example Logframe'!$B:$G,6,FALSE),"")</f>
        <v/>
      </c>
      <c r="Y142" s="174" t="str">
        <f>_xlfn.IFNA(VLOOKUP(V:V,'Example Logframe'!$B:$G,6,FALSE),"")</f>
        <v/>
      </c>
      <c r="Z142">
        <v>138</v>
      </c>
      <c r="AD142" t="str">
        <f t="shared" si="32"/>
        <v/>
      </c>
      <c r="AE142" t="str">
        <f t="shared" si="32"/>
        <v/>
      </c>
      <c r="AF142" t="str">
        <f t="shared" si="46"/>
        <v/>
      </c>
    </row>
    <row r="143" spans="1:32" x14ac:dyDescent="0.35">
      <c r="A143">
        <f>INDEX('Example Logframe'!F:F,147,1)</f>
        <v>0</v>
      </c>
      <c r="B143" s="110">
        <v>1.57</v>
      </c>
      <c r="C143" s="321" t="str">
        <f>INDEX('Example Logframe'!B:B,147,1)</f>
        <v>0</v>
      </c>
      <c r="D143" t="str">
        <f t="shared" si="39"/>
        <v/>
      </c>
      <c r="E143" t="str">
        <f t="shared" si="40"/>
        <v/>
      </c>
      <c r="F143" t="str">
        <f t="shared" si="33"/>
        <v/>
      </c>
      <c r="G143" t="str">
        <f t="shared" si="41"/>
        <v/>
      </c>
      <c r="H143" t="str">
        <f t="shared" si="34"/>
        <v/>
      </c>
      <c r="I143" s="157" t="str">
        <f t="shared" si="35"/>
        <v/>
      </c>
      <c r="J143" s="157"/>
      <c r="K143" s="157" t="str">
        <f t="shared" si="36"/>
        <v/>
      </c>
      <c r="L143" s="157" t="str">
        <f t="shared" si="37"/>
        <v/>
      </c>
      <c r="M143" s="157"/>
      <c r="N143" s="157" t="str">
        <f t="shared" si="38"/>
        <v/>
      </c>
      <c r="O143" s="174" t="str">
        <f>Table132[[#This Row],[Combined List]]</f>
        <v/>
      </c>
      <c r="P143" s="157">
        <v>139</v>
      </c>
      <c r="Q143" s="174" t="str">
        <f t="shared" si="42"/>
        <v/>
      </c>
      <c r="R143" s="174" t="str">
        <f t="shared" si="43"/>
        <v/>
      </c>
      <c r="S143" s="174" t="str">
        <f t="shared" si="44"/>
        <v/>
      </c>
      <c r="T143" s="174" t="str">
        <f t="shared" si="45"/>
        <v/>
      </c>
      <c r="U143" s="174" t="str">
        <f t="shared" si="45"/>
        <v/>
      </c>
      <c r="V143" s="174" t="str">
        <f t="shared" si="45"/>
        <v/>
      </c>
      <c r="W143" s="174" t="str">
        <f>_xlfn.IFNA(VLOOKUP(T:T,'Example Logframe'!$B:$G,6,FALSE),"")</f>
        <v/>
      </c>
      <c r="X143" s="174" t="str">
        <f>_xlfn.IFNA(VLOOKUP(U:U,'Example Logframe'!$B:$G,6,FALSE),"")</f>
        <v/>
      </c>
      <c r="Y143" s="174" t="str">
        <f>_xlfn.IFNA(VLOOKUP(V:V,'Example Logframe'!$B:$G,6,FALSE),"")</f>
        <v/>
      </c>
      <c r="Z143">
        <v>139</v>
      </c>
      <c r="AD143" t="str">
        <f t="shared" si="32"/>
        <v/>
      </c>
      <c r="AE143" t="str">
        <f t="shared" si="32"/>
        <v/>
      </c>
      <c r="AF143" t="str">
        <f t="shared" si="46"/>
        <v/>
      </c>
    </row>
    <row r="144" spans="1:32" x14ac:dyDescent="0.35">
      <c r="A144">
        <f>INDEX('Example Logframe'!F:F,148,1)</f>
        <v>0</v>
      </c>
      <c r="B144" s="110">
        <v>1.58</v>
      </c>
      <c r="C144" s="321" t="str">
        <f>INDEX('Example Logframe'!B:B,148,1)</f>
        <v>0</v>
      </c>
      <c r="D144" t="str">
        <f t="shared" si="39"/>
        <v/>
      </c>
      <c r="E144" t="str">
        <f t="shared" si="40"/>
        <v/>
      </c>
      <c r="F144" t="str">
        <f t="shared" si="33"/>
        <v/>
      </c>
      <c r="G144" t="str">
        <f t="shared" si="41"/>
        <v/>
      </c>
      <c r="H144" t="str">
        <f t="shared" si="34"/>
        <v/>
      </c>
      <c r="I144" s="157" t="str">
        <f t="shared" si="35"/>
        <v/>
      </c>
      <c r="J144" s="157"/>
      <c r="K144" s="157" t="str">
        <f t="shared" si="36"/>
        <v/>
      </c>
      <c r="L144" s="157" t="str">
        <f t="shared" si="37"/>
        <v/>
      </c>
      <c r="M144" s="157"/>
      <c r="N144" s="157" t="str">
        <f t="shared" si="38"/>
        <v/>
      </c>
      <c r="O144" s="174" t="str">
        <f>Table132[[#This Row],[Combined List]]</f>
        <v/>
      </c>
      <c r="P144" s="157">
        <v>140</v>
      </c>
      <c r="Q144" s="174" t="str">
        <f t="shared" si="42"/>
        <v/>
      </c>
      <c r="R144" s="174" t="str">
        <f t="shared" si="43"/>
        <v/>
      </c>
      <c r="S144" s="174" t="str">
        <f t="shared" si="44"/>
        <v/>
      </c>
      <c r="T144" s="174" t="str">
        <f t="shared" si="45"/>
        <v/>
      </c>
      <c r="U144" s="174" t="str">
        <f t="shared" si="45"/>
        <v/>
      </c>
      <c r="V144" s="174" t="str">
        <f t="shared" si="45"/>
        <v/>
      </c>
      <c r="W144" s="174" t="str">
        <f>_xlfn.IFNA(VLOOKUP(T:T,'Example Logframe'!$B:$G,6,FALSE),"")</f>
        <v/>
      </c>
      <c r="X144" s="174" t="str">
        <f>_xlfn.IFNA(VLOOKUP(U:U,'Example Logframe'!$B:$G,6,FALSE),"")</f>
        <v/>
      </c>
      <c r="Y144" s="174" t="str">
        <f>_xlfn.IFNA(VLOOKUP(V:V,'Example Logframe'!$B:$G,6,FALSE),"")</f>
        <v/>
      </c>
      <c r="Z144">
        <v>140</v>
      </c>
      <c r="AD144" t="str">
        <f t="shared" si="32"/>
        <v/>
      </c>
      <c r="AE144" t="str">
        <f t="shared" si="32"/>
        <v/>
      </c>
      <c r="AF144" t="str">
        <f t="shared" si="46"/>
        <v/>
      </c>
    </row>
    <row r="145" spans="1:32" x14ac:dyDescent="0.35">
      <c r="A145">
        <f>INDEX('Example Logframe'!F:F,149,1)</f>
        <v>0</v>
      </c>
      <c r="B145" s="110">
        <v>1.59</v>
      </c>
      <c r="C145" s="321" t="str">
        <f>INDEX('Example Logframe'!B:B,149,1)</f>
        <v>0</v>
      </c>
      <c r="D145" t="str">
        <f t="shared" si="39"/>
        <v/>
      </c>
      <c r="E145" t="str">
        <f t="shared" si="40"/>
        <v/>
      </c>
      <c r="F145" t="str">
        <f t="shared" si="33"/>
        <v/>
      </c>
      <c r="G145" t="str">
        <f t="shared" si="41"/>
        <v/>
      </c>
      <c r="H145" t="str">
        <f t="shared" si="34"/>
        <v/>
      </c>
      <c r="I145" s="157" t="str">
        <f t="shared" si="35"/>
        <v/>
      </c>
      <c r="J145" s="157"/>
      <c r="K145" s="157" t="str">
        <f t="shared" si="36"/>
        <v/>
      </c>
      <c r="L145" s="157" t="str">
        <f t="shared" si="37"/>
        <v/>
      </c>
      <c r="M145" s="157"/>
      <c r="N145" s="157" t="str">
        <f t="shared" si="38"/>
        <v/>
      </c>
      <c r="O145" s="174" t="str">
        <f>Table132[[#This Row],[Combined List]]</f>
        <v/>
      </c>
      <c r="P145" s="157">
        <v>141</v>
      </c>
      <c r="Q145" s="174" t="str">
        <f t="shared" si="42"/>
        <v/>
      </c>
      <c r="R145" s="174" t="str">
        <f t="shared" si="43"/>
        <v/>
      </c>
      <c r="S145" s="174" t="str">
        <f t="shared" si="44"/>
        <v/>
      </c>
      <c r="T145" s="174" t="str">
        <f t="shared" si="45"/>
        <v/>
      </c>
      <c r="U145" s="174" t="str">
        <f t="shared" si="45"/>
        <v/>
      </c>
      <c r="V145" s="174" t="str">
        <f t="shared" si="45"/>
        <v/>
      </c>
      <c r="W145" s="174" t="str">
        <f>_xlfn.IFNA(VLOOKUP(T:T,'Example Logframe'!$B:$G,6,FALSE),"")</f>
        <v/>
      </c>
      <c r="X145" s="174" t="str">
        <f>_xlfn.IFNA(VLOOKUP(U:U,'Example Logframe'!$B:$G,6,FALSE),"")</f>
        <v/>
      </c>
      <c r="Y145" s="174" t="str">
        <f>_xlfn.IFNA(VLOOKUP(V:V,'Example Logframe'!$B:$G,6,FALSE),"")</f>
        <v/>
      </c>
      <c r="Z145">
        <v>141</v>
      </c>
      <c r="AD145" t="str">
        <f t="shared" si="32"/>
        <v/>
      </c>
      <c r="AE145" t="str">
        <f t="shared" si="32"/>
        <v/>
      </c>
      <c r="AF145" t="str">
        <f t="shared" si="46"/>
        <v/>
      </c>
    </row>
    <row r="146" spans="1:32" x14ac:dyDescent="0.35">
      <c r="A146">
        <f>INDEX('Example Logframe'!F:F,150,1)</f>
        <v>0</v>
      </c>
      <c r="B146" s="110">
        <v>1.61</v>
      </c>
      <c r="C146" s="321" t="str">
        <f>INDEX('Example Logframe'!B:B,150,1)</f>
        <v>0</v>
      </c>
      <c r="D146" t="str">
        <f t="shared" si="39"/>
        <v/>
      </c>
      <c r="E146" t="str">
        <f t="shared" si="40"/>
        <v/>
      </c>
      <c r="F146" t="str">
        <f t="shared" si="33"/>
        <v/>
      </c>
      <c r="G146" t="str">
        <f t="shared" si="41"/>
        <v/>
      </c>
      <c r="H146" t="str">
        <f t="shared" si="34"/>
        <v/>
      </c>
      <c r="I146" s="157" t="str">
        <f t="shared" si="35"/>
        <v/>
      </c>
      <c r="J146" s="157"/>
      <c r="K146" s="157" t="str">
        <f t="shared" si="36"/>
        <v/>
      </c>
      <c r="L146" s="157" t="str">
        <f t="shared" si="37"/>
        <v/>
      </c>
      <c r="M146" s="157"/>
      <c r="N146" s="157" t="str">
        <f t="shared" si="38"/>
        <v/>
      </c>
      <c r="O146" s="174" t="str">
        <f>Table132[[#This Row],[Combined List]]</f>
        <v/>
      </c>
      <c r="P146" s="157">
        <v>142</v>
      </c>
      <c r="Q146" s="174" t="str">
        <f t="shared" si="42"/>
        <v/>
      </c>
      <c r="R146" s="174" t="str">
        <f t="shared" si="43"/>
        <v/>
      </c>
      <c r="S146" s="174" t="str">
        <f t="shared" si="44"/>
        <v/>
      </c>
      <c r="T146" s="174" t="str">
        <f t="shared" si="45"/>
        <v/>
      </c>
      <c r="U146" s="174" t="str">
        <f t="shared" si="45"/>
        <v/>
      </c>
      <c r="V146" s="174" t="str">
        <f t="shared" si="45"/>
        <v/>
      </c>
      <c r="W146" s="174" t="str">
        <f>_xlfn.IFNA(VLOOKUP(T:T,'Example Logframe'!$B:$G,6,FALSE),"")</f>
        <v/>
      </c>
      <c r="X146" s="174" t="str">
        <f>_xlfn.IFNA(VLOOKUP(U:U,'Example Logframe'!$B:$G,6,FALSE),"")</f>
        <v/>
      </c>
      <c r="Y146" s="174" t="str">
        <f>_xlfn.IFNA(VLOOKUP(V:V,'Example Logframe'!$B:$G,6,FALSE),"")</f>
        <v/>
      </c>
      <c r="Z146">
        <v>142</v>
      </c>
      <c r="AD146" t="str">
        <f t="shared" si="32"/>
        <v/>
      </c>
      <c r="AE146" t="str">
        <f t="shared" si="32"/>
        <v/>
      </c>
      <c r="AF146" t="str">
        <f t="shared" si="46"/>
        <v/>
      </c>
    </row>
    <row r="147" spans="1:32" x14ac:dyDescent="0.35">
      <c r="A147">
        <f>INDEX('Example Logframe'!F:F,151,1)</f>
        <v>0</v>
      </c>
      <c r="B147" s="110">
        <v>1.62</v>
      </c>
      <c r="C147" s="321" t="str">
        <f>INDEX('Example Logframe'!B:B,151,1)</f>
        <v>0</v>
      </c>
      <c r="D147" t="str">
        <f t="shared" si="39"/>
        <v/>
      </c>
      <c r="E147" t="str">
        <f t="shared" si="40"/>
        <v/>
      </c>
      <c r="F147" t="str">
        <f t="shared" si="33"/>
        <v/>
      </c>
      <c r="G147" t="str">
        <f t="shared" si="41"/>
        <v/>
      </c>
      <c r="H147" t="str">
        <f t="shared" si="34"/>
        <v/>
      </c>
      <c r="I147" s="157" t="str">
        <f t="shared" si="35"/>
        <v/>
      </c>
      <c r="J147" s="157"/>
      <c r="K147" s="157" t="str">
        <f t="shared" si="36"/>
        <v/>
      </c>
      <c r="L147" s="157" t="str">
        <f t="shared" si="37"/>
        <v/>
      </c>
      <c r="M147" s="157"/>
      <c r="N147" s="157" t="str">
        <f t="shared" si="38"/>
        <v/>
      </c>
      <c r="O147" s="174" t="str">
        <f>Table132[[#This Row],[Combined List]]</f>
        <v/>
      </c>
      <c r="P147" s="157">
        <v>143</v>
      </c>
      <c r="Q147" s="174" t="str">
        <f t="shared" si="42"/>
        <v/>
      </c>
      <c r="R147" s="174" t="str">
        <f t="shared" si="43"/>
        <v/>
      </c>
      <c r="S147" s="174" t="str">
        <f t="shared" si="44"/>
        <v/>
      </c>
      <c r="T147" s="174" t="str">
        <f t="shared" si="45"/>
        <v/>
      </c>
      <c r="U147" s="174" t="str">
        <f t="shared" si="45"/>
        <v/>
      </c>
      <c r="V147" s="174" t="str">
        <f t="shared" si="45"/>
        <v/>
      </c>
      <c r="W147" s="174" t="str">
        <f>_xlfn.IFNA(VLOOKUP(T:T,'Example Logframe'!$B:$G,6,FALSE),"")</f>
        <v/>
      </c>
      <c r="X147" s="174" t="str">
        <f>_xlfn.IFNA(VLOOKUP(U:U,'Example Logframe'!$B:$G,6,FALSE),"")</f>
        <v/>
      </c>
      <c r="Y147" s="174" t="str">
        <f>_xlfn.IFNA(VLOOKUP(V:V,'Example Logframe'!$B:$G,6,FALSE),"")</f>
        <v/>
      </c>
      <c r="Z147">
        <v>143</v>
      </c>
      <c r="AD147" t="str">
        <f t="shared" si="32"/>
        <v/>
      </c>
      <c r="AE147" t="str">
        <f t="shared" si="32"/>
        <v/>
      </c>
      <c r="AF147" t="str">
        <f t="shared" si="46"/>
        <v/>
      </c>
    </row>
    <row r="148" spans="1:32" x14ac:dyDescent="0.35">
      <c r="A148">
        <f>INDEX('Example Logframe'!F:F,152,1)</f>
        <v>0</v>
      </c>
      <c r="B148" s="110">
        <v>1.63</v>
      </c>
      <c r="C148" s="321" t="str">
        <f>INDEX('Example Logframe'!B:B,152,1)</f>
        <v>0</v>
      </c>
      <c r="D148" t="str">
        <f t="shared" si="39"/>
        <v/>
      </c>
      <c r="E148" t="str">
        <f t="shared" si="40"/>
        <v/>
      </c>
      <c r="F148" t="str">
        <f t="shared" si="33"/>
        <v/>
      </c>
      <c r="G148" t="str">
        <f t="shared" si="41"/>
        <v/>
      </c>
      <c r="H148" t="str">
        <f t="shared" si="34"/>
        <v/>
      </c>
      <c r="I148" s="157" t="str">
        <f t="shared" si="35"/>
        <v/>
      </c>
      <c r="J148" s="157"/>
      <c r="K148" s="157" t="str">
        <f t="shared" si="36"/>
        <v/>
      </c>
      <c r="L148" s="157" t="str">
        <f t="shared" si="37"/>
        <v/>
      </c>
      <c r="M148" s="157"/>
      <c r="N148" s="157" t="str">
        <f t="shared" si="38"/>
        <v/>
      </c>
      <c r="O148" s="174" t="str">
        <f>Table132[[#This Row],[Combined List]]</f>
        <v/>
      </c>
      <c r="P148" s="157">
        <v>144</v>
      </c>
      <c r="Q148" s="174" t="str">
        <f t="shared" si="42"/>
        <v/>
      </c>
      <c r="R148" s="174" t="str">
        <f t="shared" si="43"/>
        <v/>
      </c>
      <c r="S148" s="174" t="str">
        <f t="shared" si="44"/>
        <v/>
      </c>
      <c r="T148" s="174" t="str">
        <f t="shared" si="45"/>
        <v/>
      </c>
      <c r="U148" s="174" t="str">
        <f t="shared" si="45"/>
        <v/>
      </c>
      <c r="V148" s="174" t="str">
        <f t="shared" si="45"/>
        <v/>
      </c>
      <c r="W148" s="174" t="str">
        <f>_xlfn.IFNA(VLOOKUP(T:T,'Example Logframe'!$B:$G,6,FALSE),"")</f>
        <v/>
      </c>
      <c r="X148" s="174" t="str">
        <f>_xlfn.IFNA(VLOOKUP(U:U,'Example Logframe'!$B:$G,6,FALSE),"")</f>
        <v/>
      </c>
      <c r="Y148" s="174" t="str">
        <f>_xlfn.IFNA(VLOOKUP(V:V,'Example Logframe'!$B:$G,6,FALSE),"")</f>
        <v/>
      </c>
      <c r="Z148">
        <v>144</v>
      </c>
      <c r="AD148" t="str">
        <f t="shared" si="32"/>
        <v/>
      </c>
      <c r="AE148" t="str">
        <f t="shared" si="32"/>
        <v/>
      </c>
      <c r="AF148" t="str">
        <f t="shared" si="46"/>
        <v/>
      </c>
    </row>
    <row r="149" spans="1:32" x14ac:dyDescent="0.35">
      <c r="A149">
        <f>INDEX('Example Logframe'!F:F,153,1)</f>
        <v>0</v>
      </c>
      <c r="B149" s="110">
        <v>1.64</v>
      </c>
      <c r="C149" s="321" t="str">
        <f>INDEX('Example Logframe'!B:B,153,1)</f>
        <v>0</v>
      </c>
      <c r="D149" t="str">
        <f t="shared" si="39"/>
        <v/>
      </c>
      <c r="E149" t="str">
        <f t="shared" si="40"/>
        <v/>
      </c>
      <c r="F149" t="str">
        <f t="shared" si="33"/>
        <v/>
      </c>
      <c r="G149" t="str">
        <f t="shared" si="41"/>
        <v/>
      </c>
      <c r="H149" t="str">
        <f t="shared" si="34"/>
        <v/>
      </c>
      <c r="I149" s="157" t="str">
        <f t="shared" si="35"/>
        <v/>
      </c>
      <c r="J149" s="157"/>
      <c r="K149" s="157" t="str">
        <f t="shared" si="36"/>
        <v/>
      </c>
      <c r="L149" s="157" t="str">
        <f t="shared" si="37"/>
        <v/>
      </c>
      <c r="M149" s="157"/>
      <c r="N149" s="157" t="str">
        <f t="shared" si="38"/>
        <v/>
      </c>
      <c r="O149" s="174" t="str">
        <f>Table132[[#This Row],[Combined List]]</f>
        <v/>
      </c>
      <c r="P149" s="157">
        <v>145</v>
      </c>
      <c r="Q149" s="174" t="str">
        <f t="shared" si="42"/>
        <v/>
      </c>
      <c r="R149" s="174" t="str">
        <f t="shared" si="43"/>
        <v/>
      </c>
      <c r="S149" s="174" t="str">
        <f t="shared" si="44"/>
        <v/>
      </c>
      <c r="T149" s="174" t="str">
        <f t="shared" si="45"/>
        <v/>
      </c>
      <c r="U149" s="174" t="str">
        <f t="shared" si="45"/>
        <v/>
      </c>
      <c r="V149" s="174" t="str">
        <f t="shared" si="45"/>
        <v/>
      </c>
      <c r="W149" s="174" t="str">
        <f>_xlfn.IFNA(VLOOKUP(T:T,'Example Logframe'!$B:$G,6,FALSE),"")</f>
        <v/>
      </c>
      <c r="X149" s="174" t="str">
        <f>_xlfn.IFNA(VLOOKUP(U:U,'Example Logframe'!$B:$G,6,FALSE),"")</f>
        <v/>
      </c>
      <c r="Y149" s="174" t="str">
        <f>_xlfn.IFNA(VLOOKUP(V:V,'Example Logframe'!$B:$G,6,FALSE),"")</f>
        <v/>
      </c>
      <c r="Z149">
        <v>145</v>
      </c>
      <c r="AD149" t="str">
        <f t="shared" si="32"/>
        <v/>
      </c>
      <c r="AE149" t="str">
        <f t="shared" si="32"/>
        <v/>
      </c>
      <c r="AF149" t="str">
        <f t="shared" si="46"/>
        <v/>
      </c>
    </row>
    <row r="150" spans="1:32" x14ac:dyDescent="0.35">
      <c r="A150">
        <f>INDEX('Example Logframe'!F:F,154,1)</f>
        <v>0</v>
      </c>
      <c r="B150" s="110">
        <v>1.65</v>
      </c>
      <c r="C150" s="321" t="str">
        <f>INDEX('Example Logframe'!B:B,154,1)</f>
        <v>0</v>
      </c>
      <c r="D150" t="str">
        <f t="shared" si="39"/>
        <v/>
      </c>
      <c r="E150" t="str">
        <f t="shared" si="40"/>
        <v/>
      </c>
      <c r="F150" t="str">
        <f t="shared" si="33"/>
        <v/>
      </c>
      <c r="G150" t="str">
        <f t="shared" si="41"/>
        <v/>
      </c>
      <c r="H150" t="str">
        <f t="shared" si="34"/>
        <v/>
      </c>
      <c r="I150" s="157" t="str">
        <f t="shared" si="35"/>
        <v/>
      </c>
      <c r="J150" s="157"/>
      <c r="K150" s="157" t="str">
        <f t="shared" si="36"/>
        <v/>
      </c>
      <c r="L150" s="157" t="str">
        <f t="shared" si="37"/>
        <v/>
      </c>
      <c r="M150" s="157"/>
      <c r="N150" s="157" t="str">
        <f t="shared" si="38"/>
        <v/>
      </c>
      <c r="O150" s="174" t="str">
        <f>Table132[[#This Row],[Combined List]]</f>
        <v/>
      </c>
      <c r="P150" s="157">
        <v>146</v>
      </c>
      <c r="Q150" s="174" t="str">
        <f t="shared" si="42"/>
        <v/>
      </c>
      <c r="R150" s="174" t="str">
        <f t="shared" si="43"/>
        <v/>
      </c>
      <c r="S150" s="174" t="str">
        <f t="shared" si="44"/>
        <v/>
      </c>
      <c r="T150" s="174" t="str">
        <f t="shared" si="45"/>
        <v/>
      </c>
      <c r="U150" s="174" t="str">
        <f t="shared" si="45"/>
        <v/>
      </c>
      <c r="V150" s="174" t="str">
        <f t="shared" si="45"/>
        <v/>
      </c>
      <c r="W150" s="174" t="str">
        <f>_xlfn.IFNA(VLOOKUP(T:T,'Example Logframe'!$B:$G,6,FALSE),"")</f>
        <v/>
      </c>
      <c r="X150" s="174" t="str">
        <f>_xlfn.IFNA(VLOOKUP(U:U,'Example Logframe'!$B:$G,6,FALSE),"")</f>
        <v/>
      </c>
      <c r="Y150" s="174" t="str">
        <f>_xlfn.IFNA(VLOOKUP(V:V,'Example Logframe'!$B:$G,6,FALSE),"")</f>
        <v/>
      </c>
      <c r="Z150">
        <v>146</v>
      </c>
      <c r="AD150" t="str">
        <f t="shared" ref="AD150:AE213" si="47">RIGHT(AA:AA,7)</f>
        <v/>
      </c>
      <c r="AE150" t="str">
        <f t="shared" si="47"/>
        <v/>
      </c>
      <c r="AF150" t="str">
        <f t="shared" si="46"/>
        <v/>
      </c>
    </row>
    <row r="151" spans="1:32" x14ac:dyDescent="0.35">
      <c r="A151">
        <f>INDEX('Example Logframe'!F:F,155,1)</f>
        <v>0</v>
      </c>
      <c r="B151" s="110">
        <v>1.66</v>
      </c>
      <c r="C151" s="321" t="str">
        <f>INDEX('Example Logframe'!B:B,155,1)</f>
        <v>0</v>
      </c>
      <c r="D151" t="str">
        <f t="shared" si="39"/>
        <v/>
      </c>
      <c r="E151" t="str">
        <f t="shared" si="40"/>
        <v/>
      </c>
      <c r="F151" t="str">
        <f t="shared" si="33"/>
        <v/>
      </c>
      <c r="G151" t="str">
        <f t="shared" si="41"/>
        <v/>
      </c>
      <c r="H151" t="str">
        <f t="shared" si="34"/>
        <v/>
      </c>
      <c r="I151" s="157" t="str">
        <f t="shared" si="35"/>
        <v/>
      </c>
      <c r="J151" s="157"/>
      <c r="K151" s="157" t="str">
        <f t="shared" si="36"/>
        <v/>
      </c>
      <c r="L151" s="157" t="str">
        <f t="shared" si="37"/>
        <v/>
      </c>
      <c r="M151" s="157"/>
      <c r="N151" s="157" t="str">
        <f t="shared" si="38"/>
        <v/>
      </c>
      <c r="O151" s="174" t="str">
        <f>Table132[[#This Row],[Combined List]]</f>
        <v/>
      </c>
      <c r="P151" s="157">
        <v>147</v>
      </c>
      <c r="Q151" s="174" t="str">
        <f t="shared" si="42"/>
        <v/>
      </c>
      <c r="R151" s="174" t="str">
        <f t="shared" si="43"/>
        <v/>
      </c>
      <c r="S151" s="174" t="str">
        <f t="shared" si="44"/>
        <v/>
      </c>
      <c r="T151" s="174" t="str">
        <f t="shared" si="45"/>
        <v/>
      </c>
      <c r="U151" s="174" t="str">
        <f t="shared" si="45"/>
        <v/>
      </c>
      <c r="V151" s="174" t="str">
        <f t="shared" si="45"/>
        <v/>
      </c>
      <c r="W151" s="174" t="str">
        <f>_xlfn.IFNA(VLOOKUP(T:T,'Example Logframe'!$B:$G,6,FALSE),"")</f>
        <v/>
      </c>
      <c r="X151" s="174" t="str">
        <f>_xlfn.IFNA(VLOOKUP(U:U,'Example Logframe'!$B:$G,6,FALSE),"")</f>
        <v/>
      </c>
      <c r="Y151" s="174" t="str">
        <f>_xlfn.IFNA(VLOOKUP(V:V,'Example Logframe'!$B:$G,6,FALSE),"")</f>
        <v/>
      </c>
      <c r="Z151">
        <v>147</v>
      </c>
      <c r="AD151" t="str">
        <f t="shared" si="47"/>
        <v/>
      </c>
      <c r="AE151" t="str">
        <f t="shared" si="47"/>
        <v/>
      </c>
      <c r="AF151" t="str">
        <f t="shared" si="46"/>
        <v/>
      </c>
    </row>
    <row r="152" spans="1:32" x14ac:dyDescent="0.35">
      <c r="A152">
        <f>INDEX('Example Logframe'!F:F,156,1)</f>
        <v>0</v>
      </c>
      <c r="B152" s="110">
        <v>1.67</v>
      </c>
      <c r="C152" s="321" t="str">
        <f>INDEX('Example Logframe'!B:B,156,1)</f>
        <v>0</v>
      </c>
      <c r="D152" t="str">
        <f t="shared" si="39"/>
        <v/>
      </c>
      <c r="E152" t="str">
        <f t="shared" si="40"/>
        <v/>
      </c>
      <c r="F152" t="str">
        <f t="shared" si="33"/>
        <v/>
      </c>
      <c r="G152" t="str">
        <f t="shared" si="41"/>
        <v/>
      </c>
      <c r="H152" t="str">
        <f t="shared" si="34"/>
        <v/>
      </c>
      <c r="I152" s="157" t="str">
        <f t="shared" si="35"/>
        <v/>
      </c>
      <c r="J152" s="157"/>
      <c r="K152" s="157" t="str">
        <f t="shared" si="36"/>
        <v/>
      </c>
      <c r="L152" s="157" t="str">
        <f t="shared" si="37"/>
        <v/>
      </c>
      <c r="M152" s="157"/>
      <c r="N152" s="157" t="str">
        <f t="shared" si="38"/>
        <v/>
      </c>
      <c r="O152" s="174" t="str">
        <f>Table132[[#This Row],[Combined List]]</f>
        <v/>
      </c>
      <c r="P152" s="157">
        <v>148</v>
      </c>
      <c r="Q152" s="174" t="str">
        <f t="shared" si="42"/>
        <v/>
      </c>
      <c r="R152" s="174" t="str">
        <f t="shared" si="43"/>
        <v/>
      </c>
      <c r="S152" s="174" t="str">
        <f t="shared" si="44"/>
        <v/>
      </c>
      <c r="T152" s="174" t="str">
        <f t="shared" si="45"/>
        <v/>
      </c>
      <c r="U152" s="174" t="str">
        <f t="shared" si="45"/>
        <v/>
      </c>
      <c r="V152" s="174" t="str">
        <f t="shared" si="45"/>
        <v/>
      </c>
      <c r="W152" s="174" t="str">
        <f>_xlfn.IFNA(VLOOKUP(T:T,'Example Logframe'!$B:$G,6,FALSE),"")</f>
        <v/>
      </c>
      <c r="X152" s="174" t="str">
        <f>_xlfn.IFNA(VLOOKUP(U:U,'Example Logframe'!$B:$G,6,FALSE),"")</f>
        <v/>
      </c>
      <c r="Y152" s="174" t="str">
        <f>_xlfn.IFNA(VLOOKUP(V:V,'Example Logframe'!$B:$G,6,FALSE),"")</f>
        <v/>
      </c>
      <c r="Z152">
        <v>148</v>
      </c>
      <c r="AD152" t="str">
        <f t="shared" si="47"/>
        <v/>
      </c>
      <c r="AE152" t="str">
        <f t="shared" si="47"/>
        <v/>
      </c>
      <c r="AF152" t="str">
        <f t="shared" si="46"/>
        <v/>
      </c>
    </row>
    <row r="153" spans="1:32" x14ac:dyDescent="0.35">
      <c r="A153">
        <f>INDEX('Example Logframe'!F:F,157,1)</f>
        <v>0</v>
      </c>
      <c r="B153" s="110">
        <v>1.68</v>
      </c>
      <c r="C153" s="321" t="str">
        <f>INDEX('Example Logframe'!B:B,157,1)</f>
        <v>0</v>
      </c>
      <c r="D153" t="str">
        <f t="shared" si="39"/>
        <v/>
      </c>
      <c r="E153" t="str">
        <f t="shared" si="40"/>
        <v/>
      </c>
      <c r="F153" t="str">
        <f t="shared" si="33"/>
        <v/>
      </c>
      <c r="G153" t="str">
        <f t="shared" si="41"/>
        <v/>
      </c>
      <c r="H153" t="str">
        <f t="shared" si="34"/>
        <v/>
      </c>
      <c r="I153" s="157" t="str">
        <f t="shared" si="35"/>
        <v/>
      </c>
      <c r="J153" s="157"/>
      <c r="K153" s="157" t="str">
        <f t="shared" si="36"/>
        <v/>
      </c>
      <c r="L153" s="157" t="str">
        <f t="shared" si="37"/>
        <v/>
      </c>
      <c r="M153" s="157"/>
      <c r="N153" s="157" t="str">
        <f t="shared" si="38"/>
        <v/>
      </c>
      <c r="O153" s="174" t="str">
        <f>Table132[[#This Row],[Combined List]]</f>
        <v/>
      </c>
      <c r="P153" s="157">
        <v>149</v>
      </c>
      <c r="Q153" s="174" t="str">
        <f t="shared" si="42"/>
        <v/>
      </c>
      <c r="R153" s="174" t="str">
        <f t="shared" si="43"/>
        <v/>
      </c>
      <c r="S153" s="174" t="str">
        <f t="shared" si="44"/>
        <v/>
      </c>
      <c r="T153" s="174" t="str">
        <f t="shared" si="45"/>
        <v/>
      </c>
      <c r="U153" s="174" t="str">
        <f t="shared" si="45"/>
        <v/>
      </c>
      <c r="V153" s="174" t="str">
        <f t="shared" si="45"/>
        <v/>
      </c>
      <c r="W153" s="174" t="str">
        <f>_xlfn.IFNA(VLOOKUP(T:T,'Example Logframe'!$B:$G,6,FALSE),"")</f>
        <v/>
      </c>
      <c r="X153" s="174" t="str">
        <f>_xlfn.IFNA(VLOOKUP(U:U,'Example Logframe'!$B:$G,6,FALSE),"")</f>
        <v/>
      </c>
      <c r="Y153" s="174" t="str">
        <f>_xlfn.IFNA(VLOOKUP(V:V,'Example Logframe'!$B:$G,6,FALSE),"")</f>
        <v/>
      </c>
      <c r="Z153">
        <v>149</v>
      </c>
      <c r="AD153" t="str">
        <f t="shared" si="47"/>
        <v/>
      </c>
      <c r="AE153" t="str">
        <f t="shared" si="47"/>
        <v/>
      </c>
      <c r="AF153" t="str">
        <f t="shared" si="46"/>
        <v/>
      </c>
    </row>
    <row r="154" spans="1:32" x14ac:dyDescent="0.35">
      <c r="A154">
        <f>INDEX('Example Logframe'!F:F,158,1)</f>
        <v>0</v>
      </c>
      <c r="B154" s="110">
        <v>1.69</v>
      </c>
      <c r="C154" s="321" t="str">
        <f>INDEX('Example Logframe'!B:B,158,1)</f>
        <v>0</v>
      </c>
      <c r="D154" t="str">
        <f t="shared" si="39"/>
        <v/>
      </c>
      <c r="E154" t="str">
        <f t="shared" si="40"/>
        <v/>
      </c>
      <c r="F154" t="str">
        <f t="shared" si="33"/>
        <v/>
      </c>
      <c r="G154" t="str">
        <f t="shared" si="41"/>
        <v/>
      </c>
      <c r="H154" t="str">
        <f t="shared" si="34"/>
        <v/>
      </c>
      <c r="I154" s="157" t="str">
        <f t="shared" si="35"/>
        <v/>
      </c>
      <c r="J154" s="157"/>
      <c r="K154" s="157" t="str">
        <f t="shared" si="36"/>
        <v/>
      </c>
      <c r="L154" s="157" t="str">
        <f t="shared" si="37"/>
        <v/>
      </c>
      <c r="M154" s="157"/>
      <c r="N154" s="157" t="str">
        <f t="shared" si="38"/>
        <v/>
      </c>
      <c r="O154" s="174" t="str">
        <f>Table132[[#This Row],[Combined List]]</f>
        <v/>
      </c>
      <c r="P154" s="157">
        <v>150</v>
      </c>
      <c r="Q154" s="174" t="str">
        <f t="shared" si="42"/>
        <v/>
      </c>
      <c r="R154" s="174" t="str">
        <f t="shared" si="43"/>
        <v/>
      </c>
      <c r="S154" s="174" t="str">
        <f t="shared" si="44"/>
        <v/>
      </c>
      <c r="T154" s="174" t="str">
        <f t="shared" si="45"/>
        <v/>
      </c>
      <c r="U154" s="174" t="str">
        <f t="shared" si="45"/>
        <v/>
      </c>
      <c r="V154" s="174" t="str">
        <f t="shared" si="45"/>
        <v/>
      </c>
      <c r="W154" s="174" t="str">
        <f>_xlfn.IFNA(VLOOKUP(T:T,'Example Logframe'!$B:$G,6,FALSE),"")</f>
        <v/>
      </c>
      <c r="X154" s="174" t="str">
        <f>_xlfn.IFNA(VLOOKUP(U:U,'Example Logframe'!$B:$G,6,FALSE),"")</f>
        <v/>
      </c>
      <c r="Y154" s="174" t="str">
        <f>_xlfn.IFNA(VLOOKUP(V:V,'Example Logframe'!$B:$G,6,FALSE),"")</f>
        <v/>
      </c>
      <c r="Z154">
        <v>150</v>
      </c>
      <c r="AD154" t="str">
        <f t="shared" si="47"/>
        <v/>
      </c>
      <c r="AE154" t="str">
        <f t="shared" si="47"/>
        <v/>
      </c>
      <c r="AF154" t="str">
        <f t="shared" si="46"/>
        <v/>
      </c>
    </row>
    <row r="155" spans="1:32" x14ac:dyDescent="0.35">
      <c r="A155">
        <f>INDEX('Example Logframe'!F:F,159,1)</f>
        <v>0</v>
      </c>
      <c r="B155" s="110">
        <v>1.71</v>
      </c>
      <c r="C155" s="321" t="str">
        <f>INDEX('Example Logframe'!B:B,159,1)</f>
        <v>0</v>
      </c>
      <c r="D155" t="str">
        <f t="shared" si="39"/>
        <v/>
      </c>
      <c r="E155" t="str">
        <f t="shared" si="40"/>
        <v/>
      </c>
      <c r="F155" t="str">
        <f t="shared" si="33"/>
        <v/>
      </c>
      <c r="G155" t="str">
        <f t="shared" si="41"/>
        <v/>
      </c>
      <c r="H155" t="str">
        <f t="shared" si="34"/>
        <v/>
      </c>
      <c r="I155" s="157" t="str">
        <f t="shared" si="35"/>
        <v/>
      </c>
      <c r="J155" s="157"/>
      <c r="K155" s="157" t="str">
        <f t="shared" si="36"/>
        <v/>
      </c>
      <c r="L155" s="157" t="str">
        <f t="shared" si="37"/>
        <v/>
      </c>
      <c r="M155" s="157"/>
      <c r="N155" s="157" t="str">
        <f t="shared" si="38"/>
        <v/>
      </c>
      <c r="O155" s="174" t="str">
        <f>Table132[[#This Row],[Combined List]]</f>
        <v/>
      </c>
      <c r="P155" s="157">
        <v>151</v>
      </c>
      <c r="Q155" s="174" t="str">
        <f t="shared" si="42"/>
        <v/>
      </c>
      <c r="R155" s="174" t="str">
        <f t="shared" si="43"/>
        <v/>
      </c>
      <c r="S155" s="174" t="str">
        <f t="shared" si="44"/>
        <v/>
      </c>
      <c r="T155" s="174" t="str">
        <f t="shared" si="45"/>
        <v/>
      </c>
      <c r="U155" s="174" t="str">
        <f t="shared" si="45"/>
        <v/>
      </c>
      <c r="V155" s="174" t="str">
        <f t="shared" si="45"/>
        <v/>
      </c>
      <c r="W155" s="174" t="str">
        <f>_xlfn.IFNA(VLOOKUP(T:T,'Example Logframe'!$B:$G,6,FALSE),"")</f>
        <v/>
      </c>
      <c r="X155" s="174" t="str">
        <f>_xlfn.IFNA(VLOOKUP(U:U,'Example Logframe'!$B:$G,6,FALSE),"")</f>
        <v/>
      </c>
      <c r="Y155" s="174" t="str">
        <f>_xlfn.IFNA(VLOOKUP(V:V,'Example Logframe'!$B:$G,6,FALSE),"")</f>
        <v/>
      </c>
      <c r="Z155">
        <v>151</v>
      </c>
      <c r="AD155" t="str">
        <f t="shared" si="47"/>
        <v/>
      </c>
      <c r="AE155" t="str">
        <f t="shared" si="47"/>
        <v/>
      </c>
      <c r="AF155" t="str">
        <f t="shared" si="46"/>
        <v/>
      </c>
    </row>
    <row r="156" spans="1:32" x14ac:dyDescent="0.35">
      <c r="A156">
        <f>INDEX('Example Logframe'!F:F,160,1)</f>
        <v>0</v>
      </c>
      <c r="B156" s="110">
        <v>1.72</v>
      </c>
      <c r="C156" s="321" t="str">
        <f>INDEX('Example Logframe'!B:B,160,1)</f>
        <v>0</v>
      </c>
      <c r="D156" t="str">
        <f t="shared" si="39"/>
        <v/>
      </c>
      <c r="E156" t="str">
        <f t="shared" si="40"/>
        <v/>
      </c>
      <c r="F156" t="str">
        <f t="shared" si="33"/>
        <v/>
      </c>
      <c r="G156" t="str">
        <f t="shared" si="41"/>
        <v/>
      </c>
      <c r="H156" t="str">
        <f t="shared" si="34"/>
        <v/>
      </c>
      <c r="I156" s="157" t="str">
        <f t="shared" si="35"/>
        <v/>
      </c>
      <c r="J156" s="157"/>
      <c r="K156" s="157" t="str">
        <f t="shared" si="36"/>
        <v/>
      </c>
      <c r="L156" s="157" t="str">
        <f t="shared" si="37"/>
        <v/>
      </c>
      <c r="M156" s="157"/>
      <c r="N156" s="157" t="str">
        <f t="shared" si="38"/>
        <v/>
      </c>
      <c r="O156" s="174" t="str">
        <f>Table132[[#This Row],[Combined List]]</f>
        <v/>
      </c>
      <c r="P156" s="157">
        <v>152</v>
      </c>
      <c r="Q156" s="174" t="str">
        <f t="shared" si="42"/>
        <v/>
      </c>
      <c r="R156" s="174" t="str">
        <f t="shared" si="43"/>
        <v/>
      </c>
      <c r="S156" s="174" t="str">
        <f t="shared" si="44"/>
        <v/>
      </c>
      <c r="T156" s="174" t="str">
        <f t="shared" si="45"/>
        <v/>
      </c>
      <c r="U156" s="174" t="str">
        <f t="shared" si="45"/>
        <v/>
      </c>
      <c r="V156" s="174" t="str">
        <f t="shared" si="45"/>
        <v/>
      </c>
      <c r="W156" s="174" t="str">
        <f>_xlfn.IFNA(VLOOKUP(T:T,'Example Logframe'!$B:$G,6,FALSE),"")</f>
        <v/>
      </c>
      <c r="X156" s="174" t="str">
        <f>_xlfn.IFNA(VLOOKUP(U:U,'Example Logframe'!$B:$G,6,FALSE),"")</f>
        <v/>
      </c>
      <c r="Y156" s="174" t="str">
        <f>_xlfn.IFNA(VLOOKUP(V:V,'Example Logframe'!$B:$G,6,FALSE),"")</f>
        <v/>
      </c>
      <c r="Z156">
        <v>152</v>
      </c>
      <c r="AD156" t="str">
        <f t="shared" si="47"/>
        <v/>
      </c>
      <c r="AE156" t="str">
        <f t="shared" si="47"/>
        <v/>
      </c>
      <c r="AF156" t="str">
        <f t="shared" si="46"/>
        <v/>
      </c>
    </row>
    <row r="157" spans="1:32" x14ac:dyDescent="0.35">
      <c r="A157">
        <f>INDEX('Example Logframe'!F:F,161,1)</f>
        <v>0</v>
      </c>
      <c r="B157" s="110">
        <v>1.73</v>
      </c>
      <c r="C157" s="321" t="str">
        <f>INDEX('Example Logframe'!B:B,161,1)</f>
        <v>0</v>
      </c>
      <c r="D157" t="str">
        <f t="shared" si="39"/>
        <v/>
      </c>
      <c r="E157" t="str">
        <f t="shared" si="40"/>
        <v/>
      </c>
      <c r="F157" t="str">
        <f t="shared" si="33"/>
        <v/>
      </c>
      <c r="G157" t="str">
        <f t="shared" si="41"/>
        <v/>
      </c>
      <c r="H157" t="str">
        <f t="shared" si="34"/>
        <v/>
      </c>
      <c r="I157" s="157" t="str">
        <f t="shared" si="35"/>
        <v/>
      </c>
      <c r="J157" s="157"/>
      <c r="K157" s="157" t="str">
        <f t="shared" si="36"/>
        <v/>
      </c>
      <c r="L157" s="157" t="str">
        <f t="shared" si="37"/>
        <v/>
      </c>
      <c r="M157" s="157"/>
      <c r="N157" s="157" t="str">
        <f t="shared" si="38"/>
        <v/>
      </c>
      <c r="O157" s="174" t="str">
        <f>Table132[[#This Row],[Combined List]]</f>
        <v/>
      </c>
      <c r="P157" s="157">
        <v>153</v>
      </c>
      <c r="Q157" s="174" t="str">
        <f t="shared" si="42"/>
        <v/>
      </c>
      <c r="R157" s="174" t="str">
        <f t="shared" si="43"/>
        <v/>
      </c>
      <c r="S157" s="174" t="str">
        <f t="shared" si="44"/>
        <v/>
      </c>
      <c r="T157" s="174" t="str">
        <f t="shared" si="45"/>
        <v/>
      </c>
      <c r="U157" s="174" t="str">
        <f t="shared" si="45"/>
        <v/>
      </c>
      <c r="V157" s="174" t="str">
        <f t="shared" si="45"/>
        <v/>
      </c>
      <c r="W157" s="174" t="str">
        <f>_xlfn.IFNA(VLOOKUP(T:T,'Example Logframe'!$B:$G,6,FALSE),"")</f>
        <v/>
      </c>
      <c r="X157" s="174" t="str">
        <f>_xlfn.IFNA(VLOOKUP(U:U,'Example Logframe'!$B:$G,6,FALSE),"")</f>
        <v/>
      </c>
      <c r="Y157" s="174" t="str">
        <f>_xlfn.IFNA(VLOOKUP(V:V,'Example Logframe'!$B:$G,6,FALSE),"")</f>
        <v/>
      </c>
      <c r="Z157">
        <v>153</v>
      </c>
      <c r="AD157" t="str">
        <f t="shared" si="47"/>
        <v/>
      </c>
      <c r="AE157" t="str">
        <f t="shared" si="47"/>
        <v/>
      </c>
      <c r="AF157" t="str">
        <f t="shared" si="46"/>
        <v/>
      </c>
    </row>
    <row r="158" spans="1:32" x14ac:dyDescent="0.35">
      <c r="A158">
        <f>INDEX('Example Logframe'!F:F,162,1)</f>
        <v>0</v>
      </c>
      <c r="B158" s="110">
        <v>1.74</v>
      </c>
      <c r="C158" s="321" t="str">
        <f>INDEX('Example Logframe'!B:B,162,1)</f>
        <v>0</v>
      </c>
      <c r="D158" t="str">
        <f t="shared" si="39"/>
        <v/>
      </c>
      <c r="E158" t="str">
        <f t="shared" si="40"/>
        <v/>
      </c>
      <c r="F158" t="str">
        <f t="shared" si="33"/>
        <v/>
      </c>
      <c r="G158" t="str">
        <f t="shared" si="41"/>
        <v/>
      </c>
      <c r="H158" t="str">
        <f t="shared" si="34"/>
        <v/>
      </c>
      <c r="I158" s="157" t="str">
        <f t="shared" si="35"/>
        <v/>
      </c>
      <c r="J158" s="157"/>
      <c r="K158" s="157" t="str">
        <f t="shared" si="36"/>
        <v/>
      </c>
      <c r="L158" s="157" t="str">
        <f t="shared" si="37"/>
        <v/>
      </c>
      <c r="M158" s="157"/>
      <c r="N158" s="157" t="str">
        <f t="shared" si="38"/>
        <v/>
      </c>
      <c r="O158" s="174" t="str">
        <f>Table132[[#This Row],[Combined List]]</f>
        <v/>
      </c>
      <c r="P158" s="157">
        <v>154</v>
      </c>
      <c r="Q158" s="174" t="str">
        <f t="shared" si="42"/>
        <v/>
      </c>
      <c r="R158" s="174" t="str">
        <f t="shared" si="43"/>
        <v/>
      </c>
      <c r="S158" s="174" t="str">
        <f t="shared" si="44"/>
        <v/>
      </c>
      <c r="T158" s="174" t="str">
        <f t="shared" si="45"/>
        <v/>
      </c>
      <c r="U158" s="174" t="str">
        <f t="shared" si="45"/>
        <v/>
      </c>
      <c r="V158" s="174" t="str">
        <f t="shared" si="45"/>
        <v/>
      </c>
      <c r="W158" s="174" t="str">
        <f>_xlfn.IFNA(VLOOKUP(T:T,'Example Logframe'!$B:$G,6,FALSE),"")</f>
        <v/>
      </c>
      <c r="X158" s="174" t="str">
        <f>_xlfn.IFNA(VLOOKUP(U:U,'Example Logframe'!$B:$G,6,FALSE),"")</f>
        <v/>
      </c>
      <c r="Y158" s="174" t="str">
        <f>_xlfn.IFNA(VLOOKUP(V:V,'Example Logframe'!$B:$G,6,FALSE),"")</f>
        <v/>
      </c>
      <c r="Z158">
        <v>154</v>
      </c>
      <c r="AD158" t="str">
        <f t="shared" si="47"/>
        <v/>
      </c>
      <c r="AE158" t="str">
        <f t="shared" si="47"/>
        <v/>
      </c>
      <c r="AF158" t="str">
        <f t="shared" si="46"/>
        <v/>
      </c>
    </row>
    <row r="159" spans="1:32" x14ac:dyDescent="0.35">
      <c r="A159">
        <f>INDEX('Example Logframe'!F:F,163,1)</f>
        <v>0</v>
      </c>
      <c r="B159" s="110">
        <v>1.75</v>
      </c>
      <c r="C159" s="321" t="str">
        <f>INDEX('Example Logframe'!B:B,163,1)</f>
        <v>0</v>
      </c>
      <c r="D159" t="str">
        <f t="shared" si="39"/>
        <v/>
      </c>
      <c r="E159" t="str">
        <f t="shared" si="40"/>
        <v/>
      </c>
      <c r="F159" t="str">
        <f t="shared" si="33"/>
        <v/>
      </c>
      <c r="G159" t="str">
        <f t="shared" si="41"/>
        <v/>
      </c>
      <c r="H159" t="str">
        <f t="shared" si="34"/>
        <v/>
      </c>
      <c r="I159" s="157" t="str">
        <f t="shared" si="35"/>
        <v/>
      </c>
      <c r="J159" s="157"/>
      <c r="K159" s="157" t="str">
        <f t="shared" si="36"/>
        <v/>
      </c>
      <c r="L159" s="157" t="str">
        <f t="shared" si="37"/>
        <v/>
      </c>
      <c r="M159" s="157"/>
      <c r="N159" s="157" t="str">
        <f t="shared" si="38"/>
        <v/>
      </c>
      <c r="O159" s="174" t="str">
        <f>Table132[[#This Row],[Combined List]]</f>
        <v/>
      </c>
      <c r="P159" s="157">
        <v>155</v>
      </c>
      <c r="Q159" s="174" t="str">
        <f t="shared" si="42"/>
        <v/>
      </c>
      <c r="R159" s="174" t="str">
        <f t="shared" si="43"/>
        <v/>
      </c>
      <c r="S159" s="174" t="str">
        <f t="shared" si="44"/>
        <v/>
      </c>
      <c r="T159" s="174" t="str">
        <f t="shared" si="45"/>
        <v/>
      </c>
      <c r="U159" s="174" t="str">
        <f t="shared" si="45"/>
        <v/>
      </c>
      <c r="V159" s="174" t="str">
        <f t="shared" si="45"/>
        <v/>
      </c>
      <c r="W159" s="174" t="str">
        <f>_xlfn.IFNA(VLOOKUP(T:T,'Example Logframe'!$B:$G,6,FALSE),"")</f>
        <v/>
      </c>
      <c r="X159" s="174" t="str">
        <f>_xlfn.IFNA(VLOOKUP(U:U,'Example Logframe'!$B:$G,6,FALSE),"")</f>
        <v/>
      </c>
      <c r="Y159" s="174" t="str">
        <f>_xlfn.IFNA(VLOOKUP(V:V,'Example Logframe'!$B:$G,6,FALSE),"")</f>
        <v/>
      </c>
      <c r="Z159">
        <v>155</v>
      </c>
      <c r="AD159" t="str">
        <f t="shared" si="47"/>
        <v/>
      </c>
      <c r="AE159" t="str">
        <f t="shared" si="47"/>
        <v/>
      </c>
      <c r="AF159" t="str">
        <f t="shared" si="46"/>
        <v/>
      </c>
    </row>
    <row r="160" spans="1:32" x14ac:dyDescent="0.35">
      <c r="A160">
        <f>INDEX('Example Logframe'!F:F,164,1)</f>
        <v>0</v>
      </c>
      <c r="B160" s="110">
        <v>1.76</v>
      </c>
      <c r="C160" s="321" t="str">
        <f>INDEX('Example Logframe'!B:B,164,1)</f>
        <v>0</v>
      </c>
      <c r="D160" t="str">
        <f t="shared" si="39"/>
        <v/>
      </c>
      <c r="E160" t="str">
        <f t="shared" si="40"/>
        <v/>
      </c>
      <c r="F160" t="str">
        <f t="shared" si="33"/>
        <v/>
      </c>
      <c r="G160" t="str">
        <f t="shared" si="41"/>
        <v/>
      </c>
      <c r="H160" t="str">
        <f t="shared" si="34"/>
        <v/>
      </c>
      <c r="I160" s="157" t="str">
        <f t="shared" si="35"/>
        <v/>
      </c>
      <c r="J160" s="157"/>
      <c r="K160" s="157" t="str">
        <f t="shared" si="36"/>
        <v/>
      </c>
      <c r="L160" s="157" t="str">
        <f t="shared" si="37"/>
        <v/>
      </c>
      <c r="M160" s="157"/>
      <c r="N160" s="157" t="str">
        <f t="shared" si="38"/>
        <v/>
      </c>
      <c r="O160" s="174" t="str">
        <f>Table132[[#This Row],[Combined List]]</f>
        <v/>
      </c>
      <c r="P160" s="157">
        <v>156</v>
      </c>
      <c r="Q160" s="174" t="str">
        <f t="shared" si="42"/>
        <v/>
      </c>
      <c r="R160" s="174" t="str">
        <f t="shared" si="43"/>
        <v/>
      </c>
      <c r="S160" s="174" t="str">
        <f t="shared" si="44"/>
        <v/>
      </c>
      <c r="T160" s="174" t="str">
        <f t="shared" si="45"/>
        <v/>
      </c>
      <c r="U160" s="174" t="str">
        <f t="shared" si="45"/>
        <v/>
      </c>
      <c r="V160" s="174" t="str">
        <f t="shared" si="45"/>
        <v/>
      </c>
      <c r="W160" s="174" t="str">
        <f>_xlfn.IFNA(VLOOKUP(T:T,'Example Logframe'!$B:$G,6,FALSE),"")</f>
        <v/>
      </c>
      <c r="X160" s="174" t="str">
        <f>_xlfn.IFNA(VLOOKUP(U:U,'Example Logframe'!$B:$G,6,FALSE),"")</f>
        <v/>
      </c>
      <c r="Y160" s="174" t="str">
        <f>_xlfn.IFNA(VLOOKUP(V:V,'Example Logframe'!$B:$G,6,FALSE),"")</f>
        <v/>
      </c>
      <c r="Z160">
        <v>156</v>
      </c>
      <c r="AD160" t="str">
        <f t="shared" si="47"/>
        <v/>
      </c>
      <c r="AE160" t="str">
        <f t="shared" si="47"/>
        <v/>
      </c>
      <c r="AF160" t="str">
        <f t="shared" si="46"/>
        <v/>
      </c>
    </row>
    <row r="161" spans="1:32" x14ac:dyDescent="0.35">
      <c r="A161">
        <f>INDEX('Example Logframe'!F:F,165,1)</f>
        <v>0</v>
      </c>
      <c r="B161" s="110">
        <v>1.77</v>
      </c>
      <c r="C161" s="321" t="str">
        <f>INDEX('Example Logframe'!B:B,165,1)</f>
        <v>0</v>
      </c>
      <c r="D161" t="str">
        <f t="shared" si="39"/>
        <v/>
      </c>
      <c r="E161" t="str">
        <f t="shared" si="40"/>
        <v/>
      </c>
      <c r="F161" t="str">
        <f t="shared" si="33"/>
        <v/>
      </c>
      <c r="G161" t="str">
        <f t="shared" si="41"/>
        <v/>
      </c>
      <c r="H161" t="str">
        <f t="shared" si="34"/>
        <v/>
      </c>
      <c r="I161" s="157" t="str">
        <f t="shared" si="35"/>
        <v/>
      </c>
      <c r="J161" s="157"/>
      <c r="K161" s="157" t="str">
        <f t="shared" si="36"/>
        <v/>
      </c>
      <c r="L161" s="157" t="str">
        <f t="shared" si="37"/>
        <v/>
      </c>
      <c r="M161" s="157"/>
      <c r="N161" s="157" t="str">
        <f t="shared" si="38"/>
        <v/>
      </c>
      <c r="O161" s="174" t="str">
        <f>Table132[[#This Row],[Combined List]]</f>
        <v/>
      </c>
      <c r="P161" s="157">
        <v>157</v>
      </c>
      <c r="Q161" s="174" t="str">
        <f t="shared" si="42"/>
        <v/>
      </c>
      <c r="R161" s="174" t="str">
        <f t="shared" si="43"/>
        <v/>
      </c>
      <c r="S161" s="174" t="str">
        <f t="shared" si="44"/>
        <v/>
      </c>
      <c r="T161" s="174" t="str">
        <f t="shared" si="45"/>
        <v/>
      </c>
      <c r="U161" s="174" t="str">
        <f t="shared" si="45"/>
        <v/>
      </c>
      <c r="V161" s="174" t="str">
        <f t="shared" si="45"/>
        <v/>
      </c>
      <c r="W161" s="174" t="str">
        <f>_xlfn.IFNA(VLOOKUP(T:T,'Example Logframe'!$B:$G,6,FALSE),"")</f>
        <v/>
      </c>
      <c r="X161" s="174" t="str">
        <f>_xlfn.IFNA(VLOOKUP(U:U,'Example Logframe'!$B:$G,6,FALSE),"")</f>
        <v/>
      </c>
      <c r="Y161" s="174" t="str">
        <f>_xlfn.IFNA(VLOOKUP(V:V,'Example Logframe'!$B:$G,6,FALSE),"")</f>
        <v/>
      </c>
      <c r="Z161">
        <v>157</v>
      </c>
      <c r="AD161" t="str">
        <f t="shared" si="47"/>
        <v/>
      </c>
      <c r="AE161" t="str">
        <f t="shared" si="47"/>
        <v/>
      </c>
      <c r="AF161" t="str">
        <f t="shared" si="46"/>
        <v/>
      </c>
    </row>
    <row r="162" spans="1:32" x14ac:dyDescent="0.35">
      <c r="A162">
        <f>INDEX('Example Logframe'!F:F,166,1)</f>
        <v>0</v>
      </c>
      <c r="B162" s="110">
        <v>1.78</v>
      </c>
      <c r="C162" s="321" t="str">
        <f>INDEX('Example Logframe'!B:B,166,1)</f>
        <v>0</v>
      </c>
      <c r="D162" t="str">
        <f t="shared" si="39"/>
        <v/>
      </c>
      <c r="E162" t="str">
        <f t="shared" si="40"/>
        <v/>
      </c>
      <c r="F162" t="str">
        <f t="shared" si="33"/>
        <v/>
      </c>
      <c r="G162" t="str">
        <f t="shared" si="41"/>
        <v/>
      </c>
      <c r="H162" t="str">
        <f t="shared" si="34"/>
        <v/>
      </c>
      <c r="I162" s="157" t="str">
        <f t="shared" si="35"/>
        <v/>
      </c>
      <c r="J162" s="157"/>
      <c r="K162" s="157" t="str">
        <f t="shared" si="36"/>
        <v/>
      </c>
      <c r="L162" s="157" t="str">
        <f t="shared" si="37"/>
        <v/>
      </c>
      <c r="M162" s="157"/>
      <c r="N162" s="157" t="str">
        <f t="shared" si="38"/>
        <v/>
      </c>
      <c r="O162" s="174" t="str">
        <f>Table132[[#This Row],[Combined List]]</f>
        <v/>
      </c>
      <c r="P162" s="157">
        <v>158</v>
      </c>
      <c r="Q162" s="174" t="str">
        <f t="shared" si="42"/>
        <v/>
      </c>
      <c r="R162" s="174" t="str">
        <f t="shared" si="43"/>
        <v/>
      </c>
      <c r="S162" s="174" t="str">
        <f t="shared" si="44"/>
        <v/>
      </c>
      <c r="T162" s="174" t="str">
        <f t="shared" si="45"/>
        <v/>
      </c>
      <c r="U162" s="174" t="str">
        <f t="shared" si="45"/>
        <v/>
      </c>
      <c r="V162" s="174" t="str">
        <f t="shared" si="45"/>
        <v/>
      </c>
      <c r="W162" s="174" t="str">
        <f>_xlfn.IFNA(VLOOKUP(T:T,'Example Logframe'!$B:$G,6,FALSE),"")</f>
        <v/>
      </c>
      <c r="X162" s="174" t="str">
        <f>_xlfn.IFNA(VLOOKUP(U:U,'Example Logframe'!$B:$G,6,FALSE),"")</f>
        <v/>
      </c>
      <c r="Y162" s="174" t="str">
        <f>_xlfn.IFNA(VLOOKUP(V:V,'Example Logframe'!$B:$G,6,FALSE),"")</f>
        <v/>
      </c>
      <c r="Z162">
        <v>158</v>
      </c>
      <c r="AD162" t="str">
        <f t="shared" si="47"/>
        <v/>
      </c>
      <c r="AE162" t="str">
        <f t="shared" si="47"/>
        <v/>
      </c>
      <c r="AF162" t="str">
        <f t="shared" si="46"/>
        <v/>
      </c>
    </row>
    <row r="163" spans="1:32" x14ac:dyDescent="0.35">
      <c r="A163">
        <f>INDEX('Example Logframe'!F:F,167,1)</f>
        <v>0</v>
      </c>
      <c r="B163" s="110">
        <v>1.79</v>
      </c>
      <c r="C163" s="321" t="str">
        <f>INDEX('Example Logframe'!B:B,167,1)</f>
        <v>0</v>
      </c>
      <c r="D163" t="str">
        <f t="shared" si="39"/>
        <v/>
      </c>
      <c r="E163" t="str">
        <f t="shared" si="40"/>
        <v/>
      </c>
      <c r="F163" t="str">
        <f t="shared" si="33"/>
        <v/>
      </c>
      <c r="G163" t="str">
        <f t="shared" si="41"/>
        <v/>
      </c>
      <c r="H163" t="str">
        <f t="shared" si="34"/>
        <v/>
      </c>
      <c r="I163" s="157" t="str">
        <f t="shared" si="35"/>
        <v/>
      </c>
      <c r="J163" s="157"/>
      <c r="K163" s="157" t="str">
        <f t="shared" si="36"/>
        <v/>
      </c>
      <c r="L163" s="157" t="str">
        <f t="shared" si="37"/>
        <v/>
      </c>
      <c r="M163" s="157"/>
      <c r="N163" s="157" t="str">
        <f t="shared" si="38"/>
        <v/>
      </c>
      <c r="O163" s="174" t="str">
        <f>Table132[[#This Row],[Combined List]]</f>
        <v/>
      </c>
      <c r="P163" s="157">
        <v>159</v>
      </c>
      <c r="Q163" s="174" t="str">
        <f t="shared" si="42"/>
        <v/>
      </c>
      <c r="R163" s="174" t="str">
        <f t="shared" si="43"/>
        <v/>
      </c>
      <c r="S163" s="174" t="str">
        <f t="shared" si="44"/>
        <v/>
      </c>
      <c r="T163" s="174" t="str">
        <f t="shared" si="45"/>
        <v/>
      </c>
      <c r="U163" s="174" t="str">
        <f t="shared" si="45"/>
        <v/>
      </c>
      <c r="V163" s="174" t="str">
        <f t="shared" si="45"/>
        <v/>
      </c>
      <c r="W163" s="174" t="str">
        <f>_xlfn.IFNA(VLOOKUP(T:T,'Example Logframe'!$B:$G,6,FALSE),"")</f>
        <v/>
      </c>
      <c r="X163" s="174" t="str">
        <f>_xlfn.IFNA(VLOOKUP(U:U,'Example Logframe'!$B:$G,6,FALSE),"")</f>
        <v/>
      </c>
      <c r="Y163" s="174" t="str">
        <f>_xlfn.IFNA(VLOOKUP(V:V,'Example Logframe'!$B:$G,6,FALSE),"")</f>
        <v/>
      </c>
      <c r="Z163">
        <v>159</v>
      </c>
      <c r="AD163" t="str">
        <f t="shared" si="47"/>
        <v/>
      </c>
      <c r="AE163" t="str">
        <f t="shared" si="47"/>
        <v/>
      </c>
      <c r="AF163" t="str">
        <f t="shared" si="46"/>
        <v/>
      </c>
    </row>
    <row r="164" spans="1:32" x14ac:dyDescent="0.35">
      <c r="A164">
        <f>INDEX('Example Logframe'!F:F,168,1)</f>
        <v>0</v>
      </c>
      <c r="B164" s="110">
        <v>1.81</v>
      </c>
      <c r="C164" s="321" t="str">
        <f>INDEX('Example Logframe'!B:B,168,1)</f>
        <v>0</v>
      </c>
      <c r="D164" t="str">
        <f t="shared" si="39"/>
        <v/>
      </c>
      <c r="E164" t="str">
        <f t="shared" si="40"/>
        <v/>
      </c>
      <c r="F164" t="str">
        <f t="shared" si="33"/>
        <v/>
      </c>
      <c r="G164" t="str">
        <f t="shared" si="41"/>
        <v/>
      </c>
      <c r="H164" t="str">
        <f t="shared" si="34"/>
        <v/>
      </c>
      <c r="I164" s="157" t="str">
        <f t="shared" si="35"/>
        <v/>
      </c>
      <c r="J164" s="157"/>
      <c r="K164" s="157" t="str">
        <f t="shared" si="36"/>
        <v/>
      </c>
      <c r="L164" s="157" t="str">
        <f t="shared" si="37"/>
        <v/>
      </c>
      <c r="M164" s="157"/>
      <c r="N164" s="157" t="str">
        <f t="shared" si="38"/>
        <v/>
      </c>
      <c r="O164" s="174" t="str">
        <f>Table132[[#This Row],[Combined List]]</f>
        <v/>
      </c>
      <c r="P164" s="157">
        <v>160</v>
      </c>
      <c r="Q164" s="174" t="str">
        <f t="shared" si="42"/>
        <v/>
      </c>
      <c r="R164" s="174" t="str">
        <f t="shared" si="43"/>
        <v/>
      </c>
      <c r="S164" s="174" t="str">
        <f t="shared" si="44"/>
        <v/>
      </c>
      <c r="T164" s="174" t="str">
        <f t="shared" si="45"/>
        <v/>
      </c>
      <c r="U164" s="174" t="str">
        <f t="shared" si="45"/>
        <v/>
      </c>
      <c r="V164" s="174" t="str">
        <f t="shared" si="45"/>
        <v/>
      </c>
      <c r="W164" s="174" t="str">
        <f>_xlfn.IFNA(VLOOKUP(T:T,'Example Logframe'!$B:$G,6,FALSE),"")</f>
        <v/>
      </c>
      <c r="X164" s="174" t="str">
        <f>_xlfn.IFNA(VLOOKUP(U:U,'Example Logframe'!$B:$G,6,FALSE),"")</f>
        <v/>
      </c>
      <c r="Y164" s="174" t="str">
        <f>_xlfn.IFNA(VLOOKUP(V:V,'Example Logframe'!$B:$G,6,FALSE),"")</f>
        <v/>
      </c>
      <c r="Z164">
        <v>160</v>
      </c>
      <c r="AD164" t="str">
        <f t="shared" si="47"/>
        <v/>
      </c>
      <c r="AE164" t="str">
        <f t="shared" si="47"/>
        <v/>
      </c>
      <c r="AF164" t="str">
        <f t="shared" si="46"/>
        <v/>
      </c>
    </row>
    <row r="165" spans="1:32" x14ac:dyDescent="0.35">
      <c r="A165">
        <f>INDEX('Example Logframe'!F:F,169,1)</f>
        <v>0</v>
      </c>
      <c r="B165" s="110">
        <v>1.82</v>
      </c>
      <c r="C165" s="321" t="str">
        <f>INDEX('Example Logframe'!B:B,169,1)</f>
        <v>0</v>
      </c>
      <c r="D165" t="str">
        <f t="shared" si="39"/>
        <v/>
      </c>
      <c r="E165" t="str">
        <f t="shared" si="40"/>
        <v/>
      </c>
      <c r="F165" t="str">
        <f t="shared" si="33"/>
        <v/>
      </c>
      <c r="G165" t="str">
        <f t="shared" si="41"/>
        <v/>
      </c>
      <c r="H165" t="str">
        <f t="shared" si="34"/>
        <v/>
      </c>
      <c r="I165" s="157" t="str">
        <f t="shared" si="35"/>
        <v/>
      </c>
      <c r="J165" s="157"/>
      <c r="K165" s="157" t="str">
        <f t="shared" si="36"/>
        <v/>
      </c>
      <c r="L165" s="157" t="str">
        <f t="shared" si="37"/>
        <v/>
      </c>
      <c r="M165" s="157"/>
      <c r="N165" s="157" t="str">
        <f t="shared" si="38"/>
        <v/>
      </c>
      <c r="O165" s="174" t="str">
        <f>Table132[[#This Row],[Combined List]]</f>
        <v/>
      </c>
      <c r="P165" s="157">
        <v>161</v>
      </c>
      <c r="Q165" s="174" t="str">
        <f t="shared" si="42"/>
        <v/>
      </c>
      <c r="R165" s="174" t="str">
        <f t="shared" si="43"/>
        <v/>
      </c>
      <c r="S165" s="174" t="str">
        <f t="shared" si="44"/>
        <v/>
      </c>
      <c r="T165" s="174" t="str">
        <f t="shared" si="45"/>
        <v/>
      </c>
      <c r="U165" s="174" t="str">
        <f t="shared" si="45"/>
        <v/>
      </c>
      <c r="V165" s="174" t="str">
        <f t="shared" si="45"/>
        <v/>
      </c>
      <c r="W165" s="174" t="str">
        <f>_xlfn.IFNA(VLOOKUP(T:T,'Example Logframe'!$B:$G,6,FALSE),"")</f>
        <v/>
      </c>
      <c r="X165" s="174" t="str">
        <f>_xlfn.IFNA(VLOOKUP(U:U,'Example Logframe'!$B:$G,6,FALSE),"")</f>
        <v/>
      </c>
      <c r="Y165" s="174" t="str">
        <f>_xlfn.IFNA(VLOOKUP(V:V,'Example Logframe'!$B:$G,6,FALSE),"")</f>
        <v/>
      </c>
      <c r="Z165">
        <v>161</v>
      </c>
      <c r="AD165" t="str">
        <f t="shared" si="47"/>
        <v/>
      </c>
      <c r="AE165" t="str">
        <f t="shared" si="47"/>
        <v/>
      </c>
      <c r="AF165" t="str">
        <f t="shared" si="46"/>
        <v/>
      </c>
    </row>
    <row r="166" spans="1:32" x14ac:dyDescent="0.35">
      <c r="A166">
        <f>INDEX('Example Logframe'!F:F,170,1)</f>
        <v>0</v>
      </c>
      <c r="B166" s="110">
        <v>1.83</v>
      </c>
      <c r="C166" s="321" t="str">
        <f>INDEX('Example Logframe'!B:B,170,1)</f>
        <v>0</v>
      </c>
      <c r="D166" t="str">
        <f t="shared" si="39"/>
        <v/>
      </c>
      <c r="E166" t="str">
        <f t="shared" si="40"/>
        <v/>
      </c>
      <c r="F166" t="str">
        <f t="shared" si="33"/>
        <v/>
      </c>
      <c r="G166" t="str">
        <f t="shared" si="41"/>
        <v/>
      </c>
      <c r="H166" t="str">
        <f t="shared" si="34"/>
        <v/>
      </c>
      <c r="I166" s="157" t="str">
        <f t="shared" si="35"/>
        <v/>
      </c>
      <c r="J166" s="157"/>
      <c r="K166" s="157" t="str">
        <f t="shared" si="36"/>
        <v/>
      </c>
      <c r="L166" s="157" t="str">
        <f t="shared" si="37"/>
        <v/>
      </c>
      <c r="M166" s="157"/>
      <c r="N166" s="157" t="str">
        <f t="shared" si="38"/>
        <v/>
      </c>
      <c r="O166" s="174" t="str">
        <f>Table132[[#This Row],[Combined List]]</f>
        <v/>
      </c>
      <c r="P166" s="157">
        <v>162</v>
      </c>
      <c r="Q166" s="174" t="str">
        <f t="shared" si="42"/>
        <v/>
      </c>
      <c r="R166" s="174" t="str">
        <f t="shared" si="43"/>
        <v/>
      </c>
      <c r="S166" s="174" t="str">
        <f t="shared" si="44"/>
        <v/>
      </c>
      <c r="T166" s="174" t="str">
        <f t="shared" si="45"/>
        <v/>
      </c>
      <c r="U166" s="174" t="str">
        <f t="shared" si="45"/>
        <v/>
      </c>
      <c r="V166" s="174" t="str">
        <f t="shared" si="45"/>
        <v/>
      </c>
      <c r="W166" s="174" t="str">
        <f>_xlfn.IFNA(VLOOKUP(T:T,'Example Logframe'!$B:$G,6,FALSE),"")</f>
        <v/>
      </c>
      <c r="X166" s="174" t="str">
        <f>_xlfn.IFNA(VLOOKUP(U:U,'Example Logframe'!$B:$G,6,FALSE),"")</f>
        <v/>
      </c>
      <c r="Y166" s="174" t="str">
        <f>_xlfn.IFNA(VLOOKUP(V:V,'Example Logframe'!$B:$G,6,FALSE),"")</f>
        <v/>
      </c>
      <c r="Z166">
        <v>162</v>
      </c>
      <c r="AD166" t="str">
        <f t="shared" si="47"/>
        <v/>
      </c>
      <c r="AE166" t="str">
        <f t="shared" si="47"/>
        <v/>
      </c>
      <c r="AF166" t="str">
        <f t="shared" si="46"/>
        <v/>
      </c>
    </row>
    <row r="167" spans="1:32" x14ac:dyDescent="0.35">
      <c r="A167">
        <f>INDEX('Example Logframe'!F:F,171,1)</f>
        <v>0</v>
      </c>
      <c r="B167" s="110">
        <v>1.84</v>
      </c>
      <c r="C167" s="321" t="str">
        <f>INDEX('Example Logframe'!B:B,171,1)</f>
        <v>0</v>
      </c>
      <c r="D167" t="str">
        <f t="shared" si="39"/>
        <v/>
      </c>
      <c r="E167" t="str">
        <f t="shared" si="40"/>
        <v/>
      </c>
      <c r="F167" t="str">
        <f t="shared" si="33"/>
        <v/>
      </c>
      <c r="G167" t="str">
        <f t="shared" si="41"/>
        <v/>
      </c>
      <c r="H167" t="str">
        <f t="shared" si="34"/>
        <v/>
      </c>
      <c r="I167" s="157" t="str">
        <f t="shared" si="35"/>
        <v/>
      </c>
      <c r="J167" s="157"/>
      <c r="K167" s="157" t="str">
        <f t="shared" si="36"/>
        <v/>
      </c>
      <c r="L167" s="157" t="str">
        <f t="shared" si="37"/>
        <v/>
      </c>
      <c r="M167" s="157"/>
      <c r="N167" s="157" t="str">
        <f t="shared" si="38"/>
        <v/>
      </c>
      <c r="O167" s="174" t="str">
        <f>Table132[[#This Row],[Combined List]]</f>
        <v/>
      </c>
      <c r="P167" s="157">
        <v>163</v>
      </c>
      <c r="Q167" s="174" t="str">
        <f t="shared" si="42"/>
        <v/>
      </c>
      <c r="R167" s="174" t="str">
        <f t="shared" si="43"/>
        <v/>
      </c>
      <c r="S167" s="174" t="str">
        <f t="shared" si="44"/>
        <v/>
      </c>
      <c r="T167" s="174" t="str">
        <f t="shared" si="45"/>
        <v/>
      </c>
      <c r="U167" s="174" t="str">
        <f t="shared" si="45"/>
        <v/>
      </c>
      <c r="V167" s="174" t="str">
        <f t="shared" si="45"/>
        <v/>
      </c>
      <c r="W167" s="174" t="str">
        <f>_xlfn.IFNA(VLOOKUP(T:T,'Example Logframe'!$B:$G,6,FALSE),"")</f>
        <v/>
      </c>
      <c r="X167" s="174" t="str">
        <f>_xlfn.IFNA(VLOOKUP(U:U,'Example Logframe'!$B:$G,6,FALSE),"")</f>
        <v/>
      </c>
      <c r="Y167" s="174" t="str">
        <f>_xlfn.IFNA(VLOOKUP(V:V,'Example Logframe'!$B:$G,6,FALSE),"")</f>
        <v/>
      </c>
      <c r="Z167">
        <v>163</v>
      </c>
      <c r="AD167" t="str">
        <f t="shared" si="47"/>
        <v/>
      </c>
      <c r="AE167" t="str">
        <f t="shared" si="47"/>
        <v/>
      </c>
      <c r="AF167" t="str">
        <f t="shared" si="46"/>
        <v/>
      </c>
    </row>
    <row r="168" spans="1:32" x14ac:dyDescent="0.35">
      <c r="A168">
        <f>INDEX('Example Logframe'!F:F,172,1)</f>
        <v>0</v>
      </c>
      <c r="B168" s="110">
        <v>1.85</v>
      </c>
      <c r="C168" s="321" t="str">
        <f>INDEX('Example Logframe'!B:B,172,1)</f>
        <v>0</v>
      </c>
      <c r="D168" t="str">
        <f t="shared" si="39"/>
        <v/>
      </c>
      <c r="E168" t="str">
        <f t="shared" si="40"/>
        <v/>
      </c>
      <c r="F168" t="str">
        <f t="shared" si="33"/>
        <v/>
      </c>
      <c r="G168" t="str">
        <f t="shared" si="41"/>
        <v/>
      </c>
      <c r="H168" t="str">
        <f t="shared" si="34"/>
        <v/>
      </c>
      <c r="I168" s="157" t="str">
        <f t="shared" si="35"/>
        <v/>
      </c>
      <c r="J168" s="157"/>
      <c r="K168" s="157" t="str">
        <f t="shared" si="36"/>
        <v/>
      </c>
      <c r="L168" s="157" t="str">
        <f t="shared" si="37"/>
        <v/>
      </c>
      <c r="M168" s="157"/>
      <c r="N168" s="157" t="str">
        <f t="shared" si="38"/>
        <v/>
      </c>
      <c r="O168" s="174" t="str">
        <f>Table132[[#This Row],[Combined List]]</f>
        <v/>
      </c>
      <c r="P168" s="157">
        <v>164</v>
      </c>
      <c r="Q168" s="174" t="str">
        <f t="shared" si="42"/>
        <v/>
      </c>
      <c r="R168" s="174" t="str">
        <f t="shared" si="43"/>
        <v/>
      </c>
      <c r="S168" s="174" t="str">
        <f t="shared" si="44"/>
        <v/>
      </c>
      <c r="T168" s="174" t="str">
        <f t="shared" si="45"/>
        <v/>
      </c>
      <c r="U168" s="174" t="str">
        <f t="shared" si="45"/>
        <v/>
      </c>
      <c r="V168" s="174" t="str">
        <f t="shared" si="45"/>
        <v/>
      </c>
      <c r="W168" s="174" t="str">
        <f>_xlfn.IFNA(VLOOKUP(T:T,'Example Logframe'!$B:$G,6,FALSE),"")</f>
        <v/>
      </c>
      <c r="X168" s="174" t="str">
        <f>_xlfn.IFNA(VLOOKUP(U:U,'Example Logframe'!$B:$G,6,FALSE),"")</f>
        <v/>
      </c>
      <c r="Y168" s="174" t="str">
        <f>_xlfn.IFNA(VLOOKUP(V:V,'Example Logframe'!$B:$G,6,FALSE),"")</f>
        <v/>
      </c>
      <c r="Z168">
        <v>164</v>
      </c>
      <c r="AD168" t="str">
        <f t="shared" si="47"/>
        <v/>
      </c>
      <c r="AE168" t="str">
        <f t="shared" si="47"/>
        <v/>
      </c>
      <c r="AF168" t="str">
        <f t="shared" si="46"/>
        <v/>
      </c>
    </row>
    <row r="169" spans="1:32" x14ac:dyDescent="0.35">
      <c r="A169" s="5">
        <f>INDEX('Example Logframe'!F:F,173,1)</f>
        <v>0</v>
      </c>
      <c r="B169" s="110">
        <v>1.86</v>
      </c>
      <c r="C169" s="322" t="str">
        <f>INDEX('Example Logframe'!B:B,173,1)</f>
        <v>0</v>
      </c>
      <c r="D169" t="str">
        <f t="shared" si="39"/>
        <v/>
      </c>
      <c r="E169" t="str">
        <f t="shared" si="40"/>
        <v/>
      </c>
      <c r="F169" t="str">
        <f t="shared" si="33"/>
        <v/>
      </c>
      <c r="G169" t="str">
        <f t="shared" si="41"/>
        <v/>
      </c>
      <c r="H169" t="str">
        <f t="shared" si="34"/>
        <v/>
      </c>
      <c r="I169" s="157" t="str">
        <f t="shared" si="35"/>
        <v/>
      </c>
      <c r="J169" s="157"/>
      <c r="K169" s="157" t="str">
        <f t="shared" si="36"/>
        <v/>
      </c>
      <c r="L169" s="157" t="str">
        <f t="shared" si="37"/>
        <v/>
      </c>
      <c r="M169" s="157"/>
      <c r="N169" s="157" t="str">
        <f t="shared" si="38"/>
        <v/>
      </c>
      <c r="O169" s="174" t="str">
        <f>Table132[[#This Row],[Combined List]]</f>
        <v/>
      </c>
      <c r="P169" s="157">
        <v>165</v>
      </c>
      <c r="Q169" s="174" t="str">
        <f t="shared" si="42"/>
        <v/>
      </c>
      <c r="R169" s="174" t="str">
        <f t="shared" si="43"/>
        <v/>
      </c>
      <c r="S169" s="174" t="str">
        <f t="shared" si="44"/>
        <v/>
      </c>
      <c r="T169" s="174" t="str">
        <f t="shared" si="45"/>
        <v/>
      </c>
      <c r="U169" s="174" t="str">
        <f t="shared" si="45"/>
        <v/>
      </c>
      <c r="V169" s="174" t="str">
        <f t="shared" si="45"/>
        <v/>
      </c>
      <c r="W169" s="174" t="str">
        <f>_xlfn.IFNA(VLOOKUP(T:T,'Example Logframe'!$B:$G,6,FALSE),"")</f>
        <v/>
      </c>
      <c r="X169" s="174" t="str">
        <f>_xlfn.IFNA(VLOOKUP(U:U,'Example Logframe'!$B:$G,6,FALSE),"")</f>
        <v/>
      </c>
      <c r="Y169" s="174" t="str">
        <f>_xlfn.IFNA(VLOOKUP(V:V,'Example Logframe'!$B:$G,6,FALSE),"")</f>
        <v/>
      </c>
      <c r="Z169">
        <v>165</v>
      </c>
      <c r="AD169" t="str">
        <f t="shared" si="47"/>
        <v/>
      </c>
      <c r="AE169" t="str">
        <f t="shared" si="47"/>
        <v/>
      </c>
      <c r="AF169" t="str">
        <f t="shared" si="46"/>
        <v/>
      </c>
    </row>
    <row r="170" spans="1:32" x14ac:dyDescent="0.35">
      <c r="A170">
        <f>INDEX('Example Logframe'!F:F,174,1)</f>
        <v>0</v>
      </c>
      <c r="B170" s="110">
        <v>1.87</v>
      </c>
      <c r="C170" s="321" t="str">
        <f>INDEX('Example Logframe'!B:B,174,1)</f>
        <v>0</v>
      </c>
      <c r="D170" t="str">
        <f t="shared" si="39"/>
        <v/>
      </c>
      <c r="E170" t="str">
        <f t="shared" si="40"/>
        <v/>
      </c>
      <c r="F170" t="str">
        <f t="shared" si="33"/>
        <v/>
      </c>
      <c r="G170" t="str">
        <f t="shared" si="41"/>
        <v/>
      </c>
      <c r="H170" t="str">
        <f t="shared" si="34"/>
        <v/>
      </c>
      <c r="I170" s="157" t="str">
        <f t="shared" si="35"/>
        <v/>
      </c>
      <c r="J170" s="157"/>
      <c r="K170" s="157" t="str">
        <f t="shared" si="36"/>
        <v/>
      </c>
      <c r="L170" s="157" t="str">
        <f t="shared" si="37"/>
        <v/>
      </c>
      <c r="M170" s="157"/>
      <c r="N170" s="157" t="str">
        <f t="shared" si="38"/>
        <v/>
      </c>
      <c r="O170" s="174" t="str">
        <f>Table132[[#This Row],[Combined List]]</f>
        <v/>
      </c>
      <c r="P170" s="157">
        <v>166</v>
      </c>
      <c r="Q170" s="174" t="str">
        <f t="shared" si="42"/>
        <v/>
      </c>
      <c r="R170" s="174" t="str">
        <f t="shared" si="43"/>
        <v/>
      </c>
      <c r="S170" s="174" t="str">
        <f t="shared" si="44"/>
        <v/>
      </c>
      <c r="T170" s="174" t="str">
        <f t="shared" si="45"/>
        <v/>
      </c>
      <c r="U170" s="174" t="str">
        <f t="shared" si="45"/>
        <v/>
      </c>
      <c r="V170" s="174" t="str">
        <f t="shared" si="45"/>
        <v/>
      </c>
      <c r="W170" s="174" t="str">
        <f>_xlfn.IFNA(VLOOKUP(T:T,'Example Logframe'!$B:$G,6,FALSE),"")</f>
        <v/>
      </c>
      <c r="X170" s="174" t="str">
        <f>_xlfn.IFNA(VLOOKUP(U:U,'Example Logframe'!$B:$G,6,FALSE),"")</f>
        <v/>
      </c>
      <c r="Y170" s="174" t="str">
        <f>_xlfn.IFNA(VLOOKUP(V:V,'Example Logframe'!$B:$G,6,FALSE),"")</f>
        <v/>
      </c>
      <c r="Z170">
        <v>166</v>
      </c>
      <c r="AD170" t="str">
        <f t="shared" si="47"/>
        <v/>
      </c>
      <c r="AE170" t="str">
        <f t="shared" si="47"/>
        <v/>
      </c>
      <c r="AF170" t="str">
        <f t="shared" si="46"/>
        <v/>
      </c>
    </row>
    <row r="171" spans="1:32" x14ac:dyDescent="0.35">
      <c r="A171">
        <f>INDEX('Example Logframe'!F:F,175,1)</f>
        <v>0</v>
      </c>
      <c r="B171" s="110">
        <v>1.88</v>
      </c>
      <c r="C171" s="321" t="str">
        <f>INDEX('Example Logframe'!B:B,175,1)</f>
        <v>0</v>
      </c>
      <c r="D171" t="str">
        <f t="shared" si="39"/>
        <v/>
      </c>
      <c r="E171" t="str">
        <f t="shared" si="40"/>
        <v/>
      </c>
      <c r="F171" t="str">
        <f t="shared" si="33"/>
        <v/>
      </c>
      <c r="G171" t="str">
        <f t="shared" si="41"/>
        <v/>
      </c>
      <c r="H171" t="str">
        <f t="shared" si="34"/>
        <v/>
      </c>
      <c r="I171" s="157" t="str">
        <f t="shared" si="35"/>
        <v/>
      </c>
      <c r="J171" s="157"/>
      <c r="K171" s="157" t="str">
        <f t="shared" si="36"/>
        <v/>
      </c>
      <c r="L171" s="157" t="str">
        <f t="shared" si="37"/>
        <v/>
      </c>
      <c r="M171" s="157"/>
      <c r="N171" s="157" t="str">
        <f t="shared" si="38"/>
        <v/>
      </c>
      <c r="O171" s="174" t="str">
        <f>Table132[[#This Row],[Combined List]]</f>
        <v/>
      </c>
      <c r="P171" s="157">
        <v>167</v>
      </c>
      <c r="Q171" s="174" t="str">
        <f t="shared" si="42"/>
        <v/>
      </c>
      <c r="R171" s="174" t="str">
        <f t="shared" si="43"/>
        <v/>
      </c>
      <c r="S171" s="174" t="str">
        <f t="shared" si="44"/>
        <v/>
      </c>
      <c r="T171" s="174" t="str">
        <f t="shared" si="45"/>
        <v/>
      </c>
      <c r="U171" s="174" t="str">
        <f t="shared" si="45"/>
        <v/>
      </c>
      <c r="V171" s="174" t="str">
        <f t="shared" si="45"/>
        <v/>
      </c>
      <c r="W171" s="174" t="str">
        <f>_xlfn.IFNA(VLOOKUP(T:T,'Example Logframe'!$B:$G,6,FALSE),"")</f>
        <v/>
      </c>
      <c r="X171" s="174" t="str">
        <f>_xlfn.IFNA(VLOOKUP(U:U,'Example Logframe'!$B:$G,6,FALSE),"")</f>
        <v/>
      </c>
      <c r="Y171" s="174" t="str">
        <f>_xlfn.IFNA(VLOOKUP(V:V,'Example Logframe'!$B:$G,6,FALSE),"")</f>
        <v/>
      </c>
      <c r="Z171">
        <v>167</v>
      </c>
      <c r="AD171" t="str">
        <f t="shared" si="47"/>
        <v/>
      </c>
      <c r="AE171" t="str">
        <f t="shared" si="47"/>
        <v/>
      </c>
      <c r="AF171" t="str">
        <f t="shared" si="46"/>
        <v/>
      </c>
    </row>
    <row r="172" spans="1:32" x14ac:dyDescent="0.35">
      <c r="A172">
        <f>INDEX('Example Logframe'!F:F,176,1)</f>
        <v>0</v>
      </c>
      <c r="B172" s="110">
        <v>1.89</v>
      </c>
      <c r="C172" s="321">
        <f>INDEX('Example Logframe'!B:B,176,1)</f>
        <v>0</v>
      </c>
      <c r="D172" t="str">
        <f t="shared" si="39"/>
        <v/>
      </c>
      <c r="E172" t="str">
        <f t="shared" si="40"/>
        <v/>
      </c>
      <c r="F172" t="str">
        <f t="shared" si="33"/>
        <v/>
      </c>
      <c r="G172" t="str">
        <f t="shared" si="41"/>
        <v/>
      </c>
      <c r="H172" t="str">
        <f t="shared" si="34"/>
        <v/>
      </c>
      <c r="I172" s="157" t="str">
        <f t="shared" si="35"/>
        <v/>
      </c>
      <c r="J172" s="157"/>
      <c r="K172" s="157" t="str">
        <f t="shared" si="36"/>
        <v/>
      </c>
      <c r="L172" s="157" t="str">
        <f t="shared" si="37"/>
        <v/>
      </c>
      <c r="M172" s="157"/>
      <c r="N172" s="157" t="str">
        <f t="shared" si="38"/>
        <v/>
      </c>
      <c r="O172" s="174" t="str">
        <f>Table132[[#This Row],[Combined List]]</f>
        <v/>
      </c>
      <c r="P172" s="157">
        <v>168</v>
      </c>
      <c r="Q172" s="174" t="str">
        <f t="shared" si="42"/>
        <v/>
      </c>
      <c r="R172" s="174" t="str">
        <f t="shared" si="43"/>
        <v/>
      </c>
      <c r="S172" s="174" t="str">
        <f t="shared" si="44"/>
        <v/>
      </c>
      <c r="T172" s="174" t="str">
        <f t="shared" si="45"/>
        <v/>
      </c>
      <c r="U172" s="174" t="str">
        <f t="shared" si="45"/>
        <v/>
      </c>
      <c r="V172" s="174" t="str">
        <f t="shared" si="45"/>
        <v/>
      </c>
      <c r="W172" s="174" t="str">
        <f>_xlfn.IFNA(VLOOKUP(T:T,'Example Logframe'!$B:$G,6,FALSE),"")</f>
        <v/>
      </c>
      <c r="X172" s="174" t="str">
        <f>_xlfn.IFNA(VLOOKUP(U:U,'Example Logframe'!$B:$G,6,FALSE),"")</f>
        <v/>
      </c>
      <c r="Y172" s="174" t="str">
        <f>_xlfn.IFNA(VLOOKUP(V:V,'Example Logframe'!$B:$G,6,FALSE),"")</f>
        <v/>
      </c>
      <c r="Z172">
        <v>168</v>
      </c>
      <c r="AD172" t="str">
        <f t="shared" si="47"/>
        <v/>
      </c>
      <c r="AE172" t="str">
        <f t="shared" si="47"/>
        <v/>
      </c>
      <c r="AF172" t="str">
        <f t="shared" si="46"/>
        <v/>
      </c>
    </row>
    <row r="173" spans="1:32" x14ac:dyDescent="0.35">
      <c r="A173">
        <f>INDEX('Example Logframe'!F:F,177,1)</f>
        <v>0</v>
      </c>
      <c r="B173" s="110">
        <v>1.91</v>
      </c>
      <c r="C173" s="321">
        <f>INDEX('Example Logframe'!B:B,177,1)</f>
        <v>0</v>
      </c>
      <c r="D173" t="str">
        <f t="shared" si="39"/>
        <v/>
      </c>
      <c r="E173" t="str">
        <f t="shared" si="40"/>
        <v/>
      </c>
      <c r="F173" t="str">
        <f t="shared" si="33"/>
        <v/>
      </c>
      <c r="G173" t="str">
        <f t="shared" si="41"/>
        <v/>
      </c>
      <c r="H173" t="str">
        <f t="shared" si="34"/>
        <v/>
      </c>
      <c r="I173" s="157" t="str">
        <f t="shared" si="35"/>
        <v/>
      </c>
      <c r="J173" s="157"/>
      <c r="K173" s="157" t="str">
        <f t="shared" si="36"/>
        <v/>
      </c>
      <c r="L173" s="157" t="str">
        <f t="shared" si="37"/>
        <v/>
      </c>
      <c r="M173" s="157"/>
      <c r="N173" s="157" t="str">
        <f t="shared" si="38"/>
        <v/>
      </c>
      <c r="O173" s="174" t="str">
        <f>Table132[[#This Row],[Combined List]]</f>
        <v/>
      </c>
      <c r="P173" s="157">
        <v>169</v>
      </c>
      <c r="Q173" s="174" t="str">
        <f t="shared" si="42"/>
        <v/>
      </c>
      <c r="R173" s="174" t="str">
        <f t="shared" si="43"/>
        <v/>
      </c>
      <c r="S173" s="174" t="str">
        <f t="shared" si="44"/>
        <v/>
      </c>
      <c r="T173" s="174" t="str">
        <f t="shared" si="45"/>
        <v/>
      </c>
      <c r="U173" s="174" t="str">
        <f t="shared" si="45"/>
        <v/>
      </c>
      <c r="V173" s="174" t="str">
        <f t="shared" si="45"/>
        <v/>
      </c>
      <c r="W173" s="174" t="str">
        <f>_xlfn.IFNA(VLOOKUP(T:T,'Example Logframe'!$B:$G,6,FALSE),"")</f>
        <v/>
      </c>
      <c r="X173" s="174" t="str">
        <f>_xlfn.IFNA(VLOOKUP(U:U,'Example Logframe'!$B:$G,6,FALSE),"")</f>
        <v/>
      </c>
      <c r="Y173" s="174" t="str">
        <f>_xlfn.IFNA(VLOOKUP(V:V,'Example Logframe'!$B:$G,6,FALSE),"")</f>
        <v/>
      </c>
      <c r="Z173">
        <v>169</v>
      </c>
      <c r="AD173" t="str">
        <f t="shared" si="47"/>
        <v/>
      </c>
      <c r="AE173" t="str">
        <f t="shared" si="47"/>
        <v/>
      </c>
      <c r="AF173" t="str">
        <f t="shared" si="46"/>
        <v/>
      </c>
    </row>
    <row r="174" spans="1:32" x14ac:dyDescent="0.35">
      <c r="A174">
        <f>INDEX('Example Logframe'!F:F,178,1)</f>
        <v>0</v>
      </c>
      <c r="B174" s="110">
        <v>1.92</v>
      </c>
      <c r="C174" s="321">
        <f>INDEX('Example Logframe'!B:B,178,1)</f>
        <v>0</v>
      </c>
      <c r="D174" t="str">
        <f t="shared" si="39"/>
        <v/>
      </c>
      <c r="E174" t="str">
        <f t="shared" si="40"/>
        <v/>
      </c>
      <c r="F174" t="str">
        <f t="shared" si="33"/>
        <v/>
      </c>
      <c r="G174" t="str">
        <f t="shared" si="41"/>
        <v/>
      </c>
      <c r="H174" t="str">
        <f t="shared" si="34"/>
        <v/>
      </c>
      <c r="I174" s="157" t="str">
        <f t="shared" si="35"/>
        <v/>
      </c>
      <c r="J174" s="157"/>
      <c r="K174" s="157" t="str">
        <f t="shared" si="36"/>
        <v/>
      </c>
      <c r="L174" s="157" t="str">
        <f t="shared" si="37"/>
        <v/>
      </c>
      <c r="M174" s="157"/>
      <c r="N174" s="157" t="str">
        <f t="shared" si="38"/>
        <v/>
      </c>
      <c r="O174" s="174" t="str">
        <f>Table132[[#This Row],[Combined List]]</f>
        <v/>
      </c>
      <c r="P174" s="157">
        <v>170</v>
      </c>
      <c r="Q174" s="174" t="str">
        <f t="shared" si="42"/>
        <v/>
      </c>
      <c r="R174" s="174" t="str">
        <f t="shared" si="43"/>
        <v/>
      </c>
      <c r="S174" s="174" t="str">
        <f t="shared" si="44"/>
        <v/>
      </c>
      <c r="T174" s="174" t="str">
        <f t="shared" si="45"/>
        <v/>
      </c>
      <c r="U174" s="174" t="str">
        <f t="shared" si="45"/>
        <v/>
      </c>
      <c r="V174" s="174" t="str">
        <f t="shared" si="45"/>
        <v/>
      </c>
      <c r="W174" s="174" t="str">
        <f>_xlfn.IFNA(VLOOKUP(T:T,'Example Logframe'!$B:$G,6,FALSE),"")</f>
        <v/>
      </c>
      <c r="X174" s="174" t="str">
        <f>_xlfn.IFNA(VLOOKUP(U:U,'Example Logframe'!$B:$G,6,FALSE),"")</f>
        <v/>
      </c>
      <c r="Y174" s="174" t="str">
        <f>_xlfn.IFNA(VLOOKUP(V:V,'Example Logframe'!$B:$G,6,FALSE),"")</f>
        <v/>
      </c>
      <c r="Z174">
        <v>170</v>
      </c>
      <c r="AD174" t="str">
        <f t="shared" si="47"/>
        <v/>
      </c>
      <c r="AE174" t="str">
        <f t="shared" si="47"/>
        <v/>
      </c>
      <c r="AF174" t="str">
        <f t="shared" si="46"/>
        <v/>
      </c>
    </row>
    <row r="175" spans="1:32" x14ac:dyDescent="0.35">
      <c r="A175">
        <f>INDEX('Example Logframe'!F:F,179,1)</f>
        <v>0</v>
      </c>
      <c r="B175" s="110">
        <v>1.93</v>
      </c>
      <c r="C175" s="321">
        <f>INDEX('Example Logframe'!B:B,179,1)</f>
        <v>0</v>
      </c>
      <c r="D175" t="str">
        <f t="shared" si="39"/>
        <v/>
      </c>
      <c r="E175" t="str">
        <f t="shared" si="40"/>
        <v/>
      </c>
      <c r="F175" t="str">
        <f t="shared" si="33"/>
        <v/>
      </c>
      <c r="G175" t="str">
        <f t="shared" si="41"/>
        <v/>
      </c>
      <c r="H175" t="str">
        <f t="shared" si="34"/>
        <v/>
      </c>
      <c r="I175" s="157" t="str">
        <f t="shared" si="35"/>
        <v/>
      </c>
      <c r="J175" s="157"/>
      <c r="K175" s="157" t="str">
        <f t="shared" si="36"/>
        <v/>
      </c>
      <c r="L175" s="157" t="str">
        <f t="shared" si="37"/>
        <v/>
      </c>
      <c r="M175" s="157"/>
      <c r="N175" s="157" t="str">
        <f t="shared" si="38"/>
        <v/>
      </c>
      <c r="O175" s="174" t="str">
        <f>Table132[[#This Row],[Combined List]]</f>
        <v/>
      </c>
      <c r="P175" s="157">
        <v>171</v>
      </c>
      <c r="Q175" s="174" t="str">
        <f t="shared" si="42"/>
        <v/>
      </c>
      <c r="R175" s="174" t="str">
        <f t="shared" si="43"/>
        <v/>
      </c>
      <c r="S175" s="174" t="str">
        <f t="shared" si="44"/>
        <v/>
      </c>
      <c r="T175" s="174" t="str">
        <f t="shared" si="45"/>
        <v/>
      </c>
      <c r="U175" s="174" t="str">
        <f t="shared" si="45"/>
        <v/>
      </c>
      <c r="V175" s="174" t="str">
        <f t="shared" si="45"/>
        <v/>
      </c>
      <c r="W175" s="174" t="str">
        <f>_xlfn.IFNA(VLOOKUP(T:T,'Example Logframe'!$B:$G,6,FALSE),"")</f>
        <v/>
      </c>
      <c r="X175" s="174" t="str">
        <f>_xlfn.IFNA(VLOOKUP(U:U,'Example Logframe'!$B:$G,6,FALSE),"")</f>
        <v/>
      </c>
      <c r="Y175" s="174" t="str">
        <f>_xlfn.IFNA(VLOOKUP(V:V,'Example Logframe'!$B:$G,6,FALSE),"")</f>
        <v/>
      </c>
      <c r="Z175">
        <v>171</v>
      </c>
      <c r="AD175" t="str">
        <f t="shared" si="47"/>
        <v/>
      </c>
      <c r="AE175" t="str">
        <f t="shared" si="47"/>
        <v/>
      </c>
      <c r="AF175" t="str">
        <f t="shared" si="46"/>
        <v/>
      </c>
    </row>
    <row r="176" spans="1:32" x14ac:dyDescent="0.35">
      <c r="A176">
        <f>INDEX('Example Logframe'!F:F,180,1)</f>
        <v>0</v>
      </c>
      <c r="B176" s="110">
        <v>1.94</v>
      </c>
      <c r="C176" s="321">
        <f>INDEX('Example Logframe'!B:B,180,1)</f>
        <v>0</v>
      </c>
      <c r="D176" t="str">
        <f t="shared" si="39"/>
        <v/>
      </c>
      <c r="E176" t="str">
        <f t="shared" si="40"/>
        <v/>
      </c>
      <c r="F176" t="str">
        <f t="shared" si="33"/>
        <v/>
      </c>
      <c r="G176" t="str">
        <f t="shared" si="41"/>
        <v/>
      </c>
      <c r="H176" t="str">
        <f t="shared" si="34"/>
        <v/>
      </c>
      <c r="I176" s="157" t="str">
        <f t="shared" si="35"/>
        <v/>
      </c>
      <c r="J176" s="157"/>
      <c r="K176" s="157" t="str">
        <f t="shared" si="36"/>
        <v/>
      </c>
      <c r="L176" s="157" t="str">
        <f t="shared" si="37"/>
        <v/>
      </c>
      <c r="M176" s="157"/>
      <c r="N176" s="157" t="str">
        <f t="shared" si="38"/>
        <v/>
      </c>
      <c r="O176" s="174" t="str">
        <f>Table132[[#This Row],[Combined List]]</f>
        <v/>
      </c>
      <c r="P176" s="157">
        <v>172</v>
      </c>
      <c r="Q176" s="174" t="str">
        <f t="shared" si="42"/>
        <v/>
      </c>
      <c r="R176" s="174" t="str">
        <f t="shared" si="43"/>
        <v/>
      </c>
      <c r="S176" s="174" t="str">
        <f t="shared" si="44"/>
        <v/>
      </c>
      <c r="T176" s="174" t="str">
        <f t="shared" si="45"/>
        <v/>
      </c>
      <c r="U176" s="174" t="str">
        <f t="shared" si="45"/>
        <v/>
      </c>
      <c r="V176" s="174" t="str">
        <f t="shared" si="45"/>
        <v/>
      </c>
      <c r="W176" s="174" t="str">
        <f>_xlfn.IFNA(VLOOKUP(T:T,'Example Logframe'!$B:$G,6,FALSE),"")</f>
        <v/>
      </c>
      <c r="X176" s="174" t="str">
        <f>_xlfn.IFNA(VLOOKUP(U:U,'Example Logframe'!$B:$G,6,FALSE),"")</f>
        <v/>
      </c>
      <c r="Y176" s="174" t="str">
        <f>_xlfn.IFNA(VLOOKUP(V:V,'Example Logframe'!$B:$G,6,FALSE),"")</f>
        <v/>
      </c>
      <c r="Z176">
        <v>172</v>
      </c>
      <c r="AD176" t="str">
        <f t="shared" si="47"/>
        <v/>
      </c>
      <c r="AE176" t="str">
        <f t="shared" si="47"/>
        <v/>
      </c>
      <c r="AF176" t="str">
        <f t="shared" si="46"/>
        <v/>
      </c>
    </row>
    <row r="177" spans="1:32" x14ac:dyDescent="0.35">
      <c r="A177">
        <f>INDEX('Example Logframe'!F:F,181,1)</f>
        <v>0</v>
      </c>
      <c r="B177" s="110">
        <v>1.95</v>
      </c>
      <c r="C177" s="321">
        <f>INDEX('Example Logframe'!B:B,181,1)</f>
        <v>0</v>
      </c>
      <c r="D177" t="str">
        <f t="shared" si="39"/>
        <v/>
      </c>
      <c r="E177" t="str">
        <f t="shared" si="40"/>
        <v/>
      </c>
      <c r="F177" t="str">
        <f t="shared" si="33"/>
        <v/>
      </c>
      <c r="G177" t="str">
        <f t="shared" si="41"/>
        <v/>
      </c>
      <c r="H177" t="str">
        <f t="shared" si="34"/>
        <v/>
      </c>
      <c r="I177" s="157" t="str">
        <f t="shared" si="35"/>
        <v/>
      </c>
      <c r="J177" s="157"/>
      <c r="K177" s="157" t="str">
        <f t="shared" si="36"/>
        <v/>
      </c>
      <c r="L177" s="157" t="str">
        <f t="shared" si="37"/>
        <v/>
      </c>
      <c r="M177" s="157"/>
      <c r="N177" s="157" t="str">
        <f t="shared" si="38"/>
        <v/>
      </c>
      <c r="O177" s="174" t="str">
        <f>Table132[[#This Row],[Combined List]]</f>
        <v/>
      </c>
      <c r="P177" s="157">
        <v>173</v>
      </c>
      <c r="Q177" s="174" t="str">
        <f t="shared" si="42"/>
        <v/>
      </c>
      <c r="R177" s="174" t="str">
        <f t="shared" si="43"/>
        <v/>
      </c>
      <c r="S177" s="174" t="str">
        <f t="shared" si="44"/>
        <v/>
      </c>
      <c r="T177" s="174" t="str">
        <f t="shared" si="45"/>
        <v/>
      </c>
      <c r="U177" s="174" t="str">
        <f t="shared" si="45"/>
        <v/>
      </c>
      <c r="V177" s="174" t="str">
        <f t="shared" si="45"/>
        <v/>
      </c>
      <c r="W177" s="174" t="str">
        <f>_xlfn.IFNA(VLOOKUP(T:T,'Example Logframe'!$B:$G,6,FALSE),"")</f>
        <v/>
      </c>
      <c r="X177" s="174" t="str">
        <f>_xlfn.IFNA(VLOOKUP(U:U,'Example Logframe'!$B:$G,6,FALSE),"")</f>
        <v/>
      </c>
      <c r="Y177" s="174" t="str">
        <f>_xlfn.IFNA(VLOOKUP(V:V,'Example Logframe'!$B:$G,6,FALSE),"")</f>
        <v/>
      </c>
      <c r="Z177">
        <v>173</v>
      </c>
      <c r="AD177" t="str">
        <f t="shared" si="47"/>
        <v/>
      </c>
      <c r="AE177" t="str">
        <f t="shared" si="47"/>
        <v/>
      </c>
      <c r="AF177" t="str">
        <f t="shared" si="46"/>
        <v/>
      </c>
    </row>
    <row r="178" spans="1:32" x14ac:dyDescent="0.35">
      <c r="A178">
        <f>INDEX('Example Logframe'!F:F,182,1)</f>
        <v>0</v>
      </c>
      <c r="B178" s="110">
        <v>1.96</v>
      </c>
      <c r="C178" s="321">
        <f>INDEX('Example Logframe'!B:B,182,1)</f>
        <v>0</v>
      </c>
      <c r="D178" t="str">
        <f t="shared" si="39"/>
        <v/>
      </c>
      <c r="E178" t="str">
        <f t="shared" si="40"/>
        <v/>
      </c>
      <c r="F178" t="str">
        <f t="shared" si="33"/>
        <v/>
      </c>
      <c r="G178" t="str">
        <f t="shared" si="41"/>
        <v/>
      </c>
      <c r="H178" t="str">
        <f t="shared" si="34"/>
        <v/>
      </c>
      <c r="I178" s="157" t="str">
        <f t="shared" si="35"/>
        <v/>
      </c>
      <c r="J178" s="157"/>
      <c r="K178" s="157" t="str">
        <f t="shared" si="36"/>
        <v/>
      </c>
      <c r="L178" s="157" t="str">
        <f t="shared" si="37"/>
        <v/>
      </c>
      <c r="M178" s="157"/>
      <c r="N178" s="157" t="str">
        <f t="shared" si="38"/>
        <v/>
      </c>
      <c r="O178" s="174" t="str">
        <f>Table132[[#This Row],[Combined List]]</f>
        <v/>
      </c>
      <c r="P178" s="157">
        <v>174</v>
      </c>
      <c r="Q178" s="174" t="str">
        <f t="shared" si="42"/>
        <v/>
      </c>
      <c r="R178" s="174" t="str">
        <f t="shared" si="43"/>
        <v/>
      </c>
      <c r="S178" s="174" t="str">
        <f t="shared" si="44"/>
        <v/>
      </c>
      <c r="T178" s="174" t="str">
        <f t="shared" si="45"/>
        <v/>
      </c>
      <c r="U178" s="174" t="str">
        <f t="shared" si="45"/>
        <v/>
      </c>
      <c r="V178" s="174" t="str">
        <f t="shared" si="45"/>
        <v/>
      </c>
      <c r="W178" s="174" t="str">
        <f>_xlfn.IFNA(VLOOKUP(T:T,'Example Logframe'!$B:$G,6,FALSE),"")</f>
        <v/>
      </c>
      <c r="X178" s="174" t="str">
        <f>_xlfn.IFNA(VLOOKUP(U:U,'Example Logframe'!$B:$G,6,FALSE),"")</f>
        <v/>
      </c>
      <c r="Y178" s="174" t="str">
        <f>_xlfn.IFNA(VLOOKUP(V:V,'Example Logframe'!$B:$G,6,FALSE),"")</f>
        <v/>
      </c>
      <c r="Z178">
        <v>174</v>
      </c>
      <c r="AD178" t="str">
        <f t="shared" si="47"/>
        <v/>
      </c>
      <c r="AE178" t="str">
        <f t="shared" si="47"/>
        <v/>
      </c>
      <c r="AF178" t="str">
        <f t="shared" si="46"/>
        <v/>
      </c>
    </row>
    <row r="179" spans="1:32" x14ac:dyDescent="0.35">
      <c r="A179">
        <f>INDEX('Example Logframe'!F:F,183,1)</f>
        <v>0</v>
      </c>
      <c r="B179" s="110">
        <v>1.97</v>
      </c>
      <c r="C179" s="321">
        <f>INDEX('Example Logframe'!B:B,183,1)</f>
        <v>0</v>
      </c>
      <c r="D179" t="str">
        <f t="shared" si="39"/>
        <v/>
      </c>
      <c r="E179" t="str">
        <f t="shared" si="40"/>
        <v/>
      </c>
      <c r="F179" t="str">
        <f t="shared" si="33"/>
        <v/>
      </c>
      <c r="G179" t="str">
        <f t="shared" si="41"/>
        <v/>
      </c>
      <c r="H179" t="str">
        <f t="shared" si="34"/>
        <v/>
      </c>
      <c r="I179" s="157" t="str">
        <f t="shared" si="35"/>
        <v/>
      </c>
      <c r="J179" s="157"/>
      <c r="K179" s="157" t="str">
        <f t="shared" si="36"/>
        <v/>
      </c>
      <c r="L179" s="157" t="str">
        <f t="shared" si="37"/>
        <v/>
      </c>
      <c r="M179" s="157"/>
      <c r="N179" s="157" t="str">
        <f t="shared" si="38"/>
        <v/>
      </c>
      <c r="O179" s="174" t="str">
        <f>Table132[[#This Row],[Combined List]]</f>
        <v/>
      </c>
      <c r="P179" s="157">
        <v>175</v>
      </c>
      <c r="Q179" s="174" t="str">
        <f t="shared" si="42"/>
        <v/>
      </c>
      <c r="R179" s="174" t="str">
        <f t="shared" si="43"/>
        <v/>
      </c>
      <c r="S179" s="174" t="str">
        <f t="shared" si="44"/>
        <v/>
      </c>
      <c r="T179" s="174" t="str">
        <f t="shared" si="45"/>
        <v/>
      </c>
      <c r="U179" s="174" t="str">
        <f t="shared" si="45"/>
        <v/>
      </c>
      <c r="V179" s="174" t="str">
        <f t="shared" si="45"/>
        <v/>
      </c>
      <c r="W179" s="174" t="str">
        <f>_xlfn.IFNA(VLOOKUP(T:T,'Example Logframe'!$B:$G,6,FALSE),"")</f>
        <v/>
      </c>
      <c r="X179" s="174" t="str">
        <f>_xlfn.IFNA(VLOOKUP(U:U,'Example Logframe'!$B:$G,6,FALSE),"")</f>
        <v/>
      </c>
      <c r="Y179" s="174" t="str">
        <f>_xlfn.IFNA(VLOOKUP(V:V,'Example Logframe'!$B:$G,6,FALSE),"")</f>
        <v/>
      </c>
      <c r="Z179">
        <v>175</v>
      </c>
      <c r="AD179" t="str">
        <f t="shared" si="47"/>
        <v/>
      </c>
      <c r="AE179" t="str">
        <f t="shared" si="47"/>
        <v/>
      </c>
      <c r="AF179" t="str">
        <f t="shared" si="46"/>
        <v/>
      </c>
    </row>
    <row r="180" spans="1:32" x14ac:dyDescent="0.35">
      <c r="A180">
        <f>INDEX('Example Logframe'!F:F,184,1)</f>
        <v>0</v>
      </c>
      <c r="B180" s="110">
        <v>1.98</v>
      </c>
      <c r="C180" s="321">
        <f>INDEX('Example Logframe'!B:B,184,1)</f>
        <v>0</v>
      </c>
      <c r="D180" t="str">
        <f t="shared" si="39"/>
        <v/>
      </c>
      <c r="E180" t="str">
        <f t="shared" si="40"/>
        <v/>
      </c>
      <c r="F180" t="str">
        <f t="shared" si="33"/>
        <v/>
      </c>
      <c r="G180" t="str">
        <f t="shared" si="41"/>
        <v/>
      </c>
      <c r="H180" t="str">
        <f t="shared" si="34"/>
        <v/>
      </c>
      <c r="I180" s="157" t="str">
        <f t="shared" si="35"/>
        <v/>
      </c>
      <c r="J180" s="157"/>
      <c r="K180" s="157" t="str">
        <f t="shared" si="36"/>
        <v/>
      </c>
      <c r="L180" s="157" t="str">
        <f t="shared" si="37"/>
        <v/>
      </c>
      <c r="M180" s="157"/>
      <c r="N180" s="157" t="str">
        <f t="shared" si="38"/>
        <v/>
      </c>
      <c r="O180" s="174" t="str">
        <f>Table132[[#This Row],[Combined List]]</f>
        <v/>
      </c>
      <c r="P180" s="157">
        <v>176</v>
      </c>
      <c r="Q180" s="174" t="str">
        <f t="shared" si="42"/>
        <v/>
      </c>
      <c r="R180" s="174" t="str">
        <f t="shared" si="43"/>
        <v/>
      </c>
      <c r="S180" s="174" t="str">
        <f t="shared" si="44"/>
        <v/>
      </c>
      <c r="T180" s="174" t="str">
        <f t="shared" si="45"/>
        <v/>
      </c>
      <c r="U180" s="174" t="str">
        <f t="shared" si="45"/>
        <v/>
      </c>
      <c r="V180" s="174" t="str">
        <f t="shared" si="45"/>
        <v/>
      </c>
      <c r="W180" s="174" t="str">
        <f>_xlfn.IFNA(VLOOKUP(T:T,'Example Logframe'!$B:$G,6,FALSE),"")</f>
        <v/>
      </c>
      <c r="X180" s="174" t="str">
        <f>_xlfn.IFNA(VLOOKUP(U:U,'Example Logframe'!$B:$G,6,FALSE),"")</f>
        <v/>
      </c>
      <c r="Y180" s="174" t="str">
        <f>_xlfn.IFNA(VLOOKUP(V:V,'Example Logframe'!$B:$G,6,FALSE),"")</f>
        <v/>
      </c>
      <c r="Z180">
        <v>176</v>
      </c>
      <c r="AD180" t="str">
        <f t="shared" si="47"/>
        <v/>
      </c>
      <c r="AE180" t="str">
        <f t="shared" si="47"/>
        <v/>
      </c>
      <c r="AF180" t="str">
        <f t="shared" si="46"/>
        <v/>
      </c>
    </row>
    <row r="181" spans="1:32" x14ac:dyDescent="0.35">
      <c r="A181">
        <f>INDEX('Example Logframe'!F:F,185,1)</f>
        <v>0</v>
      </c>
      <c r="B181" s="110">
        <v>1.99</v>
      </c>
      <c r="C181" s="321">
        <f>INDEX('Example Logframe'!B:B,185,1)</f>
        <v>0</v>
      </c>
      <c r="D181" t="str">
        <f t="shared" si="39"/>
        <v/>
      </c>
      <c r="E181" t="str">
        <f t="shared" si="40"/>
        <v/>
      </c>
      <c r="F181" t="str">
        <f t="shared" si="33"/>
        <v/>
      </c>
      <c r="G181" t="str">
        <f t="shared" si="41"/>
        <v/>
      </c>
      <c r="H181" t="str">
        <f t="shared" si="34"/>
        <v/>
      </c>
      <c r="I181" s="157" t="str">
        <f t="shared" si="35"/>
        <v/>
      </c>
      <c r="J181" s="157"/>
      <c r="K181" s="157" t="str">
        <f t="shared" si="36"/>
        <v/>
      </c>
      <c r="L181" s="157" t="str">
        <f t="shared" si="37"/>
        <v/>
      </c>
      <c r="M181" s="157"/>
      <c r="N181" s="157" t="str">
        <f t="shared" si="38"/>
        <v/>
      </c>
      <c r="O181" s="174" t="str">
        <f>Table132[[#This Row],[Combined List]]</f>
        <v/>
      </c>
      <c r="P181" s="157">
        <v>177</v>
      </c>
      <c r="Q181" s="174" t="str">
        <f t="shared" si="42"/>
        <v/>
      </c>
      <c r="R181" s="174" t="str">
        <f t="shared" si="43"/>
        <v/>
      </c>
      <c r="S181" s="174" t="str">
        <f t="shared" si="44"/>
        <v/>
      </c>
      <c r="T181" s="174" t="str">
        <f t="shared" si="45"/>
        <v/>
      </c>
      <c r="U181" s="174" t="str">
        <f t="shared" si="45"/>
        <v/>
      </c>
      <c r="V181" s="174" t="str">
        <f t="shared" si="45"/>
        <v/>
      </c>
      <c r="W181" s="174" t="str">
        <f>_xlfn.IFNA(VLOOKUP(T:T,'Example Logframe'!$B:$G,6,FALSE),"")</f>
        <v/>
      </c>
      <c r="X181" s="174" t="str">
        <f>_xlfn.IFNA(VLOOKUP(U:U,'Example Logframe'!$B:$G,6,FALSE),"")</f>
        <v/>
      </c>
      <c r="Y181" s="174" t="str">
        <f>_xlfn.IFNA(VLOOKUP(V:V,'Example Logframe'!$B:$G,6,FALSE),"")</f>
        <v/>
      </c>
      <c r="Z181">
        <v>177</v>
      </c>
      <c r="AD181" t="str">
        <f t="shared" si="47"/>
        <v/>
      </c>
      <c r="AE181" t="str">
        <f t="shared" si="47"/>
        <v/>
      </c>
      <c r="AF181" t="str">
        <f t="shared" si="46"/>
        <v/>
      </c>
    </row>
    <row r="182" spans="1:32" x14ac:dyDescent="0.35">
      <c r="A182">
        <f>INDEX('Example Logframe'!F:F,186,1)</f>
        <v>0</v>
      </c>
      <c r="B182" s="110">
        <v>2.0099999999999998</v>
      </c>
      <c r="C182" s="321">
        <f>INDEX('Example Logframe'!B:B,186,1)</f>
        <v>0</v>
      </c>
      <c r="D182" t="str">
        <f t="shared" si="39"/>
        <v/>
      </c>
      <c r="E182" t="str">
        <f t="shared" si="40"/>
        <v/>
      </c>
      <c r="F182" t="str">
        <f t="shared" si="33"/>
        <v/>
      </c>
      <c r="G182" t="str">
        <f t="shared" si="41"/>
        <v/>
      </c>
      <c r="H182" t="str">
        <f t="shared" si="34"/>
        <v/>
      </c>
      <c r="I182" s="157" t="str">
        <f t="shared" si="35"/>
        <v/>
      </c>
      <c r="J182" s="157"/>
      <c r="K182" s="157" t="str">
        <f t="shared" si="36"/>
        <v/>
      </c>
      <c r="L182" s="157" t="str">
        <f t="shared" si="37"/>
        <v/>
      </c>
      <c r="M182" s="157"/>
      <c r="N182" s="157" t="str">
        <f t="shared" si="38"/>
        <v/>
      </c>
      <c r="O182" s="174" t="str">
        <f>Table132[[#This Row],[Combined List]]</f>
        <v/>
      </c>
      <c r="P182" s="157">
        <v>178</v>
      </c>
      <c r="Q182" s="174" t="str">
        <f t="shared" si="42"/>
        <v/>
      </c>
      <c r="R182" s="174" t="str">
        <f t="shared" si="43"/>
        <v/>
      </c>
      <c r="S182" s="174" t="str">
        <f t="shared" si="44"/>
        <v/>
      </c>
      <c r="T182" s="174" t="str">
        <f t="shared" si="45"/>
        <v/>
      </c>
      <c r="U182" s="174" t="str">
        <f t="shared" si="45"/>
        <v/>
      </c>
      <c r="V182" s="174" t="str">
        <f t="shared" si="45"/>
        <v/>
      </c>
      <c r="W182" s="174" t="str">
        <f>_xlfn.IFNA(VLOOKUP(T:T,'Example Logframe'!$B:$G,6,FALSE),"")</f>
        <v/>
      </c>
      <c r="X182" s="174" t="str">
        <f>_xlfn.IFNA(VLOOKUP(U:U,'Example Logframe'!$B:$G,6,FALSE),"")</f>
        <v/>
      </c>
      <c r="Y182" s="174" t="str">
        <f>_xlfn.IFNA(VLOOKUP(V:V,'Example Logframe'!$B:$G,6,FALSE),"")</f>
        <v/>
      </c>
      <c r="Z182">
        <v>178</v>
      </c>
      <c r="AD182" t="str">
        <f t="shared" si="47"/>
        <v/>
      </c>
      <c r="AE182" t="str">
        <f t="shared" si="47"/>
        <v/>
      </c>
      <c r="AF182" t="str">
        <f t="shared" si="46"/>
        <v/>
      </c>
    </row>
    <row r="183" spans="1:32" x14ac:dyDescent="0.35">
      <c r="A183">
        <f>INDEX('Example Logframe'!F:F,187,1)</f>
        <v>0</v>
      </c>
      <c r="B183" s="110">
        <v>2.02</v>
      </c>
      <c r="C183" s="321">
        <f>INDEX('Example Logframe'!B:B,187,1)</f>
        <v>0</v>
      </c>
      <c r="D183" t="str">
        <f t="shared" si="39"/>
        <v/>
      </c>
      <c r="E183" t="str">
        <f t="shared" si="40"/>
        <v/>
      </c>
      <c r="F183" t="str">
        <f t="shared" si="33"/>
        <v/>
      </c>
      <c r="G183" t="str">
        <f t="shared" si="41"/>
        <v/>
      </c>
      <c r="H183" t="str">
        <f t="shared" si="34"/>
        <v/>
      </c>
      <c r="I183" s="157" t="str">
        <f t="shared" si="35"/>
        <v/>
      </c>
      <c r="J183" s="157"/>
      <c r="K183" s="157" t="str">
        <f t="shared" si="36"/>
        <v/>
      </c>
      <c r="L183" s="157" t="str">
        <f t="shared" si="37"/>
        <v/>
      </c>
      <c r="M183" s="157"/>
      <c r="N183" s="157" t="str">
        <f t="shared" si="38"/>
        <v/>
      </c>
      <c r="O183" s="174" t="str">
        <f>Table132[[#This Row],[Combined List]]</f>
        <v/>
      </c>
      <c r="P183" s="157">
        <v>179</v>
      </c>
      <c r="Q183" s="174" t="str">
        <f t="shared" si="42"/>
        <v/>
      </c>
      <c r="R183" s="174" t="str">
        <f t="shared" si="43"/>
        <v/>
      </c>
      <c r="S183" s="174" t="str">
        <f t="shared" si="44"/>
        <v/>
      </c>
      <c r="T183" s="174" t="str">
        <f t="shared" si="45"/>
        <v/>
      </c>
      <c r="U183" s="174" t="str">
        <f t="shared" si="45"/>
        <v/>
      </c>
      <c r="V183" s="174" t="str">
        <f t="shared" si="45"/>
        <v/>
      </c>
      <c r="W183" s="174" t="str">
        <f>_xlfn.IFNA(VLOOKUP(T:T,'Example Logframe'!$B:$G,6,FALSE),"")</f>
        <v/>
      </c>
      <c r="X183" s="174" t="str">
        <f>_xlfn.IFNA(VLOOKUP(U:U,'Example Logframe'!$B:$G,6,FALSE),"")</f>
        <v/>
      </c>
      <c r="Y183" s="174" t="str">
        <f>_xlfn.IFNA(VLOOKUP(V:V,'Example Logframe'!$B:$G,6,FALSE),"")</f>
        <v/>
      </c>
      <c r="Z183">
        <v>179</v>
      </c>
      <c r="AD183" t="str">
        <f t="shared" si="47"/>
        <v/>
      </c>
      <c r="AE183" t="str">
        <f t="shared" si="47"/>
        <v/>
      </c>
      <c r="AF183" t="str">
        <f t="shared" si="46"/>
        <v/>
      </c>
    </row>
    <row r="184" spans="1:32" x14ac:dyDescent="0.35">
      <c r="A184">
        <f>INDEX('Example Logframe'!F:F,188,1)</f>
        <v>0</v>
      </c>
      <c r="B184" s="110">
        <v>2.0299999999999998</v>
      </c>
      <c r="C184" s="321">
        <f>INDEX('Example Logframe'!B:B,188,1)</f>
        <v>0</v>
      </c>
      <c r="D184" t="str">
        <f t="shared" si="39"/>
        <v/>
      </c>
      <c r="E184" t="str">
        <f t="shared" si="40"/>
        <v/>
      </c>
      <c r="F184" t="str">
        <f t="shared" si="33"/>
        <v/>
      </c>
      <c r="G184" t="str">
        <f t="shared" si="41"/>
        <v/>
      </c>
      <c r="H184" t="str">
        <f t="shared" si="34"/>
        <v/>
      </c>
      <c r="I184" s="157" t="str">
        <f t="shared" si="35"/>
        <v/>
      </c>
      <c r="J184" s="157"/>
      <c r="K184" s="157" t="str">
        <f t="shared" si="36"/>
        <v/>
      </c>
      <c r="L184" s="157" t="str">
        <f t="shared" si="37"/>
        <v/>
      </c>
      <c r="M184" s="157"/>
      <c r="N184" s="157" t="str">
        <f t="shared" si="38"/>
        <v/>
      </c>
      <c r="O184" s="174" t="str">
        <f>Table132[[#This Row],[Combined List]]</f>
        <v/>
      </c>
      <c r="P184" s="157">
        <v>180</v>
      </c>
      <c r="Q184" s="174" t="str">
        <f t="shared" si="42"/>
        <v/>
      </c>
      <c r="R184" s="174" t="str">
        <f t="shared" si="43"/>
        <v/>
      </c>
      <c r="S184" s="174" t="str">
        <f t="shared" si="44"/>
        <v/>
      </c>
      <c r="T184" s="174" t="str">
        <f t="shared" si="45"/>
        <v/>
      </c>
      <c r="U184" s="174" t="str">
        <f t="shared" si="45"/>
        <v/>
      </c>
      <c r="V184" s="174" t="str">
        <f t="shared" si="45"/>
        <v/>
      </c>
      <c r="W184" s="174" t="str">
        <f>_xlfn.IFNA(VLOOKUP(T:T,'Example Logframe'!$B:$G,6,FALSE),"")</f>
        <v/>
      </c>
      <c r="X184" s="174" t="str">
        <f>_xlfn.IFNA(VLOOKUP(U:U,'Example Logframe'!$B:$G,6,FALSE),"")</f>
        <v/>
      </c>
      <c r="Y184" s="174" t="str">
        <f>_xlfn.IFNA(VLOOKUP(V:V,'Example Logframe'!$B:$G,6,FALSE),"")</f>
        <v/>
      </c>
      <c r="Z184">
        <v>180</v>
      </c>
      <c r="AD184" t="str">
        <f t="shared" si="47"/>
        <v/>
      </c>
      <c r="AE184" t="str">
        <f t="shared" si="47"/>
        <v/>
      </c>
      <c r="AF184" t="str">
        <f t="shared" si="46"/>
        <v/>
      </c>
    </row>
    <row r="185" spans="1:32" x14ac:dyDescent="0.35">
      <c r="A185">
        <f>INDEX('Example Logframe'!F:F,189,1)</f>
        <v>0</v>
      </c>
      <c r="B185" s="110">
        <v>2.04</v>
      </c>
      <c r="C185" s="321">
        <f>INDEX('Example Logframe'!B:B,189,1)</f>
        <v>0</v>
      </c>
      <c r="D185" t="str">
        <f t="shared" si="39"/>
        <v/>
      </c>
      <c r="E185" t="str">
        <f t="shared" si="40"/>
        <v/>
      </c>
      <c r="F185" t="str">
        <f t="shared" si="33"/>
        <v/>
      </c>
      <c r="G185" t="str">
        <f t="shared" si="41"/>
        <v/>
      </c>
      <c r="H185" t="str">
        <f t="shared" si="34"/>
        <v/>
      </c>
      <c r="I185" s="157" t="str">
        <f t="shared" si="35"/>
        <v/>
      </c>
      <c r="J185" s="157"/>
      <c r="K185" s="157" t="str">
        <f t="shared" si="36"/>
        <v/>
      </c>
      <c r="L185" s="157" t="str">
        <f t="shared" si="37"/>
        <v/>
      </c>
      <c r="M185" s="157"/>
      <c r="N185" s="157" t="str">
        <f t="shared" si="38"/>
        <v/>
      </c>
      <c r="O185" s="174" t="str">
        <f>Table132[[#This Row],[Combined List]]</f>
        <v/>
      </c>
      <c r="P185" s="157">
        <v>181</v>
      </c>
      <c r="Q185" s="174" t="str">
        <f t="shared" si="42"/>
        <v/>
      </c>
      <c r="R185" s="174" t="str">
        <f t="shared" si="43"/>
        <v/>
      </c>
      <c r="S185" s="174" t="str">
        <f t="shared" si="44"/>
        <v/>
      </c>
      <c r="T185" s="174" t="str">
        <f t="shared" si="45"/>
        <v/>
      </c>
      <c r="U185" s="174" t="str">
        <f t="shared" si="45"/>
        <v/>
      </c>
      <c r="V185" s="174" t="str">
        <f t="shared" si="45"/>
        <v/>
      </c>
      <c r="W185" s="174" t="str">
        <f>_xlfn.IFNA(VLOOKUP(T:T,'Example Logframe'!$B:$G,6,FALSE),"")</f>
        <v/>
      </c>
      <c r="X185" s="174" t="str">
        <f>_xlfn.IFNA(VLOOKUP(U:U,'Example Logframe'!$B:$G,6,FALSE),"")</f>
        <v/>
      </c>
      <c r="Y185" s="174" t="str">
        <f>_xlfn.IFNA(VLOOKUP(V:V,'Example Logframe'!$B:$G,6,FALSE),"")</f>
        <v/>
      </c>
      <c r="Z185">
        <v>181</v>
      </c>
      <c r="AD185" t="str">
        <f t="shared" si="47"/>
        <v/>
      </c>
      <c r="AE185" t="str">
        <f t="shared" si="47"/>
        <v/>
      </c>
      <c r="AF185" t="str">
        <f t="shared" si="46"/>
        <v/>
      </c>
    </row>
    <row r="186" spans="1:32" x14ac:dyDescent="0.35">
      <c r="A186">
        <f>INDEX('Example Logframe'!F:F,190,1)</f>
        <v>0</v>
      </c>
      <c r="B186" s="110">
        <v>2.0499999999999998</v>
      </c>
      <c r="C186" s="321">
        <f>INDEX('Example Logframe'!B:B,190,1)</f>
        <v>0</v>
      </c>
      <c r="D186" t="str">
        <f t="shared" si="39"/>
        <v/>
      </c>
      <c r="E186" t="str">
        <f t="shared" si="40"/>
        <v/>
      </c>
      <c r="F186" t="str">
        <f t="shared" si="33"/>
        <v/>
      </c>
      <c r="G186" t="str">
        <f t="shared" si="41"/>
        <v/>
      </c>
      <c r="H186" t="str">
        <f t="shared" si="34"/>
        <v/>
      </c>
      <c r="I186" s="157" t="str">
        <f t="shared" si="35"/>
        <v/>
      </c>
      <c r="J186" s="157"/>
      <c r="K186" s="157" t="str">
        <f t="shared" si="36"/>
        <v/>
      </c>
      <c r="L186" s="157" t="str">
        <f t="shared" si="37"/>
        <v/>
      </c>
      <c r="M186" s="157"/>
      <c r="N186" s="157" t="str">
        <f t="shared" si="38"/>
        <v/>
      </c>
      <c r="O186" s="174" t="str">
        <f>Table132[[#This Row],[Combined List]]</f>
        <v/>
      </c>
      <c r="P186" s="157">
        <v>182</v>
      </c>
      <c r="Q186" s="174" t="str">
        <f t="shared" si="42"/>
        <v/>
      </c>
      <c r="R186" s="174" t="str">
        <f t="shared" si="43"/>
        <v/>
      </c>
      <c r="S186" s="174" t="str">
        <f t="shared" si="44"/>
        <v/>
      </c>
      <c r="T186" s="174" t="str">
        <f t="shared" si="45"/>
        <v/>
      </c>
      <c r="U186" s="174" t="str">
        <f t="shared" si="45"/>
        <v/>
      </c>
      <c r="V186" s="174" t="str">
        <f t="shared" si="45"/>
        <v/>
      </c>
      <c r="W186" s="174" t="str">
        <f>_xlfn.IFNA(VLOOKUP(T:T,'Example Logframe'!$B:$G,6,FALSE),"")</f>
        <v/>
      </c>
      <c r="X186" s="174" t="str">
        <f>_xlfn.IFNA(VLOOKUP(U:U,'Example Logframe'!$B:$G,6,FALSE),"")</f>
        <v/>
      </c>
      <c r="Y186" s="174" t="str">
        <f>_xlfn.IFNA(VLOOKUP(V:V,'Example Logframe'!$B:$G,6,FALSE),"")</f>
        <v/>
      </c>
      <c r="Z186">
        <v>182</v>
      </c>
      <c r="AD186" t="str">
        <f t="shared" si="47"/>
        <v/>
      </c>
      <c r="AE186" t="str">
        <f t="shared" si="47"/>
        <v/>
      </c>
      <c r="AF186" t="str">
        <f t="shared" si="46"/>
        <v/>
      </c>
    </row>
    <row r="187" spans="1:32" x14ac:dyDescent="0.35">
      <c r="A187">
        <f>INDEX('Example Logframe'!F:F,191,1)</f>
        <v>0</v>
      </c>
      <c r="B187" s="110">
        <v>2.06</v>
      </c>
      <c r="C187" s="321">
        <f>INDEX('Example Logframe'!B:B,191,1)</f>
        <v>0</v>
      </c>
      <c r="D187" t="str">
        <f t="shared" si="39"/>
        <v/>
      </c>
      <c r="E187" t="str">
        <f t="shared" si="40"/>
        <v/>
      </c>
      <c r="F187" t="str">
        <f t="shared" si="33"/>
        <v/>
      </c>
      <c r="G187" t="str">
        <f t="shared" si="41"/>
        <v/>
      </c>
      <c r="H187" t="str">
        <f t="shared" si="34"/>
        <v/>
      </c>
      <c r="I187" s="157" t="str">
        <f t="shared" si="35"/>
        <v/>
      </c>
      <c r="J187" s="157"/>
      <c r="K187" s="157" t="str">
        <f t="shared" si="36"/>
        <v/>
      </c>
      <c r="L187" s="157" t="str">
        <f t="shared" si="37"/>
        <v/>
      </c>
      <c r="M187" s="157"/>
      <c r="N187" s="157" t="str">
        <f t="shared" si="38"/>
        <v/>
      </c>
      <c r="O187" s="174" t="str">
        <f>Table132[[#This Row],[Combined List]]</f>
        <v/>
      </c>
      <c r="P187" s="157">
        <v>183</v>
      </c>
      <c r="Q187" s="174" t="str">
        <f t="shared" si="42"/>
        <v/>
      </c>
      <c r="R187" s="174" t="str">
        <f t="shared" si="43"/>
        <v/>
      </c>
      <c r="S187" s="174" t="str">
        <f t="shared" si="44"/>
        <v/>
      </c>
      <c r="T187" s="174" t="str">
        <f t="shared" si="45"/>
        <v/>
      </c>
      <c r="U187" s="174" t="str">
        <f t="shared" si="45"/>
        <v/>
      </c>
      <c r="V187" s="174" t="str">
        <f t="shared" si="45"/>
        <v/>
      </c>
      <c r="W187" s="174" t="str">
        <f>_xlfn.IFNA(VLOOKUP(T:T,'Example Logframe'!$B:$G,6,FALSE),"")</f>
        <v/>
      </c>
      <c r="X187" s="174" t="str">
        <f>_xlfn.IFNA(VLOOKUP(U:U,'Example Logframe'!$B:$G,6,FALSE),"")</f>
        <v/>
      </c>
      <c r="Y187" s="174" t="str">
        <f>_xlfn.IFNA(VLOOKUP(V:V,'Example Logframe'!$B:$G,6,FALSE),"")</f>
        <v/>
      </c>
      <c r="Z187">
        <v>183</v>
      </c>
      <c r="AD187" t="str">
        <f t="shared" si="47"/>
        <v/>
      </c>
      <c r="AE187" t="str">
        <f t="shared" si="47"/>
        <v/>
      </c>
      <c r="AF187" t="str">
        <f t="shared" si="46"/>
        <v/>
      </c>
    </row>
    <row r="188" spans="1:32" x14ac:dyDescent="0.35">
      <c r="A188">
        <f>INDEX('Example Logframe'!F:F,192,1)</f>
        <v>0</v>
      </c>
      <c r="B188" s="110">
        <v>2.0699999999999998</v>
      </c>
      <c r="C188" s="321">
        <f>INDEX('Example Logframe'!B:B,192,1)</f>
        <v>0</v>
      </c>
      <c r="D188" t="str">
        <f t="shared" si="39"/>
        <v/>
      </c>
      <c r="E188" t="str">
        <f t="shared" si="40"/>
        <v/>
      </c>
      <c r="F188" t="str">
        <f t="shared" si="33"/>
        <v/>
      </c>
      <c r="G188" t="str">
        <f t="shared" si="41"/>
        <v/>
      </c>
      <c r="H188" t="str">
        <f t="shared" si="34"/>
        <v/>
      </c>
      <c r="I188" s="157" t="str">
        <f t="shared" si="35"/>
        <v/>
      </c>
      <c r="J188" s="157"/>
      <c r="K188" s="157" t="str">
        <f t="shared" si="36"/>
        <v/>
      </c>
      <c r="L188" s="157" t="str">
        <f t="shared" si="37"/>
        <v/>
      </c>
      <c r="M188" s="157"/>
      <c r="N188" s="157" t="str">
        <f t="shared" si="38"/>
        <v/>
      </c>
      <c r="O188" s="174" t="str">
        <f>Table132[[#This Row],[Combined List]]</f>
        <v/>
      </c>
      <c r="P188" s="157">
        <v>184</v>
      </c>
      <c r="Q188" s="174" t="str">
        <f t="shared" si="42"/>
        <v/>
      </c>
      <c r="R188" s="174" t="str">
        <f t="shared" si="43"/>
        <v/>
      </c>
      <c r="S188" s="174" t="str">
        <f t="shared" si="44"/>
        <v/>
      </c>
      <c r="T188" s="174" t="str">
        <f t="shared" si="45"/>
        <v/>
      </c>
      <c r="U188" s="174" t="str">
        <f t="shared" si="45"/>
        <v/>
      </c>
      <c r="V188" s="174" t="str">
        <f t="shared" si="45"/>
        <v/>
      </c>
      <c r="W188" s="174" t="str">
        <f>_xlfn.IFNA(VLOOKUP(T:T,'Example Logframe'!$B:$G,6,FALSE),"")</f>
        <v/>
      </c>
      <c r="X188" s="174" t="str">
        <f>_xlfn.IFNA(VLOOKUP(U:U,'Example Logframe'!$B:$G,6,FALSE),"")</f>
        <v/>
      </c>
      <c r="Y188" s="174" t="str">
        <f>_xlfn.IFNA(VLOOKUP(V:V,'Example Logframe'!$B:$G,6,FALSE),"")</f>
        <v/>
      </c>
      <c r="Z188">
        <v>184</v>
      </c>
      <c r="AD188" t="str">
        <f t="shared" si="47"/>
        <v/>
      </c>
      <c r="AE188" t="str">
        <f t="shared" si="47"/>
        <v/>
      </c>
      <c r="AF188" t="str">
        <f t="shared" si="46"/>
        <v/>
      </c>
    </row>
    <row r="189" spans="1:32" x14ac:dyDescent="0.35">
      <c r="A189">
        <f>INDEX('Example Logframe'!F:F,193,1)</f>
        <v>0</v>
      </c>
      <c r="B189" s="110">
        <v>2.08</v>
      </c>
      <c r="C189" s="321">
        <f>INDEX('Example Logframe'!B:B,193,1)</f>
        <v>0</v>
      </c>
      <c r="D189" t="str">
        <f t="shared" si="39"/>
        <v/>
      </c>
      <c r="E189" t="str">
        <f t="shared" si="40"/>
        <v/>
      </c>
      <c r="F189" t="str">
        <f t="shared" si="33"/>
        <v/>
      </c>
      <c r="G189" t="str">
        <f t="shared" si="41"/>
        <v/>
      </c>
      <c r="H189" t="str">
        <f t="shared" si="34"/>
        <v/>
      </c>
      <c r="I189" s="157" t="str">
        <f t="shared" si="35"/>
        <v/>
      </c>
      <c r="J189" s="157"/>
      <c r="K189" s="157" t="str">
        <f t="shared" si="36"/>
        <v/>
      </c>
      <c r="L189" s="157" t="str">
        <f t="shared" si="37"/>
        <v/>
      </c>
      <c r="M189" s="157"/>
      <c r="N189" s="157" t="str">
        <f t="shared" si="38"/>
        <v/>
      </c>
      <c r="O189" s="174" t="str">
        <f>Table132[[#This Row],[Combined List]]</f>
        <v/>
      </c>
      <c r="P189" s="157">
        <v>185</v>
      </c>
      <c r="Q189" s="174" t="str">
        <f t="shared" si="42"/>
        <v/>
      </c>
      <c r="R189" s="174" t="str">
        <f t="shared" si="43"/>
        <v/>
      </c>
      <c r="S189" s="174" t="str">
        <f t="shared" si="44"/>
        <v/>
      </c>
      <c r="T189" s="174" t="str">
        <f t="shared" si="45"/>
        <v/>
      </c>
      <c r="U189" s="174" t="str">
        <f t="shared" si="45"/>
        <v/>
      </c>
      <c r="V189" s="174" t="str">
        <f t="shared" si="45"/>
        <v/>
      </c>
      <c r="W189" s="174" t="str">
        <f>_xlfn.IFNA(VLOOKUP(T:T,'Example Logframe'!$B:$G,6,FALSE),"")</f>
        <v/>
      </c>
      <c r="X189" s="174" t="str">
        <f>_xlfn.IFNA(VLOOKUP(U:U,'Example Logframe'!$B:$G,6,FALSE),"")</f>
        <v/>
      </c>
      <c r="Y189" s="174" t="str">
        <f>_xlfn.IFNA(VLOOKUP(V:V,'Example Logframe'!$B:$G,6,FALSE),"")</f>
        <v/>
      </c>
      <c r="Z189">
        <v>185</v>
      </c>
      <c r="AD189" t="str">
        <f t="shared" si="47"/>
        <v/>
      </c>
      <c r="AE189" t="str">
        <f t="shared" si="47"/>
        <v/>
      </c>
      <c r="AF189" t="str">
        <f t="shared" si="46"/>
        <v/>
      </c>
    </row>
    <row r="190" spans="1:32" x14ac:dyDescent="0.35">
      <c r="A190">
        <f>INDEX('Example Logframe'!F:F,194,1)</f>
        <v>0</v>
      </c>
      <c r="B190" s="110">
        <v>2.09</v>
      </c>
      <c r="C190" s="321">
        <f>INDEX('Example Logframe'!B:B,194,1)</f>
        <v>0</v>
      </c>
      <c r="D190" t="str">
        <f t="shared" si="39"/>
        <v/>
      </c>
      <c r="E190" t="str">
        <f t="shared" si="40"/>
        <v/>
      </c>
      <c r="F190" t="str">
        <f t="shared" si="33"/>
        <v/>
      </c>
      <c r="G190" t="str">
        <f t="shared" si="41"/>
        <v/>
      </c>
      <c r="H190" t="str">
        <f t="shared" si="34"/>
        <v/>
      </c>
      <c r="I190" s="157" t="str">
        <f t="shared" si="35"/>
        <v/>
      </c>
      <c r="J190" s="157"/>
      <c r="K190" s="157" t="str">
        <f t="shared" si="36"/>
        <v/>
      </c>
      <c r="L190" s="157" t="str">
        <f t="shared" si="37"/>
        <v/>
      </c>
      <c r="M190" s="157"/>
      <c r="N190" s="157" t="str">
        <f t="shared" si="38"/>
        <v/>
      </c>
      <c r="O190" s="174" t="str">
        <f>Table132[[#This Row],[Combined List]]</f>
        <v/>
      </c>
      <c r="P190" s="157">
        <v>186</v>
      </c>
      <c r="Q190" s="174" t="str">
        <f t="shared" si="42"/>
        <v/>
      </c>
      <c r="R190" s="174" t="str">
        <f t="shared" si="43"/>
        <v/>
      </c>
      <c r="S190" s="174" t="str">
        <f t="shared" si="44"/>
        <v/>
      </c>
      <c r="T190" s="174" t="str">
        <f t="shared" si="45"/>
        <v/>
      </c>
      <c r="U190" s="174" t="str">
        <f t="shared" si="45"/>
        <v/>
      </c>
      <c r="V190" s="174" t="str">
        <f t="shared" si="45"/>
        <v/>
      </c>
      <c r="W190" s="174" t="str">
        <f>_xlfn.IFNA(VLOOKUP(T:T,'Example Logframe'!$B:$G,6,FALSE),"")</f>
        <v/>
      </c>
      <c r="X190" s="174" t="str">
        <f>_xlfn.IFNA(VLOOKUP(U:U,'Example Logframe'!$B:$G,6,FALSE),"")</f>
        <v/>
      </c>
      <c r="Y190" s="174" t="str">
        <f>_xlfn.IFNA(VLOOKUP(V:V,'Example Logframe'!$B:$G,6,FALSE),"")</f>
        <v/>
      </c>
      <c r="Z190">
        <v>186</v>
      </c>
      <c r="AD190" t="str">
        <f t="shared" si="47"/>
        <v/>
      </c>
      <c r="AE190" t="str">
        <f t="shared" si="47"/>
        <v/>
      </c>
      <c r="AF190" t="str">
        <f t="shared" si="46"/>
        <v/>
      </c>
    </row>
    <row r="191" spans="1:32" x14ac:dyDescent="0.35">
      <c r="A191">
        <f>INDEX('Example Logframe'!F:F,195,1)</f>
        <v>0</v>
      </c>
      <c r="B191" s="110">
        <v>2.11</v>
      </c>
      <c r="C191" s="321">
        <f>INDEX('Example Logframe'!B:B,195,1)</f>
        <v>0</v>
      </c>
      <c r="D191" t="str">
        <f t="shared" si="39"/>
        <v/>
      </c>
      <c r="E191" t="str">
        <f t="shared" si="40"/>
        <v/>
      </c>
      <c r="F191" t="str">
        <f t="shared" si="33"/>
        <v/>
      </c>
      <c r="G191" t="str">
        <f t="shared" si="41"/>
        <v/>
      </c>
      <c r="H191" t="str">
        <f t="shared" si="34"/>
        <v/>
      </c>
      <c r="I191" s="157" t="str">
        <f t="shared" si="35"/>
        <v/>
      </c>
      <c r="J191" s="157"/>
      <c r="K191" s="157" t="str">
        <f t="shared" si="36"/>
        <v/>
      </c>
      <c r="L191" s="157" t="str">
        <f t="shared" si="37"/>
        <v/>
      </c>
      <c r="M191" s="157"/>
      <c r="N191" s="157" t="str">
        <f t="shared" si="38"/>
        <v/>
      </c>
      <c r="O191" s="174" t="str">
        <f>Table132[[#This Row],[Combined List]]</f>
        <v/>
      </c>
      <c r="P191" s="157">
        <v>187</v>
      </c>
      <c r="Q191" s="174" t="str">
        <f t="shared" si="42"/>
        <v/>
      </c>
      <c r="R191" s="174" t="str">
        <f t="shared" si="43"/>
        <v/>
      </c>
      <c r="S191" s="174" t="str">
        <f t="shared" si="44"/>
        <v/>
      </c>
      <c r="T191" s="174" t="str">
        <f t="shared" si="45"/>
        <v/>
      </c>
      <c r="U191" s="174" t="str">
        <f t="shared" si="45"/>
        <v/>
      </c>
      <c r="V191" s="174" t="str">
        <f t="shared" si="45"/>
        <v/>
      </c>
      <c r="W191" s="174" t="str">
        <f>_xlfn.IFNA(VLOOKUP(T:T,'Example Logframe'!$B:$G,6,FALSE),"")</f>
        <v/>
      </c>
      <c r="X191" s="174" t="str">
        <f>_xlfn.IFNA(VLOOKUP(U:U,'Example Logframe'!$B:$G,6,FALSE),"")</f>
        <v/>
      </c>
      <c r="Y191" s="174" t="str">
        <f>_xlfn.IFNA(VLOOKUP(V:V,'Example Logframe'!$B:$G,6,FALSE),"")</f>
        <v/>
      </c>
      <c r="Z191">
        <v>187</v>
      </c>
      <c r="AD191" t="str">
        <f t="shared" si="47"/>
        <v/>
      </c>
      <c r="AE191" t="str">
        <f t="shared" si="47"/>
        <v/>
      </c>
      <c r="AF191" t="str">
        <f t="shared" si="46"/>
        <v/>
      </c>
    </row>
    <row r="192" spans="1:32" x14ac:dyDescent="0.35">
      <c r="A192">
        <f>INDEX('Example Logframe'!F:F,196,1)</f>
        <v>0</v>
      </c>
      <c r="B192" s="110">
        <v>2.12</v>
      </c>
      <c r="C192" s="321">
        <f>INDEX('Example Logframe'!B:B,196,1)</f>
        <v>0</v>
      </c>
      <c r="D192" t="str">
        <f t="shared" si="39"/>
        <v/>
      </c>
      <c r="E192" t="str">
        <f t="shared" si="40"/>
        <v/>
      </c>
      <c r="F192" t="str">
        <f t="shared" si="33"/>
        <v/>
      </c>
      <c r="G192" t="str">
        <f t="shared" si="41"/>
        <v/>
      </c>
      <c r="H192" t="str">
        <f t="shared" si="34"/>
        <v/>
      </c>
      <c r="I192" s="157" t="str">
        <f t="shared" si="35"/>
        <v/>
      </c>
      <c r="J192" s="157"/>
      <c r="K192" s="157" t="str">
        <f t="shared" si="36"/>
        <v/>
      </c>
      <c r="L192" s="157" t="str">
        <f t="shared" si="37"/>
        <v/>
      </c>
      <c r="M192" s="157"/>
      <c r="N192" s="157" t="str">
        <f t="shared" si="38"/>
        <v/>
      </c>
      <c r="O192" s="174" t="str">
        <f>Table132[[#This Row],[Combined List]]</f>
        <v/>
      </c>
      <c r="P192" s="157">
        <v>188</v>
      </c>
      <c r="Q192" s="174" t="str">
        <f t="shared" si="42"/>
        <v/>
      </c>
      <c r="R192" s="174" t="str">
        <f t="shared" si="43"/>
        <v/>
      </c>
      <c r="S192" s="174" t="str">
        <f t="shared" si="44"/>
        <v/>
      </c>
      <c r="T192" s="174" t="str">
        <f t="shared" si="45"/>
        <v/>
      </c>
      <c r="U192" s="174" t="str">
        <f t="shared" si="45"/>
        <v/>
      </c>
      <c r="V192" s="174" t="str">
        <f t="shared" si="45"/>
        <v/>
      </c>
      <c r="W192" s="174" t="str">
        <f>_xlfn.IFNA(VLOOKUP(T:T,'Example Logframe'!$B:$G,6,FALSE),"")</f>
        <v/>
      </c>
      <c r="X192" s="174" t="str">
        <f>_xlfn.IFNA(VLOOKUP(U:U,'Example Logframe'!$B:$G,6,FALSE),"")</f>
        <v/>
      </c>
      <c r="Y192" s="174" t="str">
        <f>_xlfn.IFNA(VLOOKUP(V:V,'Example Logframe'!$B:$G,6,FALSE),"")</f>
        <v/>
      </c>
      <c r="Z192">
        <v>188</v>
      </c>
      <c r="AD192" t="str">
        <f t="shared" si="47"/>
        <v/>
      </c>
      <c r="AE192" t="str">
        <f t="shared" si="47"/>
        <v/>
      </c>
      <c r="AF192" t="str">
        <f t="shared" si="46"/>
        <v/>
      </c>
    </row>
    <row r="193" spans="1:32" x14ac:dyDescent="0.35">
      <c r="A193">
        <f>INDEX('Example Logframe'!F:F,197,1)</f>
        <v>0</v>
      </c>
      <c r="B193" s="110">
        <v>2.13</v>
      </c>
      <c r="C193" s="321">
        <f>INDEX('Example Logframe'!B:B,197,1)</f>
        <v>0</v>
      </c>
      <c r="D193" t="str">
        <f t="shared" si="39"/>
        <v/>
      </c>
      <c r="E193" t="str">
        <f t="shared" si="40"/>
        <v/>
      </c>
      <c r="F193" t="str">
        <f t="shared" si="33"/>
        <v/>
      </c>
      <c r="G193" t="str">
        <f t="shared" si="41"/>
        <v/>
      </c>
      <c r="H193" t="str">
        <f t="shared" si="34"/>
        <v/>
      </c>
      <c r="I193" s="157" t="str">
        <f t="shared" si="35"/>
        <v/>
      </c>
      <c r="J193" s="157"/>
      <c r="K193" s="157" t="str">
        <f t="shared" si="36"/>
        <v/>
      </c>
      <c r="L193" s="157" t="str">
        <f t="shared" si="37"/>
        <v/>
      </c>
      <c r="M193" s="157"/>
      <c r="N193" s="157" t="str">
        <f t="shared" si="38"/>
        <v/>
      </c>
      <c r="O193" s="174" t="str">
        <f>Table132[[#This Row],[Combined List]]</f>
        <v/>
      </c>
      <c r="P193" s="157">
        <v>189</v>
      </c>
      <c r="Q193" s="174" t="str">
        <f t="shared" si="42"/>
        <v/>
      </c>
      <c r="R193" s="174" t="str">
        <f t="shared" si="43"/>
        <v/>
      </c>
      <c r="S193" s="174" t="str">
        <f t="shared" si="44"/>
        <v/>
      </c>
      <c r="T193" s="174" t="str">
        <f t="shared" si="45"/>
        <v/>
      </c>
      <c r="U193" s="174" t="str">
        <f t="shared" si="45"/>
        <v/>
      </c>
      <c r="V193" s="174" t="str">
        <f t="shared" si="45"/>
        <v/>
      </c>
      <c r="W193" s="174" t="str">
        <f>_xlfn.IFNA(VLOOKUP(T:T,'Example Logframe'!$B:$G,6,FALSE),"")</f>
        <v/>
      </c>
      <c r="X193" s="174" t="str">
        <f>_xlfn.IFNA(VLOOKUP(U:U,'Example Logframe'!$B:$G,6,FALSE),"")</f>
        <v/>
      </c>
      <c r="Y193" s="174" t="str">
        <f>_xlfn.IFNA(VLOOKUP(V:V,'Example Logframe'!$B:$G,6,FALSE),"")</f>
        <v/>
      </c>
      <c r="Z193">
        <v>189</v>
      </c>
      <c r="AD193" t="str">
        <f t="shared" si="47"/>
        <v/>
      </c>
      <c r="AE193" t="str">
        <f t="shared" si="47"/>
        <v/>
      </c>
      <c r="AF193" t="str">
        <f t="shared" si="46"/>
        <v/>
      </c>
    </row>
    <row r="194" spans="1:32" x14ac:dyDescent="0.35">
      <c r="A194">
        <f>INDEX('Example Logframe'!F:F,198,1)</f>
        <v>0</v>
      </c>
      <c r="B194" s="110">
        <v>2.14</v>
      </c>
      <c r="C194" s="321">
        <f>INDEX('Example Logframe'!B:B,198,1)</f>
        <v>0</v>
      </c>
      <c r="D194" t="str">
        <f t="shared" si="39"/>
        <v/>
      </c>
      <c r="E194" t="str">
        <f t="shared" si="40"/>
        <v/>
      </c>
      <c r="F194" t="str">
        <f t="shared" ref="F194:F228" si="48">IF(ISNUMBER(SEARCH("Code",A:A)),"",IF(LEN(A194)=4,A194,""))</f>
        <v/>
      </c>
      <c r="G194" t="str">
        <f t="shared" si="41"/>
        <v/>
      </c>
      <c r="H194" t="str">
        <f t="shared" ref="H194:H228" si="49">IF(LEN(A194)=5,A194,"")</f>
        <v/>
      </c>
      <c r="I194" s="157" t="str">
        <f t="shared" ref="I194:I228" si="50">CONCATENATE(F:F,G:G,H:H)</f>
        <v/>
      </c>
      <c r="J194" s="157"/>
      <c r="K194" s="157" t="str">
        <f t="shared" ref="K194:K228" si="51">IF(LEN(CONCATENATE(B:B,D:D))&gt;4,CONCATENATE(B:B,D:D),"")</f>
        <v/>
      </c>
      <c r="L194" s="157" t="str">
        <f t="shared" ref="L194:L228" si="52">IF(LEN(CONCATENATE(B:B,E:E))&gt;4,CONCATENATE(B:B,E:E),"")</f>
        <v/>
      </c>
      <c r="M194" s="157"/>
      <c r="N194" s="157" t="str">
        <f t="shared" ref="N194:N228" si="53">IF(LEN(CONCATENATE(B:B,I:I))&gt;4,CONCATENATE(B:B,I:I),"")</f>
        <v/>
      </c>
      <c r="O194" s="174" t="str">
        <f>Table132[[#This Row],[Combined List]]</f>
        <v/>
      </c>
      <c r="P194" s="157">
        <v>190</v>
      </c>
      <c r="Q194" s="174" t="str">
        <f t="shared" si="42"/>
        <v/>
      </c>
      <c r="R194" s="174" t="str">
        <f t="shared" si="43"/>
        <v/>
      </c>
      <c r="S194" s="174" t="str">
        <f t="shared" si="44"/>
        <v/>
      </c>
      <c r="T194" s="174" t="str">
        <f t="shared" si="45"/>
        <v/>
      </c>
      <c r="U194" s="174" t="str">
        <f t="shared" si="45"/>
        <v/>
      </c>
      <c r="V194" s="174" t="str">
        <f t="shared" si="45"/>
        <v/>
      </c>
      <c r="W194" s="174" t="str">
        <f>_xlfn.IFNA(VLOOKUP(T:T,'Example Logframe'!$B:$G,6,FALSE),"")</f>
        <v/>
      </c>
      <c r="X194" s="174" t="str">
        <f>_xlfn.IFNA(VLOOKUP(U:U,'Example Logframe'!$B:$G,6,FALSE),"")</f>
        <v/>
      </c>
      <c r="Y194" s="174" t="str">
        <f>_xlfn.IFNA(VLOOKUP(V:V,'Example Logframe'!$B:$G,6,FALSE),"")</f>
        <v/>
      </c>
      <c r="Z194">
        <v>190</v>
      </c>
      <c r="AD194" t="str">
        <f t="shared" si="47"/>
        <v/>
      </c>
      <c r="AE194" t="str">
        <f t="shared" si="47"/>
        <v/>
      </c>
      <c r="AF194" t="str">
        <f t="shared" si="46"/>
        <v/>
      </c>
    </row>
    <row r="195" spans="1:32" x14ac:dyDescent="0.35">
      <c r="A195">
        <f>INDEX('Example Logframe'!F:F,199,1)</f>
        <v>0</v>
      </c>
      <c r="B195" s="110">
        <v>2.15</v>
      </c>
      <c r="C195" s="321">
        <f>INDEX('Example Logframe'!B:B,199,1)</f>
        <v>0</v>
      </c>
      <c r="D195" t="str">
        <f t="shared" ref="D195:D228" si="54">IF(LEFT(A195,1)="B",A195,"")</f>
        <v/>
      </c>
      <c r="E195" t="str">
        <f t="shared" ref="E195:E228" si="55">IF(LEN(IF(LEFT(A195,1)="P",A195,""))=7,IF(LEFT(A195,1)="P",A195,""),"")</f>
        <v/>
      </c>
      <c r="F195" t="str">
        <f t="shared" si="48"/>
        <v/>
      </c>
      <c r="G195" t="str">
        <f t="shared" ref="G195:G228" si="56">IF(LEN(A195)=3,A195,"")</f>
        <v/>
      </c>
      <c r="H195" t="str">
        <f t="shared" si="49"/>
        <v/>
      </c>
      <c r="I195" s="157" t="str">
        <f t="shared" si="50"/>
        <v/>
      </c>
      <c r="J195" s="157"/>
      <c r="K195" s="157" t="str">
        <f t="shared" si="51"/>
        <v/>
      </c>
      <c r="L195" s="157" t="str">
        <f t="shared" si="52"/>
        <v/>
      </c>
      <c r="M195" s="157"/>
      <c r="N195" s="157" t="str">
        <f t="shared" si="53"/>
        <v/>
      </c>
      <c r="O195" s="174" t="str">
        <f>Table132[[#This Row],[Combined List]]</f>
        <v/>
      </c>
      <c r="P195" s="157">
        <v>191</v>
      </c>
      <c r="Q195" s="174" t="str">
        <f t="shared" si="42"/>
        <v/>
      </c>
      <c r="R195" s="174" t="str">
        <f t="shared" si="43"/>
        <v/>
      </c>
      <c r="S195" s="174" t="str">
        <f t="shared" si="44"/>
        <v/>
      </c>
      <c r="T195" s="174" t="str">
        <f t="shared" si="45"/>
        <v/>
      </c>
      <c r="U195" s="174" t="str">
        <f t="shared" si="45"/>
        <v/>
      </c>
      <c r="V195" s="174" t="str">
        <f t="shared" si="45"/>
        <v/>
      </c>
      <c r="W195" s="174" t="str">
        <f>_xlfn.IFNA(VLOOKUP(T:T,'Example Logframe'!$B:$G,6,FALSE),"")</f>
        <v/>
      </c>
      <c r="X195" s="174" t="str">
        <f>_xlfn.IFNA(VLOOKUP(U:U,'Example Logframe'!$B:$G,6,FALSE),"")</f>
        <v/>
      </c>
      <c r="Y195" s="174" t="str">
        <f>_xlfn.IFNA(VLOOKUP(V:V,'Example Logframe'!$B:$G,6,FALSE),"")</f>
        <v/>
      </c>
      <c r="Z195">
        <v>191</v>
      </c>
      <c r="AD195" t="str">
        <f t="shared" si="47"/>
        <v/>
      </c>
      <c r="AE195" t="str">
        <f t="shared" si="47"/>
        <v/>
      </c>
      <c r="AF195" t="str">
        <f t="shared" si="46"/>
        <v/>
      </c>
    </row>
    <row r="196" spans="1:32" x14ac:dyDescent="0.35">
      <c r="A196" s="5">
        <f>INDEX('Example Logframe'!F:F,200,1)</f>
        <v>0</v>
      </c>
      <c r="B196" s="110">
        <v>2.16</v>
      </c>
      <c r="C196" s="322">
        <f>INDEX('Example Logframe'!B:B,200,1)</f>
        <v>0</v>
      </c>
      <c r="D196" t="str">
        <f t="shared" si="54"/>
        <v/>
      </c>
      <c r="E196" t="str">
        <f t="shared" si="55"/>
        <v/>
      </c>
      <c r="F196" t="str">
        <f t="shared" si="48"/>
        <v/>
      </c>
      <c r="G196" t="str">
        <f t="shared" si="56"/>
        <v/>
      </c>
      <c r="H196" t="str">
        <f t="shared" si="49"/>
        <v/>
      </c>
      <c r="I196" s="157" t="str">
        <f t="shared" si="50"/>
        <v/>
      </c>
      <c r="J196" s="157"/>
      <c r="K196" s="157" t="str">
        <f t="shared" si="51"/>
        <v/>
      </c>
      <c r="L196" s="157" t="str">
        <f t="shared" si="52"/>
        <v/>
      </c>
      <c r="M196" s="157"/>
      <c r="N196" s="157" t="str">
        <f t="shared" si="53"/>
        <v/>
      </c>
      <c r="O196" s="174" t="str">
        <f>Table132[[#This Row],[Combined List]]</f>
        <v/>
      </c>
      <c r="P196" s="157">
        <v>192</v>
      </c>
      <c r="Q196" s="174" t="str">
        <f t="shared" si="42"/>
        <v/>
      </c>
      <c r="R196" s="174" t="str">
        <f t="shared" si="43"/>
        <v/>
      </c>
      <c r="S196" s="174" t="str">
        <f t="shared" si="44"/>
        <v/>
      </c>
      <c r="T196" s="174" t="str">
        <f t="shared" si="45"/>
        <v/>
      </c>
      <c r="U196" s="174" t="str">
        <f t="shared" si="45"/>
        <v/>
      </c>
      <c r="V196" s="174" t="str">
        <f t="shared" si="45"/>
        <v/>
      </c>
      <c r="W196" s="174" t="str">
        <f>_xlfn.IFNA(VLOOKUP(T:T,'Example Logframe'!$B:$G,6,FALSE),"")</f>
        <v/>
      </c>
      <c r="X196" s="174" t="str">
        <f>_xlfn.IFNA(VLOOKUP(U:U,'Example Logframe'!$B:$G,6,FALSE),"")</f>
        <v/>
      </c>
      <c r="Y196" s="174" t="str">
        <f>_xlfn.IFNA(VLOOKUP(V:V,'Example Logframe'!$B:$G,6,FALSE),"")</f>
        <v/>
      </c>
      <c r="Z196">
        <v>192</v>
      </c>
      <c r="AD196" t="str">
        <f t="shared" si="47"/>
        <v/>
      </c>
      <c r="AE196" t="str">
        <f t="shared" si="47"/>
        <v/>
      </c>
      <c r="AF196" t="str">
        <f t="shared" si="46"/>
        <v/>
      </c>
    </row>
    <row r="197" spans="1:32" x14ac:dyDescent="0.35">
      <c r="A197">
        <f>INDEX('Example Logframe'!F:F,201,1)</f>
        <v>0</v>
      </c>
      <c r="B197" s="110">
        <v>2.17</v>
      </c>
      <c r="C197" s="321">
        <f>INDEX('Example Logframe'!B:B,201,1)</f>
        <v>0</v>
      </c>
      <c r="D197" t="str">
        <f t="shared" si="54"/>
        <v/>
      </c>
      <c r="E197" t="str">
        <f t="shared" si="55"/>
        <v/>
      </c>
      <c r="F197" t="str">
        <f t="shared" si="48"/>
        <v/>
      </c>
      <c r="G197" t="str">
        <f t="shared" si="56"/>
        <v/>
      </c>
      <c r="H197" t="str">
        <f t="shared" si="49"/>
        <v/>
      </c>
      <c r="I197" s="157" t="str">
        <f t="shared" si="50"/>
        <v/>
      </c>
      <c r="J197" s="157"/>
      <c r="K197" s="157" t="str">
        <f t="shared" si="51"/>
        <v/>
      </c>
      <c r="L197" s="157" t="str">
        <f t="shared" si="52"/>
        <v/>
      </c>
      <c r="M197" s="157"/>
      <c r="N197" s="157" t="str">
        <f t="shared" si="53"/>
        <v/>
      </c>
      <c r="O197" s="174" t="str">
        <f>Table132[[#This Row],[Combined List]]</f>
        <v/>
      </c>
      <c r="P197" s="157">
        <v>193</v>
      </c>
      <c r="Q197" s="174" t="str">
        <f t="shared" si="42"/>
        <v/>
      </c>
      <c r="R197" s="174" t="str">
        <f t="shared" si="43"/>
        <v/>
      </c>
      <c r="S197" s="174" t="str">
        <f t="shared" si="44"/>
        <v/>
      </c>
      <c r="T197" s="174" t="str">
        <f t="shared" si="45"/>
        <v/>
      </c>
      <c r="U197" s="174" t="str">
        <f t="shared" si="45"/>
        <v/>
      </c>
      <c r="V197" s="174" t="str">
        <f t="shared" ref="V197:V228" si="57">_xlfn.IFNA(VLOOKUP(S:S,$B:$C,2,FALSE),"")</f>
        <v/>
      </c>
      <c r="W197" s="174" t="str">
        <f>_xlfn.IFNA(VLOOKUP(T:T,'Example Logframe'!$B:$G,6,FALSE),"")</f>
        <v/>
      </c>
      <c r="X197" s="174" t="str">
        <f>_xlfn.IFNA(VLOOKUP(U:U,'Example Logframe'!$B:$G,6,FALSE),"")</f>
        <v/>
      </c>
      <c r="Y197" s="174" t="str">
        <f>_xlfn.IFNA(VLOOKUP(V:V,'Example Logframe'!$B:$G,6,FALSE),"")</f>
        <v/>
      </c>
      <c r="Z197">
        <v>193</v>
      </c>
      <c r="AD197" t="str">
        <f t="shared" si="47"/>
        <v/>
      </c>
      <c r="AE197" t="str">
        <f t="shared" si="47"/>
        <v/>
      </c>
      <c r="AF197" t="str">
        <f t="shared" si="46"/>
        <v/>
      </c>
    </row>
    <row r="198" spans="1:32" x14ac:dyDescent="0.35">
      <c r="A198">
        <f>INDEX('Example Logframe'!F:F,202,1)</f>
        <v>0</v>
      </c>
      <c r="B198" s="110">
        <v>2.1800000000000002</v>
      </c>
      <c r="C198" s="321">
        <f>INDEX('Example Logframe'!B:B,202,1)</f>
        <v>0</v>
      </c>
      <c r="D198" t="str">
        <f t="shared" si="54"/>
        <v/>
      </c>
      <c r="E198" t="str">
        <f t="shared" si="55"/>
        <v/>
      </c>
      <c r="F198" t="str">
        <f t="shared" si="48"/>
        <v/>
      </c>
      <c r="G198" t="str">
        <f t="shared" si="56"/>
        <v/>
      </c>
      <c r="H198" t="str">
        <f t="shared" si="49"/>
        <v/>
      </c>
      <c r="I198" s="157" t="str">
        <f t="shared" si="50"/>
        <v/>
      </c>
      <c r="J198" s="157"/>
      <c r="K198" s="157" t="str">
        <f t="shared" si="51"/>
        <v/>
      </c>
      <c r="L198" s="157" t="str">
        <f t="shared" si="52"/>
        <v/>
      </c>
      <c r="M198" s="157"/>
      <c r="N198" s="157" t="str">
        <f t="shared" si="53"/>
        <v/>
      </c>
      <c r="O198" s="174" t="str">
        <f>Table132[[#This Row],[Combined List]]</f>
        <v/>
      </c>
      <c r="P198" s="157">
        <v>194</v>
      </c>
      <c r="Q198" s="174" t="str">
        <f t="shared" ref="Q198:Q228" si="58">IFERROR(VALUE(LEFT(AA:AA,4)),"")</f>
        <v/>
      </c>
      <c r="R198" s="174" t="str">
        <f t="shared" ref="R198:R228" si="59">IFERROR(VALUE(LEFT(AB:AB,4)),"")</f>
        <v/>
      </c>
      <c r="S198" s="174" t="str">
        <f t="shared" ref="S198:S228" si="60">IFERROR(VALUE(LEFT(AC:AC,4)),"")</f>
        <v/>
      </c>
      <c r="T198" s="174" t="str">
        <f t="shared" ref="T198:U228" si="61">_xlfn.IFNA(VLOOKUP(Q:Q,$B:$C,2,FALSE),"")</f>
        <v/>
      </c>
      <c r="U198" s="174" t="str">
        <f t="shared" si="61"/>
        <v/>
      </c>
      <c r="V198" s="174" t="str">
        <f t="shared" si="57"/>
        <v/>
      </c>
      <c r="W198" s="174" t="str">
        <f>_xlfn.IFNA(VLOOKUP(T:T,'Example Logframe'!$B:$G,6,FALSE),"")</f>
        <v/>
      </c>
      <c r="X198" s="174" t="str">
        <f>_xlfn.IFNA(VLOOKUP(U:U,'Example Logframe'!$B:$G,6,FALSE),"")</f>
        <v/>
      </c>
      <c r="Y198" s="174" t="str">
        <f>_xlfn.IFNA(VLOOKUP(V:V,'Example Logframe'!$B:$G,6,FALSE),"")</f>
        <v/>
      </c>
      <c r="Z198">
        <v>194</v>
      </c>
      <c r="AD198" t="str">
        <f t="shared" si="47"/>
        <v/>
      </c>
      <c r="AE198" t="str">
        <f t="shared" si="47"/>
        <v/>
      </c>
      <c r="AF198" t="str">
        <f t="shared" ref="AF198:AF228" si="62">_xlfn.IFNA(VLOOKUP(AC:AC,N:O,2,FALSE),"")</f>
        <v/>
      </c>
    </row>
    <row r="199" spans="1:32" x14ac:dyDescent="0.35">
      <c r="A199">
        <f>INDEX('Example Logframe'!F:F,203,1)</f>
        <v>0</v>
      </c>
      <c r="B199" s="110">
        <v>2.19</v>
      </c>
      <c r="C199" s="321">
        <f>INDEX('Example Logframe'!B:B,203,1)</f>
        <v>0</v>
      </c>
      <c r="D199" t="str">
        <f t="shared" si="54"/>
        <v/>
      </c>
      <c r="E199" t="str">
        <f t="shared" si="55"/>
        <v/>
      </c>
      <c r="F199" t="str">
        <f t="shared" si="48"/>
        <v/>
      </c>
      <c r="G199" t="str">
        <f t="shared" si="56"/>
        <v/>
      </c>
      <c r="H199" t="str">
        <f t="shared" si="49"/>
        <v/>
      </c>
      <c r="I199" s="157" t="str">
        <f t="shared" si="50"/>
        <v/>
      </c>
      <c r="J199" s="157"/>
      <c r="K199" s="157" t="str">
        <f t="shared" si="51"/>
        <v/>
      </c>
      <c r="L199" s="157" t="str">
        <f t="shared" si="52"/>
        <v/>
      </c>
      <c r="M199" s="157"/>
      <c r="N199" s="157" t="str">
        <f t="shared" si="53"/>
        <v/>
      </c>
      <c r="O199" s="174" t="str">
        <f>Table132[[#This Row],[Combined List]]</f>
        <v/>
      </c>
      <c r="P199" s="157">
        <v>195</v>
      </c>
      <c r="Q199" s="174" t="str">
        <f t="shared" si="58"/>
        <v/>
      </c>
      <c r="R199" s="174" t="str">
        <f t="shared" si="59"/>
        <v/>
      </c>
      <c r="S199" s="174" t="str">
        <f t="shared" si="60"/>
        <v/>
      </c>
      <c r="T199" s="174" t="str">
        <f t="shared" si="61"/>
        <v/>
      </c>
      <c r="U199" s="174" t="str">
        <f t="shared" si="61"/>
        <v/>
      </c>
      <c r="V199" s="174" t="str">
        <f t="shared" si="57"/>
        <v/>
      </c>
      <c r="W199" s="174" t="str">
        <f>_xlfn.IFNA(VLOOKUP(T:T,'Example Logframe'!$B:$G,6,FALSE),"")</f>
        <v/>
      </c>
      <c r="X199" s="174" t="str">
        <f>_xlfn.IFNA(VLOOKUP(U:U,'Example Logframe'!$B:$G,6,FALSE),"")</f>
        <v/>
      </c>
      <c r="Y199" s="174" t="str">
        <f>_xlfn.IFNA(VLOOKUP(V:V,'Example Logframe'!$B:$G,6,FALSE),"")</f>
        <v/>
      </c>
      <c r="Z199">
        <v>195</v>
      </c>
      <c r="AD199" t="str">
        <f t="shared" si="47"/>
        <v/>
      </c>
      <c r="AE199" t="str">
        <f t="shared" si="47"/>
        <v/>
      </c>
      <c r="AF199" t="str">
        <f t="shared" si="62"/>
        <v/>
      </c>
    </row>
    <row r="200" spans="1:32" x14ac:dyDescent="0.35">
      <c r="A200">
        <f>INDEX('Example Logframe'!F:F,204,1)</f>
        <v>0</v>
      </c>
      <c r="B200" s="110">
        <v>2.21</v>
      </c>
      <c r="C200" s="321">
        <f>INDEX('Example Logframe'!B:B,204,1)</f>
        <v>0</v>
      </c>
      <c r="D200" t="str">
        <f t="shared" si="54"/>
        <v/>
      </c>
      <c r="E200" t="str">
        <f t="shared" si="55"/>
        <v/>
      </c>
      <c r="F200" t="str">
        <f t="shared" si="48"/>
        <v/>
      </c>
      <c r="G200" t="str">
        <f t="shared" si="56"/>
        <v/>
      </c>
      <c r="H200" t="str">
        <f t="shared" si="49"/>
        <v/>
      </c>
      <c r="I200" s="157" t="str">
        <f t="shared" si="50"/>
        <v/>
      </c>
      <c r="J200" s="157"/>
      <c r="K200" s="157" t="str">
        <f t="shared" si="51"/>
        <v/>
      </c>
      <c r="L200" s="157" t="str">
        <f t="shared" si="52"/>
        <v/>
      </c>
      <c r="M200" s="157"/>
      <c r="N200" s="157" t="str">
        <f t="shared" si="53"/>
        <v/>
      </c>
      <c r="O200" s="174" t="str">
        <f>Table132[[#This Row],[Combined List]]</f>
        <v/>
      </c>
      <c r="P200" s="157">
        <v>196</v>
      </c>
      <c r="Q200" s="174" t="str">
        <f t="shared" si="58"/>
        <v/>
      </c>
      <c r="R200" s="174" t="str">
        <f t="shared" si="59"/>
        <v/>
      </c>
      <c r="S200" s="174" t="str">
        <f t="shared" si="60"/>
        <v/>
      </c>
      <c r="T200" s="174" t="str">
        <f t="shared" si="61"/>
        <v/>
      </c>
      <c r="U200" s="174" t="str">
        <f t="shared" si="61"/>
        <v/>
      </c>
      <c r="V200" s="174" t="str">
        <f t="shared" si="57"/>
        <v/>
      </c>
      <c r="W200" s="174" t="str">
        <f>_xlfn.IFNA(VLOOKUP(T:T,'Example Logframe'!$B:$G,6,FALSE),"")</f>
        <v/>
      </c>
      <c r="X200" s="174" t="str">
        <f>_xlfn.IFNA(VLOOKUP(U:U,'Example Logframe'!$B:$G,6,FALSE),"")</f>
        <v/>
      </c>
      <c r="Y200" s="174" t="str">
        <f>_xlfn.IFNA(VLOOKUP(V:V,'Example Logframe'!$B:$G,6,FALSE),"")</f>
        <v/>
      </c>
      <c r="Z200">
        <v>196</v>
      </c>
      <c r="AD200" t="str">
        <f t="shared" si="47"/>
        <v/>
      </c>
      <c r="AE200" t="str">
        <f t="shared" si="47"/>
        <v/>
      </c>
      <c r="AF200" t="str">
        <f t="shared" si="62"/>
        <v/>
      </c>
    </row>
    <row r="201" spans="1:32" x14ac:dyDescent="0.35">
      <c r="A201">
        <f>INDEX('Example Logframe'!F:F,205,1)</f>
        <v>0</v>
      </c>
      <c r="B201" s="110">
        <v>2.2200000000000002</v>
      </c>
      <c r="C201" s="321">
        <f>INDEX('Example Logframe'!B:B,205,1)</f>
        <v>0</v>
      </c>
      <c r="D201" t="str">
        <f t="shared" si="54"/>
        <v/>
      </c>
      <c r="E201" t="str">
        <f t="shared" si="55"/>
        <v/>
      </c>
      <c r="F201" t="str">
        <f t="shared" si="48"/>
        <v/>
      </c>
      <c r="G201" t="str">
        <f t="shared" si="56"/>
        <v/>
      </c>
      <c r="H201" t="str">
        <f t="shared" si="49"/>
        <v/>
      </c>
      <c r="I201" s="157" t="str">
        <f t="shared" si="50"/>
        <v/>
      </c>
      <c r="J201" s="157"/>
      <c r="K201" s="157" t="str">
        <f t="shared" si="51"/>
        <v/>
      </c>
      <c r="L201" s="157" t="str">
        <f t="shared" si="52"/>
        <v/>
      </c>
      <c r="M201" s="157"/>
      <c r="N201" s="157" t="str">
        <f t="shared" si="53"/>
        <v/>
      </c>
      <c r="O201" s="174" t="str">
        <f>Table132[[#This Row],[Combined List]]</f>
        <v/>
      </c>
      <c r="P201" s="157">
        <v>197</v>
      </c>
      <c r="Q201" s="174" t="str">
        <f t="shared" si="58"/>
        <v/>
      </c>
      <c r="R201" s="174" t="str">
        <f t="shared" si="59"/>
        <v/>
      </c>
      <c r="S201" s="174" t="str">
        <f t="shared" si="60"/>
        <v/>
      </c>
      <c r="T201" s="174" t="str">
        <f t="shared" si="61"/>
        <v/>
      </c>
      <c r="U201" s="174" t="str">
        <f t="shared" si="61"/>
        <v/>
      </c>
      <c r="V201" s="174" t="str">
        <f t="shared" si="57"/>
        <v/>
      </c>
      <c r="W201" s="174" t="str">
        <f>_xlfn.IFNA(VLOOKUP(T:T,'Example Logframe'!$B:$G,6,FALSE),"")</f>
        <v/>
      </c>
      <c r="X201" s="174" t="str">
        <f>_xlfn.IFNA(VLOOKUP(U:U,'Example Logframe'!$B:$G,6,FALSE),"")</f>
        <v/>
      </c>
      <c r="Y201" s="174" t="str">
        <f>_xlfn.IFNA(VLOOKUP(V:V,'Example Logframe'!$B:$G,6,FALSE),"")</f>
        <v/>
      </c>
      <c r="Z201">
        <v>197</v>
      </c>
      <c r="AD201" t="str">
        <f t="shared" si="47"/>
        <v/>
      </c>
      <c r="AE201" t="str">
        <f t="shared" si="47"/>
        <v/>
      </c>
      <c r="AF201" t="str">
        <f t="shared" si="62"/>
        <v/>
      </c>
    </row>
    <row r="202" spans="1:32" x14ac:dyDescent="0.35">
      <c r="A202">
        <f>INDEX('Example Logframe'!F:F,206,1)</f>
        <v>0</v>
      </c>
      <c r="B202" s="110">
        <v>2.23</v>
      </c>
      <c r="C202" s="321">
        <f>INDEX('Example Logframe'!B:B,206,1)</f>
        <v>0</v>
      </c>
      <c r="D202" t="str">
        <f t="shared" si="54"/>
        <v/>
      </c>
      <c r="E202" t="str">
        <f t="shared" si="55"/>
        <v/>
      </c>
      <c r="F202" t="str">
        <f t="shared" si="48"/>
        <v/>
      </c>
      <c r="G202" t="str">
        <f t="shared" si="56"/>
        <v/>
      </c>
      <c r="H202" t="str">
        <f t="shared" si="49"/>
        <v/>
      </c>
      <c r="I202" s="157" t="str">
        <f t="shared" si="50"/>
        <v/>
      </c>
      <c r="J202" s="157"/>
      <c r="K202" s="157" t="str">
        <f t="shared" si="51"/>
        <v/>
      </c>
      <c r="L202" s="157" t="str">
        <f t="shared" si="52"/>
        <v/>
      </c>
      <c r="M202" s="157"/>
      <c r="N202" s="157" t="str">
        <f t="shared" si="53"/>
        <v/>
      </c>
      <c r="O202" s="174" t="str">
        <f>Table132[[#This Row],[Combined List]]</f>
        <v/>
      </c>
      <c r="P202" s="157">
        <v>198</v>
      </c>
      <c r="Q202" s="174" t="str">
        <f t="shared" si="58"/>
        <v/>
      </c>
      <c r="R202" s="174" t="str">
        <f t="shared" si="59"/>
        <v/>
      </c>
      <c r="S202" s="174" t="str">
        <f t="shared" si="60"/>
        <v/>
      </c>
      <c r="T202" s="174" t="str">
        <f t="shared" si="61"/>
        <v/>
      </c>
      <c r="U202" s="174" t="str">
        <f t="shared" si="61"/>
        <v/>
      </c>
      <c r="V202" s="174" t="str">
        <f t="shared" si="57"/>
        <v/>
      </c>
      <c r="W202" s="174" t="str">
        <f>_xlfn.IFNA(VLOOKUP(T:T,'Example Logframe'!$B:$G,6,FALSE),"")</f>
        <v/>
      </c>
      <c r="X202" s="174" t="str">
        <f>_xlfn.IFNA(VLOOKUP(U:U,'Example Logframe'!$B:$G,6,FALSE),"")</f>
        <v/>
      </c>
      <c r="Y202" s="174" t="str">
        <f>_xlfn.IFNA(VLOOKUP(V:V,'Example Logframe'!$B:$G,6,FALSE),"")</f>
        <v/>
      </c>
      <c r="Z202">
        <v>198</v>
      </c>
      <c r="AD202" t="str">
        <f t="shared" si="47"/>
        <v/>
      </c>
      <c r="AE202" t="str">
        <f t="shared" si="47"/>
        <v/>
      </c>
      <c r="AF202" t="str">
        <f t="shared" si="62"/>
        <v/>
      </c>
    </row>
    <row r="203" spans="1:32" x14ac:dyDescent="0.35">
      <c r="A203">
        <f>INDEX('Example Logframe'!F:F,207,1)</f>
        <v>0</v>
      </c>
      <c r="B203" s="110">
        <v>2.2400000000000002</v>
      </c>
      <c r="C203" s="321">
        <f>INDEX('Example Logframe'!B:B,207,1)</f>
        <v>0</v>
      </c>
      <c r="D203" t="str">
        <f t="shared" si="54"/>
        <v/>
      </c>
      <c r="E203" t="str">
        <f t="shared" si="55"/>
        <v/>
      </c>
      <c r="F203" t="str">
        <f t="shared" si="48"/>
        <v/>
      </c>
      <c r="G203" t="str">
        <f t="shared" si="56"/>
        <v/>
      </c>
      <c r="H203" t="str">
        <f t="shared" si="49"/>
        <v/>
      </c>
      <c r="I203" s="157" t="str">
        <f t="shared" si="50"/>
        <v/>
      </c>
      <c r="J203" s="157"/>
      <c r="K203" s="157" t="str">
        <f t="shared" si="51"/>
        <v/>
      </c>
      <c r="L203" s="157" t="str">
        <f t="shared" si="52"/>
        <v/>
      </c>
      <c r="M203" s="157"/>
      <c r="N203" s="157" t="str">
        <f t="shared" si="53"/>
        <v/>
      </c>
      <c r="O203" s="174" t="str">
        <f>Table132[[#This Row],[Combined List]]</f>
        <v/>
      </c>
      <c r="P203" s="157">
        <v>199</v>
      </c>
      <c r="Q203" s="174" t="str">
        <f t="shared" si="58"/>
        <v/>
      </c>
      <c r="R203" s="174" t="str">
        <f t="shared" si="59"/>
        <v/>
      </c>
      <c r="S203" s="174" t="str">
        <f t="shared" si="60"/>
        <v/>
      </c>
      <c r="T203" s="174" t="str">
        <f t="shared" si="61"/>
        <v/>
      </c>
      <c r="U203" s="174" t="str">
        <f t="shared" si="61"/>
        <v/>
      </c>
      <c r="V203" s="174" t="str">
        <f t="shared" si="57"/>
        <v/>
      </c>
      <c r="W203" s="174" t="str">
        <f>_xlfn.IFNA(VLOOKUP(T:T,'Example Logframe'!$B:$G,6,FALSE),"")</f>
        <v/>
      </c>
      <c r="X203" s="174" t="str">
        <f>_xlfn.IFNA(VLOOKUP(U:U,'Example Logframe'!$B:$G,6,FALSE),"")</f>
        <v/>
      </c>
      <c r="Y203" s="174" t="str">
        <f>_xlfn.IFNA(VLOOKUP(V:V,'Example Logframe'!$B:$G,6,FALSE),"")</f>
        <v/>
      </c>
      <c r="Z203">
        <v>199</v>
      </c>
      <c r="AD203" t="str">
        <f t="shared" si="47"/>
        <v/>
      </c>
      <c r="AE203" t="str">
        <f t="shared" si="47"/>
        <v/>
      </c>
      <c r="AF203" t="str">
        <f t="shared" si="62"/>
        <v/>
      </c>
    </row>
    <row r="204" spans="1:32" x14ac:dyDescent="0.35">
      <c r="A204">
        <f>INDEX('Example Logframe'!F:F,208,1)</f>
        <v>0</v>
      </c>
      <c r="B204" s="110">
        <v>2.25</v>
      </c>
      <c r="C204" s="321">
        <f>INDEX('Example Logframe'!B:B,208,1)</f>
        <v>0</v>
      </c>
      <c r="D204" t="str">
        <f t="shared" si="54"/>
        <v/>
      </c>
      <c r="E204" t="str">
        <f t="shared" si="55"/>
        <v/>
      </c>
      <c r="F204" t="str">
        <f t="shared" si="48"/>
        <v/>
      </c>
      <c r="G204" t="str">
        <f t="shared" si="56"/>
        <v/>
      </c>
      <c r="H204" t="str">
        <f t="shared" si="49"/>
        <v/>
      </c>
      <c r="I204" s="157" t="str">
        <f t="shared" si="50"/>
        <v/>
      </c>
      <c r="J204" s="157"/>
      <c r="K204" s="157" t="str">
        <f t="shared" si="51"/>
        <v/>
      </c>
      <c r="L204" s="157" t="str">
        <f t="shared" si="52"/>
        <v/>
      </c>
      <c r="M204" s="157"/>
      <c r="N204" s="157" t="str">
        <f t="shared" si="53"/>
        <v/>
      </c>
      <c r="O204" s="174" t="str">
        <f>Table132[[#This Row],[Combined List]]</f>
        <v/>
      </c>
      <c r="P204" s="157">
        <v>200</v>
      </c>
      <c r="Q204" s="174" t="str">
        <f t="shared" si="58"/>
        <v/>
      </c>
      <c r="R204" s="174" t="str">
        <f t="shared" si="59"/>
        <v/>
      </c>
      <c r="S204" s="174" t="str">
        <f t="shared" si="60"/>
        <v/>
      </c>
      <c r="T204" s="174" t="str">
        <f t="shared" si="61"/>
        <v/>
      </c>
      <c r="U204" s="174" t="str">
        <f t="shared" si="61"/>
        <v/>
      </c>
      <c r="V204" s="174" t="str">
        <f t="shared" si="57"/>
        <v/>
      </c>
      <c r="W204" s="174" t="str">
        <f>_xlfn.IFNA(VLOOKUP(T:T,'Example Logframe'!$B:$G,6,FALSE),"")</f>
        <v/>
      </c>
      <c r="X204" s="174" t="str">
        <f>_xlfn.IFNA(VLOOKUP(U:U,'Example Logframe'!$B:$G,6,FALSE),"")</f>
        <v/>
      </c>
      <c r="Y204" s="174" t="str">
        <f>_xlfn.IFNA(VLOOKUP(V:V,'Example Logframe'!$B:$G,6,FALSE),"")</f>
        <v/>
      </c>
      <c r="Z204">
        <v>200</v>
      </c>
      <c r="AD204" t="str">
        <f t="shared" si="47"/>
        <v/>
      </c>
      <c r="AE204" t="str">
        <f t="shared" si="47"/>
        <v/>
      </c>
      <c r="AF204" t="str">
        <f t="shared" si="62"/>
        <v/>
      </c>
    </row>
    <row r="205" spans="1:32" x14ac:dyDescent="0.35">
      <c r="A205">
        <f>INDEX('Example Logframe'!F:F,209,1)</f>
        <v>0</v>
      </c>
      <c r="B205" s="110">
        <v>2.2599999999999998</v>
      </c>
      <c r="C205" s="321">
        <f>INDEX('Example Logframe'!B:B,209,1)</f>
        <v>0</v>
      </c>
      <c r="D205" t="str">
        <f t="shared" si="54"/>
        <v/>
      </c>
      <c r="E205" t="str">
        <f t="shared" si="55"/>
        <v/>
      </c>
      <c r="F205" t="str">
        <f t="shared" si="48"/>
        <v/>
      </c>
      <c r="G205" t="str">
        <f t="shared" si="56"/>
        <v/>
      </c>
      <c r="H205" t="str">
        <f t="shared" si="49"/>
        <v/>
      </c>
      <c r="I205" s="157" t="str">
        <f t="shared" si="50"/>
        <v/>
      </c>
      <c r="J205" s="157"/>
      <c r="K205" s="157" t="str">
        <f t="shared" si="51"/>
        <v/>
      </c>
      <c r="L205" s="157" t="str">
        <f t="shared" si="52"/>
        <v/>
      </c>
      <c r="M205" s="157"/>
      <c r="N205" s="157" t="str">
        <f t="shared" si="53"/>
        <v/>
      </c>
      <c r="O205" s="174" t="str">
        <f>Table132[[#This Row],[Combined List]]</f>
        <v/>
      </c>
      <c r="P205" s="157">
        <v>201</v>
      </c>
      <c r="Q205" s="174" t="str">
        <f t="shared" si="58"/>
        <v/>
      </c>
      <c r="R205" s="174" t="str">
        <f t="shared" si="59"/>
        <v/>
      </c>
      <c r="S205" s="174" t="str">
        <f t="shared" si="60"/>
        <v/>
      </c>
      <c r="T205" s="174" t="str">
        <f t="shared" si="61"/>
        <v/>
      </c>
      <c r="U205" s="174" t="str">
        <f t="shared" si="61"/>
        <v/>
      </c>
      <c r="V205" s="174" t="str">
        <f t="shared" si="57"/>
        <v/>
      </c>
      <c r="W205" s="174" t="str">
        <f>_xlfn.IFNA(VLOOKUP(T:T,'Example Logframe'!$B:$G,6,FALSE),"")</f>
        <v/>
      </c>
      <c r="X205" s="174" t="str">
        <f>_xlfn.IFNA(VLOOKUP(U:U,'Example Logframe'!$B:$G,6,FALSE),"")</f>
        <v/>
      </c>
      <c r="Y205" s="174" t="str">
        <f>_xlfn.IFNA(VLOOKUP(V:V,'Example Logframe'!$B:$G,6,FALSE),"")</f>
        <v/>
      </c>
      <c r="Z205">
        <v>201</v>
      </c>
      <c r="AD205" t="str">
        <f t="shared" si="47"/>
        <v/>
      </c>
      <c r="AE205" t="str">
        <f t="shared" si="47"/>
        <v/>
      </c>
      <c r="AF205" t="str">
        <f t="shared" si="62"/>
        <v/>
      </c>
    </row>
    <row r="206" spans="1:32" x14ac:dyDescent="0.35">
      <c r="A206">
        <f>INDEX('Example Logframe'!F:F,210,1)</f>
        <v>0</v>
      </c>
      <c r="B206" s="110">
        <v>2.27</v>
      </c>
      <c r="C206" s="321">
        <f>INDEX('Example Logframe'!B:B,210,1)</f>
        <v>0</v>
      </c>
      <c r="D206" t="str">
        <f t="shared" si="54"/>
        <v/>
      </c>
      <c r="E206" t="str">
        <f t="shared" si="55"/>
        <v/>
      </c>
      <c r="F206" t="str">
        <f t="shared" si="48"/>
        <v/>
      </c>
      <c r="G206" t="str">
        <f t="shared" si="56"/>
        <v/>
      </c>
      <c r="H206" t="str">
        <f t="shared" si="49"/>
        <v/>
      </c>
      <c r="I206" s="157" t="str">
        <f t="shared" si="50"/>
        <v/>
      </c>
      <c r="J206" s="157"/>
      <c r="K206" s="157" t="str">
        <f t="shared" si="51"/>
        <v/>
      </c>
      <c r="L206" s="157" t="str">
        <f t="shared" si="52"/>
        <v/>
      </c>
      <c r="M206" s="157"/>
      <c r="N206" s="157" t="str">
        <f t="shared" si="53"/>
        <v/>
      </c>
      <c r="O206" s="174" t="str">
        <f>Table132[[#This Row],[Combined List]]</f>
        <v/>
      </c>
      <c r="P206" s="157">
        <v>202</v>
      </c>
      <c r="Q206" s="174" t="str">
        <f t="shared" si="58"/>
        <v/>
      </c>
      <c r="R206" s="174" t="str">
        <f t="shared" si="59"/>
        <v/>
      </c>
      <c r="S206" s="174" t="str">
        <f t="shared" si="60"/>
        <v/>
      </c>
      <c r="T206" s="174" t="str">
        <f t="shared" si="61"/>
        <v/>
      </c>
      <c r="U206" s="174" t="str">
        <f t="shared" si="61"/>
        <v/>
      </c>
      <c r="V206" s="174" t="str">
        <f t="shared" si="57"/>
        <v/>
      </c>
      <c r="W206" s="174" t="str">
        <f>_xlfn.IFNA(VLOOKUP(T:T,'Example Logframe'!$B:$G,6,FALSE),"")</f>
        <v/>
      </c>
      <c r="X206" s="174" t="str">
        <f>_xlfn.IFNA(VLOOKUP(U:U,'Example Logframe'!$B:$G,6,FALSE),"")</f>
        <v/>
      </c>
      <c r="Y206" s="174" t="str">
        <f>_xlfn.IFNA(VLOOKUP(V:V,'Example Logframe'!$B:$G,6,FALSE),"")</f>
        <v/>
      </c>
      <c r="Z206">
        <v>202</v>
      </c>
      <c r="AD206" t="str">
        <f t="shared" si="47"/>
        <v/>
      </c>
      <c r="AE206" t="str">
        <f t="shared" si="47"/>
        <v/>
      </c>
      <c r="AF206" t="str">
        <f t="shared" si="62"/>
        <v/>
      </c>
    </row>
    <row r="207" spans="1:32" x14ac:dyDescent="0.35">
      <c r="A207">
        <f>INDEX('Example Logframe'!F:F,211,1)</f>
        <v>0</v>
      </c>
      <c r="B207" s="110">
        <v>2.2799999999999998</v>
      </c>
      <c r="C207" s="321">
        <f>INDEX('Example Logframe'!B:B,211,1)</f>
        <v>0</v>
      </c>
      <c r="D207" t="str">
        <f t="shared" si="54"/>
        <v/>
      </c>
      <c r="E207" t="str">
        <f t="shared" si="55"/>
        <v/>
      </c>
      <c r="F207" t="str">
        <f t="shared" si="48"/>
        <v/>
      </c>
      <c r="G207" t="str">
        <f t="shared" si="56"/>
        <v/>
      </c>
      <c r="H207" t="str">
        <f t="shared" si="49"/>
        <v/>
      </c>
      <c r="I207" s="157" t="str">
        <f t="shared" si="50"/>
        <v/>
      </c>
      <c r="J207" s="157"/>
      <c r="K207" s="157" t="str">
        <f t="shared" si="51"/>
        <v/>
      </c>
      <c r="L207" s="157" t="str">
        <f t="shared" si="52"/>
        <v/>
      </c>
      <c r="M207" s="157"/>
      <c r="N207" s="157" t="str">
        <f t="shared" si="53"/>
        <v/>
      </c>
      <c r="O207" s="174" t="str">
        <f>Table132[[#This Row],[Combined List]]</f>
        <v/>
      </c>
      <c r="P207" s="157">
        <v>203</v>
      </c>
      <c r="Q207" s="174" t="str">
        <f t="shared" si="58"/>
        <v/>
      </c>
      <c r="R207" s="174" t="str">
        <f t="shared" si="59"/>
        <v/>
      </c>
      <c r="S207" s="174" t="str">
        <f t="shared" si="60"/>
        <v/>
      </c>
      <c r="T207" s="174" t="str">
        <f t="shared" si="61"/>
        <v/>
      </c>
      <c r="U207" s="174" t="str">
        <f t="shared" si="61"/>
        <v/>
      </c>
      <c r="V207" s="174" t="str">
        <f t="shared" si="57"/>
        <v/>
      </c>
      <c r="W207" s="174" t="str">
        <f>_xlfn.IFNA(VLOOKUP(T:T,'Example Logframe'!$B:$G,6,FALSE),"")</f>
        <v/>
      </c>
      <c r="X207" s="174" t="str">
        <f>_xlfn.IFNA(VLOOKUP(U:U,'Example Logframe'!$B:$G,6,FALSE),"")</f>
        <v/>
      </c>
      <c r="Y207" s="174" t="str">
        <f>_xlfn.IFNA(VLOOKUP(V:V,'Example Logframe'!$B:$G,6,FALSE),"")</f>
        <v/>
      </c>
      <c r="Z207">
        <v>203</v>
      </c>
      <c r="AD207" t="str">
        <f t="shared" si="47"/>
        <v/>
      </c>
      <c r="AE207" t="str">
        <f t="shared" si="47"/>
        <v/>
      </c>
      <c r="AF207" t="str">
        <f t="shared" si="62"/>
        <v/>
      </c>
    </row>
    <row r="208" spans="1:32" x14ac:dyDescent="0.35">
      <c r="A208">
        <f>INDEX('Example Logframe'!F:F,212,1)</f>
        <v>0</v>
      </c>
      <c r="B208" s="110">
        <v>2.29</v>
      </c>
      <c r="C208" s="321">
        <f>INDEX('Example Logframe'!B:B,212,1)</f>
        <v>0</v>
      </c>
      <c r="D208" t="str">
        <f t="shared" si="54"/>
        <v/>
      </c>
      <c r="E208" t="str">
        <f t="shared" si="55"/>
        <v/>
      </c>
      <c r="F208" t="str">
        <f t="shared" si="48"/>
        <v/>
      </c>
      <c r="G208" t="str">
        <f t="shared" si="56"/>
        <v/>
      </c>
      <c r="H208" t="str">
        <f t="shared" si="49"/>
        <v/>
      </c>
      <c r="I208" s="157" t="str">
        <f t="shared" si="50"/>
        <v/>
      </c>
      <c r="J208" s="157"/>
      <c r="K208" s="157" t="str">
        <f t="shared" si="51"/>
        <v/>
      </c>
      <c r="L208" s="157" t="str">
        <f t="shared" si="52"/>
        <v/>
      </c>
      <c r="M208" s="157"/>
      <c r="N208" s="157" t="str">
        <f t="shared" si="53"/>
        <v/>
      </c>
      <c r="O208" s="174" t="str">
        <f>Table132[[#This Row],[Combined List]]</f>
        <v/>
      </c>
      <c r="P208" s="157">
        <v>204</v>
      </c>
      <c r="Q208" s="174" t="str">
        <f t="shared" si="58"/>
        <v/>
      </c>
      <c r="R208" s="174" t="str">
        <f t="shared" si="59"/>
        <v/>
      </c>
      <c r="S208" s="174" t="str">
        <f t="shared" si="60"/>
        <v/>
      </c>
      <c r="T208" s="174" t="str">
        <f t="shared" si="61"/>
        <v/>
      </c>
      <c r="U208" s="174" t="str">
        <f t="shared" si="61"/>
        <v/>
      </c>
      <c r="V208" s="174" t="str">
        <f t="shared" si="57"/>
        <v/>
      </c>
      <c r="W208" s="174" t="str">
        <f>_xlfn.IFNA(VLOOKUP(T:T,'Example Logframe'!$B:$G,6,FALSE),"")</f>
        <v/>
      </c>
      <c r="X208" s="174" t="str">
        <f>_xlfn.IFNA(VLOOKUP(U:U,'Example Logframe'!$B:$G,6,FALSE),"")</f>
        <v/>
      </c>
      <c r="Y208" s="174" t="str">
        <f>_xlfn.IFNA(VLOOKUP(V:V,'Example Logframe'!$B:$G,6,FALSE),"")</f>
        <v/>
      </c>
      <c r="Z208">
        <v>204</v>
      </c>
      <c r="AD208" t="str">
        <f t="shared" si="47"/>
        <v/>
      </c>
      <c r="AE208" t="str">
        <f t="shared" si="47"/>
        <v/>
      </c>
      <c r="AF208" t="str">
        <f t="shared" si="62"/>
        <v/>
      </c>
    </row>
    <row r="209" spans="1:32" x14ac:dyDescent="0.35">
      <c r="A209">
        <f>INDEX('Example Logframe'!F:F,213,1)</f>
        <v>0</v>
      </c>
      <c r="B209" s="110">
        <v>2.31</v>
      </c>
      <c r="C209" s="321">
        <f>INDEX('Example Logframe'!B:B,213,1)</f>
        <v>0</v>
      </c>
      <c r="D209" t="str">
        <f t="shared" si="54"/>
        <v/>
      </c>
      <c r="E209" t="str">
        <f t="shared" si="55"/>
        <v/>
      </c>
      <c r="F209" t="str">
        <f t="shared" si="48"/>
        <v/>
      </c>
      <c r="G209" t="str">
        <f t="shared" si="56"/>
        <v/>
      </c>
      <c r="H209" t="str">
        <f t="shared" si="49"/>
        <v/>
      </c>
      <c r="I209" s="157" t="str">
        <f t="shared" si="50"/>
        <v/>
      </c>
      <c r="J209" s="157"/>
      <c r="K209" s="157" t="str">
        <f t="shared" si="51"/>
        <v/>
      </c>
      <c r="L209" s="157" t="str">
        <f t="shared" si="52"/>
        <v/>
      </c>
      <c r="M209" s="157"/>
      <c r="N209" s="157" t="str">
        <f t="shared" si="53"/>
        <v/>
      </c>
      <c r="O209" s="174" t="str">
        <f>Table132[[#This Row],[Combined List]]</f>
        <v/>
      </c>
      <c r="P209" s="157">
        <v>205</v>
      </c>
      <c r="Q209" s="174" t="str">
        <f t="shared" si="58"/>
        <v/>
      </c>
      <c r="R209" s="174" t="str">
        <f t="shared" si="59"/>
        <v/>
      </c>
      <c r="S209" s="174" t="str">
        <f t="shared" si="60"/>
        <v/>
      </c>
      <c r="T209" s="174" t="str">
        <f t="shared" si="61"/>
        <v/>
      </c>
      <c r="U209" s="174" t="str">
        <f t="shared" si="61"/>
        <v/>
      </c>
      <c r="V209" s="174" t="str">
        <f t="shared" si="57"/>
        <v/>
      </c>
      <c r="W209" s="174" t="str">
        <f>_xlfn.IFNA(VLOOKUP(T:T,'Example Logframe'!$B:$G,6,FALSE),"")</f>
        <v/>
      </c>
      <c r="X209" s="174" t="str">
        <f>_xlfn.IFNA(VLOOKUP(U:U,'Example Logframe'!$B:$G,6,FALSE),"")</f>
        <v/>
      </c>
      <c r="Y209" s="174" t="str">
        <f>_xlfn.IFNA(VLOOKUP(V:V,'Example Logframe'!$B:$G,6,FALSE),"")</f>
        <v/>
      </c>
      <c r="Z209">
        <v>205</v>
      </c>
      <c r="AD209" t="str">
        <f t="shared" si="47"/>
        <v/>
      </c>
      <c r="AE209" t="str">
        <f t="shared" si="47"/>
        <v/>
      </c>
      <c r="AF209" t="str">
        <f t="shared" si="62"/>
        <v/>
      </c>
    </row>
    <row r="210" spans="1:32" x14ac:dyDescent="0.35">
      <c r="A210">
        <f>INDEX('Example Logframe'!F:F,214,1)</f>
        <v>0</v>
      </c>
      <c r="B210" s="110">
        <v>2.3199999999999998</v>
      </c>
      <c r="C210" s="321">
        <f>INDEX('Example Logframe'!B:B,214,1)</f>
        <v>0</v>
      </c>
      <c r="D210" t="str">
        <f t="shared" si="54"/>
        <v/>
      </c>
      <c r="E210" t="str">
        <f t="shared" si="55"/>
        <v/>
      </c>
      <c r="F210" t="str">
        <f t="shared" si="48"/>
        <v/>
      </c>
      <c r="G210" t="str">
        <f t="shared" si="56"/>
        <v/>
      </c>
      <c r="H210" t="str">
        <f t="shared" si="49"/>
        <v/>
      </c>
      <c r="I210" s="157" t="str">
        <f t="shared" si="50"/>
        <v/>
      </c>
      <c r="J210" s="157"/>
      <c r="K210" s="157" t="str">
        <f t="shared" si="51"/>
        <v/>
      </c>
      <c r="L210" s="157" t="str">
        <f t="shared" si="52"/>
        <v/>
      </c>
      <c r="M210" s="157"/>
      <c r="N210" s="157" t="str">
        <f t="shared" si="53"/>
        <v/>
      </c>
      <c r="O210" s="174" t="str">
        <f>Table132[[#This Row],[Combined List]]</f>
        <v/>
      </c>
      <c r="P210" s="157">
        <v>206</v>
      </c>
      <c r="Q210" s="174" t="str">
        <f t="shared" si="58"/>
        <v/>
      </c>
      <c r="R210" s="174" t="str">
        <f t="shared" si="59"/>
        <v/>
      </c>
      <c r="S210" s="174" t="str">
        <f t="shared" si="60"/>
        <v/>
      </c>
      <c r="T210" s="174" t="str">
        <f t="shared" si="61"/>
        <v/>
      </c>
      <c r="U210" s="174" t="str">
        <f t="shared" si="61"/>
        <v/>
      </c>
      <c r="V210" s="174" t="str">
        <f t="shared" si="57"/>
        <v/>
      </c>
      <c r="W210" s="174" t="str">
        <f>_xlfn.IFNA(VLOOKUP(T:T,'Example Logframe'!$B:$G,6,FALSE),"")</f>
        <v/>
      </c>
      <c r="X210" s="174" t="str">
        <f>_xlfn.IFNA(VLOOKUP(U:U,'Example Logframe'!$B:$G,6,FALSE),"")</f>
        <v/>
      </c>
      <c r="Y210" s="174" t="str">
        <f>_xlfn.IFNA(VLOOKUP(V:V,'Example Logframe'!$B:$G,6,FALSE),"")</f>
        <v/>
      </c>
      <c r="Z210">
        <v>206</v>
      </c>
      <c r="AD210" t="str">
        <f t="shared" si="47"/>
        <v/>
      </c>
      <c r="AE210" t="str">
        <f t="shared" si="47"/>
        <v/>
      </c>
      <c r="AF210" t="str">
        <f t="shared" si="62"/>
        <v/>
      </c>
    </row>
    <row r="211" spans="1:32" x14ac:dyDescent="0.35">
      <c r="A211">
        <f>INDEX('Example Logframe'!F:F,215,1)</f>
        <v>0</v>
      </c>
      <c r="B211" s="110">
        <v>2.33</v>
      </c>
      <c r="C211" s="321">
        <f>INDEX('Example Logframe'!B:B,215,1)</f>
        <v>0</v>
      </c>
      <c r="D211" t="str">
        <f t="shared" si="54"/>
        <v/>
      </c>
      <c r="E211" t="str">
        <f t="shared" si="55"/>
        <v/>
      </c>
      <c r="F211" t="str">
        <f t="shared" si="48"/>
        <v/>
      </c>
      <c r="G211" t="str">
        <f t="shared" si="56"/>
        <v/>
      </c>
      <c r="H211" t="str">
        <f t="shared" si="49"/>
        <v/>
      </c>
      <c r="I211" s="157" t="str">
        <f t="shared" si="50"/>
        <v/>
      </c>
      <c r="J211" s="157"/>
      <c r="K211" s="157" t="str">
        <f t="shared" si="51"/>
        <v/>
      </c>
      <c r="L211" s="157" t="str">
        <f t="shared" si="52"/>
        <v/>
      </c>
      <c r="M211" s="157"/>
      <c r="N211" s="157" t="str">
        <f t="shared" si="53"/>
        <v/>
      </c>
      <c r="O211" s="174" t="str">
        <f>Table132[[#This Row],[Combined List]]</f>
        <v/>
      </c>
      <c r="P211" s="157">
        <v>207</v>
      </c>
      <c r="Q211" s="174" t="str">
        <f t="shared" si="58"/>
        <v/>
      </c>
      <c r="R211" s="174" t="str">
        <f t="shared" si="59"/>
        <v/>
      </c>
      <c r="S211" s="174" t="str">
        <f t="shared" si="60"/>
        <v/>
      </c>
      <c r="T211" s="174" t="str">
        <f t="shared" si="61"/>
        <v/>
      </c>
      <c r="U211" s="174" t="str">
        <f t="shared" si="61"/>
        <v/>
      </c>
      <c r="V211" s="174" t="str">
        <f t="shared" si="57"/>
        <v/>
      </c>
      <c r="W211" s="174" t="str">
        <f>_xlfn.IFNA(VLOOKUP(T:T,'Example Logframe'!$B:$G,6,FALSE),"")</f>
        <v/>
      </c>
      <c r="X211" s="174" t="str">
        <f>_xlfn.IFNA(VLOOKUP(U:U,'Example Logframe'!$B:$G,6,FALSE),"")</f>
        <v/>
      </c>
      <c r="Y211" s="174" t="str">
        <f>_xlfn.IFNA(VLOOKUP(V:V,'Example Logframe'!$B:$G,6,FALSE),"")</f>
        <v/>
      </c>
      <c r="Z211">
        <v>207</v>
      </c>
      <c r="AD211" t="str">
        <f t="shared" si="47"/>
        <v/>
      </c>
      <c r="AE211" t="str">
        <f t="shared" si="47"/>
        <v/>
      </c>
      <c r="AF211" t="str">
        <f t="shared" si="62"/>
        <v/>
      </c>
    </row>
    <row r="212" spans="1:32" x14ac:dyDescent="0.35">
      <c r="A212">
        <f>INDEX('Example Logframe'!F:F,216,1)</f>
        <v>0</v>
      </c>
      <c r="B212" s="110">
        <v>2.34</v>
      </c>
      <c r="C212" s="321">
        <f>INDEX('Example Logframe'!B:B,216,1)</f>
        <v>0</v>
      </c>
      <c r="D212" t="str">
        <f t="shared" si="54"/>
        <v/>
      </c>
      <c r="E212" t="str">
        <f t="shared" si="55"/>
        <v/>
      </c>
      <c r="F212" t="str">
        <f t="shared" si="48"/>
        <v/>
      </c>
      <c r="G212" t="str">
        <f t="shared" si="56"/>
        <v/>
      </c>
      <c r="H212" t="str">
        <f t="shared" si="49"/>
        <v/>
      </c>
      <c r="I212" s="157" t="str">
        <f t="shared" si="50"/>
        <v/>
      </c>
      <c r="J212" s="157"/>
      <c r="K212" s="157" t="str">
        <f t="shared" si="51"/>
        <v/>
      </c>
      <c r="L212" s="157" t="str">
        <f t="shared" si="52"/>
        <v/>
      </c>
      <c r="M212" s="157"/>
      <c r="N212" s="157" t="str">
        <f t="shared" si="53"/>
        <v/>
      </c>
      <c r="O212" s="174" t="str">
        <f>Table132[[#This Row],[Combined List]]</f>
        <v/>
      </c>
      <c r="P212" s="157">
        <v>208</v>
      </c>
      <c r="Q212" s="174" t="str">
        <f t="shared" si="58"/>
        <v/>
      </c>
      <c r="R212" s="174" t="str">
        <f t="shared" si="59"/>
        <v/>
      </c>
      <c r="S212" s="174" t="str">
        <f t="shared" si="60"/>
        <v/>
      </c>
      <c r="T212" s="174" t="str">
        <f t="shared" si="61"/>
        <v/>
      </c>
      <c r="U212" s="174" t="str">
        <f t="shared" si="61"/>
        <v/>
      </c>
      <c r="V212" s="174" t="str">
        <f t="shared" si="57"/>
        <v/>
      </c>
      <c r="W212" s="174" t="str">
        <f>_xlfn.IFNA(VLOOKUP(T:T,'Example Logframe'!$B:$G,6,FALSE),"")</f>
        <v/>
      </c>
      <c r="X212" s="174" t="str">
        <f>_xlfn.IFNA(VLOOKUP(U:U,'Example Logframe'!$B:$G,6,FALSE),"")</f>
        <v/>
      </c>
      <c r="Y212" s="174" t="str">
        <f>_xlfn.IFNA(VLOOKUP(V:V,'Example Logframe'!$B:$G,6,FALSE),"")</f>
        <v/>
      </c>
      <c r="Z212">
        <v>208</v>
      </c>
      <c r="AD212" t="str">
        <f t="shared" si="47"/>
        <v/>
      </c>
      <c r="AE212" t="str">
        <f t="shared" si="47"/>
        <v/>
      </c>
      <c r="AF212" t="str">
        <f t="shared" si="62"/>
        <v/>
      </c>
    </row>
    <row r="213" spans="1:32" x14ac:dyDescent="0.35">
      <c r="A213">
        <f>INDEX('Example Logframe'!F:F,217,1)</f>
        <v>0</v>
      </c>
      <c r="B213" s="110">
        <v>2.35</v>
      </c>
      <c r="C213" s="321">
        <f>INDEX('Example Logframe'!B:B,217,1)</f>
        <v>0</v>
      </c>
      <c r="D213" t="str">
        <f t="shared" si="54"/>
        <v/>
      </c>
      <c r="E213" t="str">
        <f t="shared" si="55"/>
        <v/>
      </c>
      <c r="F213" t="str">
        <f t="shared" si="48"/>
        <v/>
      </c>
      <c r="G213" t="str">
        <f t="shared" si="56"/>
        <v/>
      </c>
      <c r="H213" t="str">
        <f t="shared" si="49"/>
        <v/>
      </c>
      <c r="I213" s="157" t="str">
        <f t="shared" si="50"/>
        <v/>
      </c>
      <c r="J213" s="157"/>
      <c r="K213" s="157" t="str">
        <f t="shared" si="51"/>
        <v/>
      </c>
      <c r="L213" s="157" t="str">
        <f t="shared" si="52"/>
        <v/>
      </c>
      <c r="M213" s="157"/>
      <c r="N213" s="157" t="str">
        <f t="shared" si="53"/>
        <v/>
      </c>
      <c r="O213" s="174" t="str">
        <f>Table132[[#This Row],[Combined List]]</f>
        <v/>
      </c>
      <c r="P213" s="157">
        <v>209</v>
      </c>
      <c r="Q213" s="174" t="str">
        <f t="shared" si="58"/>
        <v/>
      </c>
      <c r="R213" s="174" t="str">
        <f t="shared" si="59"/>
        <v/>
      </c>
      <c r="S213" s="174" t="str">
        <f t="shared" si="60"/>
        <v/>
      </c>
      <c r="T213" s="174" t="str">
        <f t="shared" si="61"/>
        <v/>
      </c>
      <c r="U213" s="174" t="str">
        <f t="shared" si="61"/>
        <v/>
      </c>
      <c r="V213" s="174" t="str">
        <f t="shared" si="57"/>
        <v/>
      </c>
      <c r="W213" s="174" t="str">
        <f>_xlfn.IFNA(VLOOKUP(T:T,'Example Logframe'!$B:$G,6,FALSE),"")</f>
        <v/>
      </c>
      <c r="X213" s="174" t="str">
        <f>_xlfn.IFNA(VLOOKUP(U:U,'Example Logframe'!$B:$G,6,FALSE),"")</f>
        <v/>
      </c>
      <c r="Y213" s="174" t="str">
        <f>_xlfn.IFNA(VLOOKUP(V:V,'Example Logframe'!$B:$G,6,FALSE),"")</f>
        <v/>
      </c>
      <c r="Z213">
        <v>209</v>
      </c>
      <c r="AD213" t="str">
        <f t="shared" si="47"/>
        <v/>
      </c>
      <c r="AE213" t="str">
        <f t="shared" si="47"/>
        <v/>
      </c>
      <c r="AF213" t="str">
        <f t="shared" si="62"/>
        <v/>
      </c>
    </row>
    <row r="214" spans="1:32" x14ac:dyDescent="0.35">
      <c r="A214">
        <f>INDEX('Example Logframe'!F:F,218,1)</f>
        <v>0</v>
      </c>
      <c r="B214" s="110">
        <v>2.36</v>
      </c>
      <c r="C214" s="321">
        <f>INDEX('Example Logframe'!B:B,218,1)</f>
        <v>0</v>
      </c>
      <c r="D214" t="str">
        <f t="shared" si="54"/>
        <v/>
      </c>
      <c r="E214" t="str">
        <f t="shared" si="55"/>
        <v/>
      </c>
      <c r="F214" t="str">
        <f t="shared" si="48"/>
        <v/>
      </c>
      <c r="G214" t="str">
        <f t="shared" si="56"/>
        <v/>
      </c>
      <c r="H214" t="str">
        <f t="shared" si="49"/>
        <v/>
      </c>
      <c r="I214" s="157" t="str">
        <f t="shared" si="50"/>
        <v/>
      </c>
      <c r="J214" s="157"/>
      <c r="K214" s="157" t="str">
        <f t="shared" si="51"/>
        <v/>
      </c>
      <c r="L214" s="157" t="str">
        <f t="shared" si="52"/>
        <v/>
      </c>
      <c r="M214" s="157"/>
      <c r="N214" s="157" t="str">
        <f t="shared" si="53"/>
        <v/>
      </c>
      <c r="O214" s="174" t="str">
        <f>Table132[[#This Row],[Combined List]]</f>
        <v/>
      </c>
      <c r="P214" s="157">
        <v>210</v>
      </c>
      <c r="Q214" s="174" t="str">
        <f t="shared" si="58"/>
        <v/>
      </c>
      <c r="R214" s="174" t="str">
        <f t="shared" si="59"/>
        <v/>
      </c>
      <c r="S214" s="174" t="str">
        <f t="shared" si="60"/>
        <v/>
      </c>
      <c r="T214" s="174" t="str">
        <f t="shared" si="61"/>
        <v/>
      </c>
      <c r="U214" s="174" t="str">
        <f t="shared" si="61"/>
        <v/>
      </c>
      <c r="V214" s="174" t="str">
        <f t="shared" si="57"/>
        <v/>
      </c>
      <c r="W214" s="174" t="str">
        <f>_xlfn.IFNA(VLOOKUP(T:T,'Example Logframe'!$B:$G,6,FALSE),"")</f>
        <v/>
      </c>
      <c r="X214" s="174" t="str">
        <f>_xlfn.IFNA(VLOOKUP(U:U,'Example Logframe'!$B:$G,6,FALSE),"")</f>
        <v/>
      </c>
      <c r="Y214" s="174" t="str">
        <f>_xlfn.IFNA(VLOOKUP(V:V,'Example Logframe'!$B:$G,6,FALSE),"")</f>
        <v/>
      </c>
      <c r="Z214">
        <v>210</v>
      </c>
      <c r="AD214" t="str">
        <f t="shared" ref="AD214:AE228" si="63">RIGHT(AA:AA,7)</f>
        <v/>
      </c>
      <c r="AE214" t="str">
        <f t="shared" si="63"/>
        <v/>
      </c>
      <c r="AF214" t="str">
        <f t="shared" si="62"/>
        <v/>
      </c>
    </row>
    <row r="215" spans="1:32" x14ac:dyDescent="0.35">
      <c r="A215">
        <f>INDEX('Example Logframe'!F:F,219,1)</f>
        <v>0</v>
      </c>
      <c r="B215" s="110">
        <v>2.37</v>
      </c>
      <c r="C215" s="321">
        <f>INDEX('Example Logframe'!B:B,219,1)</f>
        <v>0</v>
      </c>
      <c r="D215" t="str">
        <f t="shared" si="54"/>
        <v/>
      </c>
      <c r="E215" t="str">
        <f t="shared" si="55"/>
        <v/>
      </c>
      <c r="F215" t="str">
        <f t="shared" si="48"/>
        <v/>
      </c>
      <c r="G215" t="str">
        <f t="shared" si="56"/>
        <v/>
      </c>
      <c r="H215" t="str">
        <f t="shared" si="49"/>
        <v/>
      </c>
      <c r="I215" s="157" t="str">
        <f t="shared" si="50"/>
        <v/>
      </c>
      <c r="J215" s="157"/>
      <c r="K215" s="157" t="str">
        <f t="shared" si="51"/>
        <v/>
      </c>
      <c r="L215" s="157" t="str">
        <f t="shared" si="52"/>
        <v/>
      </c>
      <c r="M215" s="157"/>
      <c r="N215" s="157" t="str">
        <f t="shared" si="53"/>
        <v/>
      </c>
      <c r="O215" s="174" t="str">
        <f>Table132[[#This Row],[Combined List]]</f>
        <v/>
      </c>
      <c r="P215" s="157">
        <v>211</v>
      </c>
      <c r="Q215" s="174" t="str">
        <f t="shared" si="58"/>
        <v/>
      </c>
      <c r="R215" s="174" t="str">
        <f t="shared" si="59"/>
        <v/>
      </c>
      <c r="S215" s="174" t="str">
        <f t="shared" si="60"/>
        <v/>
      </c>
      <c r="T215" s="174" t="str">
        <f t="shared" si="61"/>
        <v/>
      </c>
      <c r="U215" s="174" t="str">
        <f t="shared" si="61"/>
        <v/>
      </c>
      <c r="V215" s="174" t="str">
        <f t="shared" si="57"/>
        <v/>
      </c>
      <c r="W215" s="174" t="str">
        <f>_xlfn.IFNA(VLOOKUP(T:T,'Example Logframe'!$B:$G,6,FALSE),"")</f>
        <v/>
      </c>
      <c r="X215" s="174" t="str">
        <f>_xlfn.IFNA(VLOOKUP(U:U,'Example Logframe'!$B:$G,6,FALSE),"")</f>
        <v/>
      </c>
      <c r="Y215" s="174" t="str">
        <f>_xlfn.IFNA(VLOOKUP(V:V,'Example Logframe'!$B:$G,6,FALSE),"")</f>
        <v/>
      </c>
      <c r="Z215">
        <v>211</v>
      </c>
      <c r="AD215" t="str">
        <f t="shared" si="63"/>
        <v/>
      </c>
      <c r="AE215" t="str">
        <f t="shared" si="63"/>
        <v/>
      </c>
      <c r="AF215" t="str">
        <f t="shared" si="62"/>
        <v/>
      </c>
    </row>
    <row r="216" spans="1:32" x14ac:dyDescent="0.35">
      <c r="A216">
        <f>INDEX('Example Logframe'!F:F,220,1)</f>
        <v>0</v>
      </c>
      <c r="B216" s="110">
        <v>2.38</v>
      </c>
      <c r="C216" s="321">
        <f>INDEX('Example Logframe'!B:B,220,1)</f>
        <v>0</v>
      </c>
      <c r="D216" t="str">
        <f t="shared" si="54"/>
        <v/>
      </c>
      <c r="E216" t="str">
        <f t="shared" si="55"/>
        <v/>
      </c>
      <c r="F216" t="str">
        <f t="shared" si="48"/>
        <v/>
      </c>
      <c r="G216" t="str">
        <f t="shared" si="56"/>
        <v/>
      </c>
      <c r="H216" t="str">
        <f t="shared" si="49"/>
        <v/>
      </c>
      <c r="I216" s="157" t="str">
        <f t="shared" si="50"/>
        <v/>
      </c>
      <c r="J216" s="157"/>
      <c r="K216" s="157" t="str">
        <f t="shared" si="51"/>
        <v/>
      </c>
      <c r="L216" s="157" t="str">
        <f t="shared" si="52"/>
        <v/>
      </c>
      <c r="M216" s="157"/>
      <c r="N216" s="157" t="str">
        <f t="shared" si="53"/>
        <v/>
      </c>
      <c r="O216" s="174" t="str">
        <f>Table132[[#This Row],[Combined List]]</f>
        <v/>
      </c>
      <c r="P216" s="157">
        <v>212</v>
      </c>
      <c r="Q216" s="174" t="str">
        <f t="shared" si="58"/>
        <v/>
      </c>
      <c r="R216" s="174" t="str">
        <f t="shared" si="59"/>
        <v/>
      </c>
      <c r="S216" s="174" t="str">
        <f t="shared" si="60"/>
        <v/>
      </c>
      <c r="T216" s="174" t="str">
        <f t="shared" si="61"/>
        <v/>
      </c>
      <c r="U216" s="174" t="str">
        <f t="shared" si="61"/>
        <v/>
      </c>
      <c r="V216" s="174" t="str">
        <f t="shared" si="57"/>
        <v/>
      </c>
      <c r="W216" s="174" t="str">
        <f>_xlfn.IFNA(VLOOKUP(T:T,'Example Logframe'!$B:$G,6,FALSE),"")</f>
        <v/>
      </c>
      <c r="X216" s="174" t="str">
        <f>_xlfn.IFNA(VLOOKUP(U:U,'Example Logframe'!$B:$G,6,FALSE),"")</f>
        <v/>
      </c>
      <c r="Y216" s="174" t="str">
        <f>_xlfn.IFNA(VLOOKUP(V:V,'Example Logframe'!$B:$G,6,FALSE),"")</f>
        <v/>
      </c>
      <c r="Z216">
        <v>212</v>
      </c>
      <c r="AD216" t="str">
        <f t="shared" si="63"/>
        <v/>
      </c>
      <c r="AE216" t="str">
        <f t="shared" si="63"/>
        <v/>
      </c>
      <c r="AF216" t="str">
        <f t="shared" si="62"/>
        <v/>
      </c>
    </row>
    <row r="217" spans="1:32" x14ac:dyDescent="0.35">
      <c r="A217">
        <f>INDEX('Example Logframe'!F:F,221,1)</f>
        <v>0</v>
      </c>
      <c r="B217" s="110">
        <v>2.39</v>
      </c>
      <c r="C217" s="321">
        <f>INDEX('Example Logframe'!B:B,221,1)</f>
        <v>0</v>
      </c>
      <c r="D217" t="str">
        <f t="shared" si="54"/>
        <v/>
      </c>
      <c r="E217" t="str">
        <f t="shared" si="55"/>
        <v/>
      </c>
      <c r="F217" t="str">
        <f t="shared" si="48"/>
        <v/>
      </c>
      <c r="G217" t="str">
        <f t="shared" si="56"/>
        <v/>
      </c>
      <c r="H217" t="str">
        <f t="shared" si="49"/>
        <v/>
      </c>
      <c r="I217" s="157" t="str">
        <f t="shared" si="50"/>
        <v/>
      </c>
      <c r="J217" s="157"/>
      <c r="K217" s="157" t="str">
        <f t="shared" si="51"/>
        <v/>
      </c>
      <c r="L217" s="157" t="str">
        <f t="shared" si="52"/>
        <v/>
      </c>
      <c r="M217" s="157"/>
      <c r="N217" s="157" t="str">
        <f t="shared" si="53"/>
        <v/>
      </c>
      <c r="O217" s="174" t="str">
        <f>Table132[[#This Row],[Combined List]]</f>
        <v/>
      </c>
      <c r="P217" s="157">
        <v>213</v>
      </c>
      <c r="Q217" s="174" t="str">
        <f t="shared" si="58"/>
        <v/>
      </c>
      <c r="R217" s="174" t="str">
        <f t="shared" si="59"/>
        <v/>
      </c>
      <c r="S217" s="174" t="str">
        <f t="shared" si="60"/>
        <v/>
      </c>
      <c r="T217" s="174" t="str">
        <f t="shared" si="61"/>
        <v/>
      </c>
      <c r="U217" s="174" t="str">
        <f t="shared" si="61"/>
        <v/>
      </c>
      <c r="V217" s="174" t="str">
        <f t="shared" si="57"/>
        <v/>
      </c>
      <c r="W217" s="174" t="str">
        <f>_xlfn.IFNA(VLOOKUP(T:T,'Example Logframe'!$B:$G,6,FALSE),"")</f>
        <v/>
      </c>
      <c r="X217" s="174" t="str">
        <f>_xlfn.IFNA(VLOOKUP(U:U,'Example Logframe'!$B:$G,6,FALSE),"")</f>
        <v/>
      </c>
      <c r="Y217" s="174" t="str">
        <f>_xlfn.IFNA(VLOOKUP(V:V,'Example Logframe'!$B:$G,6,FALSE),"")</f>
        <v/>
      </c>
      <c r="Z217">
        <v>213</v>
      </c>
      <c r="AD217" t="str">
        <f t="shared" si="63"/>
        <v/>
      </c>
      <c r="AE217" t="str">
        <f t="shared" si="63"/>
        <v/>
      </c>
      <c r="AF217" t="str">
        <f t="shared" si="62"/>
        <v/>
      </c>
    </row>
    <row r="218" spans="1:32" x14ac:dyDescent="0.35">
      <c r="A218">
        <f>INDEX('Example Logframe'!F:F,222,1)</f>
        <v>0</v>
      </c>
      <c r="B218" s="110">
        <v>2.41</v>
      </c>
      <c r="C218" s="321">
        <f>INDEX('Example Logframe'!B:B,222,1)</f>
        <v>0</v>
      </c>
      <c r="D218" t="str">
        <f t="shared" si="54"/>
        <v/>
      </c>
      <c r="E218" t="str">
        <f t="shared" si="55"/>
        <v/>
      </c>
      <c r="F218" t="str">
        <f t="shared" si="48"/>
        <v/>
      </c>
      <c r="G218" t="str">
        <f t="shared" si="56"/>
        <v/>
      </c>
      <c r="H218" t="str">
        <f t="shared" si="49"/>
        <v/>
      </c>
      <c r="I218" s="157" t="str">
        <f t="shared" si="50"/>
        <v/>
      </c>
      <c r="J218" s="157"/>
      <c r="K218" s="157" t="str">
        <f t="shared" si="51"/>
        <v/>
      </c>
      <c r="L218" s="157" t="str">
        <f t="shared" si="52"/>
        <v/>
      </c>
      <c r="M218" s="157"/>
      <c r="N218" s="157" t="str">
        <f t="shared" si="53"/>
        <v/>
      </c>
      <c r="O218" s="174" t="str">
        <f>Table132[[#This Row],[Combined List]]</f>
        <v/>
      </c>
      <c r="P218" s="157">
        <v>214</v>
      </c>
      <c r="Q218" s="174" t="str">
        <f t="shared" si="58"/>
        <v/>
      </c>
      <c r="R218" s="174" t="str">
        <f t="shared" si="59"/>
        <v/>
      </c>
      <c r="S218" s="174" t="str">
        <f t="shared" si="60"/>
        <v/>
      </c>
      <c r="T218" s="174" t="str">
        <f t="shared" si="61"/>
        <v/>
      </c>
      <c r="U218" s="174" t="str">
        <f t="shared" si="61"/>
        <v/>
      </c>
      <c r="V218" s="174" t="str">
        <f t="shared" si="57"/>
        <v/>
      </c>
      <c r="W218" s="174" t="str">
        <f>_xlfn.IFNA(VLOOKUP(T:T,'Example Logframe'!$B:$G,6,FALSE),"")</f>
        <v/>
      </c>
      <c r="X218" s="174" t="str">
        <f>_xlfn.IFNA(VLOOKUP(U:U,'Example Logframe'!$B:$G,6,FALSE),"")</f>
        <v/>
      </c>
      <c r="Y218" s="174" t="str">
        <f>_xlfn.IFNA(VLOOKUP(V:V,'Example Logframe'!$B:$G,6,FALSE),"")</f>
        <v/>
      </c>
      <c r="Z218">
        <v>214</v>
      </c>
      <c r="AD218" t="str">
        <f t="shared" si="63"/>
        <v/>
      </c>
      <c r="AE218" t="str">
        <f t="shared" si="63"/>
        <v/>
      </c>
      <c r="AF218" t="str">
        <f t="shared" si="62"/>
        <v/>
      </c>
    </row>
    <row r="219" spans="1:32" x14ac:dyDescent="0.35">
      <c r="A219">
        <f>INDEX('Example Logframe'!F:F,223,1)</f>
        <v>0</v>
      </c>
      <c r="B219" s="110">
        <v>2.42</v>
      </c>
      <c r="C219" s="321">
        <f>INDEX('Example Logframe'!B:B,223,1)</f>
        <v>0</v>
      </c>
      <c r="D219" t="str">
        <f t="shared" si="54"/>
        <v/>
      </c>
      <c r="E219" t="str">
        <f t="shared" si="55"/>
        <v/>
      </c>
      <c r="F219" t="str">
        <f t="shared" si="48"/>
        <v/>
      </c>
      <c r="G219" t="str">
        <f t="shared" si="56"/>
        <v/>
      </c>
      <c r="H219" t="str">
        <f t="shared" si="49"/>
        <v/>
      </c>
      <c r="I219" s="157" t="str">
        <f t="shared" si="50"/>
        <v/>
      </c>
      <c r="J219" s="157"/>
      <c r="K219" s="157" t="str">
        <f t="shared" si="51"/>
        <v/>
      </c>
      <c r="L219" s="157" t="str">
        <f t="shared" si="52"/>
        <v/>
      </c>
      <c r="M219" s="157"/>
      <c r="N219" s="157" t="str">
        <f t="shared" si="53"/>
        <v/>
      </c>
      <c r="O219" s="174" t="str">
        <f>Table132[[#This Row],[Combined List]]</f>
        <v/>
      </c>
      <c r="P219" s="157">
        <v>215</v>
      </c>
      <c r="Q219" s="174" t="str">
        <f t="shared" si="58"/>
        <v/>
      </c>
      <c r="R219" s="174" t="str">
        <f t="shared" si="59"/>
        <v/>
      </c>
      <c r="S219" s="174" t="str">
        <f t="shared" si="60"/>
        <v/>
      </c>
      <c r="T219" s="174" t="str">
        <f t="shared" si="61"/>
        <v/>
      </c>
      <c r="U219" s="174" t="str">
        <f t="shared" si="61"/>
        <v/>
      </c>
      <c r="V219" s="174" t="str">
        <f t="shared" si="57"/>
        <v/>
      </c>
      <c r="W219" s="174" t="str">
        <f>_xlfn.IFNA(VLOOKUP(T:T,'Example Logframe'!$B:$G,6,FALSE),"")</f>
        <v/>
      </c>
      <c r="X219" s="174" t="str">
        <f>_xlfn.IFNA(VLOOKUP(U:U,'Example Logframe'!$B:$G,6,FALSE),"")</f>
        <v/>
      </c>
      <c r="Y219" s="174" t="str">
        <f>_xlfn.IFNA(VLOOKUP(V:V,'Example Logframe'!$B:$G,6,FALSE),"")</f>
        <v/>
      </c>
      <c r="Z219">
        <v>215</v>
      </c>
      <c r="AD219" t="str">
        <f t="shared" si="63"/>
        <v/>
      </c>
      <c r="AE219" t="str">
        <f t="shared" si="63"/>
        <v/>
      </c>
      <c r="AF219" t="str">
        <f t="shared" si="62"/>
        <v/>
      </c>
    </row>
    <row r="220" spans="1:32" x14ac:dyDescent="0.35">
      <c r="A220">
        <f>INDEX('Example Logframe'!F:F,224,1)</f>
        <v>0</v>
      </c>
      <c r="B220" s="110">
        <v>2.4300000000000002</v>
      </c>
      <c r="C220" s="321">
        <f>INDEX('Example Logframe'!B:B,224,1)</f>
        <v>0</v>
      </c>
      <c r="D220" t="str">
        <f t="shared" si="54"/>
        <v/>
      </c>
      <c r="E220" t="str">
        <f t="shared" si="55"/>
        <v/>
      </c>
      <c r="F220" t="str">
        <f t="shared" si="48"/>
        <v/>
      </c>
      <c r="G220" t="str">
        <f t="shared" si="56"/>
        <v/>
      </c>
      <c r="H220" t="str">
        <f t="shared" si="49"/>
        <v/>
      </c>
      <c r="I220" s="157" t="str">
        <f t="shared" si="50"/>
        <v/>
      </c>
      <c r="J220" s="157"/>
      <c r="K220" s="157" t="str">
        <f t="shared" si="51"/>
        <v/>
      </c>
      <c r="L220" s="157" t="str">
        <f t="shared" si="52"/>
        <v/>
      </c>
      <c r="M220" s="157"/>
      <c r="N220" s="157" t="str">
        <f t="shared" si="53"/>
        <v/>
      </c>
      <c r="O220" s="174" t="str">
        <f>Table132[[#This Row],[Combined List]]</f>
        <v/>
      </c>
      <c r="P220" s="157">
        <v>216</v>
      </c>
      <c r="Q220" s="174" t="str">
        <f t="shared" si="58"/>
        <v/>
      </c>
      <c r="R220" s="174" t="str">
        <f t="shared" si="59"/>
        <v/>
      </c>
      <c r="S220" s="174" t="str">
        <f t="shared" si="60"/>
        <v/>
      </c>
      <c r="T220" s="174" t="str">
        <f t="shared" si="61"/>
        <v/>
      </c>
      <c r="U220" s="174" t="str">
        <f t="shared" si="61"/>
        <v/>
      </c>
      <c r="V220" s="174" t="str">
        <f t="shared" si="57"/>
        <v/>
      </c>
      <c r="W220" s="174" t="str">
        <f>_xlfn.IFNA(VLOOKUP(T:T,'Example Logframe'!$B:$G,6,FALSE),"")</f>
        <v/>
      </c>
      <c r="X220" s="174" t="str">
        <f>_xlfn.IFNA(VLOOKUP(U:U,'Example Logframe'!$B:$G,6,FALSE),"")</f>
        <v/>
      </c>
      <c r="Y220" s="174" t="str">
        <f>_xlfn.IFNA(VLOOKUP(V:V,'Example Logframe'!$B:$G,6,FALSE),"")</f>
        <v/>
      </c>
      <c r="Z220">
        <v>216</v>
      </c>
      <c r="AD220" t="str">
        <f t="shared" si="63"/>
        <v/>
      </c>
      <c r="AE220" t="str">
        <f t="shared" si="63"/>
        <v/>
      </c>
      <c r="AF220" t="str">
        <f t="shared" si="62"/>
        <v/>
      </c>
    </row>
    <row r="221" spans="1:32" x14ac:dyDescent="0.35">
      <c r="A221">
        <f>INDEX('Example Logframe'!F:F,225,1)</f>
        <v>0</v>
      </c>
      <c r="B221" s="110">
        <v>2.44</v>
      </c>
      <c r="C221" s="321">
        <f>INDEX('Example Logframe'!B:B,225,1)</f>
        <v>0</v>
      </c>
      <c r="D221" t="str">
        <f t="shared" si="54"/>
        <v/>
      </c>
      <c r="E221" t="str">
        <f t="shared" si="55"/>
        <v/>
      </c>
      <c r="F221" t="str">
        <f t="shared" si="48"/>
        <v/>
      </c>
      <c r="G221" t="str">
        <f t="shared" si="56"/>
        <v/>
      </c>
      <c r="H221" t="str">
        <f t="shared" si="49"/>
        <v/>
      </c>
      <c r="I221" s="157" t="str">
        <f t="shared" si="50"/>
        <v/>
      </c>
      <c r="J221" s="157"/>
      <c r="K221" s="157" t="str">
        <f t="shared" si="51"/>
        <v/>
      </c>
      <c r="L221" s="157" t="str">
        <f t="shared" si="52"/>
        <v/>
      </c>
      <c r="M221" s="157"/>
      <c r="N221" s="157" t="str">
        <f t="shared" si="53"/>
        <v/>
      </c>
      <c r="O221" s="174" t="str">
        <f>Table132[[#This Row],[Combined List]]</f>
        <v/>
      </c>
      <c r="P221" s="157">
        <v>217</v>
      </c>
      <c r="Q221" s="174" t="str">
        <f t="shared" si="58"/>
        <v/>
      </c>
      <c r="R221" s="174" t="str">
        <f t="shared" si="59"/>
        <v/>
      </c>
      <c r="S221" s="174" t="str">
        <f t="shared" si="60"/>
        <v/>
      </c>
      <c r="T221" s="174" t="str">
        <f t="shared" si="61"/>
        <v/>
      </c>
      <c r="U221" s="174" t="str">
        <f t="shared" si="61"/>
        <v/>
      </c>
      <c r="V221" s="174" t="str">
        <f t="shared" si="57"/>
        <v/>
      </c>
      <c r="W221" s="174" t="str">
        <f>_xlfn.IFNA(VLOOKUP(T:T,'Example Logframe'!$B:$G,6,FALSE),"")</f>
        <v/>
      </c>
      <c r="X221" s="174" t="str">
        <f>_xlfn.IFNA(VLOOKUP(U:U,'Example Logframe'!$B:$G,6,FALSE),"")</f>
        <v/>
      </c>
      <c r="Y221" s="174" t="str">
        <f>_xlfn.IFNA(VLOOKUP(V:V,'Example Logframe'!$B:$G,6,FALSE),"")</f>
        <v/>
      </c>
      <c r="Z221">
        <v>217</v>
      </c>
      <c r="AD221" t="str">
        <f t="shared" si="63"/>
        <v/>
      </c>
      <c r="AE221" t="str">
        <f t="shared" si="63"/>
        <v/>
      </c>
      <c r="AF221" t="str">
        <f t="shared" si="62"/>
        <v/>
      </c>
    </row>
    <row r="222" spans="1:32" x14ac:dyDescent="0.35">
      <c r="A222">
        <f>INDEX('Example Logframe'!F:F,226,1)</f>
        <v>0</v>
      </c>
      <c r="B222" s="110">
        <v>2.4500000000000002</v>
      </c>
      <c r="C222" s="321">
        <f>INDEX('Example Logframe'!B:B,226,1)</f>
        <v>0</v>
      </c>
      <c r="D222" t="str">
        <f t="shared" si="54"/>
        <v/>
      </c>
      <c r="E222" t="str">
        <f t="shared" si="55"/>
        <v/>
      </c>
      <c r="F222" t="str">
        <f t="shared" si="48"/>
        <v/>
      </c>
      <c r="G222" t="str">
        <f t="shared" si="56"/>
        <v/>
      </c>
      <c r="H222" t="str">
        <f t="shared" si="49"/>
        <v/>
      </c>
      <c r="I222" s="157" t="str">
        <f t="shared" si="50"/>
        <v/>
      </c>
      <c r="J222" s="157"/>
      <c r="K222" s="157" t="str">
        <f t="shared" si="51"/>
        <v/>
      </c>
      <c r="L222" s="157" t="str">
        <f t="shared" si="52"/>
        <v/>
      </c>
      <c r="M222" s="157"/>
      <c r="N222" s="157" t="str">
        <f t="shared" si="53"/>
        <v/>
      </c>
      <c r="O222" s="174" t="str">
        <f>Table132[[#This Row],[Combined List]]</f>
        <v/>
      </c>
      <c r="P222" s="157">
        <v>218</v>
      </c>
      <c r="Q222" s="174" t="str">
        <f t="shared" si="58"/>
        <v/>
      </c>
      <c r="R222" s="174" t="str">
        <f t="shared" si="59"/>
        <v/>
      </c>
      <c r="S222" s="174" t="str">
        <f t="shared" si="60"/>
        <v/>
      </c>
      <c r="T222" s="174" t="str">
        <f t="shared" si="61"/>
        <v/>
      </c>
      <c r="U222" s="174" t="str">
        <f t="shared" si="61"/>
        <v/>
      </c>
      <c r="V222" s="174" t="str">
        <f t="shared" si="57"/>
        <v/>
      </c>
      <c r="W222" s="174" t="str">
        <f>_xlfn.IFNA(VLOOKUP(T:T,'Example Logframe'!$B:$G,6,FALSE),"")</f>
        <v/>
      </c>
      <c r="X222" s="174" t="str">
        <f>_xlfn.IFNA(VLOOKUP(U:U,'Example Logframe'!$B:$G,6,FALSE),"")</f>
        <v/>
      </c>
      <c r="Y222" s="174" t="str">
        <f>_xlfn.IFNA(VLOOKUP(V:V,'Example Logframe'!$B:$G,6,FALSE),"")</f>
        <v/>
      </c>
      <c r="Z222">
        <v>218</v>
      </c>
      <c r="AD222" t="str">
        <f t="shared" si="63"/>
        <v/>
      </c>
      <c r="AE222" t="str">
        <f t="shared" si="63"/>
        <v/>
      </c>
      <c r="AF222" t="str">
        <f t="shared" si="62"/>
        <v/>
      </c>
    </row>
    <row r="223" spans="1:32" x14ac:dyDescent="0.35">
      <c r="A223">
        <f>INDEX('Example Logframe'!F:F,227,1)</f>
        <v>0</v>
      </c>
      <c r="B223" s="110">
        <v>2.46</v>
      </c>
      <c r="C223" s="321">
        <f>INDEX('Example Logframe'!B:B,227,1)</f>
        <v>0</v>
      </c>
      <c r="D223" t="str">
        <f t="shared" si="54"/>
        <v/>
      </c>
      <c r="E223" t="str">
        <f t="shared" si="55"/>
        <v/>
      </c>
      <c r="F223" t="str">
        <f t="shared" si="48"/>
        <v/>
      </c>
      <c r="G223" t="str">
        <f t="shared" si="56"/>
        <v/>
      </c>
      <c r="H223" t="str">
        <f t="shared" si="49"/>
        <v/>
      </c>
      <c r="I223" s="157" t="str">
        <f t="shared" si="50"/>
        <v/>
      </c>
      <c r="J223" s="157"/>
      <c r="K223" s="157" t="str">
        <f t="shared" si="51"/>
        <v/>
      </c>
      <c r="L223" s="157" t="str">
        <f t="shared" si="52"/>
        <v/>
      </c>
      <c r="M223" s="157"/>
      <c r="N223" s="157" t="str">
        <f t="shared" si="53"/>
        <v/>
      </c>
      <c r="O223" s="174" t="str">
        <f>Table132[[#This Row],[Combined List]]</f>
        <v/>
      </c>
      <c r="P223" s="157">
        <v>219</v>
      </c>
      <c r="Q223" s="174" t="str">
        <f t="shared" si="58"/>
        <v/>
      </c>
      <c r="R223" s="174" t="str">
        <f t="shared" si="59"/>
        <v/>
      </c>
      <c r="S223" s="174" t="str">
        <f t="shared" si="60"/>
        <v/>
      </c>
      <c r="T223" s="174" t="str">
        <f t="shared" si="61"/>
        <v/>
      </c>
      <c r="U223" s="174" t="str">
        <f t="shared" si="61"/>
        <v/>
      </c>
      <c r="V223" s="174" t="str">
        <f t="shared" si="57"/>
        <v/>
      </c>
      <c r="W223" s="174" t="str">
        <f>_xlfn.IFNA(VLOOKUP(T:T,'Example Logframe'!$B:$G,6,FALSE),"")</f>
        <v/>
      </c>
      <c r="X223" s="174" t="str">
        <f>_xlfn.IFNA(VLOOKUP(U:U,'Example Logframe'!$B:$G,6,FALSE),"")</f>
        <v/>
      </c>
      <c r="Y223" s="174" t="str">
        <f>_xlfn.IFNA(VLOOKUP(V:V,'Example Logframe'!$B:$G,6,FALSE),"")</f>
        <v/>
      </c>
      <c r="Z223">
        <v>219</v>
      </c>
      <c r="AD223" t="str">
        <f t="shared" si="63"/>
        <v/>
      </c>
      <c r="AE223" t="str">
        <f t="shared" si="63"/>
        <v/>
      </c>
      <c r="AF223" t="str">
        <f t="shared" si="62"/>
        <v/>
      </c>
    </row>
    <row r="224" spans="1:32" x14ac:dyDescent="0.35">
      <c r="A224">
        <f>INDEX('Example Logframe'!F:F,228,1)</f>
        <v>0</v>
      </c>
      <c r="B224" s="110">
        <v>2.4700000000000002</v>
      </c>
      <c r="C224" s="321">
        <f>INDEX('Example Logframe'!B:B,228,1)</f>
        <v>0</v>
      </c>
      <c r="D224" t="str">
        <f t="shared" si="54"/>
        <v/>
      </c>
      <c r="E224" t="str">
        <f t="shared" si="55"/>
        <v/>
      </c>
      <c r="F224" t="str">
        <f t="shared" si="48"/>
        <v/>
      </c>
      <c r="G224" t="str">
        <f t="shared" si="56"/>
        <v/>
      </c>
      <c r="H224" t="str">
        <f t="shared" si="49"/>
        <v/>
      </c>
      <c r="I224" s="157" t="str">
        <f t="shared" si="50"/>
        <v/>
      </c>
      <c r="J224" s="157"/>
      <c r="K224" s="157" t="str">
        <f t="shared" si="51"/>
        <v/>
      </c>
      <c r="L224" s="157" t="str">
        <f t="shared" si="52"/>
        <v/>
      </c>
      <c r="M224" s="157"/>
      <c r="N224" s="157" t="str">
        <f t="shared" si="53"/>
        <v/>
      </c>
      <c r="O224" s="174" t="str">
        <f>Table132[[#This Row],[Combined List]]</f>
        <v/>
      </c>
      <c r="P224" s="157">
        <v>220</v>
      </c>
      <c r="Q224" s="174" t="str">
        <f t="shared" si="58"/>
        <v/>
      </c>
      <c r="R224" s="174" t="str">
        <f t="shared" si="59"/>
        <v/>
      </c>
      <c r="S224" s="174" t="str">
        <f t="shared" si="60"/>
        <v/>
      </c>
      <c r="T224" s="174" t="str">
        <f t="shared" si="61"/>
        <v/>
      </c>
      <c r="U224" s="174" t="str">
        <f t="shared" si="61"/>
        <v/>
      </c>
      <c r="V224" s="174" t="str">
        <f t="shared" si="57"/>
        <v/>
      </c>
      <c r="W224" s="174" t="str">
        <f>_xlfn.IFNA(VLOOKUP(T:T,'Example Logframe'!$B:$G,6,FALSE),"")</f>
        <v/>
      </c>
      <c r="X224" s="174" t="str">
        <f>_xlfn.IFNA(VLOOKUP(U:U,'Example Logframe'!$B:$G,6,FALSE),"")</f>
        <v/>
      </c>
      <c r="Y224" s="174" t="str">
        <f>_xlfn.IFNA(VLOOKUP(V:V,'Example Logframe'!$B:$G,6,FALSE),"")</f>
        <v/>
      </c>
      <c r="Z224">
        <v>220</v>
      </c>
      <c r="AD224" t="str">
        <f t="shared" si="63"/>
        <v/>
      </c>
      <c r="AE224" t="str">
        <f t="shared" si="63"/>
        <v/>
      </c>
      <c r="AF224" t="str">
        <f t="shared" si="62"/>
        <v/>
      </c>
    </row>
    <row r="225" spans="1:32" x14ac:dyDescent="0.35">
      <c r="A225">
        <f>INDEX('Example Logframe'!F:F,229,1)</f>
        <v>0</v>
      </c>
      <c r="B225" s="110">
        <v>2.48</v>
      </c>
      <c r="C225" s="321">
        <f>INDEX('Example Logframe'!B:B,229,1)</f>
        <v>0</v>
      </c>
      <c r="D225" t="str">
        <f t="shared" si="54"/>
        <v/>
      </c>
      <c r="E225" t="str">
        <f t="shared" si="55"/>
        <v/>
      </c>
      <c r="F225" t="str">
        <f t="shared" si="48"/>
        <v/>
      </c>
      <c r="G225" t="str">
        <f t="shared" si="56"/>
        <v/>
      </c>
      <c r="H225" t="str">
        <f t="shared" si="49"/>
        <v/>
      </c>
      <c r="I225" s="157" t="str">
        <f t="shared" si="50"/>
        <v/>
      </c>
      <c r="J225" s="157"/>
      <c r="K225" s="157" t="str">
        <f t="shared" si="51"/>
        <v/>
      </c>
      <c r="L225" s="157" t="str">
        <f t="shared" si="52"/>
        <v/>
      </c>
      <c r="M225" s="157"/>
      <c r="N225" s="157" t="str">
        <f t="shared" si="53"/>
        <v/>
      </c>
      <c r="O225" s="174" t="str">
        <f>Table132[[#This Row],[Combined List]]</f>
        <v/>
      </c>
      <c r="P225" s="157">
        <v>221</v>
      </c>
      <c r="Q225" s="174" t="str">
        <f t="shared" si="58"/>
        <v/>
      </c>
      <c r="R225" s="174" t="str">
        <f t="shared" si="59"/>
        <v/>
      </c>
      <c r="S225" s="174" t="str">
        <f t="shared" si="60"/>
        <v/>
      </c>
      <c r="T225" s="174" t="str">
        <f t="shared" si="61"/>
        <v/>
      </c>
      <c r="U225" s="174" t="str">
        <f t="shared" si="61"/>
        <v/>
      </c>
      <c r="V225" s="174" t="str">
        <f t="shared" si="57"/>
        <v/>
      </c>
      <c r="W225" s="174" t="str">
        <f>_xlfn.IFNA(VLOOKUP(T:T,'Example Logframe'!$B:$G,6,FALSE),"")</f>
        <v/>
      </c>
      <c r="X225" s="174" t="str">
        <f>_xlfn.IFNA(VLOOKUP(U:U,'Example Logframe'!$B:$G,6,FALSE),"")</f>
        <v/>
      </c>
      <c r="Y225" s="174" t="str">
        <f>_xlfn.IFNA(VLOOKUP(V:V,'Example Logframe'!$B:$G,6,FALSE),"")</f>
        <v/>
      </c>
      <c r="Z225">
        <v>221</v>
      </c>
      <c r="AD225" t="str">
        <f t="shared" si="63"/>
        <v/>
      </c>
      <c r="AE225" t="str">
        <f t="shared" si="63"/>
        <v/>
      </c>
      <c r="AF225" t="str">
        <f t="shared" si="62"/>
        <v/>
      </c>
    </row>
    <row r="226" spans="1:32" x14ac:dyDescent="0.35">
      <c r="A226">
        <f>INDEX('Example Logframe'!F:F,230,1)</f>
        <v>0</v>
      </c>
      <c r="B226" s="110">
        <v>2.4900000000000002</v>
      </c>
      <c r="C226" s="321">
        <f>INDEX('Example Logframe'!B:B,230,1)</f>
        <v>0</v>
      </c>
      <c r="D226" t="str">
        <f t="shared" si="54"/>
        <v/>
      </c>
      <c r="E226" t="str">
        <f t="shared" si="55"/>
        <v/>
      </c>
      <c r="F226" t="str">
        <f t="shared" si="48"/>
        <v/>
      </c>
      <c r="G226" t="str">
        <f t="shared" si="56"/>
        <v/>
      </c>
      <c r="H226" t="str">
        <f t="shared" si="49"/>
        <v/>
      </c>
      <c r="I226" s="157" t="str">
        <f t="shared" si="50"/>
        <v/>
      </c>
      <c r="J226" s="157"/>
      <c r="K226" s="157" t="str">
        <f t="shared" si="51"/>
        <v/>
      </c>
      <c r="L226" s="157" t="str">
        <f t="shared" si="52"/>
        <v/>
      </c>
      <c r="M226" s="157"/>
      <c r="N226" s="157" t="str">
        <f t="shared" si="53"/>
        <v/>
      </c>
      <c r="O226" s="174" t="str">
        <f>Table132[[#This Row],[Combined List]]</f>
        <v/>
      </c>
      <c r="P226" s="157">
        <v>222</v>
      </c>
      <c r="Q226" s="174" t="str">
        <f t="shared" si="58"/>
        <v/>
      </c>
      <c r="R226" s="174" t="str">
        <f t="shared" si="59"/>
        <v/>
      </c>
      <c r="S226" s="174" t="str">
        <f t="shared" si="60"/>
        <v/>
      </c>
      <c r="T226" s="174" t="str">
        <f t="shared" si="61"/>
        <v/>
      </c>
      <c r="U226" s="174" t="str">
        <f t="shared" si="61"/>
        <v/>
      </c>
      <c r="V226" s="174" t="str">
        <f t="shared" si="57"/>
        <v/>
      </c>
      <c r="W226" s="174" t="str">
        <f>_xlfn.IFNA(VLOOKUP(T:T,'Example Logframe'!$B:$G,6,FALSE),"")</f>
        <v/>
      </c>
      <c r="X226" s="174" t="str">
        <f>_xlfn.IFNA(VLOOKUP(U:U,'Example Logframe'!$B:$G,6,FALSE),"")</f>
        <v/>
      </c>
      <c r="Y226" s="174" t="str">
        <f>_xlfn.IFNA(VLOOKUP(V:V,'Example Logframe'!$B:$G,6,FALSE),"")</f>
        <v/>
      </c>
      <c r="Z226">
        <v>222</v>
      </c>
      <c r="AD226" t="str">
        <f t="shared" si="63"/>
        <v/>
      </c>
      <c r="AE226" t="str">
        <f t="shared" si="63"/>
        <v/>
      </c>
      <c r="AF226" t="str">
        <f t="shared" si="62"/>
        <v/>
      </c>
    </row>
    <row r="227" spans="1:32" x14ac:dyDescent="0.35">
      <c r="A227">
        <f>INDEX('Example Logframe'!F:F,231,1)</f>
        <v>0</v>
      </c>
      <c r="B227" s="110">
        <v>2.5099999999999998</v>
      </c>
      <c r="C227" s="321">
        <f>INDEX('Example Logframe'!B:B,231,1)</f>
        <v>0</v>
      </c>
      <c r="D227" t="str">
        <f t="shared" si="54"/>
        <v/>
      </c>
      <c r="E227" t="str">
        <f t="shared" si="55"/>
        <v/>
      </c>
      <c r="F227" t="str">
        <f t="shared" si="48"/>
        <v/>
      </c>
      <c r="G227" t="str">
        <f t="shared" si="56"/>
        <v/>
      </c>
      <c r="H227" t="str">
        <f t="shared" si="49"/>
        <v/>
      </c>
      <c r="I227" s="157" t="str">
        <f t="shared" si="50"/>
        <v/>
      </c>
      <c r="J227" s="157"/>
      <c r="K227" s="157" t="str">
        <f t="shared" si="51"/>
        <v/>
      </c>
      <c r="L227" s="157" t="str">
        <f t="shared" si="52"/>
        <v/>
      </c>
      <c r="M227" s="157"/>
      <c r="N227" s="157" t="str">
        <f t="shared" si="53"/>
        <v/>
      </c>
      <c r="O227" s="174" t="str">
        <f>Table132[[#This Row],[Combined List]]</f>
        <v/>
      </c>
      <c r="P227" s="157">
        <v>223</v>
      </c>
      <c r="Q227" s="174" t="str">
        <f t="shared" si="58"/>
        <v/>
      </c>
      <c r="R227" s="174" t="str">
        <f t="shared" si="59"/>
        <v/>
      </c>
      <c r="S227" s="174" t="str">
        <f t="shared" si="60"/>
        <v/>
      </c>
      <c r="T227" s="174" t="str">
        <f t="shared" si="61"/>
        <v/>
      </c>
      <c r="U227" s="174" t="str">
        <f t="shared" si="61"/>
        <v/>
      </c>
      <c r="V227" s="174" t="str">
        <f t="shared" si="57"/>
        <v/>
      </c>
      <c r="W227" s="174" t="str">
        <f>_xlfn.IFNA(VLOOKUP(T:T,'Example Logframe'!$B:$G,6,FALSE),"")</f>
        <v/>
      </c>
      <c r="X227" s="174" t="str">
        <f>_xlfn.IFNA(VLOOKUP(U:U,'Example Logframe'!$B:$G,6,FALSE),"")</f>
        <v/>
      </c>
      <c r="Y227" s="174" t="str">
        <f>_xlfn.IFNA(VLOOKUP(V:V,'Example Logframe'!$B:$G,6,FALSE),"")</f>
        <v/>
      </c>
      <c r="Z227">
        <v>223</v>
      </c>
      <c r="AD227" t="str">
        <f t="shared" si="63"/>
        <v/>
      </c>
      <c r="AE227" t="str">
        <f t="shared" si="63"/>
        <v/>
      </c>
      <c r="AF227" t="str">
        <f t="shared" si="62"/>
        <v/>
      </c>
    </row>
    <row r="228" spans="1:32" x14ac:dyDescent="0.35">
      <c r="A228">
        <f>INDEX('Example Logframe'!F:F,231,1)</f>
        <v>0</v>
      </c>
      <c r="B228" s="110">
        <v>2.52</v>
      </c>
      <c r="C228" s="321">
        <f>INDEX('Example Logframe'!B:B,231,1)</f>
        <v>0</v>
      </c>
      <c r="D228" t="str">
        <f t="shared" si="54"/>
        <v/>
      </c>
      <c r="E228" t="str">
        <f t="shared" si="55"/>
        <v/>
      </c>
      <c r="F228" t="str">
        <f t="shared" si="48"/>
        <v/>
      </c>
      <c r="G228" t="str">
        <f t="shared" si="56"/>
        <v/>
      </c>
      <c r="H228" t="str">
        <f t="shared" si="49"/>
        <v/>
      </c>
      <c r="I228" s="157" t="str">
        <f t="shared" si="50"/>
        <v/>
      </c>
      <c r="J228" s="157"/>
      <c r="K228" s="157" t="str">
        <f t="shared" si="51"/>
        <v/>
      </c>
      <c r="L228" s="157" t="str">
        <f t="shared" si="52"/>
        <v/>
      </c>
      <c r="M228" s="157"/>
      <c r="N228" s="157" t="str">
        <f t="shared" si="53"/>
        <v/>
      </c>
      <c r="O228" s="174" t="str">
        <f>Table132[[#This Row],[Combined List]]</f>
        <v/>
      </c>
      <c r="P228" s="157">
        <v>224</v>
      </c>
      <c r="Q228" s="174" t="str">
        <f t="shared" si="58"/>
        <v/>
      </c>
      <c r="R228" s="174" t="str">
        <f t="shared" si="59"/>
        <v/>
      </c>
      <c r="S228" s="174" t="str">
        <f t="shared" si="60"/>
        <v/>
      </c>
      <c r="T228" s="174" t="str">
        <f t="shared" si="61"/>
        <v/>
      </c>
      <c r="U228" s="174" t="str">
        <f t="shared" si="61"/>
        <v/>
      </c>
      <c r="V228" s="174" t="str">
        <f t="shared" si="57"/>
        <v/>
      </c>
      <c r="W228" s="174" t="str">
        <f>_xlfn.IFNA(VLOOKUP(T:T,'Example Logframe'!$B:$G,6,FALSE),"")</f>
        <v/>
      </c>
      <c r="X228" s="174" t="str">
        <f>_xlfn.IFNA(VLOOKUP(U:U,'Example Logframe'!$B:$G,6,FALSE),"")</f>
        <v/>
      </c>
      <c r="Y228" s="174" t="str">
        <f>_xlfn.IFNA(VLOOKUP(V:V,'Example Logframe'!$B:$G,6,FALSE),"")</f>
        <v/>
      </c>
      <c r="Z228">
        <v>224</v>
      </c>
      <c r="AD228" t="str">
        <f t="shared" si="63"/>
        <v/>
      </c>
      <c r="AE228" t="str">
        <f t="shared" si="63"/>
        <v/>
      </c>
      <c r="AF228" t="str">
        <f t="shared" si="62"/>
        <v/>
      </c>
    </row>
  </sheetData>
  <pageMargins left="0.7" right="0.7" top="0.75" bottom="0.75" header="0.3" footer="0.3"/>
  <pageSetup orientation="portrait" r:id="rId4"/>
  <drawing r:id="rId5"/>
  <legacyDrawing r:id="rId6"/>
  <tableParts count="2">
    <tablePart r:id="rId7"/>
    <tablePart r:id="rId8"/>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J228"/>
  <sheetViews>
    <sheetView topLeftCell="AA1" workbookViewId="0">
      <selection activeCell="M1" sqref="M1"/>
    </sheetView>
  </sheetViews>
  <sheetFormatPr defaultRowHeight="14.5" x14ac:dyDescent="0.35"/>
  <cols>
    <col min="1" max="1" width="22.7265625" customWidth="1"/>
    <col min="3" max="3" width="17" style="321" customWidth="1"/>
    <col min="4" max="13" width="15" customWidth="1"/>
    <col min="14" max="14" width="15.7265625" customWidth="1"/>
    <col min="15" max="22" width="15" customWidth="1"/>
    <col min="23" max="24" width="20.1796875" bestFit="1" customWidth="1"/>
    <col min="25" max="25" width="15" customWidth="1"/>
    <col min="27" max="29" width="12.7265625" bestFit="1" customWidth="1"/>
    <col min="30" max="32" width="13.1796875" customWidth="1"/>
    <col min="33" max="33" width="16.26953125" customWidth="1"/>
    <col min="34" max="34" width="4.26953125" customWidth="1"/>
    <col min="35" max="36" width="11.26953125" customWidth="1"/>
    <col min="37" max="41" width="8.1796875" customWidth="1"/>
    <col min="42" max="42" width="16.26953125" bestFit="1" customWidth="1"/>
    <col min="43" max="43" width="5.81640625" customWidth="1"/>
    <col min="44" max="44" width="10" bestFit="1" customWidth="1"/>
    <col min="45" max="45" width="13.1796875" bestFit="1" customWidth="1"/>
    <col min="46" max="46" width="10" bestFit="1" customWidth="1"/>
    <col min="47" max="47" width="13.1796875" bestFit="1" customWidth="1"/>
    <col min="48" max="48" width="10" bestFit="1" customWidth="1"/>
    <col min="49" max="49" width="13.1796875" bestFit="1" customWidth="1"/>
    <col min="50" max="50" width="10" bestFit="1" customWidth="1"/>
    <col min="51" max="51" width="13.1796875" bestFit="1" customWidth="1"/>
    <col min="52" max="52" width="10" bestFit="1" customWidth="1"/>
    <col min="53" max="53" width="13.1796875" bestFit="1" customWidth="1"/>
    <col min="54" max="54" width="10" bestFit="1" customWidth="1"/>
    <col min="55" max="55" width="13.1796875" bestFit="1" customWidth="1"/>
    <col min="56" max="56" width="10" bestFit="1" customWidth="1"/>
    <col min="57" max="57" width="13.1796875" bestFit="1" customWidth="1"/>
    <col min="58" max="58" width="10" bestFit="1" customWidth="1"/>
    <col min="59" max="59" width="13.1796875" bestFit="1" customWidth="1"/>
    <col min="60" max="60" width="10" bestFit="1" customWidth="1"/>
    <col min="61" max="61" width="13.1796875" bestFit="1" customWidth="1"/>
  </cols>
  <sheetData>
    <row r="1" spans="1:36" ht="29" x14ac:dyDescent="0.35">
      <c r="A1" s="299" t="s">
        <v>517</v>
      </c>
      <c r="B1" s="3" t="s">
        <v>443</v>
      </c>
      <c r="C1" s="323" t="s">
        <v>518</v>
      </c>
      <c r="D1" s="158" t="s">
        <v>445</v>
      </c>
      <c r="E1" s="158" t="s">
        <v>446</v>
      </c>
      <c r="F1" s="158" t="s">
        <v>447</v>
      </c>
      <c r="G1" s="158" t="s">
        <v>448</v>
      </c>
      <c r="H1" s="158" t="s">
        <v>449</v>
      </c>
      <c r="I1" s="159" t="s">
        <v>450</v>
      </c>
      <c r="J1" s="169" t="s">
        <v>451</v>
      </c>
      <c r="K1" s="173" t="s">
        <v>445</v>
      </c>
      <c r="L1" s="173" t="s">
        <v>446</v>
      </c>
      <c r="M1" s="173" t="s">
        <v>384</v>
      </c>
      <c r="N1" s="173" t="s">
        <v>450</v>
      </c>
      <c r="O1" s="173" t="s">
        <v>452</v>
      </c>
      <c r="P1" s="325"/>
      <c r="Q1" s="173"/>
      <c r="R1" s="173"/>
      <c r="S1" s="173"/>
      <c r="T1" s="173"/>
      <c r="U1" s="173"/>
      <c r="V1" s="173"/>
      <c r="W1" s="173"/>
      <c r="X1" s="173"/>
      <c r="Y1" s="173"/>
      <c r="AA1" s="170" t="s">
        <v>519</v>
      </c>
    </row>
    <row r="2" spans="1:36" x14ac:dyDescent="0.35">
      <c r="A2">
        <f>INDEX(Logframe!F:F,6,1)</f>
        <v>0</v>
      </c>
      <c r="B2" s="3">
        <v>0.01</v>
      </c>
      <c r="C2" s="321" t="str">
        <f>INDEX(Logframe!B:B,6,1)</f>
        <v>0</v>
      </c>
      <c r="D2" t="str">
        <f>IF(LEFT(A2,1)="B",A2,"")</f>
        <v/>
      </c>
      <c r="E2" t="str">
        <f>IF(LEN(IF(LEFT(A2,1)="P",A2,""))=7,IF(LEFT(A2,1)="P",A2,""),"")</f>
        <v/>
      </c>
      <c r="F2" t="str">
        <f t="shared" ref="F2:F65" si="0">IF(ISNUMBER(SEARCH("Code",A:A)),"",IF(LEN(A2)=4,A2,""))</f>
        <v/>
      </c>
      <c r="G2" t="str">
        <f>IF(LEN(A2)=3,A2,"")</f>
        <v/>
      </c>
      <c r="H2" t="str">
        <f t="shared" ref="H2:H65" si="1">IF(LEN(A2)=5,A2,"")</f>
        <v/>
      </c>
      <c r="I2" s="157" t="str">
        <f t="shared" ref="I2:I65" si="2">CONCATENATE(F:F,G:G,H:H)</f>
        <v/>
      </c>
      <c r="J2" s="157"/>
      <c r="K2" s="157" t="str">
        <f t="shared" ref="K2:K65" si="3">IF(LEN(CONCATENATE(B:B,D:D))&gt;4,CONCATENATE(B:B,D:D),"")</f>
        <v/>
      </c>
      <c r="L2" s="157" t="str">
        <f t="shared" ref="L2:L65" si="4">IF(LEN(CONCATENATE(B:B,E:E))&gt;4,CONCATENATE(B:B,E:E),"")</f>
        <v/>
      </c>
      <c r="M2" s="157"/>
      <c r="N2" s="157" t="str">
        <f t="shared" ref="N2:N65" si="5">IF(LEN(CONCATENATE(B:B,I:I))&gt;4,CONCATENATE(B:B,I:I),"")</f>
        <v/>
      </c>
      <c r="O2" s="174" t="str">
        <f>Table13[[#This Row],[Combined List]]</f>
        <v/>
      </c>
      <c r="P2" s="157"/>
      <c r="Q2" s="174"/>
      <c r="R2" s="174"/>
      <c r="S2" s="174"/>
      <c r="T2" s="174"/>
      <c r="U2" s="174"/>
      <c r="V2" s="174"/>
      <c r="W2" s="174"/>
      <c r="X2" s="174"/>
      <c r="Y2" s="174"/>
      <c r="AA2" s="169" t="s">
        <v>454</v>
      </c>
    </row>
    <row r="3" spans="1:36" x14ac:dyDescent="0.35">
      <c r="A3">
        <f>INDEX(Logframe!F:F,7,1)</f>
        <v>0</v>
      </c>
      <c r="B3" s="3">
        <v>0.02</v>
      </c>
      <c r="C3" s="321" t="str">
        <f>INDEX(Logframe!B:B,7,1)</f>
        <v>0</v>
      </c>
      <c r="D3" t="str">
        <f t="shared" ref="D3:D66" si="6">IF(LEFT(A3,1)="B",A3,"")</f>
        <v/>
      </c>
      <c r="E3" t="str">
        <f t="shared" ref="E3:E66" si="7">IF(LEN(IF(LEFT(A3,1)="P",A3,""))=7,IF(LEFT(A3,1)="P",A3,""),"")</f>
        <v/>
      </c>
      <c r="F3" t="str">
        <f t="shared" si="0"/>
        <v/>
      </c>
      <c r="G3" t="str">
        <f t="shared" ref="G3:G66" si="8">IF(LEN(A3)=3,A3,"")</f>
        <v/>
      </c>
      <c r="H3" t="str">
        <f t="shared" si="1"/>
        <v/>
      </c>
      <c r="I3" s="157" t="str">
        <f t="shared" si="2"/>
        <v/>
      </c>
      <c r="J3" s="157"/>
      <c r="K3" s="157" t="str">
        <f t="shared" si="3"/>
        <v/>
      </c>
      <c r="L3" s="157" t="str">
        <f t="shared" si="4"/>
        <v/>
      </c>
      <c r="M3" s="157"/>
      <c r="N3" s="157" t="str">
        <f t="shared" si="5"/>
        <v/>
      </c>
      <c r="O3" s="174" t="str">
        <f>Table13[[#This Row],[Combined List]]</f>
        <v/>
      </c>
      <c r="P3" s="157"/>
      <c r="Q3" s="175" t="s">
        <v>455</v>
      </c>
      <c r="R3" s="175" t="s">
        <v>456</v>
      </c>
      <c r="S3" s="3" t="s">
        <v>450</v>
      </c>
      <c r="T3" s="175" t="s">
        <v>455</v>
      </c>
      <c r="U3" s="324" t="s">
        <v>456</v>
      </c>
      <c r="V3" s="3" t="s">
        <v>450</v>
      </c>
      <c r="W3" s="175" t="s">
        <v>457</v>
      </c>
      <c r="X3" s="324" t="s">
        <v>458</v>
      </c>
      <c r="Y3" s="3" t="s">
        <v>450</v>
      </c>
      <c r="AA3" s="153" t="s">
        <v>459</v>
      </c>
      <c r="AB3" s="153" t="s">
        <v>459</v>
      </c>
      <c r="AC3" s="153" t="s">
        <v>459</v>
      </c>
      <c r="AD3" s="175" t="s">
        <v>445</v>
      </c>
      <c r="AE3" s="175" t="s">
        <v>446</v>
      </c>
      <c r="AF3" s="3" t="s">
        <v>450</v>
      </c>
      <c r="AG3" s="170" t="s">
        <v>460</v>
      </c>
    </row>
    <row r="4" spans="1:36" x14ac:dyDescent="0.35">
      <c r="A4">
        <f>INDEX(Logframe!F:F,8,1)</f>
        <v>0</v>
      </c>
      <c r="B4" s="3">
        <v>0.03</v>
      </c>
      <c r="C4" s="321" t="str">
        <f>INDEX(Logframe!B:B,8,1)</f>
        <v>0</v>
      </c>
      <c r="D4" t="str">
        <f t="shared" si="6"/>
        <v/>
      </c>
      <c r="E4" t="str">
        <f t="shared" si="7"/>
        <v/>
      </c>
      <c r="F4" t="str">
        <f t="shared" si="0"/>
        <v/>
      </c>
      <c r="G4" t="str">
        <f t="shared" si="8"/>
        <v/>
      </c>
      <c r="H4" t="str">
        <f t="shared" si="1"/>
        <v/>
      </c>
      <c r="I4" s="157" t="str">
        <f t="shared" si="2"/>
        <v/>
      </c>
      <c r="J4" s="157"/>
      <c r="K4" s="157" t="str">
        <f t="shared" si="3"/>
        <v/>
      </c>
      <c r="L4" s="157" t="str">
        <f t="shared" si="4"/>
        <v/>
      </c>
      <c r="M4" s="157"/>
      <c r="N4" s="157" t="str">
        <f t="shared" si="5"/>
        <v/>
      </c>
      <c r="O4" s="174" t="str">
        <f>Table13[[#This Row],[Combined List]]</f>
        <v/>
      </c>
      <c r="P4" s="157"/>
      <c r="Q4" s="174"/>
      <c r="R4" s="174"/>
      <c r="S4" s="174"/>
      <c r="T4" s="174"/>
      <c r="U4" s="174"/>
      <c r="V4" s="174"/>
      <c r="W4" s="174"/>
      <c r="X4" s="174"/>
      <c r="Y4" s="174"/>
      <c r="AA4" s="154"/>
      <c r="AB4" s="154"/>
      <c r="AC4" s="154"/>
      <c r="AG4" s="170" t="s">
        <v>461</v>
      </c>
    </row>
    <row r="5" spans="1:36" x14ac:dyDescent="0.35">
      <c r="A5">
        <f>INDEX(Logframe!F:F,9,1)</f>
        <v>0</v>
      </c>
      <c r="B5" s="3">
        <v>0.04</v>
      </c>
      <c r="C5" s="321" t="str">
        <f>INDEX(Logframe!B:B,9,1)</f>
        <v>0</v>
      </c>
      <c r="D5" t="str">
        <f t="shared" si="6"/>
        <v/>
      </c>
      <c r="E5" t="str">
        <f t="shared" si="7"/>
        <v/>
      </c>
      <c r="F5" t="str">
        <f t="shared" si="0"/>
        <v/>
      </c>
      <c r="G5" t="str">
        <f t="shared" si="8"/>
        <v/>
      </c>
      <c r="H5" t="str">
        <f t="shared" si="1"/>
        <v/>
      </c>
      <c r="I5" s="157" t="str">
        <f t="shared" si="2"/>
        <v/>
      </c>
      <c r="J5" s="157"/>
      <c r="K5" s="157" t="str">
        <f t="shared" si="3"/>
        <v/>
      </c>
      <c r="L5" s="157" t="str">
        <f t="shared" si="4"/>
        <v/>
      </c>
      <c r="M5" s="157"/>
      <c r="N5" s="157" t="str">
        <f t="shared" si="5"/>
        <v/>
      </c>
      <c r="O5" s="174" t="str">
        <f>Table13[[#This Row],[Combined List]]</f>
        <v/>
      </c>
      <c r="P5" s="157">
        <v>1</v>
      </c>
      <c r="Q5" s="174" t="str">
        <f>IFERROR(VALUE(LEFT(AA:AA,4)),"")</f>
        <v/>
      </c>
      <c r="R5" s="174" t="str">
        <f t="shared" ref="R5:S20" si="9">IFERROR(VALUE(LEFT(AB:AB,4)),"")</f>
        <v/>
      </c>
      <c r="S5" s="174" t="str">
        <f t="shared" si="9"/>
        <v/>
      </c>
      <c r="T5" s="174" t="str">
        <f>_xlfn.IFNA(VLOOKUP(Q:Q,$B:$C,2,FALSE),"")</f>
        <v/>
      </c>
      <c r="U5" s="174" t="str">
        <f>_xlfn.IFNA(VLOOKUP(R:R,$B:$C,2,FALSE),"")</f>
        <v/>
      </c>
      <c r="V5" s="174" t="str">
        <f>_xlfn.IFNA(VLOOKUP(S:S,$B:$C,2,FALSE),"")</f>
        <v/>
      </c>
      <c r="W5" s="174" t="str">
        <f>_xlfn.IFNA(VLOOKUP(T:T,Logframe!$B:$G,6,FALSE),"")</f>
        <v/>
      </c>
      <c r="X5" s="174" t="str">
        <f>_xlfn.IFNA(VLOOKUP(U:U,Logframe!$B:$G,6,FALSE),"")</f>
        <v/>
      </c>
      <c r="Y5" s="174" t="str">
        <f>_xlfn.IFNA(VLOOKUP(V:V,Logframe!$B:$G,6,FALSE),"")</f>
        <v/>
      </c>
      <c r="Z5">
        <v>1</v>
      </c>
      <c r="AD5" t="str">
        <f>RIGHT(AA:AA,7)</f>
        <v/>
      </c>
      <c r="AE5" t="str">
        <f>RIGHT(AB:AB,7)</f>
        <v/>
      </c>
      <c r="AF5" t="str">
        <f t="shared" ref="AF5:AF68" si="10">_xlfn.IFNA(VLOOKUP(AC:AC,N:O,2,FALSE),"")</f>
        <v/>
      </c>
    </row>
    <row r="6" spans="1:36" x14ac:dyDescent="0.35">
      <c r="A6">
        <f>INDEX(Logframe!F:F,10,1)</f>
        <v>0</v>
      </c>
      <c r="B6" s="3">
        <v>0.05</v>
      </c>
      <c r="C6" s="321" t="str">
        <f>INDEX(Logframe!B:B,10,1)</f>
        <v>0</v>
      </c>
      <c r="D6" t="str">
        <f t="shared" si="6"/>
        <v/>
      </c>
      <c r="E6" t="str">
        <f t="shared" si="7"/>
        <v/>
      </c>
      <c r="F6" t="str">
        <f t="shared" si="0"/>
        <v/>
      </c>
      <c r="G6" t="str">
        <f t="shared" si="8"/>
        <v/>
      </c>
      <c r="H6" t="str">
        <f t="shared" si="1"/>
        <v/>
      </c>
      <c r="I6" s="157" t="str">
        <f t="shared" si="2"/>
        <v/>
      </c>
      <c r="J6" s="157"/>
      <c r="K6" s="157" t="str">
        <f t="shared" si="3"/>
        <v/>
      </c>
      <c r="L6" s="157" t="str">
        <f t="shared" si="4"/>
        <v/>
      </c>
      <c r="M6" s="157"/>
      <c r="N6" s="157" t="str">
        <f t="shared" si="5"/>
        <v/>
      </c>
      <c r="O6" s="174" t="str">
        <f>Table13[[#This Row],[Combined List]]</f>
        <v/>
      </c>
      <c r="P6" s="157">
        <v>2</v>
      </c>
      <c r="Q6" s="174" t="str">
        <f t="shared" ref="Q6:S69" si="11">IFERROR(VALUE(LEFT(AA:AA,4)),"")</f>
        <v/>
      </c>
      <c r="R6" s="174" t="str">
        <f t="shared" si="9"/>
        <v/>
      </c>
      <c r="S6" s="174" t="str">
        <f t="shared" si="9"/>
        <v/>
      </c>
      <c r="T6" s="174" t="str">
        <f t="shared" ref="T6:T69" si="12">_xlfn.IFNA(VLOOKUP(Q:Q,$B:$C,2,FALSE),"")</f>
        <v/>
      </c>
      <c r="U6" s="174" t="str">
        <f t="shared" ref="U6:U69" si="13">_xlfn.IFNA(VLOOKUP(R:R,$B:$C,2,FALSE),"")</f>
        <v/>
      </c>
      <c r="V6" s="174" t="str">
        <f t="shared" ref="V6:V69" si="14">_xlfn.IFNA(VLOOKUP(S:S,$B:$C,2,FALSE),"")</f>
        <v/>
      </c>
      <c r="W6" s="174" t="str">
        <f>_xlfn.IFNA(VLOOKUP(T:T,Logframe!$B:$G,6,FALSE),"")</f>
        <v/>
      </c>
      <c r="X6" s="174" t="str">
        <f>_xlfn.IFNA(VLOOKUP(U:U,Logframe!$B:$G,6,FALSE),"")</f>
        <v/>
      </c>
      <c r="Y6" s="174" t="str">
        <f>_xlfn.IFNA(VLOOKUP(V:V,Logframe!$B:$G,6,FALSE),"")</f>
        <v/>
      </c>
      <c r="Z6">
        <v>2</v>
      </c>
      <c r="AD6" t="str">
        <f t="shared" ref="AD6:AE21" si="15">RIGHT(AA:AA,7)</f>
        <v/>
      </c>
      <c r="AE6" t="str">
        <f t="shared" si="15"/>
        <v/>
      </c>
      <c r="AF6" t="str">
        <f t="shared" si="10"/>
        <v/>
      </c>
      <c r="AI6" s="171" t="s">
        <v>468</v>
      </c>
      <c r="AJ6" s="169"/>
    </row>
    <row r="7" spans="1:36" x14ac:dyDescent="0.35">
      <c r="A7">
        <f>INDEX(Logframe!F:F,11,1)</f>
        <v>0</v>
      </c>
      <c r="B7" s="3">
        <v>0.06</v>
      </c>
      <c r="C7" s="321" t="str">
        <f>INDEX(Logframe!B:B,11,1)</f>
        <v>0</v>
      </c>
      <c r="D7" t="str">
        <f t="shared" si="6"/>
        <v/>
      </c>
      <c r="E7" t="str">
        <f t="shared" si="7"/>
        <v/>
      </c>
      <c r="F7" t="str">
        <f t="shared" si="0"/>
        <v/>
      </c>
      <c r="G7" t="str">
        <f t="shared" si="8"/>
        <v/>
      </c>
      <c r="H7" t="str">
        <f t="shared" si="1"/>
        <v/>
      </c>
      <c r="I7" s="157" t="str">
        <f t="shared" si="2"/>
        <v/>
      </c>
      <c r="J7" s="157"/>
      <c r="K7" s="157" t="str">
        <f t="shared" si="3"/>
        <v/>
      </c>
      <c r="L7" s="157" t="str">
        <f t="shared" si="4"/>
        <v/>
      </c>
      <c r="M7" s="157"/>
      <c r="N7" s="157" t="str">
        <f t="shared" si="5"/>
        <v/>
      </c>
      <c r="O7" s="174" t="str">
        <f>Table13[[#This Row],[Combined List]]</f>
        <v/>
      </c>
      <c r="P7" s="157">
        <v>3</v>
      </c>
      <c r="Q7" s="174" t="str">
        <f t="shared" si="11"/>
        <v/>
      </c>
      <c r="R7" s="174" t="str">
        <f t="shared" si="9"/>
        <v/>
      </c>
      <c r="S7" s="174" t="str">
        <f t="shared" si="9"/>
        <v/>
      </c>
      <c r="T7" s="174" t="str">
        <f t="shared" si="12"/>
        <v/>
      </c>
      <c r="U7" s="174" t="str">
        <f t="shared" si="13"/>
        <v/>
      </c>
      <c r="V7" s="174" t="str">
        <f t="shared" si="14"/>
        <v/>
      </c>
      <c r="W7" s="174" t="str">
        <f>_xlfn.IFNA(VLOOKUP(T:T,Logframe!$B:$G,6,FALSE),"")</f>
        <v/>
      </c>
      <c r="X7" s="174" t="str">
        <f>_xlfn.IFNA(VLOOKUP(U:U,Logframe!$B:$G,6,FALSE),"")</f>
        <v/>
      </c>
      <c r="Y7" s="174" t="str">
        <f>_xlfn.IFNA(VLOOKUP(V:V,Logframe!$B:$G,6,FALSE),"")</f>
        <v/>
      </c>
      <c r="Z7">
        <v>3</v>
      </c>
      <c r="AD7" t="str">
        <f t="shared" si="15"/>
        <v/>
      </c>
      <c r="AE7" t="str">
        <f t="shared" si="15"/>
        <v/>
      </c>
      <c r="AF7" t="str">
        <f t="shared" si="10"/>
        <v/>
      </c>
      <c r="AI7" s="171" t="s">
        <v>472</v>
      </c>
      <c r="AJ7" s="171" t="s">
        <v>473</v>
      </c>
    </row>
    <row r="8" spans="1:36" x14ac:dyDescent="0.35">
      <c r="A8">
        <f>INDEX(Logframe!F:F,12,1)</f>
        <v>0</v>
      </c>
      <c r="B8" s="3">
        <v>7.0000000000000007E-2</v>
      </c>
      <c r="C8" s="321" t="str">
        <f>INDEX(Logframe!B:B,12,1)</f>
        <v>0</v>
      </c>
      <c r="D8" t="str">
        <f t="shared" si="6"/>
        <v/>
      </c>
      <c r="E8" t="str">
        <f t="shared" si="7"/>
        <v/>
      </c>
      <c r="F8" t="str">
        <f t="shared" si="0"/>
        <v/>
      </c>
      <c r="G8" t="str">
        <f t="shared" si="8"/>
        <v/>
      </c>
      <c r="H8" t="str">
        <f t="shared" si="1"/>
        <v/>
      </c>
      <c r="I8" s="157" t="str">
        <f t="shared" si="2"/>
        <v/>
      </c>
      <c r="J8" s="157"/>
      <c r="K8" s="157" t="str">
        <f t="shared" si="3"/>
        <v/>
      </c>
      <c r="L8" s="157" t="str">
        <f t="shared" si="4"/>
        <v/>
      </c>
      <c r="M8" s="157"/>
      <c r="N8" s="157" t="str">
        <f t="shared" si="5"/>
        <v/>
      </c>
      <c r="O8" s="174" t="str">
        <f>Table13[[#This Row],[Combined List]]</f>
        <v/>
      </c>
      <c r="P8" s="157">
        <v>4</v>
      </c>
      <c r="Q8" s="174" t="str">
        <f t="shared" si="11"/>
        <v/>
      </c>
      <c r="R8" s="174" t="str">
        <f t="shared" si="9"/>
        <v/>
      </c>
      <c r="S8" s="174" t="str">
        <f t="shared" si="9"/>
        <v/>
      </c>
      <c r="T8" s="174" t="str">
        <f t="shared" si="12"/>
        <v/>
      </c>
      <c r="U8" s="174" t="str">
        <f t="shared" si="13"/>
        <v/>
      </c>
      <c r="V8" s="174" t="str">
        <f t="shared" si="14"/>
        <v/>
      </c>
      <c r="W8" s="174" t="str">
        <f>_xlfn.IFNA(VLOOKUP(T:T,Logframe!$B:$G,6,FALSE),"")</f>
        <v/>
      </c>
      <c r="X8" s="174" t="str">
        <f>_xlfn.IFNA(VLOOKUP(U:U,Logframe!$B:$G,6,FALSE),"")</f>
        <v/>
      </c>
      <c r="Y8" s="174" t="str">
        <f>_xlfn.IFNA(VLOOKUP(V:V,Logframe!$B:$G,6,FALSE),"")</f>
        <v/>
      </c>
      <c r="Z8">
        <v>4</v>
      </c>
      <c r="AD8" t="str">
        <f t="shared" si="15"/>
        <v/>
      </c>
      <c r="AE8" t="str">
        <f t="shared" si="15"/>
        <v/>
      </c>
      <c r="AF8" t="str">
        <f t="shared" si="10"/>
        <v/>
      </c>
      <c r="AI8" s="171" t="s">
        <v>477</v>
      </c>
      <c r="AJ8" s="171" t="s">
        <v>478</v>
      </c>
    </row>
    <row r="9" spans="1:36" x14ac:dyDescent="0.35">
      <c r="A9">
        <f>INDEX(Logframe!F:F,13,1)</f>
        <v>0</v>
      </c>
      <c r="B9" s="3">
        <v>0.08</v>
      </c>
      <c r="C9" s="321" t="str">
        <f>INDEX(Logframe!B:B,13,1)</f>
        <v>0</v>
      </c>
      <c r="D9" t="str">
        <f t="shared" si="6"/>
        <v/>
      </c>
      <c r="E9" t="str">
        <f t="shared" si="7"/>
        <v/>
      </c>
      <c r="F9" t="str">
        <f t="shared" si="0"/>
        <v/>
      </c>
      <c r="G9" t="str">
        <f t="shared" si="8"/>
        <v/>
      </c>
      <c r="H9" t="str">
        <f t="shared" si="1"/>
        <v/>
      </c>
      <c r="I9" s="157" t="str">
        <f t="shared" si="2"/>
        <v/>
      </c>
      <c r="J9" s="157"/>
      <c r="K9" s="157" t="str">
        <f t="shared" si="3"/>
        <v/>
      </c>
      <c r="L9" s="157" t="str">
        <f t="shared" si="4"/>
        <v/>
      </c>
      <c r="M9" s="157"/>
      <c r="N9" s="157" t="str">
        <f t="shared" si="5"/>
        <v/>
      </c>
      <c r="O9" s="174" t="str">
        <f>Table13[[#This Row],[Combined List]]</f>
        <v/>
      </c>
      <c r="P9" s="157">
        <v>5</v>
      </c>
      <c r="Q9" s="174" t="str">
        <f t="shared" si="11"/>
        <v/>
      </c>
      <c r="R9" s="174" t="str">
        <f t="shared" si="9"/>
        <v/>
      </c>
      <c r="S9" s="174" t="str">
        <f t="shared" si="9"/>
        <v/>
      </c>
      <c r="T9" s="174" t="str">
        <f t="shared" si="12"/>
        <v/>
      </c>
      <c r="U9" s="174" t="str">
        <f t="shared" si="13"/>
        <v/>
      </c>
      <c r="V9" s="174" t="str">
        <f t="shared" si="14"/>
        <v/>
      </c>
      <c r="W9" s="174" t="str">
        <f>_xlfn.IFNA(VLOOKUP(T:T,Logframe!$B:$G,6,FALSE),"")</f>
        <v/>
      </c>
      <c r="X9" s="174" t="str">
        <f>_xlfn.IFNA(VLOOKUP(U:U,Logframe!$B:$G,6,FALSE),"")</f>
        <v/>
      </c>
      <c r="Y9" s="174" t="str">
        <f>_xlfn.IFNA(VLOOKUP(V:V,Logframe!$B:$G,6,FALSE),"")</f>
        <v/>
      </c>
      <c r="Z9">
        <v>5</v>
      </c>
      <c r="AD9" t="str">
        <f t="shared" si="15"/>
        <v/>
      </c>
      <c r="AE9" t="str">
        <f t="shared" si="15"/>
        <v/>
      </c>
      <c r="AF9" t="str">
        <f t="shared" si="10"/>
        <v/>
      </c>
      <c r="AI9" s="171" t="s">
        <v>482</v>
      </c>
      <c r="AJ9" s="171" t="s">
        <v>483</v>
      </c>
    </row>
    <row r="10" spans="1:36" x14ac:dyDescent="0.35">
      <c r="A10">
        <f>INDEX(Logframe!F:F,14,1)</f>
        <v>0</v>
      </c>
      <c r="B10" s="3">
        <v>0.09</v>
      </c>
      <c r="C10" s="321" t="str">
        <f>INDEX(Logframe!B:B,14,1)</f>
        <v>0</v>
      </c>
      <c r="D10" t="str">
        <f t="shared" si="6"/>
        <v/>
      </c>
      <c r="E10" t="str">
        <f t="shared" si="7"/>
        <v/>
      </c>
      <c r="F10" t="str">
        <f t="shared" si="0"/>
        <v/>
      </c>
      <c r="G10" t="str">
        <f t="shared" si="8"/>
        <v/>
      </c>
      <c r="H10" t="str">
        <f t="shared" si="1"/>
        <v/>
      </c>
      <c r="I10" s="157" t="str">
        <f t="shared" si="2"/>
        <v/>
      </c>
      <c r="J10" s="157"/>
      <c r="K10" s="157" t="str">
        <f t="shared" si="3"/>
        <v/>
      </c>
      <c r="L10" s="157" t="str">
        <f t="shared" si="4"/>
        <v/>
      </c>
      <c r="M10" s="157"/>
      <c r="N10" s="157" t="str">
        <f t="shared" si="5"/>
        <v/>
      </c>
      <c r="O10" s="174" t="str">
        <f>Table13[[#This Row],[Combined List]]</f>
        <v/>
      </c>
      <c r="P10" s="157">
        <v>6</v>
      </c>
      <c r="Q10" s="174" t="str">
        <f t="shared" si="11"/>
        <v/>
      </c>
      <c r="R10" s="174" t="str">
        <f t="shared" si="9"/>
        <v/>
      </c>
      <c r="S10" s="174" t="str">
        <f t="shared" si="9"/>
        <v/>
      </c>
      <c r="T10" s="174" t="str">
        <f t="shared" si="12"/>
        <v/>
      </c>
      <c r="U10" s="174" t="str">
        <f t="shared" si="13"/>
        <v/>
      </c>
      <c r="V10" s="174" t="str">
        <f t="shared" si="14"/>
        <v/>
      </c>
      <c r="W10" s="174" t="str">
        <f>_xlfn.IFNA(VLOOKUP(T:T,Logframe!$B:$G,6,FALSE),"")</f>
        <v/>
      </c>
      <c r="X10" s="174" t="str">
        <f>_xlfn.IFNA(VLOOKUP(U:U,Logframe!$B:$G,6,FALSE),"")</f>
        <v/>
      </c>
      <c r="Y10" s="174" t="str">
        <f>_xlfn.IFNA(VLOOKUP(V:V,Logframe!$B:$G,6,FALSE),"")</f>
        <v/>
      </c>
      <c r="Z10">
        <v>6</v>
      </c>
      <c r="AD10" t="str">
        <f t="shared" si="15"/>
        <v/>
      </c>
      <c r="AE10" t="str">
        <f t="shared" si="15"/>
        <v/>
      </c>
      <c r="AF10" t="str">
        <f t="shared" si="10"/>
        <v/>
      </c>
      <c r="AI10" s="171" t="s">
        <v>486</v>
      </c>
      <c r="AJ10" s="171" t="s">
        <v>487</v>
      </c>
    </row>
    <row r="11" spans="1:36" x14ac:dyDescent="0.35">
      <c r="A11">
        <f>INDEX(Logframe!F:F,15,1)</f>
        <v>0</v>
      </c>
      <c r="B11" s="110">
        <v>0.11</v>
      </c>
      <c r="C11" s="321" t="str">
        <f>INDEX(Logframe!B:B,15,1)</f>
        <v>0</v>
      </c>
      <c r="D11" t="str">
        <f t="shared" si="6"/>
        <v/>
      </c>
      <c r="E11" t="str">
        <f t="shared" si="7"/>
        <v/>
      </c>
      <c r="F11" t="str">
        <f t="shared" si="0"/>
        <v/>
      </c>
      <c r="G11" t="str">
        <f t="shared" si="8"/>
        <v/>
      </c>
      <c r="H11" t="str">
        <f t="shared" si="1"/>
        <v/>
      </c>
      <c r="I11" s="157" t="str">
        <f t="shared" si="2"/>
        <v/>
      </c>
      <c r="J11" s="157"/>
      <c r="K11" s="157" t="str">
        <f t="shared" si="3"/>
        <v/>
      </c>
      <c r="L11" s="157" t="str">
        <f t="shared" si="4"/>
        <v/>
      </c>
      <c r="M11" s="157"/>
      <c r="N11" s="157" t="str">
        <f t="shared" si="5"/>
        <v/>
      </c>
      <c r="O11" s="174" t="str">
        <f>Table13[[#This Row],[Combined List]]</f>
        <v/>
      </c>
      <c r="P11" s="157">
        <v>7</v>
      </c>
      <c r="Q11" s="174" t="str">
        <f t="shared" si="11"/>
        <v/>
      </c>
      <c r="R11" s="174" t="str">
        <f t="shared" si="9"/>
        <v/>
      </c>
      <c r="S11" s="174" t="str">
        <f t="shared" si="9"/>
        <v/>
      </c>
      <c r="T11" s="174" t="str">
        <f t="shared" si="12"/>
        <v/>
      </c>
      <c r="U11" s="174" t="str">
        <f t="shared" si="13"/>
        <v/>
      </c>
      <c r="V11" s="174" t="str">
        <f t="shared" si="14"/>
        <v/>
      </c>
      <c r="W11" s="174" t="str">
        <f>_xlfn.IFNA(VLOOKUP(T:T,Logframe!$B:$G,6,FALSE),"")</f>
        <v/>
      </c>
      <c r="X11" s="174" t="str">
        <f>_xlfn.IFNA(VLOOKUP(U:U,Logframe!$B:$G,6,FALSE),"")</f>
        <v/>
      </c>
      <c r="Y11" s="174" t="str">
        <f>_xlfn.IFNA(VLOOKUP(V:V,Logframe!$B:$G,6,FALSE),"")</f>
        <v/>
      </c>
      <c r="Z11">
        <v>7</v>
      </c>
      <c r="AD11" t="str">
        <f t="shared" si="15"/>
        <v/>
      </c>
      <c r="AE11" t="str">
        <f t="shared" si="15"/>
        <v/>
      </c>
      <c r="AF11" t="str">
        <f t="shared" si="10"/>
        <v/>
      </c>
    </row>
    <row r="12" spans="1:36" x14ac:dyDescent="0.35">
      <c r="A12">
        <f>INDEX(Logframe!F:F,16,1)</f>
        <v>0</v>
      </c>
      <c r="B12" s="110">
        <v>0.12</v>
      </c>
      <c r="C12" s="321" t="str">
        <f>INDEX(Logframe!B:B,16,1)</f>
        <v>0</v>
      </c>
      <c r="D12" t="str">
        <f t="shared" si="6"/>
        <v/>
      </c>
      <c r="E12" t="str">
        <f t="shared" si="7"/>
        <v/>
      </c>
      <c r="F12" t="str">
        <f t="shared" si="0"/>
        <v/>
      </c>
      <c r="G12" t="str">
        <f t="shared" si="8"/>
        <v/>
      </c>
      <c r="H12" t="str">
        <f t="shared" si="1"/>
        <v/>
      </c>
      <c r="I12" s="157" t="str">
        <f t="shared" si="2"/>
        <v/>
      </c>
      <c r="J12" s="157"/>
      <c r="K12" s="157" t="str">
        <f t="shared" si="3"/>
        <v/>
      </c>
      <c r="L12" s="157" t="str">
        <f t="shared" si="4"/>
        <v/>
      </c>
      <c r="M12" s="157"/>
      <c r="N12" s="157" t="str">
        <f t="shared" si="5"/>
        <v/>
      </c>
      <c r="O12" s="174" t="str">
        <f>Table13[[#This Row],[Combined List]]</f>
        <v/>
      </c>
      <c r="P12" s="157">
        <v>8</v>
      </c>
      <c r="Q12" s="174" t="str">
        <f t="shared" si="11"/>
        <v/>
      </c>
      <c r="R12" s="174" t="str">
        <f t="shared" si="9"/>
        <v/>
      </c>
      <c r="S12" s="174" t="str">
        <f t="shared" si="9"/>
        <v/>
      </c>
      <c r="T12" s="174" t="str">
        <f t="shared" si="12"/>
        <v/>
      </c>
      <c r="U12" s="174" t="str">
        <f t="shared" si="13"/>
        <v/>
      </c>
      <c r="V12" s="174" t="str">
        <f t="shared" si="14"/>
        <v/>
      </c>
      <c r="W12" s="174" t="str">
        <f>_xlfn.IFNA(VLOOKUP(T:T,Logframe!$B:$G,6,FALSE),"")</f>
        <v/>
      </c>
      <c r="X12" s="174" t="str">
        <f>_xlfn.IFNA(VLOOKUP(U:U,Logframe!$B:$G,6,FALSE),"")</f>
        <v/>
      </c>
      <c r="Y12" s="174" t="str">
        <f>_xlfn.IFNA(VLOOKUP(V:V,Logframe!$B:$G,6,FALSE),"")</f>
        <v/>
      </c>
      <c r="Z12">
        <v>8</v>
      </c>
      <c r="AD12" t="str">
        <f t="shared" si="15"/>
        <v/>
      </c>
      <c r="AE12" t="str">
        <f t="shared" si="15"/>
        <v/>
      </c>
      <c r="AF12" t="str">
        <f t="shared" si="10"/>
        <v/>
      </c>
      <c r="AI12" s="169" t="s">
        <v>492</v>
      </c>
      <c r="AJ12" s="169"/>
    </row>
    <row r="13" spans="1:36" x14ac:dyDescent="0.35">
      <c r="A13">
        <f>INDEX(Logframe!F:F,17,1)</f>
        <v>0</v>
      </c>
      <c r="B13" s="110">
        <v>0.13</v>
      </c>
      <c r="C13" s="321" t="str">
        <f>INDEX(Logframe!B:B,17,1)</f>
        <v>0</v>
      </c>
      <c r="D13" t="str">
        <f t="shared" si="6"/>
        <v/>
      </c>
      <c r="E13" t="str">
        <f t="shared" si="7"/>
        <v/>
      </c>
      <c r="F13" t="str">
        <f t="shared" si="0"/>
        <v/>
      </c>
      <c r="G13" t="str">
        <f t="shared" si="8"/>
        <v/>
      </c>
      <c r="H13" t="str">
        <f t="shared" si="1"/>
        <v/>
      </c>
      <c r="I13" s="157" t="str">
        <f t="shared" si="2"/>
        <v/>
      </c>
      <c r="J13" s="157"/>
      <c r="K13" s="157" t="str">
        <f t="shared" si="3"/>
        <v/>
      </c>
      <c r="L13" s="157" t="str">
        <f t="shared" si="4"/>
        <v/>
      </c>
      <c r="M13" s="157"/>
      <c r="N13" s="157" t="str">
        <f t="shared" si="5"/>
        <v/>
      </c>
      <c r="O13" s="174" t="str">
        <f>Table13[[#This Row],[Combined List]]</f>
        <v/>
      </c>
      <c r="P13" s="157">
        <v>9</v>
      </c>
      <c r="Q13" s="174" t="str">
        <f t="shared" si="11"/>
        <v/>
      </c>
      <c r="R13" s="174" t="str">
        <f t="shared" si="9"/>
        <v/>
      </c>
      <c r="S13" s="174" t="str">
        <f t="shared" si="9"/>
        <v/>
      </c>
      <c r="T13" s="174" t="str">
        <f t="shared" si="12"/>
        <v/>
      </c>
      <c r="U13" s="174" t="str">
        <f t="shared" si="13"/>
        <v/>
      </c>
      <c r="V13" s="174" t="str">
        <f t="shared" si="14"/>
        <v/>
      </c>
      <c r="W13" s="174" t="str">
        <f>_xlfn.IFNA(VLOOKUP(T:T,Logframe!$B:$G,6,FALSE),"")</f>
        <v/>
      </c>
      <c r="X13" s="174" t="str">
        <f>_xlfn.IFNA(VLOOKUP(U:U,Logframe!$B:$G,6,FALSE),"")</f>
        <v/>
      </c>
      <c r="Y13" s="174" t="str">
        <f>_xlfn.IFNA(VLOOKUP(V:V,Logframe!$B:$G,6,FALSE),"")</f>
        <v/>
      </c>
      <c r="Z13">
        <v>9</v>
      </c>
      <c r="AD13" t="str">
        <f t="shared" si="15"/>
        <v/>
      </c>
      <c r="AE13" t="str">
        <f t="shared" si="15"/>
        <v/>
      </c>
      <c r="AF13" t="str">
        <f t="shared" si="10"/>
        <v/>
      </c>
      <c r="AI13" s="169" t="s">
        <v>495</v>
      </c>
      <c r="AJ13" s="169" t="s">
        <v>496</v>
      </c>
    </row>
    <row r="14" spans="1:36" x14ac:dyDescent="0.35">
      <c r="A14">
        <f>INDEX(Logframe!F:F,18,1)</f>
        <v>0</v>
      </c>
      <c r="B14" s="110">
        <v>0.14000000000000001</v>
      </c>
      <c r="C14" s="321" t="str">
        <f>INDEX(Logframe!B:B,18,1)</f>
        <v>0</v>
      </c>
      <c r="D14" t="str">
        <f t="shared" si="6"/>
        <v/>
      </c>
      <c r="E14" t="str">
        <f t="shared" si="7"/>
        <v/>
      </c>
      <c r="F14" t="str">
        <f t="shared" si="0"/>
        <v/>
      </c>
      <c r="G14" t="str">
        <f t="shared" si="8"/>
        <v/>
      </c>
      <c r="H14" t="str">
        <f t="shared" si="1"/>
        <v/>
      </c>
      <c r="I14" s="157" t="str">
        <f t="shared" si="2"/>
        <v/>
      </c>
      <c r="J14" s="157"/>
      <c r="K14" s="157" t="str">
        <f t="shared" si="3"/>
        <v/>
      </c>
      <c r="L14" s="157" t="str">
        <f t="shared" si="4"/>
        <v/>
      </c>
      <c r="M14" s="157"/>
      <c r="N14" s="157" t="str">
        <f t="shared" si="5"/>
        <v/>
      </c>
      <c r="O14" s="174" t="str">
        <f>Table13[[#This Row],[Combined List]]</f>
        <v/>
      </c>
      <c r="P14" s="157">
        <v>10</v>
      </c>
      <c r="Q14" s="174" t="str">
        <f t="shared" si="11"/>
        <v/>
      </c>
      <c r="R14" s="174" t="str">
        <f t="shared" si="9"/>
        <v/>
      </c>
      <c r="S14" s="174" t="str">
        <f t="shared" si="9"/>
        <v/>
      </c>
      <c r="T14" s="174" t="str">
        <f t="shared" si="12"/>
        <v/>
      </c>
      <c r="U14" s="174" t="str">
        <f t="shared" si="13"/>
        <v/>
      </c>
      <c r="V14" s="174" t="str">
        <f t="shared" si="14"/>
        <v/>
      </c>
      <c r="W14" s="174" t="str">
        <f>_xlfn.IFNA(VLOOKUP(T:T,Logframe!$B:$G,6,FALSE),"")</f>
        <v/>
      </c>
      <c r="X14" s="174" t="str">
        <f>_xlfn.IFNA(VLOOKUP(U:U,Logframe!$B:$G,6,FALSE),"")</f>
        <v/>
      </c>
      <c r="Y14" s="174" t="str">
        <f>_xlfn.IFNA(VLOOKUP(V:V,Logframe!$B:$G,6,FALSE),"")</f>
        <v/>
      </c>
      <c r="Z14">
        <v>10</v>
      </c>
      <c r="AD14" t="str">
        <f t="shared" si="15"/>
        <v/>
      </c>
      <c r="AE14" t="str">
        <f t="shared" si="15"/>
        <v/>
      </c>
      <c r="AF14" t="str">
        <f t="shared" si="10"/>
        <v/>
      </c>
      <c r="AI14" s="169" t="s">
        <v>477</v>
      </c>
      <c r="AJ14" s="169" t="s">
        <v>499</v>
      </c>
    </row>
    <row r="15" spans="1:36" x14ac:dyDescent="0.35">
      <c r="A15">
        <f>INDEX(Logframe!F:F,19,1)</f>
        <v>0</v>
      </c>
      <c r="B15" s="110">
        <v>0.15</v>
      </c>
      <c r="C15" s="321" t="str">
        <f>INDEX(Logframe!B:B,19,1)</f>
        <v>0</v>
      </c>
      <c r="D15" t="str">
        <f t="shared" si="6"/>
        <v/>
      </c>
      <c r="E15" t="str">
        <f t="shared" si="7"/>
        <v/>
      </c>
      <c r="F15" t="str">
        <f t="shared" si="0"/>
        <v/>
      </c>
      <c r="G15" t="str">
        <f t="shared" si="8"/>
        <v/>
      </c>
      <c r="H15" t="str">
        <f t="shared" si="1"/>
        <v/>
      </c>
      <c r="I15" s="157" t="str">
        <f t="shared" si="2"/>
        <v/>
      </c>
      <c r="J15" s="157"/>
      <c r="K15" s="157" t="str">
        <f t="shared" si="3"/>
        <v/>
      </c>
      <c r="L15" s="157" t="str">
        <f t="shared" si="4"/>
        <v/>
      </c>
      <c r="M15" s="157"/>
      <c r="N15" s="157" t="str">
        <f t="shared" si="5"/>
        <v/>
      </c>
      <c r="O15" s="174" t="str">
        <f>Table13[[#This Row],[Combined List]]</f>
        <v/>
      </c>
      <c r="P15" s="157">
        <v>11</v>
      </c>
      <c r="Q15" s="174" t="str">
        <f t="shared" si="11"/>
        <v/>
      </c>
      <c r="R15" s="174" t="str">
        <f t="shared" si="9"/>
        <v/>
      </c>
      <c r="S15" s="174" t="str">
        <f t="shared" si="9"/>
        <v/>
      </c>
      <c r="T15" s="174" t="str">
        <f t="shared" si="12"/>
        <v/>
      </c>
      <c r="U15" s="174" t="str">
        <f t="shared" si="13"/>
        <v/>
      </c>
      <c r="V15" s="174" t="str">
        <f t="shared" si="14"/>
        <v/>
      </c>
      <c r="W15" s="174" t="str">
        <f>_xlfn.IFNA(VLOOKUP(T:T,Logframe!$B:$G,6,FALSE),"")</f>
        <v/>
      </c>
      <c r="X15" s="174" t="str">
        <f>_xlfn.IFNA(VLOOKUP(U:U,Logframe!$B:$G,6,FALSE),"")</f>
        <v/>
      </c>
      <c r="Y15" s="174" t="str">
        <f>_xlfn.IFNA(VLOOKUP(V:V,Logframe!$B:$G,6,FALSE),"")</f>
        <v/>
      </c>
      <c r="Z15">
        <v>11</v>
      </c>
      <c r="AD15" t="str">
        <f t="shared" si="15"/>
        <v/>
      </c>
      <c r="AE15" t="str">
        <f t="shared" si="15"/>
        <v/>
      </c>
      <c r="AF15" t="str">
        <f t="shared" si="10"/>
        <v/>
      </c>
      <c r="AI15" s="169" t="s">
        <v>501</v>
      </c>
      <c r="AJ15" s="169" t="s">
        <v>502</v>
      </c>
    </row>
    <row r="16" spans="1:36" x14ac:dyDescent="0.35">
      <c r="A16">
        <f>INDEX(Logframe!F:F,20,1)</f>
        <v>0</v>
      </c>
      <c r="B16" s="110">
        <v>0.16</v>
      </c>
      <c r="C16" s="321" t="str">
        <f>INDEX(Logframe!B:B,20,1)</f>
        <v>0</v>
      </c>
      <c r="D16" t="str">
        <f t="shared" si="6"/>
        <v/>
      </c>
      <c r="E16" t="str">
        <f t="shared" si="7"/>
        <v/>
      </c>
      <c r="F16" t="str">
        <f t="shared" si="0"/>
        <v/>
      </c>
      <c r="G16" t="str">
        <f t="shared" si="8"/>
        <v/>
      </c>
      <c r="H16" t="str">
        <f t="shared" si="1"/>
        <v/>
      </c>
      <c r="I16" s="157" t="str">
        <f t="shared" si="2"/>
        <v/>
      </c>
      <c r="J16" s="157"/>
      <c r="K16" s="157" t="str">
        <f t="shared" si="3"/>
        <v/>
      </c>
      <c r="L16" s="157" t="str">
        <f t="shared" si="4"/>
        <v/>
      </c>
      <c r="M16" s="157"/>
      <c r="N16" s="157" t="str">
        <f t="shared" si="5"/>
        <v/>
      </c>
      <c r="O16" s="174" t="str">
        <f>Table13[[#This Row],[Combined List]]</f>
        <v/>
      </c>
      <c r="P16" s="157">
        <v>12</v>
      </c>
      <c r="Q16" s="174" t="str">
        <f t="shared" si="11"/>
        <v/>
      </c>
      <c r="R16" s="174" t="str">
        <f t="shared" si="9"/>
        <v/>
      </c>
      <c r="S16" s="174" t="str">
        <f t="shared" si="9"/>
        <v/>
      </c>
      <c r="T16" s="174" t="str">
        <f t="shared" si="12"/>
        <v/>
      </c>
      <c r="U16" s="174" t="str">
        <f t="shared" si="13"/>
        <v/>
      </c>
      <c r="V16" s="174" t="str">
        <f t="shared" si="14"/>
        <v/>
      </c>
      <c r="W16" s="174" t="str">
        <f>_xlfn.IFNA(VLOOKUP(T:T,Logframe!$B:$G,6,FALSE),"")</f>
        <v/>
      </c>
      <c r="X16" s="174" t="str">
        <f>_xlfn.IFNA(VLOOKUP(U:U,Logframe!$B:$G,6,FALSE),"")</f>
        <v/>
      </c>
      <c r="Y16" s="174" t="str">
        <f>_xlfn.IFNA(VLOOKUP(V:V,Logframe!$B:$G,6,FALSE),"")</f>
        <v/>
      </c>
      <c r="Z16">
        <v>12</v>
      </c>
      <c r="AD16" t="str">
        <f t="shared" si="15"/>
        <v/>
      </c>
      <c r="AE16" t="str">
        <f t="shared" si="15"/>
        <v/>
      </c>
      <c r="AF16" t="str">
        <f t="shared" si="10"/>
        <v/>
      </c>
      <c r="AI16" s="169" t="s">
        <v>486</v>
      </c>
      <c r="AJ16" s="169" t="s">
        <v>504</v>
      </c>
    </row>
    <row r="17" spans="1:36" x14ac:dyDescent="0.35">
      <c r="A17">
        <f>INDEX(Logframe!F:F,21,1)</f>
        <v>0</v>
      </c>
      <c r="B17" s="110">
        <v>0.17</v>
      </c>
      <c r="C17" s="321" t="str">
        <f>INDEX(Logframe!B:B,21,1)</f>
        <v>0</v>
      </c>
      <c r="D17" t="str">
        <f t="shared" si="6"/>
        <v/>
      </c>
      <c r="E17" t="str">
        <f t="shared" si="7"/>
        <v/>
      </c>
      <c r="F17" t="str">
        <f t="shared" si="0"/>
        <v/>
      </c>
      <c r="G17" t="str">
        <f t="shared" si="8"/>
        <v/>
      </c>
      <c r="H17" t="str">
        <f t="shared" si="1"/>
        <v/>
      </c>
      <c r="I17" s="157" t="str">
        <f t="shared" si="2"/>
        <v/>
      </c>
      <c r="J17" s="157"/>
      <c r="K17" s="157" t="str">
        <f t="shared" si="3"/>
        <v/>
      </c>
      <c r="L17" s="157" t="str">
        <f t="shared" si="4"/>
        <v/>
      </c>
      <c r="M17" s="157"/>
      <c r="N17" s="157" t="str">
        <f t="shared" si="5"/>
        <v/>
      </c>
      <c r="O17" s="174" t="str">
        <f>Table13[[#This Row],[Combined List]]</f>
        <v/>
      </c>
      <c r="P17" s="157">
        <v>13</v>
      </c>
      <c r="Q17" s="174" t="str">
        <f t="shared" si="11"/>
        <v/>
      </c>
      <c r="R17" s="174" t="str">
        <f t="shared" si="9"/>
        <v/>
      </c>
      <c r="S17" s="174" t="str">
        <f t="shared" si="9"/>
        <v/>
      </c>
      <c r="T17" s="174" t="str">
        <f t="shared" si="12"/>
        <v/>
      </c>
      <c r="U17" s="174" t="str">
        <f t="shared" si="13"/>
        <v/>
      </c>
      <c r="V17" s="174" t="str">
        <f t="shared" si="14"/>
        <v/>
      </c>
      <c r="W17" s="174" t="str">
        <f>_xlfn.IFNA(VLOOKUP(T:T,Logframe!$B:$G,6,FALSE),"")</f>
        <v/>
      </c>
      <c r="X17" s="174" t="str">
        <f>_xlfn.IFNA(VLOOKUP(U:U,Logframe!$B:$G,6,FALSE),"")</f>
        <v/>
      </c>
      <c r="Y17" s="174" t="str">
        <f>_xlfn.IFNA(VLOOKUP(V:V,Logframe!$B:$G,6,FALSE),"")</f>
        <v/>
      </c>
      <c r="Z17">
        <v>13</v>
      </c>
      <c r="AD17" t="str">
        <f t="shared" si="15"/>
        <v/>
      </c>
      <c r="AE17" t="str">
        <f t="shared" si="15"/>
        <v/>
      </c>
      <c r="AF17" t="str">
        <f t="shared" si="10"/>
        <v/>
      </c>
      <c r="AI17" s="169" t="s">
        <v>506</v>
      </c>
      <c r="AJ17" s="169" t="s">
        <v>507</v>
      </c>
    </row>
    <row r="18" spans="1:36" x14ac:dyDescent="0.35">
      <c r="A18">
        <f>INDEX(Logframe!F:F,22,1)</f>
        <v>0</v>
      </c>
      <c r="B18" s="110">
        <v>0.18</v>
      </c>
      <c r="C18" s="321" t="str">
        <f>INDEX(Logframe!B:B,22,1)</f>
        <v>0</v>
      </c>
      <c r="D18" t="str">
        <f t="shared" si="6"/>
        <v/>
      </c>
      <c r="E18" t="str">
        <f t="shared" si="7"/>
        <v/>
      </c>
      <c r="F18" t="str">
        <f t="shared" si="0"/>
        <v/>
      </c>
      <c r="G18" t="str">
        <f t="shared" si="8"/>
        <v/>
      </c>
      <c r="H18" t="str">
        <f t="shared" si="1"/>
        <v/>
      </c>
      <c r="I18" s="157" t="str">
        <f t="shared" si="2"/>
        <v/>
      </c>
      <c r="J18" s="157"/>
      <c r="K18" s="157" t="str">
        <f t="shared" si="3"/>
        <v/>
      </c>
      <c r="L18" s="157" t="str">
        <f t="shared" si="4"/>
        <v/>
      </c>
      <c r="M18" s="157"/>
      <c r="N18" s="157" t="str">
        <f t="shared" si="5"/>
        <v/>
      </c>
      <c r="O18" s="174" t="str">
        <f>Table13[[#This Row],[Combined List]]</f>
        <v/>
      </c>
      <c r="P18" s="157">
        <v>14</v>
      </c>
      <c r="Q18" s="174" t="str">
        <f t="shared" si="11"/>
        <v/>
      </c>
      <c r="R18" s="174" t="str">
        <f t="shared" si="9"/>
        <v/>
      </c>
      <c r="S18" s="174" t="str">
        <f t="shared" si="9"/>
        <v/>
      </c>
      <c r="T18" s="174" t="str">
        <f t="shared" si="12"/>
        <v/>
      </c>
      <c r="U18" s="174" t="str">
        <f t="shared" si="13"/>
        <v/>
      </c>
      <c r="V18" s="174" t="str">
        <f t="shared" si="14"/>
        <v/>
      </c>
      <c r="W18" s="174" t="str">
        <f>_xlfn.IFNA(VLOOKUP(T:T,Logframe!$B:$G,6,FALSE),"")</f>
        <v/>
      </c>
      <c r="X18" s="174" t="str">
        <f>_xlfn.IFNA(VLOOKUP(U:U,Logframe!$B:$G,6,FALSE),"")</f>
        <v/>
      </c>
      <c r="Y18" s="174" t="str">
        <f>_xlfn.IFNA(VLOOKUP(V:V,Logframe!$B:$G,6,FALSE),"")</f>
        <v/>
      </c>
      <c r="Z18">
        <v>14</v>
      </c>
      <c r="AD18" t="str">
        <f t="shared" si="15"/>
        <v/>
      </c>
      <c r="AE18" t="str">
        <f t="shared" si="15"/>
        <v/>
      </c>
      <c r="AF18" t="str">
        <f t="shared" si="10"/>
        <v/>
      </c>
      <c r="AI18" s="169" t="s">
        <v>509</v>
      </c>
      <c r="AJ18" s="169" t="s">
        <v>510</v>
      </c>
    </row>
    <row r="19" spans="1:36" x14ac:dyDescent="0.35">
      <c r="A19">
        <f>INDEX(Logframe!F:F,23,1)</f>
        <v>0</v>
      </c>
      <c r="B19" s="110">
        <v>0.19</v>
      </c>
      <c r="C19" s="321" t="str">
        <f>INDEX(Logframe!B:B,23,1)</f>
        <v>0</v>
      </c>
      <c r="D19" t="str">
        <f t="shared" si="6"/>
        <v/>
      </c>
      <c r="E19" t="str">
        <f t="shared" si="7"/>
        <v/>
      </c>
      <c r="F19" t="str">
        <f t="shared" si="0"/>
        <v/>
      </c>
      <c r="G19" t="str">
        <f t="shared" si="8"/>
        <v/>
      </c>
      <c r="H19" t="str">
        <f t="shared" si="1"/>
        <v/>
      </c>
      <c r="I19" s="157" t="str">
        <f t="shared" si="2"/>
        <v/>
      </c>
      <c r="J19" s="157"/>
      <c r="K19" s="157" t="str">
        <f t="shared" si="3"/>
        <v/>
      </c>
      <c r="L19" s="157" t="str">
        <f t="shared" si="4"/>
        <v/>
      </c>
      <c r="M19" s="157"/>
      <c r="N19" s="157" t="str">
        <f t="shared" si="5"/>
        <v/>
      </c>
      <c r="O19" s="174" t="str">
        <f>Table13[[#This Row],[Combined List]]</f>
        <v/>
      </c>
      <c r="P19" s="157">
        <v>15</v>
      </c>
      <c r="Q19" s="174" t="str">
        <f t="shared" si="11"/>
        <v/>
      </c>
      <c r="R19" s="174" t="str">
        <f t="shared" si="9"/>
        <v/>
      </c>
      <c r="S19" s="174" t="str">
        <f t="shared" si="9"/>
        <v/>
      </c>
      <c r="T19" s="174" t="str">
        <f t="shared" si="12"/>
        <v/>
      </c>
      <c r="U19" s="174" t="str">
        <f t="shared" si="13"/>
        <v/>
      </c>
      <c r="V19" s="174" t="str">
        <f t="shared" si="14"/>
        <v/>
      </c>
      <c r="W19" s="174" t="str">
        <f>_xlfn.IFNA(VLOOKUP(T:T,Logframe!$B:$G,6,FALSE),"")</f>
        <v/>
      </c>
      <c r="X19" s="174" t="str">
        <f>_xlfn.IFNA(VLOOKUP(U:U,Logframe!$B:$G,6,FALSE),"")</f>
        <v/>
      </c>
      <c r="Y19" s="174" t="str">
        <f>_xlfn.IFNA(VLOOKUP(V:V,Logframe!$B:$G,6,FALSE),"")</f>
        <v/>
      </c>
      <c r="Z19">
        <v>15</v>
      </c>
      <c r="AD19" t="str">
        <f t="shared" si="15"/>
        <v/>
      </c>
      <c r="AE19" t="str">
        <f t="shared" si="15"/>
        <v/>
      </c>
      <c r="AF19" t="str">
        <f t="shared" si="10"/>
        <v/>
      </c>
      <c r="AI19" s="169" t="s">
        <v>512</v>
      </c>
      <c r="AJ19" s="169" t="s">
        <v>513</v>
      </c>
    </row>
    <row r="20" spans="1:36" x14ac:dyDescent="0.35">
      <c r="A20">
        <f>INDEX(Logframe!F:F,24,1)</f>
        <v>0</v>
      </c>
      <c r="B20" s="110">
        <v>0.21</v>
      </c>
      <c r="C20" s="321" t="str">
        <f>INDEX(Logframe!B:B,24,1)</f>
        <v>0</v>
      </c>
      <c r="D20" t="str">
        <f t="shared" si="6"/>
        <v/>
      </c>
      <c r="E20" t="str">
        <f t="shared" si="7"/>
        <v/>
      </c>
      <c r="F20" t="str">
        <f t="shared" si="0"/>
        <v/>
      </c>
      <c r="G20" t="str">
        <f t="shared" si="8"/>
        <v/>
      </c>
      <c r="H20" t="str">
        <f t="shared" si="1"/>
        <v/>
      </c>
      <c r="I20" s="157" t="str">
        <f t="shared" si="2"/>
        <v/>
      </c>
      <c r="J20" s="157"/>
      <c r="K20" s="157" t="str">
        <f t="shared" si="3"/>
        <v/>
      </c>
      <c r="L20" s="157" t="str">
        <f t="shared" si="4"/>
        <v/>
      </c>
      <c r="M20" s="157"/>
      <c r="N20" s="157" t="str">
        <f t="shared" si="5"/>
        <v/>
      </c>
      <c r="O20" s="174" t="str">
        <f>Table13[[#This Row],[Combined List]]</f>
        <v/>
      </c>
      <c r="P20" s="157">
        <v>16</v>
      </c>
      <c r="Q20" s="174" t="str">
        <f t="shared" si="11"/>
        <v/>
      </c>
      <c r="R20" s="174" t="str">
        <f t="shared" si="9"/>
        <v/>
      </c>
      <c r="S20" s="174" t="str">
        <f t="shared" si="9"/>
        <v/>
      </c>
      <c r="T20" s="174" t="str">
        <f t="shared" si="12"/>
        <v/>
      </c>
      <c r="U20" s="174" t="str">
        <f t="shared" si="13"/>
        <v/>
      </c>
      <c r="V20" s="174" t="str">
        <f t="shared" si="14"/>
        <v/>
      </c>
      <c r="W20" s="174" t="str">
        <f>_xlfn.IFNA(VLOOKUP(T:T,Logframe!$B:$G,6,FALSE),"")</f>
        <v/>
      </c>
      <c r="X20" s="174" t="str">
        <f>_xlfn.IFNA(VLOOKUP(U:U,Logframe!$B:$G,6,FALSE),"")</f>
        <v/>
      </c>
      <c r="Y20" s="174" t="str">
        <f>_xlfn.IFNA(VLOOKUP(V:V,Logframe!$B:$G,6,FALSE),"")</f>
        <v/>
      </c>
      <c r="Z20">
        <v>16</v>
      </c>
      <c r="AD20" t="str">
        <f t="shared" si="15"/>
        <v/>
      </c>
      <c r="AE20" t="str">
        <f t="shared" si="15"/>
        <v/>
      </c>
      <c r="AF20" t="str">
        <f t="shared" si="10"/>
        <v/>
      </c>
      <c r="AI20" s="169" t="s">
        <v>515</v>
      </c>
      <c r="AJ20" s="169" t="s">
        <v>516</v>
      </c>
    </row>
    <row r="21" spans="1:36" x14ac:dyDescent="0.35">
      <c r="A21">
        <f>INDEX(Logframe!F:F,25,1)</f>
        <v>0</v>
      </c>
      <c r="B21" s="110">
        <v>0.22</v>
      </c>
      <c r="C21" s="321" t="str">
        <f>INDEX(Logframe!B:B,25,1)</f>
        <v>0</v>
      </c>
      <c r="D21" t="str">
        <f t="shared" si="6"/>
        <v/>
      </c>
      <c r="E21" t="str">
        <f t="shared" si="7"/>
        <v/>
      </c>
      <c r="F21" t="str">
        <f t="shared" si="0"/>
        <v/>
      </c>
      <c r="G21" t="str">
        <f t="shared" si="8"/>
        <v/>
      </c>
      <c r="H21" t="str">
        <f t="shared" si="1"/>
        <v/>
      </c>
      <c r="I21" s="157" t="str">
        <f t="shared" si="2"/>
        <v/>
      </c>
      <c r="J21" s="157"/>
      <c r="K21" s="157" t="str">
        <f t="shared" si="3"/>
        <v/>
      </c>
      <c r="L21" s="157" t="str">
        <f t="shared" si="4"/>
        <v/>
      </c>
      <c r="M21" s="157"/>
      <c r="N21" s="157" t="str">
        <f t="shared" si="5"/>
        <v/>
      </c>
      <c r="O21" s="174" t="str">
        <f>Table13[[#This Row],[Combined List]]</f>
        <v/>
      </c>
      <c r="P21" s="157">
        <v>17</v>
      </c>
      <c r="Q21" s="174" t="str">
        <f t="shared" si="11"/>
        <v/>
      </c>
      <c r="R21" s="174" t="str">
        <f t="shared" si="11"/>
        <v/>
      </c>
      <c r="S21" s="174" t="str">
        <f t="shared" si="11"/>
        <v/>
      </c>
      <c r="T21" s="174" t="str">
        <f t="shared" si="12"/>
        <v/>
      </c>
      <c r="U21" s="174" t="str">
        <f t="shared" si="13"/>
        <v/>
      </c>
      <c r="V21" s="174" t="str">
        <f t="shared" si="14"/>
        <v/>
      </c>
      <c r="W21" s="174" t="str">
        <f>_xlfn.IFNA(VLOOKUP(T:T,Logframe!$B:$G,6,FALSE),"")</f>
        <v/>
      </c>
      <c r="X21" s="174" t="str">
        <f>_xlfn.IFNA(VLOOKUP(U:U,Logframe!$B:$G,6,FALSE),"")</f>
        <v/>
      </c>
      <c r="Y21" s="174" t="str">
        <f>_xlfn.IFNA(VLOOKUP(V:V,Logframe!$B:$G,6,FALSE),"")</f>
        <v/>
      </c>
      <c r="Z21">
        <v>17</v>
      </c>
      <c r="AD21" t="str">
        <f t="shared" si="15"/>
        <v/>
      </c>
      <c r="AE21" t="str">
        <f t="shared" si="15"/>
        <v/>
      </c>
      <c r="AF21" t="str">
        <f t="shared" si="10"/>
        <v/>
      </c>
    </row>
    <row r="22" spans="1:36" x14ac:dyDescent="0.35">
      <c r="A22">
        <f>INDEX(Logframe!F:F,26,1)</f>
        <v>0</v>
      </c>
      <c r="B22" s="110">
        <v>0.23</v>
      </c>
      <c r="C22" s="321" t="str">
        <f>INDEX(Logframe!B:B,26,1)</f>
        <v>0</v>
      </c>
      <c r="D22" t="str">
        <f t="shared" si="6"/>
        <v/>
      </c>
      <c r="E22" t="str">
        <f t="shared" si="7"/>
        <v/>
      </c>
      <c r="F22" t="str">
        <f t="shared" si="0"/>
        <v/>
      </c>
      <c r="G22" t="str">
        <f t="shared" si="8"/>
        <v/>
      </c>
      <c r="H22" t="str">
        <f t="shared" si="1"/>
        <v/>
      </c>
      <c r="I22" s="157" t="str">
        <f t="shared" si="2"/>
        <v/>
      </c>
      <c r="J22" s="157"/>
      <c r="K22" s="157" t="str">
        <f t="shared" si="3"/>
        <v/>
      </c>
      <c r="L22" s="157" t="str">
        <f t="shared" si="4"/>
        <v/>
      </c>
      <c r="M22" s="157"/>
      <c r="N22" s="157" t="str">
        <f t="shared" si="5"/>
        <v/>
      </c>
      <c r="O22" s="174" t="str">
        <f>Table13[[#This Row],[Combined List]]</f>
        <v/>
      </c>
      <c r="P22" s="157">
        <v>18</v>
      </c>
      <c r="Q22" s="174" t="str">
        <f t="shared" si="11"/>
        <v/>
      </c>
      <c r="R22" s="174" t="str">
        <f t="shared" si="11"/>
        <v/>
      </c>
      <c r="S22" s="174" t="str">
        <f t="shared" si="11"/>
        <v/>
      </c>
      <c r="T22" s="174" t="str">
        <f t="shared" si="12"/>
        <v/>
      </c>
      <c r="U22" s="174" t="str">
        <f t="shared" si="13"/>
        <v/>
      </c>
      <c r="V22" s="174" t="str">
        <f t="shared" si="14"/>
        <v/>
      </c>
      <c r="W22" s="174" t="str">
        <f>_xlfn.IFNA(VLOOKUP(T:T,Logframe!$B:$G,6,FALSE),"")</f>
        <v/>
      </c>
      <c r="X22" s="174" t="str">
        <f>_xlfn.IFNA(VLOOKUP(U:U,Logframe!$B:$G,6,FALSE),"")</f>
        <v/>
      </c>
      <c r="Y22" s="174" t="str">
        <f>_xlfn.IFNA(VLOOKUP(V:V,Logframe!$B:$G,6,FALSE),"")</f>
        <v/>
      </c>
      <c r="Z22">
        <v>18</v>
      </c>
      <c r="AD22" t="str">
        <f t="shared" ref="AD22:AE85" si="16">RIGHT(AA:AA,7)</f>
        <v/>
      </c>
      <c r="AE22" t="str">
        <f t="shared" si="16"/>
        <v/>
      </c>
      <c r="AF22" t="str">
        <f t="shared" si="10"/>
        <v/>
      </c>
    </row>
    <row r="23" spans="1:36" x14ac:dyDescent="0.35">
      <c r="A23">
        <f>INDEX(Logframe!F:F,27,1)</f>
        <v>0</v>
      </c>
      <c r="B23" s="110">
        <v>0.24</v>
      </c>
      <c r="C23" s="321" t="str">
        <f>INDEX(Logframe!B:B,27,1)</f>
        <v>0</v>
      </c>
      <c r="D23" t="str">
        <f t="shared" si="6"/>
        <v/>
      </c>
      <c r="E23" t="str">
        <f t="shared" si="7"/>
        <v/>
      </c>
      <c r="F23" t="str">
        <f t="shared" si="0"/>
        <v/>
      </c>
      <c r="G23" t="str">
        <f t="shared" si="8"/>
        <v/>
      </c>
      <c r="H23" t="str">
        <f t="shared" si="1"/>
        <v/>
      </c>
      <c r="I23" s="157" t="str">
        <f t="shared" si="2"/>
        <v/>
      </c>
      <c r="J23" s="157"/>
      <c r="K23" s="157" t="str">
        <f t="shared" si="3"/>
        <v/>
      </c>
      <c r="L23" s="157" t="str">
        <f t="shared" si="4"/>
        <v/>
      </c>
      <c r="M23" s="157"/>
      <c r="N23" s="157" t="str">
        <f t="shared" si="5"/>
        <v/>
      </c>
      <c r="O23" s="174" t="str">
        <f>Table13[[#This Row],[Combined List]]</f>
        <v/>
      </c>
      <c r="P23" s="157">
        <v>19</v>
      </c>
      <c r="Q23" s="174" t="str">
        <f t="shared" si="11"/>
        <v/>
      </c>
      <c r="R23" s="174" t="str">
        <f t="shared" si="11"/>
        <v/>
      </c>
      <c r="S23" s="174" t="str">
        <f t="shared" si="11"/>
        <v/>
      </c>
      <c r="T23" s="174" t="str">
        <f t="shared" si="12"/>
        <v/>
      </c>
      <c r="U23" s="174" t="str">
        <f t="shared" si="13"/>
        <v/>
      </c>
      <c r="V23" s="174" t="str">
        <f t="shared" si="14"/>
        <v/>
      </c>
      <c r="W23" s="174" t="str">
        <f>_xlfn.IFNA(VLOOKUP(T:T,Logframe!$B:$G,6,FALSE),"")</f>
        <v/>
      </c>
      <c r="X23" s="174" t="str">
        <f>_xlfn.IFNA(VLOOKUP(U:U,Logframe!$B:$G,6,FALSE),"")</f>
        <v/>
      </c>
      <c r="Y23" s="174" t="str">
        <f>_xlfn.IFNA(VLOOKUP(V:V,Logframe!$B:$G,6,FALSE),"")</f>
        <v/>
      </c>
      <c r="Z23">
        <v>19</v>
      </c>
      <c r="AD23" t="str">
        <f t="shared" si="16"/>
        <v/>
      </c>
      <c r="AE23" t="str">
        <f t="shared" si="16"/>
        <v/>
      </c>
      <c r="AF23" t="str">
        <f t="shared" si="10"/>
        <v/>
      </c>
    </row>
    <row r="24" spans="1:36" x14ac:dyDescent="0.35">
      <c r="A24">
        <f>INDEX(Logframe!F:F,28,1)</f>
        <v>0</v>
      </c>
      <c r="B24" s="110">
        <v>0.25</v>
      </c>
      <c r="C24" s="321" t="str">
        <f>INDEX(Logframe!B:B,28,1)</f>
        <v>0</v>
      </c>
      <c r="D24" t="str">
        <f t="shared" si="6"/>
        <v/>
      </c>
      <c r="E24" t="str">
        <f t="shared" si="7"/>
        <v/>
      </c>
      <c r="F24" t="str">
        <f t="shared" si="0"/>
        <v/>
      </c>
      <c r="G24" t="str">
        <f t="shared" si="8"/>
        <v/>
      </c>
      <c r="H24" t="str">
        <f t="shared" si="1"/>
        <v/>
      </c>
      <c r="I24" s="157" t="str">
        <f t="shared" si="2"/>
        <v/>
      </c>
      <c r="J24" s="157"/>
      <c r="K24" s="157" t="str">
        <f t="shared" si="3"/>
        <v/>
      </c>
      <c r="L24" s="157" t="str">
        <f t="shared" si="4"/>
        <v/>
      </c>
      <c r="M24" s="157"/>
      <c r="N24" s="157" t="str">
        <f t="shared" si="5"/>
        <v/>
      </c>
      <c r="O24" s="174" t="str">
        <f>Table13[[#This Row],[Combined List]]</f>
        <v/>
      </c>
      <c r="P24" s="157">
        <v>20</v>
      </c>
      <c r="Q24" s="174" t="str">
        <f t="shared" si="11"/>
        <v/>
      </c>
      <c r="R24" s="174" t="str">
        <f t="shared" si="11"/>
        <v/>
      </c>
      <c r="S24" s="174" t="str">
        <f t="shared" si="11"/>
        <v/>
      </c>
      <c r="T24" s="174" t="str">
        <f t="shared" si="12"/>
        <v/>
      </c>
      <c r="U24" s="174" t="str">
        <f t="shared" si="13"/>
        <v/>
      </c>
      <c r="V24" s="174" t="str">
        <f t="shared" si="14"/>
        <v/>
      </c>
      <c r="W24" s="174" t="str">
        <f>_xlfn.IFNA(VLOOKUP(T:T,Logframe!$B:$G,6,FALSE),"")</f>
        <v/>
      </c>
      <c r="X24" s="174" t="str">
        <f>_xlfn.IFNA(VLOOKUP(U:U,Logframe!$B:$G,6,FALSE),"")</f>
        <v/>
      </c>
      <c r="Y24" s="174" t="str">
        <f>_xlfn.IFNA(VLOOKUP(V:V,Logframe!$B:$G,6,FALSE),"")</f>
        <v/>
      </c>
      <c r="Z24">
        <v>20</v>
      </c>
      <c r="AD24" t="str">
        <f t="shared" si="16"/>
        <v/>
      </c>
      <c r="AE24" t="str">
        <f t="shared" si="16"/>
        <v/>
      </c>
      <c r="AF24" t="str">
        <f t="shared" si="10"/>
        <v/>
      </c>
    </row>
    <row r="25" spans="1:36" x14ac:dyDescent="0.35">
      <c r="A25">
        <f>INDEX(Logframe!F:F,29,1)</f>
        <v>0</v>
      </c>
      <c r="B25" s="110">
        <v>0.26</v>
      </c>
      <c r="C25" s="321" t="str">
        <f>INDEX(Logframe!B:B,29,1)</f>
        <v>0</v>
      </c>
      <c r="D25" t="str">
        <f t="shared" si="6"/>
        <v/>
      </c>
      <c r="E25" t="str">
        <f t="shared" si="7"/>
        <v/>
      </c>
      <c r="F25" t="str">
        <f t="shared" si="0"/>
        <v/>
      </c>
      <c r="G25" t="str">
        <f t="shared" si="8"/>
        <v/>
      </c>
      <c r="H25" t="str">
        <f t="shared" si="1"/>
        <v/>
      </c>
      <c r="I25" s="157" t="str">
        <f t="shared" si="2"/>
        <v/>
      </c>
      <c r="J25" s="157"/>
      <c r="K25" s="157" t="str">
        <f t="shared" si="3"/>
        <v/>
      </c>
      <c r="L25" s="157" t="str">
        <f t="shared" si="4"/>
        <v/>
      </c>
      <c r="M25" s="157"/>
      <c r="N25" s="157" t="str">
        <f t="shared" si="5"/>
        <v/>
      </c>
      <c r="O25" s="174" t="str">
        <f>Table13[[#This Row],[Combined List]]</f>
        <v/>
      </c>
      <c r="P25" s="157">
        <v>21</v>
      </c>
      <c r="Q25" s="174" t="str">
        <f t="shared" si="11"/>
        <v/>
      </c>
      <c r="R25" s="174" t="str">
        <f t="shared" si="11"/>
        <v/>
      </c>
      <c r="S25" s="174" t="str">
        <f t="shared" si="11"/>
        <v/>
      </c>
      <c r="T25" s="174" t="str">
        <f t="shared" si="12"/>
        <v/>
      </c>
      <c r="U25" s="174" t="str">
        <f t="shared" si="13"/>
        <v/>
      </c>
      <c r="V25" s="174" t="str">
        <f t="shared" si="14"/>
        <v/>
      </c>
      <c r="W25" s="174" t="str">
        <f>_xlfn.IFNA(VLOOKUP(T:T,Logframe!$B:$G,6,FALSE),"")</f>
        <v/>
      </c>
      <c r="X25" s="174" t="str">
        <f>_xlfn.IFNA(VLOOKUP(U:U,Logframe!$B:$G,6,FALSE),"")</f>
        <v/>
      </c>
      <c r="Y25" s="174" t="str">
        <f>_xlfn.IFNA(VLOOKUP(V:V,Logframe!$B:$G,6,FALSE),"")</f>
        <v/>
      </c>
      <c r="Z25">
        <v>21</v>
      </c>
      <c r="AD25" t="str">
        <f t="shared" si="16"/>
        <v/>
      </c>
      <c r="AE25" t="str">
        <f t="shared" si="16"/>
        <v/>
      </c>
      <c r="AF25" t="str">
        <f t="shared" si="10"/>
        <v/>
      </c>
    </row>
    <row r="26" spans="1:36" x14ac:dyDescent="0.35">
      <c r="A26">
        <f>INDEX(Logframe!F:F,30,1)</f>
        <v>0</v>
      </c>
      <c r="B26" s="110">
        <v>0.27</v>
      </c>
      <c r="C26" s="321" t="str">
        <f>INDEX(Logframe!B:B,30,1)</f>
        <v>0</v>
      </c>
      <c r="D26" t="str">
        <f t="shared" si="6"/>
        <v/>
      </c>
      <c r="E26" t="str">
        <f t="shared" si="7"/>
        <v/>
      </c>
      <c r="F26" t="str">
        <f t="shared" si="0"/>
        <v/>
      </c>
      <c r="G26" t="str">
        <f t="shared" si="8"/>
        <v/>
      </c>
      <c r="H26" t="str">
        <f t="shared" si="1"/>
        <v/>
      </c>
      <c r="I26" s="157" t="str">
        <f t="shared" si="2"/>
        <v/>
      </c>
      <c r="J26" s="157"/>
      <c r="K26" s="157" t="str">
        <f t="shared" si="3"/>
        <v/>
      </c>
      <c r="L26" s="157" t="str">
        <f t="shared" si="4"/>
        <v/>
      </c>
      <c r="M26" s="157"/>
      <c r="N26" s="157" t="str">
        <f t="shared" si="5"/>
        <v/>
      </c>
      <c r="O26" s="174" t="str">
        <f>Table13[[#This Row],[Combined List]]</f>
        <v/>
      </c>
      <c r="P26" s="157">
        <v>22</v>
      </c>
      <c r="Q26" s="174" t="str">
        <f t="shared" si="11"/>
        <v/>
      </c>
      <c r="R26" s="174" t="str">
        <f t="shared" si="11"/>
        <v/>
      </c>
      <c r="S26" s="174" t="str">
        <f t="shared" si="11"/>
        <v/>
      </c>
      <c r="T26" s="174" t="str">
        <f t="shared" si="12"/>
        <v/>
      </c>
      <c r="U26" s="174" t="str">
        <f t="shared" si="13"/>
        <v/>
      </c>
      <c r="V26" s="174" t="str">
        <f t="shared" si="14"/>
        <v/>
      </c>
      <c r="W26" s="174" t="str">
        <f>_xlfn.IFNA(VLOOKUP(T:T,Logframe!$B:$G,6,FALSE),"")</f>
        <v/>
      </c>
      <c r="X26" s="174" t="str">
        <f>_xlfn.IFNA(VLOOKUP(U:U,Logframe!$B:$G,6,FALSE),"")</f>
        <v/>
      </c>
      <c r="Y26" s="174" t="str">
        <f>_xlfn.IFNA(VLOOKUP(V:V,Logframe!$B:$G,6,FALSE),"")</f>
        <v/>
      </c>
      <c r="Z26">
        <v>22</v>
      </c>
      <c r="AD26" t="str">
        <f t="shared" si="16"/>
        <v/>
      </c>
      <c r="AE26" t="str">
        <f t="shared" si="16"/>
        <v/>
      </c>
      <c r="AF26" t="str">
        <f t="shared" si="10"/>
        <v/>
      </c>
    </row>
    <row r="27" spans="1:36" x14ac:dyDescent="0.35">
      <c r="A27">
        <f>INDEX(Logframe!F:F,31,1)</f>
        <v>0</v>
      </c>
      <c r="B27" s="110">
        <v>0.28000000000000003</v>
      </c>
      <c r="C27" s="321" t="str">
        <f>INDEX(Logframe!B:B,31,1)</f>
        <v>0</v>
      </c>
      <c r="D27" t="str">
        <f t="shared" si="6"/>
        <v/>
      </c>
      <c r="E27" t="str">
        <f t="shared" si="7"/>
        <v/>
      </c>
      <c r="F27" t="str">
        <f t="shared" si="0"/>
        <v/>
      </c>
      <c r="G27" t="str">
        <f t="shared" si="8"/>
        <v/>
      </c>
      <c r="H27" t="str">
        <f t="shared" si="1"/>
        <v/>
      </c>
      <c r="I27" s="157" t="str">
        <f t="shared" si="2"/>
        <v/>
      </c>
      <c r="J27" s="157"/>
      <c r="K27" s="157" t="str">
        <f t="shared" si="3"/>
        <v/>
      </c>
      <c r="L27" s="157" t="str">
        <f t="shared" si="4"/>
        <v/>
      </c>
      <c r="M27" s="157"/>
      <c r="N27" s="157" t="str">
        <f t="shared" si="5"/>
        <v/>
      </c>
      <c r="O27" s="174" t="str">
        <f>Table13[[#This Row],[Combined List]]</f>
        <v/>
      </c>
      <c r="P27" s="157">
        <v>23</v>
      </c>
      <c r="Q27" s="174" t="str">
        <f t="shared" si="11"/>
        <v/>
      </c>
      <c r="R27" s="174" t="str">
        <f t="shared" si="11"/>
        <v/>
      </c>
      <c r="S27" s="174" t="str">
        <f t="shared" si="11"/>
        <v/>
      </c>
      <c r="T27" s="174" t="str">
        <f t="shared" si="12"/>
        <v/>
      </c>
      <c r="U27" s="174" t="str">
        <f t="shared" si="13"/>
        <v/>
      </c>
      <c r="V27" s="174" t="str">
        <f t="shared" si="14"/>
        <v/>
      </c>
      <c r="W27" s="174" t="str">
        <f>_xlfn.IFNA(VLOOKUP(T:T,Logframe!$B:$G,6,FALSE),"")</f>
        <v/>
      </c>
      <c r="X27" s="174" t="str">
        <f>_xlfn.IFNA(VLOOKUP(U:U,Logframe!$B:$G,6,FALSE),"")</f>
        <v/>
      </c>
      <c r="Y27" s="174" t="str">
        <f>_xlfn.IFNA(VLOOKUP(V:V,Logframe!$B:$G,6,FALSE),"")</f>
        <v/>
      </c>
      <c r="Z27">
        <v>23</v>
      </c>
      <c r="AD27" t="str">
        <f t="shared" si="16"/>
        <v/>
      </c>
      <c r="AE27" t="str">
        <f t="shared" si="16"/>
        <v/>
      </c>
      <c r="AF27" t="str">
        <f t="shared" si="10"/>
        <v/>
      </c>
    </row>
    <row r="28" spans="1:36" x14ac:dyDescent="0.35">
      <c r="A28">
        <f>INDEX(Logframe!F:F,32,1)</f>
        <v>0</v>
      </c>
      <c r="B28" s="110">
        <v>0.28999999999999998</v>
      </c>
      <c r="C28" s="321" t="str">
        <f>INDEX(Logframe!B:B,32,1)</f>
        <v>0</v>
      </c>
      <c r="D28" t="str">
        <f t="shared" si="6"/>
        <v/>
      </c>
      <c r="E28" t="str">
        <f t="shared" si="7"/>
        <v/>
      </c>
      <c r="F28" t="str">
        <f t="shared" si="0"/>
        <v/>
      </c>
      <c r="G28" t="str">
        <f t="shared" si="8"/>
        <v/>
      </c>
      <c r="H28" t="str">
        <f t="shared" si="1"/>
        <v/>
      </c>
      <c r="I28" s="157" t="str">
        <f t="shared" si="2"/>
        <v/>
      </c>
      <c r="J28" s="157"/>
      <c r="K28" s="157" t="str">
        <f t="shared" si="3"/>
        <v/>
      </c>
      <c r="L28" s="157" t="str">
        <f t="shared" si="4"/>
        <v/>
      </c>
      <c r="M28" s="157"/>
      <c r="N28" s="157" t="str">
        <f t="shared" si="5"/>
        <v/>
      </c>
      <c r="O28" s="174" t="str">
        <f>Table13[[#This Row],[Combined List]]</f>
        <v/>
      </c>
      <c r="P28" s="157">
        <v>24</v>
      </c>
      <c r="Q28" s="174" t="str">
        <f t="shared" si="11"/>
        <v/>
      </c>
      <c r="R28" s="174" t="str">
        <f t="shared" si="11"/>
        <v/>
      </c>
      <c r="S28" s="174" t="str">
        <f t="shared" si="11"/>
        <v/>
      </c>
      <c r="T28" s="174" t="str">
        <f t="shared" si="12"/>
        <v/>
      </c>
      <c r="U28" s="174" t="str">
        <f t="shared" si="13"/>
        <v/>
      </c>
      <c r="V28" s="174" t="str">
        <f t="shared" si="14"/>
        <v/>
      </c>
      <c r="W28" s="174" t="str">
        <f>_xlfn.IFNA(VLOOKUP(T:T,Logframe!$B:$G,6,FALSE),"")</f>
        <v/>
      </c>
      <c r="X28" s="174" t="str">
        <f>_xlfn.IFNA(VLOOKUP(U:U,Logframe!$B:$G,6,FALSE),"")</f>
        <v/>
      </c>
      <c r="Y28" s="174" t="str">
        <f>_xlfn.IFNA(VLOOKUP(V:V,Logframe!$B:$G,6,FALSE),"")</f>
        <v/>
      </c>
      <c r="Z28">
        <v>24</v>
      </c>
      <c r="AD28" t="str">
        <f t="shared" si="16"/>
        <v/>
      </c>
      <c r="AE28" t="str">
        <f t="shared" si="16"/>
        <v/>
      </c>
      <c r="AF28" t="str">
        <f t="shared" si="10"/>
        <v/>
      </c>
    </row>
    <row r="29" spans="1:36" x14ac:dyDescent="0.35">
      <c r="A29">
        <f>INDEX(Logframe!F:F,33,1)</f>
        <v>0</v>
      </c>
      <c r="B29" s="110">
        <v>0.31</v>
      </c>
      <c r="C29" s="321" t="str">
        <f>INDEX(Logframe!B:B,33,1)</f>
        <v>0</v>
      </c>
      <c r="D29" t="str">
        <f t="shared" si="6"/>
        <v/>
      </c>
      <c r="E29" t="str">
        <f t="shared" si="7"/>
        <v/>
      </c>
      <c r="F29" t="str">
        <f t="shared" si="0"/>
        <v/>
      </c>
      <c r="G29" t="str">
        <f t="shared" si="8"/>
        <v/>
      </c>
      <c r="H29" t="str">
        <f t="shared" si="1"/>
        <v/>
      </c>
      <c r="I29" s="157" t="str">
        <f t="shared" si="2"/>
        <v/>
      </c>
      <c r="J29" s="157"/>
      <c r="K29" s="157" t="str">
        <f t="shared" si="3"/>
        <v/>
      </c>
      <c r="L29" s="157" t="str">
        <f t="shared" si="4"/>
        <v/>
      </c>
      <c r="M29" s="157"/>
      <c r="N29" s="157" t="str">
        <f t="shared" si="5"/>
        <v/>
      </c>
      <c r="O29" s="174" t="str">
        <f>Table13[[#This Row],[Combined List]]</f>
        <v/>
      </c>
      <c r="P29" s="157">
        <v>25</v>
      </c>
      <c r="Q29" s="174" t="str">
        <f t="shared" si="11"/>
        <v/>
      </c>
      <c r="R29" s="174" t="str">
        <f t="shared" si="11"/>
        <v/>
      </c>
      <c r="S29" s="174" t="str">
        <f t="shared" si="11"/>
        <v/>
      </c>
      <c r="T29" s="174" t="str">
        <f t="shared" si="12"/>
        <v/>
      </c>
      <c r="U29" s="174" t="str">
        <f t="shared" si="13"/>
        <v/>
      </c>
      <c r="V29" s="174" t="str">
        <f t="shared" si="14"/>
        <v/>
      </c>
      <c r="W29" s="174" t="str">
        <f>_xlfn.IFNA(VLOOKUP(T:T,Logframe!$B:$G,6,FALSE),"")</f>
        <v/>
      </c>
      <c r="X29" s="174" t="str">
        <f>_xlfn.IFNA(VLOOKUP(U:U,Logframe!$B:$G,6,FALSE),"")</f>
        <v/>
      </c>
      <c r="Y29" s="174" t="str">
        <f>_xlfn.IFNA(VLOOKUP(V:V,Logframe!$B:$G,6,FALSE),"")</f>
        <v/>
      </c>
      <c r="Z29">
        <v>25</v>
      </c>
      <c r="AD29" t="str">
        <f t="shared" si="16"/>
        <v/>
      </c>
      <c r="AE29" t="str">
        <f t="shared" si="16"/>
        <v/>
      </c>
      <c r="AF29" t="str">
        <f t="shared" si="10"/>
        <v/>
      </c>
    </row>
    <row r="30" spans="1:36" x14ac:dyDescent="0.35">
      <c r="A30" t="str">
        <f>INDEX(Logframe!F:F,34,1)</f>
        <v>Code</v>
      </c>
      <c r="B30" s="110">
        <v>0.32</v>
      </c>
      <c r="C30" s="321" t="str">
        <f>INDEX(Logframe!B:B,34,1)</f>
        <v>CodeIndicators</v>
      </c>
      <c r="D30" t="str">
        <f t="shared" si="6"/>
        <v/>
      </c>
      <c r="E30" t="str">
        <f t="shared" si="7"/>
        <v/>
      </c>
      <c r="F30" t="str">
        <f t="shared" si="0"/>
        <v/>
      </c>
      <c r="G30" t="str">
        <f t="shared" si="8"/>
        <v/>
      </c>
      <c r="H30" t="str">
        <f t="shared" si="1"/>
        <v/>
      </c>
      <c r="I30" s="157" t="str">
        <f t="shared" si="2"/>
        <v/>
      </c>
      <c r="J30" s="157"/>
      <c r="K30" s="157" t="str">
        <f t="shared" si="3"/>
        <v/>
      </c>
      <c r="L30" s="157" t="str">
        <f t="shared" si="4"/>
        <v/>
      </c>
      <c r="M30" s="157"/>
      <c r="N30" s="157" t="str">
        <f t="shared" si="5"/>
        <v/>
      </c>
      <c r="O30" s="174" t="str">
        <f>Table13[[#This Row],[Combined List]]</f>
        <v/>
      </c>
      <c r="P30" s="157">
        <v>26</v>
      </c>
      <c r="Q30" s="174" t="str">
        <f t="shared" si="11"/>
        <v/>
      </c>
      <c r="R30" s="174" t="str">
        <f t="shared" si="11"/>
        <v/>
      </c>
      <c r="S30" s="174" t="str">
        <f t="shared" si="11"/>
        <v/>
      </c>
      <c r="T30" s="174" t="str">
        <f t="shared" si="12"/>
        <v/>
      </c>
      <c r="U30" s="174" t="str">
        <f t="shared" si="13"/>
        <v/>
      </c>
      <c r="V30" s="174" t="str">
        <f t="shared" si="14"/>
        <v/>
      </c>
      <c r="W30" s="174" t="str">
        <f>_xlfn.IFNA(VLOOKUP(T:T,Logframe!$B:$G,6,FALSE),"")</f>
        <v/>
      </c>
      <c r="X30" s="174" t="str">
        <f>_xlfn.IFNA(VLOOKUP(U:U,Logframe!$B:$G,6,FALSE),"")</f>
        <v/>
      </c>
      <c r="Y30" s="174" t="str">
        <f>_xlfn.IFNA(VLOOKUP(V:V,Logframe!$B:$G,6,FALSE),"")</f>
        <v/>
      </c>
      <c r="Z30">
        <v>26</v>
      </c>
      <c r="AD30" t="str">
        <f t="shared" si="16"/>
        <v/>
      </c>
      <c r="AE30" t="str">
        <f t="shared" si="16"/>
        <v/>
      </c>
      <c r="AF30" t="str">
        <f t="shared" si="10"/>
        <v/>
      </c>
    </row>
    <row r="31" spans="1:36" x14ac:dyDescent="0.35">
      <c r="A31">
        <f>INDEX(Logframe!F:F,35,1)</f>
        <v>0</v>
      </c>
      <c r="B31" s="110">
        <v>0.33</v>
      </c>
      <c r="C31" s="321" t="str">
        <f>INDEX(Logframe!B:B,35,1)</f>
        <v>0</v>
      </c>
      <c r="D31" t="str">
        <f t="shared" si="6"/>
        <v/>
      </c>
      <c r="E31" t="str">
        <f t="shared" si="7"/>
        <v/>
      </c>
      <c r="F31" t="str">
        <f t="shared" si="0"/>
        <v/>
      </c>
      <c r="G31" t="str">
        <f t="shared" si="8"/>
        <v/>
      </c>
      <c r="H31" t="str">
        <f t="shared" si="1"/>
        <v/>
      </c>
      <c r="I31" s="157" t="str">
        <f t="shared" si="2"/>
        <v/>
      </c>
      <c r="J31" s="157"/>
      <c r="K31" s="157" t="str">
        <f t="shared" si="3"/>
        <v/>
      </c>
      <c r="L31" s="157" t="str">
        <f t="shared" si="4"/>
        <v/>
      </c>
      <c r="M31" s="157"/>
      <c r="N31" s="157" t="str">
        <f t="shared" si="5"/>
        <v/>
      </c>
      <c r="O31" s="174" t="str">
        <f>Table13[[#This Row],[Combined List]]</f>
        <v/>
      </c>
      <c r="P31" s="157">
        <v>27</v>
      </c>
      <c r="Q31" s="174" t="str">
        <f t="shared" si="11"/>
        <v/>
      </c>
      <c r="R31" s="174" t="str">
        <f t="shared" si="11"/>
        <v/>
      </c>
      <c r="S31" s="174" t="str">
        <f t="shared" si="11"/>
        <v/>
      </c>
      <c r="T31" s="174" t="str">
        <f t="shared" si="12"/>
        <v/>
      </c>
      <c r="U31" s="174" t="str">
        <f t="shared" si="13"/>
        <v/>
      </c>
      <c r="V31" s="174" t="str">
        <f t="shared" si="14"/>
        <v/>
      </c>
      <c r="W31" s="174" t="str">
        <f>_xlfn.IFNA(VLOOKUP(T:T,Logframe!$B:$G,6,FALSE),"")</f>
        <v/>
      </c>
      <c r="X31" s="174" t="str">
        <f>_xlfn.IFNA(VLOOKUP(U:U,Logframe!$B:$G,6,FALSE),"")</f>
        <v/>
      </c>
      <c r="Y31" s="174" t="str">
        <f>_xlfn.IFNA(VLOOKUP(V:V,Logframe!$B:$G,6,FALSE),"")</f>
        <v/>
      </c>
      <c r="Z31">
        <v>27</v>
      </c>
      <c r="AD31" t="str">
        <f t="shared" si="16"/>
        <v/>
      </c>
      <c r="AE31" t="str">
        <f t="shared" si="16"/>
        <v/>
      </c>
      <c r="AF31" t="str">
        <f t="shared" si="10"/>
        <v/>
      </c>
    </row>
    <row r="32" spans="1:36" x14ac:dyDescent="0.35">
      <c r="A32">
        <f>INDEX(Logframe!F:F,36,1)</f>
        <v>0</v>
      </c>
      <c r="B32" s="110">
        <v>0.34</v>
      </c>
      <c r="C32" s="321" t="str">
        <f>INDEX(Logframe!B:B,36,1)</f>
        <v>0</v>
      </c>
      <c r="D32" t="str">
        <f t="shared" si="6"/>
        <v/>
      </c>
      <c r="E32" t="str">
        <f t="shared" si="7"/>
        <v/>
      </c>
      <c r="F32" t="str">
        <f t="shared" si="0"/>
        <v/>
      </c>
      <c r="G32" t="str">
        <f t="shared" si="8"/>
        <v/>
      </c>
      <c r="H32" t="str">
        <f t="shared" si="1"/>
        <v/>
      </c>
      <c r="I32" s="157" t="str">
        <f t="shared" si="2"/>
        <v/>
      </c>
      <c r="J32" s="157"/>
      <c r="K32" s="157" t="str">
        <f t="shared" si="3"/>
        <v/>
      </c>
      <c r="L32" s="157" t="str">
        <f t="shared" si="4"/>
        <v/>
      </c>
      <c r="M32" s="157"/>
      <c r="N32" s="157" t="str">
        <f t="shared" si="5"/>
        <v/>
      </c>
      <c r="O32" s="174" t="str">
        <f>Table13[[#This Row],[Combined List]]</f>
        <v/>
      </c>
      <c r="P32" s="157">
        <v>28</v>
      </c>
      <c r="Q32" s="174" t="str">
        <f t="shared" si="11"/>
        <v/>
      </c>
      <c r="R32" s="174" t="str">
        <f t="shared" si="11"/>
        <v/>
      </c>
      <c r="S32" s="174" t="str">
        <f t="shared" si="11"/>
        <v/>
      </c>
      <c r="T32" s="174" t="str">
        <f t="shared" si="12"/>
        <v/>
      </c>
      <c r="U32" s="174" t="str">
        <f t="shared" si="13"/>
        <v/>
      </c>
      <c r="V32" s="174" t="str">
        <f t="shared" si="14"/>
        <v/>
      </c>
      <c r="W32" s="174" t="str">
        <f>_xlfn.IFNA(VLOOKUP(T:T,Logframe!$B:$G,6,FALSE),"")</f>
        <v/>
      </c>
      <c r="X32" s="174" t="str">
        <f>_xlfn.IFNA(VLOOKUP(U:U,Logframe!$B:$G,6,FALSE),"")</f>
        <v/>
      </c>
      <c r="Y32" s="174" t="str">
        <f>_xlfn.IFNA(VLOOKUP(V:V,Logframe!$B:$G,6,FALSE),"")</f>
        <v/>
      </c>
      <c r="Z32">
        <v>28</v>
      </c>
      <c r="AD32" t="str">
        <f t="shared" si="16"/>
        <v/>
      </c>
      <c r="AE32" t="str">
        <f t="shared" si="16"/>
        <v/>
      </c>
      <c r="AF32" t="str">
        <f t="shared" si="10"/>
        <v/>
      </c>
    </row>
    <row r="33" spans="1:32" x14ac:dyDescent="0.35">
      <c r="A33">
        <f>INDEX(Logframe!F:F,37,1)</f>
        <v>0</v>
      </c>
      <c r="B33" s="110">
        <v>0.35</v>
      </c>
      <c r="C33" s="321" t="str">
        <f>INDEX(Logframe!B:B,37,1)</f>
        <v>0</v>
      </c>
      <c r="D33" t="str">
        <f t="shared" si="6"/>
        <v/>
      </c>
      <c r="E33" t="str">
        <f t="shared" si="7"/>
        <v/>
      </c>
      <c r="F33" t="str">
        <f t="shared" si="0"/>
        <v/>
      </c>
      <c r="G33" t="str">
        <f t="shared" si="8"/>
        <v/>
      </c>
      <c r="H33" t="str">
        <f t="shared" si="1"/>
        <v/>
      </c>
      <c r="I33" s="157" t="str">
        <f t="shared" si="2"/>
        <v/>
      </c>
      <c r="J33" s="157"/>
      <c r="K33" s="157" t="str">
        <f t="shared" si="3"/>
        <v/>
      </c>
      <c r="L33" s="157" t="str">
        <f t="shared" si="4"/>
        <v/>
      </c>
      <c r="M33" s="157"/>
      <c r="N33" s="157" t="str">
        <f t="shared" si="5"/>
        <v/>
      </c>
      <c r="O33" s="174" t="str">
        <f>Table13[[#This Row],[Combined List]]</f>
        <v/>
      </c>
      <c r="P33" s="157">
        <v>29</v>
      </c>
      <c r="Q33" s="174" t="str">
        <f t="shared" si="11"/>
        <v/>
      </c>
      <c r="R33" s="174" t="str">
        <f t="shared" si="11"/>
        <v/>
      </c>
      <c r="S33" s="174" t="str">
        <f t="shared" si="11"/>
        <v/>
      </c>
      <c r="T33" s="174" t="str">
        <f t="shared" si="12"/>
        <v/>
      </c>
      <c r="U33" s="174" t="str">
        <f t="shared" si="13"/>
        <v/>
      </c>
      <c r="V33" s="174" t="str">
        <f t="shared" si="14"/>
        <v/>
      </c>
      <c r="W33" s="174" t="str">
        <f>_xlfn.IFNA(VLOOKUP(T:T,Logframe!$B:$G,6,FALSE),"")</f>
        <v/>
      </c>
      <c r="X33" s="174" t="str">
        <f>_xlfn.IFNA(VLOOKUP(U:U,Logframe!$B:$G,6,FALSE),"")</f>
        <v/>
      </c>
      <c r="Y33" s="174" t="str">
        <f>_xlfn.IFNA(VLOOKUP(V:V,Logframe!$B:$G,6,FALSE),"")</f>
        <v/>
      </c>
      <c r="Z33">
        <v>29</v>
      </c>
      <c r="AD33" t="str">
        <f t="shared" si="16"/>
        <v/>
      </c>
      <c r="AE33" t="str">
        <f t="shared" si="16"/>
        <v/>
      </c>
      <c r="AF33" t="str">
        <f t="shared" si="10"/>
        <v/>
      </c>
    </row>
    <row r="34" spans="1:32" x14ac:dyDescent="0.35">
      <c r="A34">
        <f>INDEX(Logframe!F:F,38,1)</f>
        <v>0</v>
      </c>
      <c r="B34" s="110">
        <v>0.36</v>
      </c>
      <c r="C34" s="321" t="str">
        <f>INDEX(Logframe!B:B,38,1)</f>
        <v>0</v>
      </c>
      <c r="D34" t="str">
        <f t="shared" si="6"/>
        <v/>
      </c>
      <c r="E34" t="str">
        <f t="shared" si="7"/>
        <v/>
      </c>
      <c r="F34" t="str">
        <f t="shared" si="0"/>
        <v/>
      </c>
      <c r="G34" t="str">
        <f t="shared" si="8"/>
        <v/>
      </c>
      <c r="H34" t="str">
        <f t="shared" si="1"/>
        <v/>
      </c>
      <c r="I34" s="157" t="str">
        <f t="shared" si="2"/>
        <v/>
      </c>
      <c r="J34" s="157"/>
      <c r="K34" s="157" t="str">
        <f t="shared" si="3"/>
        <v/>
      </c>
      <c r="L34" s="157" t="str">
        <f t="shared" si="4"/>
        <v/>
      </c>
      <c r="M34" s="157"/>
      <c r="N34" s="157" t="str">
        <f t="shared" si="5"/>
        <v/>
      </c>
      <c r="O34" s="174" t="str">
        <f>Table13[[#This Row],[Combined List]]</f>
        <v/>
      </c>
      <c r="P34" s="157">
        <v>30</v>
      </c>
      <c r="Q34" s="174" t="str">
        <f t="shared" si="11"/>
        <v/>
      </c>
      <c r="R34" s="174" t="str">
        <f t="shared" si="11"/>
        <v/>
      </c>
      <c r="S34" s="174" t="str">
        <f t="shared" si="11"/>
        <v/>
      </c>
      <c r="T34" s="174" t="str">
        <f t="shared" si="12"/>
        <v/>
      </c>
      <c r="U34" s="174" t="str">
        <f t="shared" si="13"/>
        <v/>
      </c>
      <c r="V34" s="174" t="str">
        <f t="shared" si="14"/>
        <v/>
      </c>
      <c r="W34" s="174" t="str">
        <f>_xlfn.IFNA(VLOOKUP(T:T,Logframe!$B:$G,6,FALSE),"")</f>
        <v/>
      </c>
      <c r="X34" s="174" t="str">
        <f>_xlfn.IFNA(VLOOKUP(U:U,Logframe!$B:$G,6,FALSE),"")</f>
        <v/>
      </c>
      <c r="Y34" s="174" t="str">
        <f>_xlfn.IFNA(VLOOKUP(V:V,Logframe!$B:$G,6,FALSE),"")</f>
        <v/>
      </c>
      <c r="Z34">
        <v>30</v>
      </c>
      <c r="AD34" t="str">
        <f t="shared" si="16"/>
        <v/>
      </c>
      <c r="AE34" t="str">
        <f t="shared" si="16"/>
        <v/>
      </c>
      <c r="AF34" t="str">
        <f t="shared" si="10"/>
        <v/>
      </c>
    </row>
    <row r="35" spans="1:32" x14ac:dyDescent="0.35">
      <c r="A35">
        <f>INDEX(Logframe!F:F,39,1)</f>
        <v>0</v>
      </c>
      <c r="B35" s="110">
        <v>0.37</v>
      </c>
      <c r="C35" s="321" t="str">
        <f>INDEX(Logframe!B:B,39,1)</f>
        <v>0</v>
      </c>
      <c r="D35" t="str">
        <f t="shared" si="6"/>
        <v/>
      </c>
      <c r="E35" t="str">
        <f t="shared" si="7"/>
        <v/>
      </c>
      <c r="F35" t="str">
        <f t="shared" si="0"/>
        <v/>
      </c>
      <c r="G35" t="str">
        <f t="shared" si="8"/>
        <v/>
      </c>
      <c r="H35" t="str">
        <f t="shared" si="1"/>
        <v/>
      </c>
      <c r="I35" s="157" t="str">
        <f t="shared" si="2"/>
        <v/>
      </c>
      <c r="J35" s="157"/>
      <c r="K35" s="157" t="str">
        <f t="shared" si="3"/>
        <v/>
      </c>
      <c r="L35" s="157" t="str">
        <f t="shared" si="4"/>
        <v/>
      </c>
      <c r="M35" s="157"/>
      <c r="N35" s="157" t="str">
        <f t="shared" si="5"/>
        <v/>
      </c>
      <c r="O35" s="174" t="str">
        <f>Table13[[#This Row],[Combined List]]</f>
        <v/>
      </c>
      <c r="P35" s="157">
        <v>31</v>
      </c>
      <c r="Q35" s="174" t="str">
        <f t="shared" si="11"/>
        <v/>
      </c>
      <c r="R35" s="174" t="str">
        <f t="shared" si="11"/>
        <v/>
      </c>
      <c r="S35" s="174" t="str">
        <f t="shared" si="11"/>
        <v/>
      </c>
      <c r="T35" s="174" t="str">
        <f t="shared" si="12"/>
        <v/>
      </c>
      <c r="U35" s="174" t="str">
        <f t="shared" si="13"/>
        <v/>
      </c>
      <c r="V35" s="174" t="str">
        <f t="shared" si="14"/>
        <v/>
      </c>
      <c r="W35" s="174" t="str">
        <f>_xlfn.IFNA(VLOOKUP(T:T,Logframe!$B:$G,6,FALSE),"")</f>
        <v/>
      </c>
      <c r="X35" s="174" t="str">
        <f>_xlfn.IFNA(VLOOKUP(U:U,Logframe!$B:$G,6,FALSE),"")</f>
        <v/>
      </c>
      <c r="Y35" s="174" t="str">
        <f>_xlfn.IFNA(VLOOKUP(V:V,Logframe!$B:$G,6,FALSE),"")</f>
        <v/>
      </c>
      <c r="Z35">
        <v>31</v>
      </c>
      <c r="AD35" t="str">
        <f t="shared" si="16"/>
        <v/>
      </c>
      <c r="AE35" t="str">
        <f t="shared" si="16"/>
        <v/>
      </c>
      <c r="AF35" t="str">
        <f t="shared" si="10"/>
        <v/>
      </c>
    </row>
    <row r="36" spans="1:32" x14ac:dyDescent="0.35">
      <c r="A36">
        <f>INDEX(Logframe!F:F,40,1)</f>
        <v>0</v>
      </c>
      <c r="B36" s="110">
        <v>0.38</v>
      </c>
      <c r="C36" s="321" t="str">
        <f>INDEX(Logframe!B:B,40,1)</f>
        <v>0</v>
      </c>
      <c r="D36" t="str">
        <f t="shared" si="6"/>
        <v/>
      </c>
      <c r="E36" t="str">
        <f t="shared" si="7"/>
        <v/>
      </c>
      <c r="F36" t="str">
        <f t="shared" si="0"/>
        <v/>
      </c>
      <c r="G36" t="str">
        <f t="shared" si="8"/>
        <v/>
      </c>
      <c r="H36" t="str">
        <f t="shared" si="1"/>
        <v/>
      </c>
      <c r="I36" s="157" t="str">
        <f t="shared" si="2"/>
        <v/>
      </c>
      <c r="J36" s="157"/>
      <c r="K36" s="157" t="str">
        <f t="shared" si="3"/>
        <v/>
      </c>
      <c r="L36" s="157" t="str">
        <f t="shared" si="4"/>
        <v/>
      </c>
      <c r="M36" s="157"/>
      <c r="N36" s="157" t="str">
        <f t="shared" si="5"/>
        <v/>
      </c>
      <c r="O36" s="174" t="str">
        <f>Table13[[#This Row],[Combined List]]</f>
        <v/>
      </c>
      <c r="P36" s="157">
        <v>32</v>
      </c>
      <c r="Q36" s="174" t="str">
        <f t="shared" si="11"/>
        <v/>
      </c>
      <c r="R36" s="174" t="str">
        <f t="shared" si="11"/>
        <v/>
      </c>
      <c r="S36" s="174" t="str">
        <f t="shared" si="11"/>
        <v/>
      </c>
      <c r="T36" s="174" t="str">
        <f t="shared" si="12"/>
        <v/>
      </c>
      <c r="U36" s="174" t="str">
        <f t="shared" si="13"/>
        <v/>
      </c>
      <c r="V36" s="174" t="str">
        <f t="shared" si="14"/>
        <v/>
      </c>
      <c r="W36" s="174" t="str">
        <f>_xlfn.IFNA(VLOOKUP(T:T,Logframe!$B:$G,6,FALSE),"")</f>
        <v/>
      </c>
      <c r="X36" s="174" t="str">
        <f>_xlfn.IFNA(VLOOKUP(U:U,Logframe!$B:$G,6,FALSE),"")</f>
        <v/>
      </c>
      <c r="Y36" s="174" t="str">
        <f>_xlfn.IFNA(VLOOKUP(V:V,Logframe!$B:$G,6,FALSE),"")</f>
        <v/>
      </c>
      <c r="Z36">
        <v>32</v>
      </c>
      <c r="AD36" t="str">
        <f t="shared" si="16"/>
        <v/>
      </c>
      <c r="AE36" t="str">
        <f t="shared" si="16"/>
        <v/>
      </c>
      <c r="AF36" t="str">
        <f t="shared" si="10"/>
        <v/>
      </c>
    </row>
    <row r="37" spans="1:32" x14ac:dyDescent="0.35">
      <c r="A37">
        <f>INDEX(Logframe!F:F,41,1)</f>
        <v>0</v>
      </c>
      <c r="B37" s="110">
        <v>0.39</v>
      </c>
      <c r="C37" s="321" t="str">
        <f>INDEX(Logframe!B:B,41,1)</f>
        <v>0</v>
      </c>
      <c r="D37" t="str">
        <f t="shared" si="6"/>
        <v/>
      </c>
      <c r="E37" t="str">
        <f t="shared" si="7"/>
        <v/>
      </c>
      <c r="F37" t="str">
        <f t="shared" si="0"/>
        <v/>
      </c>
      <c r="G37" t="str">
        <f t="shared" si="8"/>
        <v/>
      </c>
      <c r="H37" t="str">
        <f t="shared" si="1"/>
        <v/>
      </c>
      <c r="I37" s="157" t="str">
        <f t="shared" si="2"/>
        <v/>
      </c>
      <c r="J37" s="157"/>
      <c r="K37" s="157" t="str">
        <f t="shared" si="3"/>
        <v/>
      </c>
      <c r="L37" s="157" t="str">
        <f t="shared" si="4"/>
        <v/>
      </c>
      <c r="M37" s="157"/>
      <c r="N37" s="157" t="str">
        <f t="shared" si="5"/>
        <v/>
      </c>
      <c r="O37" s="174" t="str">
        <f>Table13[[#This Row],[Combined List]]</f>
        <v/>
      </c>
      <c r="P37" s="157">
        <v>33</v>
      </c>
      <c r="Q37" s="174" t="str">
        <f t="shared" si="11"/>
        <v/>
      </c>
      <c r="R37" s="174" t="str">
        <f t="shared" si="11"/>
        <v/>
      </c>
      <c r="S37" s="174" t="str">
        <f t="shared" si="11"/>
        <v/>
      </c>
      <c r="T37" s="174" t="str">
        <f t="shared" si="12"/>
        <v/>
      </c>
      <c r="U37" s="174" t="str">
        <f t="shared" si="13"/>
        <v/>
      </c>
      <c r="V37" s="174" t="str">
        <f t="shared" si="14"/>
        <v/>
      </c>
      <c r="W37" s="174" t="str">
        <f>_xlfn.IFNA(VLOOKUP(T:T,Logframe!$B:$G,6,FALSE),"")</f>
        <v/>
      </c>
      <c r="X37" s="174" t="str">
        <f>_xlfn.IFNA(VLOOKUP(U:U,Logframe!$B:$G,6,FALSE),"")</f>
        <v/>
      </c>
      <c r="Y37" s="174" t="str">
        <f>_xlfn.IFNA(VLOOKUP(V:V,Logframe!$B:$G,6,FALSE),"")</f>
        <v/>
      </c>
      <c r="Z37">
        <v>33</v>
      </c>
      <c r="AD37" t="str">
        <f t="shared" si="16"/>
        <v/>
      </c>
      <c r="AE37" t="str">
        <f t="shared" si="16"/>
        <v/>
      </c>
      <c r="AF37" t="str">
        <f t="shared" si="10"/>
        <v/>
      </c>
    </row>
    <row r="38" spans="1:32" x14ac:dyDescent="0.35">
      <c r="A38">
        <f>INDEX(Logframe!F:F,42,1)</f>
        <v>0</v>
      </c>
      <c r="B38" s="110">
        <v>0.41</v>
      </c>
      <c r="C38" s="321" t="str">
        <f>INDEX(Logframe!B:B,42,1)</f>
        <v>0</v>
      </c>
      <c r="D38" t="str">
        <f t="shared" si="6"/>
        <v/>
      </c>
      <c r="E38" t="str">
        <f t="shared" si="7"/>
        <v/>
      </c>
      <c r="F38" t="str">
        <f t="shared" si="0"/>
        <v/>
      </c>
      <c r="G38" t="str">
        <f t="shared" si="8"/>
        <v/>
      </c>
      <c r="H38" t="str">
        <f t="shared" si="1"/>
        <v/>
      </c>
      <c r="I38" s="157" t="str">
        <f t="shared" si="2"/>
        <v/>
      </c>
      <c r="J38" s="157"/>
      <c r="K38" s="157" t="str">
        <f t="shared" si="3"/>
        <v/>
      </c>
      <c r="L38" s="157" t="str">
        <f t="shared" si="4"/>
        <v/>
      </c>
      <c r="M38" s="157"/>
      <c r="N38" s="157" t="str">
        <f t="shared" si="5"/>
        <v/>
      </c>
      <c r="O38" s="174" t="str">
        <f>Table13[[#This Row],[Combined List]]</f>
        <v/>
      </c>
      <c r="P38" s="157">
        <v>34</v>
      </c>
      <c r="Q38" s="174" t="str">
        <f t="shared" si="11"/>
        <v/>
      </c>
      <c r="R38" s="174" t="str">
        <f t="shared" si="11"/>
        <v/>
      </c>
      <c r="S38" s="174" t="str">
        <f t="shared" si="11"/>
        <v/>
      </c>
      <c r="T38" s="174" t="str">
        <f t="shared" si="12"/>
        <v/>
      </c>
      <c r="U38" s="174" t="str">
        <f t="shared" si="13"/>
        <v/>
      </c>
      <c r="V38" s="174" t="str">
        <f t="shared" si="14"/>
        <v/>
      </c>
      <c r="W38" s="174" t="str">
        <f>_xlfn.IFNA(VLOOKUP(T:T,Logframe!$B:$G,6,FALSE),"")</f>
        <v/>
      </c>
      <c r="X38" s="174" t="str">
        <f>_xlfn.IFNA(VLOOKUP(U:U,Logframe!$B:$G,6,FALSE),"")</f>
        <v/>
      </c>
      <c r="Y38" s="174" t="str">
        <f>_xlfn.IFNA(VLOOKUP(V:V,Logframe!$B:$G,6,FALSE),"")</f>
        <v/>
      </c>
      <c r="Z38">
        <v>34</v>
      </c>
      <c r="AD38" t="str">
        <f t="shared" si="16"/>
        <v/>
      </c>
      <c r="AE38" t="str">
        <f t="shared" si="16"/>
        <v/>
      </c>
      <c r="AF38" t="str">
        <f t="shared" si="10"/>
        <v/>
      </c>
    </row>
    <row r="39" spans="1:32" x14ac:dyDescent="0.35">
      <c r="A39">
        <f>INDEX(Logframe!F:F,43,1)</f>
        <v>0</v>
      </c>
      <c r="B39" s="110">
        <v>0.42</v>
      </c>
      <c r="C39" s="321" t="str">
        <f>INDEX(Logframe!B:B,43,1)</f>
        <v>0</v>
      </c>
      <c r="D39" t="str">
        <f t="shared" si="6"/>
        <v/>
      </c>
      <c r="E39" t="str">
        <f t="shared" si="7"/>
        <v/>
      </c>
      <c r="F39" t="str">
        <f t="shared" si="0"/>
        <v/>
      </c>
      <c r="G39" t="str">
        <f t="shared" si="8"/>
        <v/>
      </c>
      <c r="H39" t="str">
        <f t="shared" si="1"/>
        <v/>
      </c>
      <c r="I39" s="157" t="str">
        <f t="shared" si="2"/>
        <v/>
      </c>
      <c r="J39" s="157"/>
      <c r="K39" s="157" t="str">
        <f t="shared" si="3"/>
        <v/>
      </c>
      <c r="L39" s="157" t="str">
        <f t="shared" si="4"/>
        <v/>
      </c>
      <c r="M39" s="157"/>
      <c r="N39" s="157" t="str">
        <f t="shared" si="5"/>
        <v/>
      </c>
      <c r="O39" s="174" t="str">
        <f>Table13[[#This Row],[Combined List]]</f>
        <v/>
      </c>
      <c r="P39" s="157">
        <v>35</v>
      </c>
      <c r="Q39" s="174" t="str">
        <f t="shared" si="11"/>
        <v/>
      </c>
      <c r="R39" s="174" t="str">
        <f t="shared" si="11"/>
        <v/>
      </c>
      <c r="S39" s="174" t="str">
        <f t="shared" si="11"/>
        <v/>
      </c>
      <c r="T39" s="174" t="str">
        <f t="shared" si="12"/>
        <v/>
      </c>
      <c r="U39" s="174" t="str">
        <f t="shared" si="13"/>
        <v/>
      </c>
      <c r="V39" s="174" t="str">
        <f t="shared" si="14"/>
        <v/>
      </c>
      <c r="W39" s="174" t="str">
        <f>_xlfn.IFNA(VLOOKUP(T:T,Logframe!$B:$G,6,FALSE),"")</f>
        <v/>
      </c>
      <c r="X39" s="174" t="str">
        <f>_xlfn.IFNA(VLOOKUP(U:U,Logframe!$B:$G,6,FALSE),"")</f>
        <v/>
      </c>
      <c r="Y39" s="174" t="str">
        <f>_xlfn.IFNA(VLOOKUP(V:V,Logframe!$B:$G,6,FALSE),"")</f>
        <v/>
      </c>
      <c r="Z39">
        <v>35</v>
      </c>
      <c r="AD39" t="str">
        <f t="shared" si="16"/>
        <v/>
      </c>
      <c r="AE39" t="str">
        <f t="shared" si="16"/>
        <v/>
      </c>
      <c r="AF39" t="str">
        <f t="shared" si="10"/>
        <v/>
      </c>
    </row>
    <row r="40" spans="1:32" x14ac:dyDescent="0.35">
      <c r="A40">
        <f>INDEX(Logframe!F:F,44,1)</f>
        <v>0</v>
      </c>
      <c r="B40" s="110">
        <v>0.43</v>
      </c>
      <c r="C40" s="321" t="str">
        <f>INDEX(Logframe!B:B,44,1)</f>
        <v>0</v>
      </c>
      <c r="D40" t="str">
        <f t="shared" si="6"/>
        <v/>
      </c>
      <c r="E40" t="str">
        <f t="shared" si="7"/>
        <v/>
      </c>
      <c r="F40" t="str">
        <f t="shared" si="0"/>
        <v/>
      </c>
      <c r="G40" t="str">
        <f t="shared" si="8"/>
        <v/>
      </c>
      <c r="H40" t="str">
        <f t="shared" si="1"/>
        <v/>
      </c>
      <c r="I40" s="157" t="str">
        <f t="shared" si="2"/>
        <v/>
      </c>
      <c r="J40" s="157"/>
      <c r="K40" s="157" t="str">
        <f t="shared" si="3"/>
        <v/>
      </c>
      <c r="L40" s="157" t="str">
        <f t="shared" si="4"/>
        <v/>
      </c>
      <c r="M40" s="157"/>
      <c r="N40" s="157" t="str">
        <f t="shared" si="5"/>
        <v/>
      </c>
      <c r="O40" s="174" t="str">
        <f>Table13[[#This Row],[Combined List]]</f>
        <v/>
      </c>
      <c r="P40" s="157">
        <v>36</v>
      </c>
      <c r="Q40" s="174" t="str">
        <f t="shared" si="11"/>
        <v/>
      </c>
      <c r="R40" s="174" t="str">
        <f t="shared" si="11"/>
        <v/>
      </c>
      <c r="S40" s="174" t="str">
        <f t="shared" si="11"/>
        <v/>
      </c>
      <c r="T40" s="174" t="str">
        <f t="shared" si="12"/>
        <v/>
      </c>
      <c r="U40" s="174" t="str">
        <f t="shared" si="13"/>
        <v/>
      </c>
      <c r="V40" s="174" t="str">
        <f t="shared" si="14"/>
        <v/>
      </c>
      <c r="W40" s="174" t="str">
        <f>_xlfn.IFNA(VLOOKUP(T:T,Logframe!$B:$G,6,FALSE),"")</f>
        <v/>
      </c>
      <c r="X40" s="174" t="str">
        <f>_xlfn.IFNA(VLOOKUP(U:U,Logframe!$B:$G,6,FALSE),"")</f>
        <v/>
      </c>
      <c r="Y40" s="174" t="str">
        <f>_xlfn.IFNA(VLOOKUP(V:V,Logframe!$B:$G,6,FALSE),"")</f>
        <v/>
      </c>
      <c r="Z40">
        <v>36</v>
      </c>
      <c r="AD40" t="str">
        <f t="shared" si="16"/>
        <v/>
      </c>
      <c r="AE40" t="str">
        <f t="shared" si="16"/>
        <v/>
      </c>
      <c r="AF40" t="str">
        <f t="shared" si="10"/>
        <v/>
      </c>
    </row>
    <row r="41" spans="1:32" x14ac:dyDescent="0.35">
      <c r="A41">
        <f>INDEX(Logframe!F:F,45,1)</f>
        <v>0</v>
      </c>
      <c r="B41" s="110">
        <v>0.44</v>
      </c>
      <c r="C41" s="321" t="str">
        <f>INDEX(Logframe!B:B,45,1)</f>
        <v>0</v>
      </c>
      <c r="D41" t="str">
        <f t="shared" si="6"/>
        <v/>
      </c>
      <c r="E41" t="str">
        <f t="shared" si="7"/>
        <v/>
      </c>
      <c r="F41" t="str">
        <f t="shared" si="0"/>
        <v/>
      </c>
      <c r="G41" t="str">
        <f t="shared" si="8"/>
        <v/>
      </c>
      <c r="H41" t="str">
        <f t="shared" si="1"/>
        <v/>
      </c>
      <c r="I41" s="157" t="str">
        <f t="shared" si="2"/>
        <v/>
      </c>
      <c r="J41" s="157"/>
      <c r="K41" s="157" t="str">
        <f t="shared" si="3"/>
        <v/>
      </c>
      <c r="L41" s="157" t="str">
        <f t="shared" si="4"/>
        <v/>
      </c>
      <c r="M41" s="157"/>
      <c r="N41" s="157" t="str">
        <f t="shared" si="5"/>
        <v/>
      </c>
      <c r="O41" s="174" t="str">
        <f>Table13[[#This Row],[Combined List]]</f>
        <v/>
      </c>
      <c r="P41" s="157">
        <v>37</v>
      </c>
      <c r="Q41" s="174" t="str">
        <f t="shared" si="11"/>
        <v/>
      </c>
      <c r="R41" s="174" t="str">
        <f t="shared" si="11"/>
        <v/>
      </c>
      <c r="S41" s="174" t="str">
        <f t="shared" si="11"/>
        <v/>
      </c>
      <c r="T41" s="174" t="str">
        <f t="shared" si="12"/>
        <v/>
      </c>
      <c r="U41" s="174" t="str">
        <f t="shared" si="13"/>
        <v/>
      </c>
      <c r="V41" s="174" t="str">
        <f t="shared" si="14"/>
        <v/>
      </c>
      <c r="W41" s="174" t="str">
        <f>_xlfn.IFNA(VLOOKUP(T:T,Logframe!$B:$G,6,FALSE),"")</f>
        <v/>
      </c>
      <c r="X41" s="174" t="str">
        <f>_xlfn.IFNA(VLOOKUP(U:U,Logframe!$B:$G,6,FALSE),"")</f>
        <v/>
      </c>
      <c r="Y41" s="174" t="str">
        <f>_xlfn.IFNA(VLOOKUP(V:V,Logframe!$B:$G,6,FALSE),"")</f>
        <v/>
      </c>
      <c r="Z41">
        <v>37</v>
      </c>
      <c r="AD41" t="str">
        <f t="shared" si="16"/>
        <v/>
      </c>
      <c r="AE41" t="str">
        <f t="shared" si="16"/>
        <v/>
      </c>
      <c r="AF41" t="str">
        <f t="shared" si="10"/>
        <v/>
      </c>
    </row>
    <row r="42" spans="1:32" x14ac:dyDescent="0.35">
      <c r="A42">
        <f>INDEX(Logframe!F:F,46,1)</f>
        <v>0</v>
      </c>
      <c r="B42" s="110">
        <v>0.45</v>
      </c>
      <c r="C42" s="321" t="str">
        <f>INDEX(Logframe!B:B,46,1)</f>
        <v>0</v>
      </c>
      <c r="D42" t="str">
        <f t="shared" si="6"/>
        <v/>
      </c>
      <c r="E42" t="str">
        <f t="shared" si="7"/>
        <v/>
      </c>
      <c r="F42" t="str">
        <f t="shared" si="0"/>
        <v/>
      </c>
      <c r="G42" t="str">
        <f t="shared" si="8"/>
        <v/>
      </c>
      <c r="H42" t="str">
        <f t="shared" si="1"/>
        <v/>
      </c>
      <c r="I42" s="157" t="str">
        <f t="shared" si="2"/>
        <v/>
      </c>
      <c r="J42" s="157"/>
      <c r="K42" s="157" t="str">
        <f t="shared" si="3"/>
        <v/>
      </c>
      <c r="L42" s="157" t="str">
        <f t="shared" si="4"/>
        <v/>
      </c>
      <c r="M42" s="157"/>
      <c r="N42" s="157" t="str">
        <f t="shared" si="5"/>
        <v/>
      </c>
      <c r="O42" s="174" t="str">
        <f>Table13[[#This Row],[Combined List]]</f>
        <v/>
      </c>
      <c r="P42" s="157">
        <v>38</v>
      </c>
      <c r="Q42" s="174" t="str">
        <f t="shared" si="11"/>
        <v/>
      </c>
      <c r="R42" s="174" t="str">
        <f t="shared" si="11"/>
        <v/>
      </c>
      <c r="S42" s="174" t="str">
        <f t="shared" si="11"/>
        <v/>
      </c>
      <c r="T42" s="174" t="str">
        <f t="shared" si="12"/>
        <v/>
      </c>
      <c r="U42" s="174" t="str">
        <f t="shared" si="13"/>
        <v/>
      </c>
      <c r="V42" s="174" t="str">
        <f t="shared" si="14"/>
        <v/>
      </c>
      <c r="W42" s="174" t="str">
        <f>_xlfn.IFNA(VLOOKUP(T:T,Logframe!$B:$G,6,FALSE),"")</f>
        <v/>
      </c>
      <c r="X42" s="174" t="str">
        <f>_xlfn.IFNA(VLOOKUP(U:U,Logframe!$B:$G,6,FALSE),"")</f>
        <v/>
      </c>
      <c r="Y42" s="174" t="str">
        <f>_xlfn.IFNA(VLOOKUP(V:V,Logframe!$B:$G,6,FALSE),"")</f>
        <v/>
      </c>
      <c r="Z42">
        <v>38</v>
      </c>
      <c r="AD42" t="str">
        <f t="shared" si="16"/>
        <v/>
      </c>
      <c r="AE42" t="str">
        <f t="shared" si="16"/>
        <v/>
      </c>
      <c r="AF42" t="str">
        <f t="shared" si="10"/>
        <v/>
      </c>
    </row>
    <row r="43" spans="1:32" x14ac:dyDescent="0.35">
      <c r="A43">
        <f>INDEX(Logframe!F:F,47,1)</f>
        <v>0</v>
      </c>
      <c r="B43" s="110">
        <v>0.46</v>
      </c>
      <c r="C43" s="321" t="str">
        <f>INDEX(Logframe!B:B,47,1)</f>
        <v>0</v>
      </c>
      <c r="D43" t="str">
        <f t="shared" si="6"/>
        <v/>
      </c>
      <c r="E43" t="str">
        <f t="shared" si="7"/>
        <v/>
      </c>
      <c r="F43" t="str">
        <f t="shared" si="0"/>
        <v/>
      </c>
      <c r="G43" t="str">
        <f t="shared" si="8"/>
        <v/>
      </c>
      <c r="H43" t="str">
        <f t="shared" si="1"/>
        <v/>
      </c>
      <c r="I43" s="157" t="str">
        <f t="shared" si="2"/>
        <v/>
      </c>
      <c r="J43" s="157"/>
      <c r="K43" s="157" t="str">
        <f t="shared" si="3"/>
        <v/>
      </c>
      <c r="L43" s="157" t="str">
        <f t="shared" si="4"/>
        <v/>
      </c>
      <c r="M43" s="157"/>
      <c r="N43" s="157" t="str">
        <f t="shared" si="5"/>
        <v/>
      </c>
      <c r="O43" s="174" t="str">
        <f>Table13[[#This Row],[Combined List]]</f>
        <v/>
      </c>
      <c r="P43" s="157">
        <v>39</v>
      </c>
      <c r="Q43" s="174" t="str">
        <f t="shared" si="11"/>
        <v/>
      </c>
      <c r="R43" s="174" t="str">
        <f t="shared" si="11"/>
        <v/>
      </c>
      <c r="S43" s="174" t="str">
        <f t="shared" si="11"/>
        <v/>
      </c>
      <c r="T43" s="174" t="str">
        <f t="shared" si="12"/>
        <v/>
      </c>
      <c r="U43" s="174" t="str">
        <f t="shared" si="13"/>
        <v/>
      </c>
      <c r="V43" s="174" t="str">
        <f t="shared" si="14"/>
        <v/>
      </c>
      <c r="W43" s="174" t="str">
        <f>_xlfn.IFNA(VLOOKUP(T:T,Logframe!$B:$G,6,FALSE),"")</f>
        <v/>
      </c>
      <c r="X43" s="174" t="str">
        <f>_xlfn.IFNA(VLOOKUP(U:U,Logframe!$B:$G,6,FALSE),"")</f>
        <v/>
      </c>
      <c r="Y43" s="174" t="str">
        <f>_xlfn.IFNA(VLOOKUP(V:V,Logframe!$B:$G,6,FALSE),"")</f>
        <v/>
      </c>
      <c r="Z43">
        <v>39</v>
      </c>
      <c r="AD43" t="str">
        <f t="shared" si="16"/>
        <v/>
      </c>
      <c r="AE43" t="str">
        <f t="shared" si="16"/>
        <v/>
      </c>
      <c r="AF43" t="str">
        <f t="shared" si="10"/>
        <v/>
      </c>
    </row>
    <row r="44" spans="1:32" x14ac:dyDescent="0.35">
      <c r="A44">
        <f>INDEX(Logframe!F:F,48,1)</f>
        <v>0</v>
      </c>
      <c r="B44" s="110">
        <v>0.47</v>
      </c>
      <c r="C44" s="321" t="str">
        <f>INDEX(Logframe!B:B,48,1)</f>
        <v>0</v>
      </c>
      <c r="D44" t="str">
        <f t="shared" si="6"/>
        <v/>
      </c>
      <c r="E44" t="str">
        <f t="shared" si="7"/>
        <v/>
      </c>
      <c r="F44" t="str">
        <f t="shared" si="0"/>
        <v/>
      </c>
      <c r="G44" t="str">
        <f t="shared" si="8"/>
        <v/>
      </c>
      <c r="H44" t="str">
        <f t="shared" si="1"/>
        <v/>
      </c>
      <c r="I44" s="157" t="str">
        <f t="shared" si="2"/>
        <v/>
      </c>
      <c r="J44" s="157"/>
      <c r="K44" s="157" t="str">
        <f t="shared" si="3"/>
        <v/>
      </c>
      <c r="L44" s="157" t="str">
        <f t="shared" si="4"/>
        <v/>
      </c>
      <c r="M44" s="157"/>
      <c r="N44" s="157" t="str">
        <f t="shared" si="5"/>
        <v/>
      </c>
      <c r="O44" s="174" t="str">
        <f>Table13[[#This Row],[Combined List]]</f>
        <v/>
      </c>
      <c r="P44" s="157">
        <v>40</v>
      </c>
      <c r="Q44" s="174" t="str">
        <f t="shared" si="11"/>
        <v/>
      </c>
      <c r="R44" s="174" t="str">
        <f t="shared" si="11"/>
        <v/>
      </c>
      <c r="S44" s="174" t="str">
        <f t="shared" si="11"/>
        <v/>
      </c>
      <c r="T44" s="174" t="str">
        <f t="shared" si="12"/>
        <v/>
      </c>
      <c r="U44" s="174" t="str">
        <f t="shared" si="13"/>
        <v/>
      </c>
      <c r="V44" s="174" t="str">
        <f t="shared" si="14"/>
        <v/>
      </c>
      <c r="W44" s="174" t="str">
        <f>_xlfn.IFNA(VLOOKUP(T:T,Logframe!$B:$G,6,FALSE),"")</f>
        <v/>
      </c>
      <c r="X44" s="174" t="str">
        <f>_xlfn.IFNA(VLOOKUP(U:U,Logframe!$B:$G,6,FALSE),"")</f>
        <v/>
      </c>
      <c r="Y44" s="174" t="str">
        <f>_xlfn.IFNA(VLOOKUP(V:V,Logframe!$B:$G,6,FALSE),"")</f>
        <v/>
      </c>
      <c r="Z44">
        <v>40</v>
      </c>
      <c r="AD44" t="str">
        <f t="shared" si="16"/>
        <v/>
      </c>
      <c r="AE44" t="str">
        <f t="shared" si="16"/>
        <v/>
      </c>
      <c r="AF44" t="str">
        <f t="shared" si="10"/>
        <v/>
      </c>
    </row>
    <row r="45" spans="1:32" x14ac:dyDescent="0.35">
      <c r="A45">
        <f>INDEX(Logframe!F:F,49,1)</f>
        <v>0</v>
      </c>
      <c r="B45" s="110">
        <v>0.48</v>
      </c>
      <c r="C45" s="321" t="str">
        <f>INDEX(Logframe!B:B,49,1)</f>
        <v>0</v>
      </c>
      <c r="D45" t="str">
        <f t="shared" si="6"/>
        <v/>
      </c>
      <c r="E45" t="str">
        <f t="shared" si="7"/>
        <v/>
      </c>
      <c r="F45" t="str">
        <f t="shared" si="0"/>
        <v/>
      </c>
      <c r="G45" t="str">
        <f t="shared" si="8"/>
        <v/>
      </c>
      <c r="H45" t="str">
        <f t="shared" si="1"/>
        <v/>
      </c>
      <c r="I45" s="157" t="str">
        <f t="shared" si="2"/>
        <v/>
      </c>
      <c r="J45" s="157"/>
      <c r="K45" s="157" t="str">
        <f t="shared" si="3"/>
        <v/>
      </c>
      <c r="L45" s="157" t="str">
        <f t="shared" si="4"/>
        <v/>
      </c>
      <c r="M45" s="157"/>
      <c r="N45" s="157" t="str">
        <f t="shared" si="5"/>
        <v/>
      </c>
      <c r="O45" s="174" t="str">
        <f>Table13[[#This Row],[Combined List]]</f>
        <v/>
      </c>
      <c r="P45" s="157">
        <v>41</v>
      </c>
      <c r="Q45" s="174" t="str">
        <f t="shared" si="11"/>
        <v/>
      </c>
      <c r="R45" s="174" t="str">
        <f t="shared" si="11"/>
        <v/>
      </c>
      <c r="S45" s="174" t="str">
        <f t="shared" si="11"/>
        <v/>
      </c>
      <c r="T45" s="174" t="str">
        <f t="shared" si="12"/>
        <v/>
      </c>
      <c r="U45" s="174" t="str">
        <f t="shared" si="13"/>
        <v/>
      </c>
      <c r="V45" s="174" t="str">
        <f t="shared" si="14"/>
        <v/>
      </c>
      <c r="W45" s="174" t="str">
        <f>_xlfn.IFNA(VLOOKUP(T:T,Logframe!$B:$G,6,FALSE),"")</f>
        <v/>
      </c>
      <c r="X45" s="174" t="str">
        <f>_xlfn.IFNA(VLOOKUP(U:U,Logframe!$B:$G,6,FALSE),"")</f>
        <v/>
      </c>
      <c r="Y45" s="174" t="str">
        <f>_xlfn.IFNA(VLOOKUP(V:V,Logframe!$B:$G,6,FALSE),"")</f>
        <v/>
      </c>
      <c r="Z45">
        <v>41</v>
      </c>
      <c r="AD45" t="str">
        <f t="shared" si="16"/>
        <v/>
      </c>
      <c r="AE45" t="str">
        <f t="shared" si="16"/>
        <v/>
      </c>
      <c r="AF45" t="str">
        <f t="shared" si="10"/>
        <v/>
      </c>
    </row>
    <row r="46" spans="1:32" x14ac:dyDescent="0.35">
      <c r="A46">
        <f>INDEX(Logframe!F:F,50,1)</f>
        <v>0</v>
      </c>
      <c r="B46" s="110">
        <v>0.49</v>
      </c>
      <c r="C46" s="321" t="str">
        <f>INDEX(Logframe!B:B,50,1)</f>
        <v>0</v>
      </c>
      <c r="D46" t="str">
        <f t="shared" si="6"/>
        <v/>
      </c>
      <c r="E46" t="str">
        <f t="shared" si="7"/>
        <v/>
      </c>
      <c r="F46" t="str">
        <f t="shared" si="0"/>
        <v/>
      </c>
      <c r="G46" t="str">
        <f t="shared" si="8"/>
        <v/>
      </c>
      <c r="H46" t="str">
        <f t="shared" si="1"/>
        <v/>
      </c>
      <c r="I46" s="157" t="str">
        <f t="shared" si="2"/>
        <v/>
      </c>
      <c r="J46" s="157"/>
      <c r="K46" s="157" t="str">
        <f t="shared" si="3"/>
        <v/>
      </c>
      <c r="L46" s="157" t="str">
        <f t="shared" si="4"/>
        <v/>
      </c>
      <c r="M46" s="157"/>
      <c r="N46" s="157" t="str">
        <f t="shared" si="5"/>
        <v/>
      </c>
      <c r="O46" s="174" t="str">
        <f>Table13[[#This Row],[Combined List]]</f>
        <v/>
      </c>
      <c r="P46" s="157">
        <v>42</v>
      </c>
      <c r="Q46" s="174" t="str">
        <f t="shared" si="11"/>
        <v/>
      </c>
      <c r="R46" s="174" t="str">
        <f t="shared" si="11"/>
        <v/>
      </c>
      <c r="S46" s="174" t="str">
        <f t="shared" si="11"/>
        <v/>
      </c>
      <c r="T46" s="174" t="str">
        <f t="shared" si="12"/>
        <v/>
      </c>
      <c r="U46" s="174" t="str">
        <f t="shared" si="13"/>
        <v/>
      </c>
      <c r="V46" s="174" t="str">
        <f t="shared" si="14"/>
        <v/>
      </c>
      <c r="W46" s="174" t="str">
        <f>_xlfn.IFNA(VLOOKUP(T:T,Logframe!$B:$G,6,FALSE),"")</f>
        <v/>
      </c>
      <c r="X46" s="174" t="str">
        <f>_xlfn.IFNA(VLOOKUP(U:U,Logframe!$B:$G,6,FALSE),"")</f>
        <v/>
      </c>
      <c r="Y46" s="174" t="str">
        <f>_xlfn.IFNA(VLOOKUP(V:V,Logframe!$B:$G,6,FALSE),"")</f>
        <v/>
      </c>
      <c r="Z46">
        <v>42</v>
      </c>
      <c r="AD46" t="str">
        <f t="shared" si="16"/>
        <v/>
      </c>
      <c r="AE46" t="str">
        <f t="shared" si="16"/>
        <v/>
      </c>
      <c r="AF46" t="str">
        <f t="shared" si="10"/>
        <v/>
      </c>
    </row>
    <row r="47" spans="1:32" x14ac:dyDescent="0.35">
      <c r="A47">
        <f>INDEX(Logframe!F:F,51,1)</f>
        <v>0</v>
      </c>
      <c r="B47" s="110">
        <v>0.51</v>
      </c>
      <c r="C47" s="321" t="str">
        <f>INDEX(Logframe!B:B,51,1)</f>
        <v>0</v>
      </c>
      <c r="D47" t="str">
        <f t="shared" si="6"/>
        <v/>
      </c>
      <c r="E47" t="str">
        <f t="shared" si="7"/>
        <v/>
      </c>
      <c r="F47" t="str">
        <f t="shared" si="0"/>
        <v/>
      </c>
      <c r="G47" t="str">
        <f t="shared" si="8"/>
        <v/>
      </c>
      <c r="H47" t="str">
        <f t="shared" si="1"/>
        <v/>
      </c>
      <c r="I47" s="157" t="str">
        <f t="shared" si="2"/>
        <v/>
      </c>
      <c r="J47" s="157"/>
      <c r="K47" s="157" t="str">
        <f t="shared" si="3"/>
        <v/>
      </c>
      <c r="L47" s="157" t="str">
        <f t="shared" si="4"/>
        <v/>
      </c>
      <c r="M47" s="157"/>
      <c r="N47" s="157" t="str">
        <f t="shared" si="5"/>
        <v/>
      </c>
      <c r="O47" s="174" t="str">
        <f>Table13[[#This Row],[Combined List]]</f>
        <v/>
      </c>
      <c r="P47" s="157">
        <v>43</v>
      </c>
      <c r="Q47" s="174" t="str">
        <f t="shared" si="11"/>
        <v/>
      </c>
      <c r="R47" s="174" t="str">
        <f t="shared" si="11"/>
        <v/>
      </c>
      <c r="S47" s="174" t="str">
        <f t="shared" si="11"/>
        <v/>
      </c>
      <c r="T47" s="174" t="str">
        <f t="shared" si="12"/>
        <v/>
      </c>
      <c r="U47" s="174" t="str">
        <f t="shared" si="13"/>
        <v/>
      </c>
      <c r="V47" s="174" t="str">
        <f t="shared" si="14"/>
        <v/>
      </c>
      <c r="W47" s="174" t="str">
        <f>_xlfn.IFNA(VLOOKUP(T:T,Logframe!$B:$G,6,FALSE),"")</f>
        <v/>
      </c>
      <c r="X47" s="174" t="str">
        <f>_xlfn.IFNA(VLOOKUP(U:U,Logframe!$B:$G,6,FALSE),"")</f>
        <v/>
      </c>
      <c r="Y47" s="174" t="str">
        <f>_xlfn.IFNA(VLOOKUP(V:V,Logframe!$B:$G,6,FALSE),"")</f>
        <v/>
      </c>
      <c r="Z47">
        <v>43</v>
      </c>
      <c r="AD47" t="str">
        <f t="shared" si="16"/>
        <v/>
      </c>
      <c r="AE47" t="str">
        <f t="shared" si="16"/>
        <v/>
      </c>
      <c r="AF47" t="str">
        <f t="shared" si="10"/>
        <v/>
      </c>
    </row>
    <row r="48" spans="1:32" x14ac:dyDescent="0.35">
      <c r="A48">
        <f>INDEX(Logframe!F:F,52,1)</f>
        <v>0</v>
      </c>
      <c r="B48" s="110">
        <v>0.52</v>
      </c>
      <c r="C48" s="321" t="str">
        <f>INDEX(Logframe!B:B,52,1)</f>
        <v>0</v>
      </c>
      <c r="D48" t="str">
        <f t="shared" si="6"/>
        <v/>
      </c>
      <c r="E48" t="str">
        <f t="shared" si="7"/>
        <v/>
      </c>
      <c r="F48" t="str">
        <f t="shared" si="0"/>
        <v/>
      </c>
      <c r="G48" t="str">
        <f t="shared" si="8"/>
        <v/>
      </c>
      <c r="H48" t="str">
        <f t="shared" si="1"/>
        <v/>
      </c>
      <c r="I48" s="157" t="str">
        <f t="shared" si="2"/>
        <v/>
      </c>
      <c r="J48" s="157"/>
      <c r="K48" s="157" t="str">
        <f t="shared" si="3"/>
        <v/>
      </c>
      <c r="L48" s="157" t="str">
        <f t="shared" si="4"/>
        <v/>
      </c>
      <c r="M48" s="157"/>
      <c r="N48" s="157" t="str">
        <f t="shared" si="5"/>
        <v/>
      </c>
      <c r="O48" s="174" t="str">
        <f>Table13[[#This Row],[Combined List]]</f>
        <v/>
      </c>
      <c r="P48" s="157">
        <v>44</v>
      </c>
      <c r="Q48" s="174" t="str">
        <f t="shared" si="11"/>
        <v/>
      </c>
      <c r="R48" s="174" t="str">
        <f t="shared" si="11"/>
        <v/>
      </c>
      <c r="S48" s="174" t="str">
        <f t="shared" si="11"/>
        <v/>
      </c>
      <c r="T48" s="174" t="str">
        <f t="shared" si="12"/>
        <v/>
      </c>
      <c r="U48" s="174" t="str">
        <f t="shared" si="13"/>
        <v/>
      </c>
      <c r="V48" s="174" t="str">
        <f t="shared" si="14"/>
        <v/>
      </c>
      <c r="W48" s="174" t="str">
        <f>_xlfn.IFNA(VLOOKUP(T:T,Logframe!$B:$G,6,FALSE),"")</f>
        <v/>
      </c>
      <c r="X48" s="174" t="str">
        <f>_xlfn.IFNA(VLOOKUP(U:U,Logframe!$B:$G,6,FALSE),"")</f>
        <v/>
      </c>
      <c r="Y48" s="174" t="str">
        <f>_xlfn.IFNA(VLOOKUP(V:V,Logframe!$B:$G,6,FALSE),"")</f>
        <v/>
      </c>
      <c r="Z48">
        <v>44</v>
      </c>
      <c r="AD48" t="str">
        <f t="shared" si="16"/>
        <v/>
      </c>
      <c r="AE48" t="str">
        <f t="shared" si="16"/>
        <v/>
      </c>
      <c r="AF48" t="str">
        <f t="shared" si="10"/>
        <v/>
      </c>
    </row>
    <row r="49" spans="1:32" x14ac:dyDescent="0.35">
      <c r="A49">
        <f>INDEX(Logframe!F:F,53,1)</f>
        <v>0</v>
      </c>
      <c r="B49" s="110">
        <v>0.53</v>
      </c>
      <c r="C49" s="321" t="str">
        <f>INDEX(Logframe!B:B,53,1)</f>
        <v>0</v>
      </c>
      <c r="D49" t="str">
        <f t="shared" si="6"/>
        <v/>
      </c>
      <c r="E49" t="str">
        <f t="shared" si="7"/>
        <v/>
      </c>
      <c r="F49" t="str">
        <f t="shared" si="0"/>
        <v/>
      </c>
      <c r="G49" t="str">
        <f t="shared" si="8"/>
        <v/>
      </c>
      <c r="H49" t="str">
        <f t="shared" si="1"/>
        <v/>
      </c>
      <c r="I49" s="157" t="str">
        <f t="shared" si="2"/>
        <v/>
      </c>
      <c r="J49" s="157"/>
      <c r="K49" s="157" t="str">
        <f t="shared" si="3"/>
        <v/>
      </c>
      <c r="L49" s="157" t="str">
        <f t="shared" si="4"/>
        <v/>
      </c>
      <c r="M49" s="157"/>
      <c r="N49" s="157" t="str">
        <f t="shared" si="5"/>
        <v/>
      </c>
      <c r="O49" s="174" t="str">
        <f>Table13[[#This Row],[Combined List]]</f>
        <v/>
      </c>
      <c r="P49" s="157">
        <v>45</v>
      </c>
      <c r="Q49" s="174" t="str">
        <f t="shared" si="11"/>
        <v/>
      </c>
      <c r="R49" s="174" t="str">
        <f t="shared" si="11"/>
        <v/>
      </c>
      <c r="S49" s="174" t="str">
        <f t="shared" si="11"/>
        <v/>
      </c>
      <c r="T49" s="174" t="str">
        <f t="shared" si="12"/>
        <v/>
      </c>
      <c r="U49" s="174" t="str">
        <f t="shared" si="13"/>
        <v/>
      </c>
      <c r="V49" s="174" t="str">
        <f t="shared" si="14"/>
        <v/>
      </c>
      <c r="W49" s="174" t="str">
        <f>_xlfn.IFNA(VLOOKUP(T:T,Logframe!$B:$G,6,FALSE),"")</f>
        <v/>
      </c>
      <c r="X49" s="174" t="str">
        <f>_xlfn.IFNA(VLOOKUP(U:U,Logframe!$B:$G,6,FALSE),"")</f>
        <v/>
      </c>
      <c r="Y49" s="174" t="str">
        <f>_xlfn.IFNA(VLOOKUP(V:V,Logframe!$B:$G,6,FALSE),"")</f>
        <v/>
      </c>
      <c r="Z49">
        <v>45</v>
      </c>
      <c r="AD49" t="str">
        <f t="shared" si="16"/>
        <v/>
      </c>
      <c r="AE49" t="str">
        <f t="shared" si="16"/>
        <v/>
      </c>
      <c r="AF49" t="str">
        <f t="shared" si="10"/>
        <v/>
      </c>
    </row>
    <row r="50" spans="1:32" x14ac:dyDescent="0.35">
      <c r="A50">
        <f>INDEX(Logframe!F:F,54,1)</f>
        <v>0</v>
      </c>
      <c r="B50" s="110">
        <v>0.54</v>
      </c>
      <c r="C50" s="321" t="str">
        <f>INDEX(Logframe!B:B,54,1)</f>
        <v>0</v>
      </c>
      <c r="D50" t="str">
        <f t="shared" si="6"/>
        <v/>
      </c>
      <c r="E50" t="str">
        <f t="shared" si="7"/>
        <v/>
      </c>
      <c r="F50" t="str">
        <f t="shared" si="0"/>
        <v/>
      </c>
      <c r="G50" t="str">
        <f t="shared" si="8"/>
        <v/>
      </c>
      <c r="H50" t="str">
        <f t="shared" si="1"/>
        <v/>
      </c>
      <c r="I50" s="157" t="str">
        <f t="shared" si="2"/>
        <v/>
      </c>
      <c r="J50" s="157"/>
      <c r="K50" s="157" t="str">
        <f t="shared" si="3"/>
        <v/>
      </c>
      <c r="L50" s="157" t="str">
        <f t="shared" si="4"/>
        <v/>
      </c>
      <c r="M50" s="157"/>
      <c r="N50" s="157" t="str">
        <f t="shared" si="5"/>
        <v/>
      </c>
      <c r="O50" s="174" t="str">
        <f>Table13[[#This Row],[Combined List]]</f>
        <v/>
      </c>
      <c r="P50" s="157">
        <v>46</v>
      </c>
      <c r="Q50" s="174" t="str">
        <f t="shared" si="11"/>
        <v/>
      </c>
      <c r="R50" s="174" t="str">
        <f t="shared" si="11"/>
        <v/>
      </c>
      <c r="S50" s="174" t="str">
        <f t="shared" si="11"/>
        <v/>
      </c>
      <c r="T50" s="174" t="str">
        <f t="shared" si="12"/>
        <v/>
      </c>
      <c r="U50" s="174" t="str">
        <f t="shared" si="13"/>
        <v/>
      </c>
      <c r="V50" s="174" t="str">
        <f t="shared" si="14"/>
        <v/>
      </c>
      <c r="W50" s="174" t="str">
        <f>_xlfn.IFNA(VLOOKUP(T:T,Logframe!$B:$G,6,FALSE),"")</f>
        <v/>
      </c>
      <c r="X50" s="174" t="str">
        <f>_xlfn.IFNA(VLOOKUP(U:U,Logframe!$B:$G,6,FALSE),"")</f>
        <v/>
      </c>
      <c r="Y50" s="174" t="str">
        <f>_xlfn.IFNA(VLOOKUP(V:V,Logframe!$B:$G,6,FALSE),"")</f>
        <v/>
      </c>
      <c r="Z50">
        <v>46</v>
      </c>
      <c r="AD50" t="str">
        <f t="shared" si="16"/>
        <v/>
      </c>
      <c r="AE50" t="str">
        <f t="shared" si="16"/>
        <v/>
      </c>
      <c r="AF50" t="str">
        <f t="shared" si="10"/>
        <v/>
      </c>
    </row>
    <row r="51" spans="1:32" x14ac:dyDescent="0.35">
      <c r="A51">
        <f>INDEX(Logframe!F:F,55,1)</f>
        <v>0</v>
      </c>
      <c r="B51" s="110">
        <v>0.55000000000000004</v>
      </c>
      <c r="C51" s="321" t="str">
        <f>INDEX(Logframe!B:B,55,1)</f>
        <v>0</v>
      </c>
      <c r="D51" t="str">
        <f t="shared" si="6"/>
        <v/>
      </c>
      <c r="E51" t="str">
        <f t="shared" si="7"/>
        <v/>
      </c>
      <c r="F51" t="str">
        <f t="shared" si="0"/>
        <v/>
      </c>
      <c r="G51" t="str">
        <f t="shared" si="8"/>
        <v/>
      </c>
      <c r="H51" t="str">
        <f t="shared" si="1"/>
        <v/>
      </c>
      <c r="I51" s="157" t="str">
        <f t="shared" si="2"/>
        <v/>
      </c>
      <c r="J51" s="157"/>
      <c r="K51" s="157" t="str">
        <f t="shared" si="3"/>
        <v/>
      </c>
      <c r="L51" s="157" t="str">
        <f t="shared" si="4"/>
        <v/>
      </c>
      <c r="M51" s="157"/>
      <c r="N51" s="157" t="str">
        <f t="shared" si="5"/>
        <v/>
      </c>
      <c r="O51" s="174" t="str">
        <f>Table13[[#This Row],[Combined List]]</f>
        <v/>
      </c>
      <c r="P51" s="157">
        <v>47</v>
      </c>
      <c r="Q51" s="174" t="str">
        <f t="shared" si="11"/>
        <v/>
      </c>
      <c r="R51" s="174" t="str">
        <f t="shared" si="11"/>
        <v/>
      </c>
      <c r="S51" s="174" t="str">
        <f t="shared" si="11"/>
        <v/>
      </c>
      <c r="T51" s="174" t="str">
        <f t="shared" si="12"/>
        <v/>
      </c>
      <c r="U51" s="174" t="str">
        <f t="shared" si="13"/>
        <v/>
      </c>
      <c r="V51" s="174" t="str">
        <f t="shared" si="14"/>
        <v/>
      </c>
      <c r="W51" s="174" t="str">
        <f>_xlfn.IFNA(VLOOKUP(T:T,Logframe!$B:$G,6,FALSE),"")</f>
        <v/>
      </c>
      <c r="X51" s="174" t="str">
        <f>_xlfn.IFNA(VLOOKUP(U:U,Logframe!$B:$G,6,FALSE),"")</f>
        <v/>
      </c>
      <c r="Y51" s="174" t="str">
        <f>_xlfn.IFNA(VLOOKUP(V:V,Logframe!$B:$G,6,FALSE),"")</f>
        <v/>
      </c>
      <c r="Z51">
        <v>47</v>
      </c>
      <c r="AD51" t="str">
        <f t="shared" si="16"/>
        <v/>
      </c>
      <c r="AE51" t="str">
        <f t="shared" si="16"/>
        <v/>
      </c>
      <c r="AF51" t="str">
        <f t="shared" si="10"/>
        <v/>
      </c>
    </row>
    <row r="52" spans="1:32" x14ac:dyDescent="0.35">
      <c r="A52">
        <f>INDEX(Logframe!F:F,56,1)</f>
        <v>0</v>
      </c>
      <c r="B52" s="110">
        <v>0.56000000000000005</v>
      </c>
      <c r="C52" s="321" t="str">
        <f>INDEX(Logframe!B:B,56,1)</f>
        <v>0</v>
      </c>
      <c r="D52" t="str">
        <f t="shared" si="6"/>
        <v/>
      </c>
      <c r="E52" t="str">
        <f t="shared" si="7"/>
        <v/>
      </c>
      <c r="F52" t="str">
        <f t="shared" si="0"/>
        <v/>
      </c>
      <c r="G52" t="str">
        <f t="shared" si="8"/>
        <v/>
      </c>
      <c r="H52" t="str">
        <f t="shared" si="1"/>
        <v/>
      </c>
      <c r="I52" s="157" t="str">
        <f t="shared" si="2"/>
        <v/>
      </c>
      <c r="J52" s="157"/>
      <c r="K52" s="157" t="str">
        <f t="shared" si="3"/>
        <v/>
      </c>
      <c r="L52" s="157" t="str">
        <f t="shared" si="4"/>
        <v/>
      </c>
      <c r="M52" s="157"/>
      <c r="N52" s="157" t="str">
        <f t="shared" si="5"/>
        <v/>
      </c>
      <c r="O52" s="174" t="str">
        <f>Table13[[#This Row],[Combined List]]</f>
        <v/>
      </c>
      <c r="P52" s="157">
        <v>48</v>
      </c>
      <c r="Q52" s="174" t="str">
        <f t="shared" si="11"/>
        <v/>
      </c>
      <c r="R52" s="174" t="str">
        <f t="shared" si="11"/>
        <v/>
      </c>
      <c r="S52" s="174" t="str">
        <f t="shared" si="11"/>
        <v/>
      </c>
      <c r="T52" s="174" t="str">
        <f t="shared" si="12"/>
        <v/>
      </c>
      <c r="U52" s="174" t="str">
        <f t="shared" si="13"/>
        <v/>
      </c>
      <c r="V52" s="174" t="str">
        <f t="shared" si="14"/>
        <v/>
      </c>
      <c r="W52" s="174" t="str">
        <f>_xlfn.IFNA(VLOOKUP(T:T,Logframe!$B:$G,6,FALSE),"")</f>
        <v/>
      </c>
      <c r="X52" s="174" t="str">
        <f>_xlfn.IFNA(VLOOKUP(U:U,Logframe!$B:$G,6,FALSE),"")</f>
        <v/>
      </c>
      <c r="Y52" s="174" t="str">
        <f>_xlfn.IFNA(VLOOKUP(V:V,Logframe!$B:$G,6,FALSE),"")</f>
        <v/>
      </c>
      <c r="Z52">
        <v>48</v>
      </c>
      <c r="AD52" t="str">
        <f t="shared" si="16"/>
        <v/>
      </c>
      <c r="AE52" t="str">
        <f t="shared" si="16"/>
        <v/>
      </c>
      <c r="AF52" t="str">
        <f t="shared" si="10"/>
        <v/>
      </c>
    </row>
    <row r="53" spans="1:32" x14ac:dyDescent="0.35">
      <c r="A53">
        <f>INDEX(Logframe!F:F,57,1)</f>
        <v>0</v>
      </c>
      <c r="B53" s="110">
        <v>0.56999999999999995</v>
      </c>
      <c r="C53" s="321" t="str">
        <f>INDEX(Logframe!B:B,57,1)</f>
        <v>0</v>
      </c>
      <c r="D53" t="str">
        <f t="shared" si="6"/>
        <v/>
      </c>
      <c r="E53" t="str">
        <f t="shared" si="7"/>
        <v/>
      </c>
      <c r="F53" t="str">
        <f t="shared" si="0"/>
        <v/>
      </c>
      <c r="G53" t="str">
        <f t="shared" si="8"/>
        <v/>
      </c>
      <c r="H53" t="str">
        <f t="shared" si="1"/>
        <v/>
      </c>
      <c r="I53" s="157" t="str">
        <f t="shared" si="2"/>
        <v/>
      </c>
      <c r="J53" s="157"/>
      <c r="K53" s="157" t="str">
        <f t="shared" si="3"/>
        <v/>
      </c>
      <c r="L53" s="157" t="str">
        <f t="shared" si="4"/>
        <v/>
      </c>
      <c r="M53" s="157"/>
      <c r="N53" s="157" t="str">
        <f t="shared" si="5"/>
        <v/>
      </c>
      <c r="O53" s="174" t="str">
        <f>Table13[[#This Row],[Combined List]]</f>
        <v/>
      </c>
      <c r="P53" s="157">
        <v>49</v>
      </c>
      <c r="Q53" s="174" t="str">
        <f t="shared" si="11"/>
        <v/>
      </c>
      <c r="R53" s="174" t="str">
        <f t="shared" si="11"/>
        <v/>
      </c>
      <c r="S53" s="174" t="str">
        <f t="shared" si="11"/>
        <v/>
      </c>
      <c r="T53" s="174" t="str">
        <f t="shared" si="12"/>
        <v/>
      </c>
      <c r="U53" s="174" t="str">
        <f t="shared" si="13"/>
        <v/>
      </c>
      <c r="V53" s="174" t="str">
        <f t="shared" si="14"/>
        <v/>
      </c>
      <c r="W53" s="174" t="str">
        <f>_xlfn.IFNA(VLOOKUP(T:T,Logframe!$B:$G,6,FALSE),"")</f>
        <v/>
      </c>
      <c r="X53" s="174" t="str">
        <f>_xlfn.IFNA(VLOOKUP(U:U,Logframe!$B:$G,6,FALSE),"")</f>
        <v/>
      </c>
      <c r="Y53" s="174" t="str">
        <f>_xlfn.IFNA(VLOOKUP(V:V,Logframe!$B:$G,6,FALSE),"")</f>
        <v/>
      </c>
      <c r="Z53">
        <v>49</v>
      </c>
      <c r="AD53" t="str">
        <f t="shared" si="16"/>
        <v/>
      </c>
      <c r="AE53" t="str">
        <f t="shared" si="16"/>
        <v/>
      </c>
      <c r="AF53" t="str">
        <f t="shared" si="10"/>
        <v/>
      </c>
    </row>
    <row r="54" spans="1:32" x14ac:dyDescent="0.35">
      <c r="A54">
        <f>INDEX(Logframe!F:F,58,1)</f>
        <v>0</v>
      </c>
      <c r="B54" s="110">
        <v>0.57999999999999996</v>
      </c>
      <c r="C54" s="321" t="str">
        <f>INDEX(Logframe!B:B,58,1)</f>
        <v>0</v>
      </c>
      <c r="D54" t="str">
        <f t="shared" si="6"/>
        <v/>
      </c>
      <c r="E54" t="str">
        <f t="shared" si="7"/>
        <v/>
      </c>
      <c r="F54" t="str">
        <f t="shared" si="0"/>
        <v/>
      </c>
      <c r="G54" t="str">
        <f t="shared" si="8"/>
        <v/>
      </c>
      <c r="H54" t="str">
        <f t="shared" si="1"/>
        <v/>
      </c>
      <c r="I54" s="157" t="str">
        <f t="shared" si="2"/>
        <v/>
      </c>
      <c r="J54" s="157"/>
      <c r="K54" s="157" t="str">
        <f t="shared" si="3"/>
        <v/>
      </c>
      <c r="L54" s="157" t="str">
        <f t="shared" si="4"/>
        <v/>
      </c>
      <c r="M54" s="157"/>
      <c r="N54" s="157" t="str">
        <f t="shared" si="5"/>
        <v/>
      </c>
      <c r="O54" s="174" t="str">
        <f>Table13[[#This Row],[Combined List]]</f>
        <v/>
      </c>
      <c r="P54" s="157">
        <v>50</v>
      </c>
      <c r="Q54" s="174" t="str">
        <f t="shared" si="11"/>
        <v/>
      </c>
      <c r="R54" s="174" t="str">
        <f t="shared" si="11"/>
        <v/>
      </c>
      <c r="S54" s="174" t="str">
        <f t="shared" si="11"/>
        <v/>
      </c>
      <c r="T54" s="174" t="str">
        <f t="shared" si="12"/>
        <v/>
      </c>
      <c r="U54" s="174" t="str">
        <f t="shared" si="13"/>
        <v/>
      </c>
      <c r="V54" s="174" t="str">
        <f t="shared" si="14"/>
        <v/>
      </c>
      <c r="W54" s="174" t="str">
        <f>_xlfn.IFNA(VLOOKUP(T:T,Logframe!$B:$G,6,FALSE),"")</f>
        <v/>
      </c>
      <c r="X54" s="174" t="str">
        <f>_xlfn.IFNA(VLOOKUP(U:U,Logframe!$B:$G,6,FALSE),"")</f>
        <v/>
      </c>
      <c r="Y54" s="174" t="str">
        <f>_xlfn.IFNA(VLOOKUP(V:V,Logframe!$B:$G,6,FALSE),"")</f>
        <v/>
      </c>
      <c r="Z54">
        <v>50</v>
      </c>
      <c r="AD54" t="str">
        <f t="shared" si="16"/>
        <v/>
      </c>
      <c r="AE54" t="str">
        <f t="shared" si="16"/>
        <v/>
      </c>
      <c r="AF54" t="str">
        <f t="shared" si="10"/>
        <v/>
      </c>
    </row>
    <row r="55" spans="1:32" x14ac:dyDescent="0.35">
      <c r="A55">
        <f>INDEX(Logframe!F:F,59,1)</f>
        <v>0</v>
      </c>
      <c r="B55" s="110">
        <v>0.59</v>
      </c>
      <c r="C55" s="321" t="str">
        <f>INDEX(Logframe!B:B,59,1)</f>
        <v>0</v>
      </c>
      <c r="D55" t="str">
        <f t="shared" si="6"/>
        <v/>
      </c>
      <c r="E55" t="str">
        <f t="shared" si="7"/>
        <v/>
      </c>
      <c r="F55" t="str">
        <f t="shared" si="0"/>
        <v/>
      </c>
      <c r="G55" t="str">
        <f t="shared" si="8"/>
        <v/>
      </c>
      <c r="H55" t="str">
        <f t="shared" si="1"/>
        <v/>
      </c>
      <c r="I55" s="157" t="str">
        <f t="shared" si="2"/>
        <v/>
      </c>
      <c r="J55" s="157"/>
      <c r="K55" s="157" t="str">
        <f t="shared" si="3"/>
        <v/>
      </c>
      <c r="L55" s="157" t="str">
        <f t="shared" si="4"/>
        <v/>
      </c>
      <c r="M55" s="157"/>
      <c r="N55" s="157" t="str">
        <f t="shared" si="5"/>
        <v/>
      </c>
      <c r="O55" s="174" t="str">
        <f>Table13[[#This Row],[Combined List]]</f>
        <v/>
      </c>
      <c r="P55" s="157">
        <v>51</v>
      </c>
      <c r="Q55" s="174" t="str">
        <f t="shared" si="11"/>
        <v/>
      </c>
      <c r="R55" s="174" t="str">
        <f t="shared" si="11"/>
        <v/>
      </c>
      <c r="S55" s="174" t="str">
        <f t="shared" si="11"/>
        <v/>
      </c>
      <c r="T55" s="174" t="str">
        <f t="shared" si="12"/>
        <v/>
      </c>
      <c r="U55" s="174" t="str">
        <f t="shared" si="13"/>
        <v/>
      </c>
      <c r="V55" s="174" t="str">
        <f t="shared" si="14"/>
        <v/>
      </c>
      <c r="W55" s="174" t="str">
        <f>_xlfn.IFNA(VLOOKUP(T:T,Logframe!$B:$G,6,FALSE),"")</f>
        <v/>
      </c>
      <c r="X55" s="174" t="str">
        <f>_xlfn.IFNA(VLOOKUP(U:U,Logframe!$B:$G,6,FALSE),"")</f>
        <v/>
      </c>
      <c r="Y55" s="174" t="str">
        <f>_xlfn.IFNA(VLOOKUP(V:V,Logframe!$B:$G,6,FALSE),"")</f>
        <v/>
      </c>
      <c r="Z55">
        <v>51</v>
      </c>
      <c r="AD55" t="str">
        <f t="shared" si="16"/>
        <v/>
      </c>
      <c r="AE55" t="str">
        <f t="shared" si="16"/>
        <v/>
      </c>
      <c r="AF55" t="str">
        <f t="shared" si="10"/>
        <v/>
      </c>
    </row>
    <row r="56" spans="1:32" x14ac:dyDescent="0.35">
      <c r="A56">
        <f>INDEX(Logframe!F:F,60,1)</f>
        <v>0</v>
      </c>
      <c r="B56" s="110">
        <v>0.61</v>
      </c>
      <c r="C56" s="321" t="str">
        <f>INDEX(Logframe!B:B,60,1)</f>
        <v>0</v>
      </c>
      <c r="D56" t="str">
        <f t="shared" si="6"/>
        <v/>
      </c>
      <c r="E56" t="str">
        <f t="shared" si="7"/>
        <v/>
      </c>
      <c r="F56" t="str">
        <f t="shared" si="0"/>
        <v/>
      </c>
      <c r="G56" t="str">
        <f t="shared" si="8"/>
        <v/>
      </c>
      <c r="H56" t="str">
        <f t="shared" si="1"/>
        <v/>
      </c>
      <c r="I56" s="157" t="str">
        <f t="shared" si="2"/>
        <v/>
      </c>
      <c r="J56" s="157"/>
      <c r="K56" s="157" t="str">
        <f t="shared" si="3"/>
        <v/>
      </c>
      <c r="L56" s="157" t="str">
        <f t="shared" si="4"/>
        <v/>
      </c>
      <c r="M56" s="157"/>
      <c r="N56" s="157" t="str">
        <f t="shared" si="5"/>
        <v/>
      </c>
      <c r="O56" s="174" t="str">
        <f>Table13[[#This Row],[Combined List]]</f>
        <v/>
      </c>
      <c r="P56" s="157">
        <v>52</v>
      </c>
      <c r="Q56" s="174" t="str">
        <f t="shared" si="11"/>
        <v/>
      </c>
      <c r="R56" s="174" t="str">
        <f t="shared" si="11"/>
        <v/>
      </c>
      <c r="S56" s="174" t="str">
        <f t="shared" si="11"/>
        <v/>
      </c>
      <c r="T56" s="174" t="str">
        <f t="shared" si="12"/>
        <v/>
      </c>
      <c r="U56" s="174" t="str">
        <f t="shared" si="13"/>
        <v/>
      </c>
      <c r="V56" s="174" t="str">
        <f t="shared" si="14"/>
        <v/>
      </c>
      <c r="W56" s="174" t="str">
        <f>_xlfn.IFNA(VLOOKUP(T:T,Logframe!$B:$G,6,FALSE),"")</f>
        <v/>
      </c>
      <c r="X56" s="174" t="str">
        <f>_xlfn.IFNA(VLOOKUP(U:U,Logframe!$B:$G,6,FALSE),"")</f>
        <v/>
      </c>
      <c r="Y56" s="174" t="str">
        <f>_xlfn.IFNA(VLOOKUP(V:V,Logframe!$B:$G,6,FALSE),"")</f>
        <v/>
      </c>
      <c r="Z56">
        <v>52</v>
      </c>
      <c r="AD56" t="str">
        <f t="shared" si="16"/>
        <v/>
      </c>
      <c r="AE56" t="str">
        <f t="shared" si="16"/>
        <v/>
      </c>
      <c r="AF56" t="str">
        <f t="shared" si="10"/>
        <v/>
      </c>
    </row>
    <row r="57" spans="1:32" x14ac:dyDescent="0.35">
      <c r="A57">
        <f>INDEX(Logframe!F:F,61,1)</f>
        <v>0</v>
      </c>
      <c r="B57" s="110">
        <v>0.62</v>
      </c>
      <c r="C57" s="321" t="str">
        <f>INDEX(Logframe!B:B,61,1)</f>
        <v>0</v>
      </c>
      <c r="D57" t="str">
        <f t="shared" si="6"/>
        <v/>
      </c>
      <c r="E57" t="str">
        <f t="shared" si="7"/>
        <v/>
      </c>
      <c r="F57" t="str">
        <f t="shared" si="0"/>
        <v/>
      </c>
      <c r="G57" t="str">
        <f t="shared" si="8"/>
        <v/>
      </c>
      <c r="H57" t="str">
        <f t="shared" si="1"/>
        <v/>
      </c>
      <c r="I57" s="157" t="str">
        <f t="shared" si="2"/>
        <v/>
      </c>
      <c r="J57" s="157"/>
      <c r="K57" s="157" t="str">
        <f t="shared" si="3"/>
        <v/>
      </c>
      <c r="L57" s="157" t="str">
        <f t="shared" si="4"/>
        <v/>
      </c>
      <c r="M57" s="157"/>
      <c r="N57" s="157" t="str">
        <f t="shared" si="5"/>
        <v/>
      </c>
      <c r="O57" s="174" t="str">
        <f>Table13[[#This Row],[Combined List]]</f>
        <v/>
      </c>
      <c r="P57" s="157">
        <v>53</v>
      </c>
      <c r="Q57" s="174" t="str">
        <f t="shared" si="11"/>
        <v/>
      </c>
      <c r="R57" s="174" t="str">
        <f t="shared" si="11"/>
        <v/>
      </c>
      <c r="S57" s="174" t="str">
        <f t="shared" si="11"/>
        <v/>
      </c>
      <c r="T57" s="174" t="str">
        <f t="shared" si="12"/>
        <v/>
      </c>
      <c r="U57" s="174" t="str">
        <f t="shared" si="13"/>
        <v/>
      </c>
      <c r="V57" s="174" t="str">
        <f t="shared" si="14"/>
        <v/>
      </c>
      <c r="W57" s="174" t="str">
        <f>_xlfn.IFNA(VLOOKUP(T:T,Logframe!$B:$G,6,FALSE),"")</f>
        <v/>
      </c>
      <c r="X57" s="174" t="str">
        <f>_xlfn.IFNA(VLOOKUP(U:U,Logframe!$B:$G,6,FALSE),"")</f>
        <v/>
      </c>
      <c r="Y57" s="174" t="str">
        <f>_xlfn.IFNA(VLOOKUP(V:V,Logframe!$B:$G,6,FALSE),"")</f>
        <v/>
      </c>
      <c r="Z57">
        <v>53</v>
      </c>
      <c r="AD57" t="str">
        <f t="shared" si="16"/>
        <v/>
      </c>
      <c r="AE57" t="str">
        <f t="shared" si="16"/>
        <v/>
      </c>
      <c r="AF57" t="str">
        <f t="shared" si="10"/>
        <v/>
      </c>
    </row>
    <row r="58" spans="1:32" x14ac:dyDescent="0.35">
      <c r="A58">
        <f>INDEX(Logframe!F:F,62,1)</f>
        <v>0</v>
      </c>
      <c r="B58" s="110">
        <v>0.63</v>
      </c>
      <c r="C58" s="321" t="str">
        <f>INDEX(Logframe!B:B,62,1)</f>
        <v>0</v>
      </c>
      <c r="D58" t="str">
        <f t="shared" si="6"/>
        <v/>
      </c>
      <c r="E58" t="str">
        <f t="shared" si="7"/>
        <v/>
      </c>
      <c r="F58" t="str">
        <f t="shared" si="0"/>
        <v/>
      </c>
      <c r="G58" t="str">
        <f t="shared" si="8"/>
        <v/>
      </c>
      <c r="H58" t="str">
        <f t="shared" si="1"/>
        <v/>
      </c>
      <c r="I58" s="157" t="str">
        <f t="shared" si="2"/>
        <v/>
      </c>
      <c r="J58" s="157"/>
      <c r="K58" s="157" t="str">
        <f t="shared" si="3"/>
        <v/>
      </c>
      <c r="L58" s="157" t="str">
        <f t="shared" si="4"/>
        <v/>
      </c>
      <c r="M58" s="157"/>
      <c r="N58" s="157" t="str">
        <f t="shared" si="5"/>
        <v/>
      </c>
      <c r="O58" s="174" t="str">
        <f>Table13[[#This Row],[Combined List]]</f>
        <v/>
      </c>
      <c r="P58" s="157">
        <v>54</v>
      </c>
      <c r="Q58" s="174" t="str">
        <f t="shared" si="11"/>
        <v/>
      </c>
      <c r="R58" s="174" t="str">
        <f t="shared" si="11"/>
        <v/>
      </c>
      <c r="S58" s="174" t="str">
        <f t="shared" si="11"/>
        <v/>
      </c>
      <c r="T58" s="174" t="str">
        <f t="shared" si="12"/>
        <v/>
      </c>
      <c r="U58" s="174" t="str">
        <f t="shared" si="13"/>
        <v/>
      </c>
      <c r="V58" s="174" t="str">
        <f t="shared" si="14"/>
        <v/>
      </c>
      <c r="W58" s="174" t="str">
        <f>_xlfn.IFNA(VLOOKUP(T:T,Logframe!$B:$G,6,FALSE),"")</f>
        <v/>
      </c>
      <c r="X58" s="174" t="str">
        <f>_xlfn.IFNA(VLOOKUP(U:U,Logframe!$B:$G,6,FALSE),"")</f>
        <v/>
      </c>
      <c r="Y58" s="174" t="str">
        <f>_xlfn.IFNA(VLOOKUP(V:V,Logframe!$B:$G,6,FALSE),"")</f>
        <v/>
      </c>
      <c r="Z58">
        <v>54</v>
      </c>
      <c r="AD58" t="str">
        <f t="shared" si="16"/>
        <v/>
      </c>
      <c r="AE58" t="str">
        <f t="shared" si="16"/>
        <v/>
      </c>
      <c r="AF58" t="str">
        <f t="shared" si="10"/>
        <v/>
      </c>
    </row>
    <row r="59" spans="1:32" x14ac:dyDescent="0.35">
      <c r="A59" t="str">
        <f>INDEX(Logframe!F:F,63,1)</f>
        <v>Code</v>
      </c>
      <c r="B59" s="110">
        <v>0.64</v>
      </c>
      <c r="C59" s="321" t="str">
        <f>INDEX(Logframe!B:B,63,1)</f>
        <v>CodeIndicators</v>
      </c>
      <c r="D59" t="str">
        <f t="shared" si="6"/>
        <v/>
      </c>
      <c r="E59" t="str">
        <f t="shared" si="7"/>
        <v/>
      </c>
      <c r="F59" t="str">
        <f t="shared" si="0"/>
        <v/>
      </c>
      <c r="G59" t="str">
        <f t="shared" si="8"/>
        <v/>
      </c>
      <c r="H59" t="str">
        <f t="shared" si="1"/>
        <v/>
      </c>
      <c r="I59" s="157" t="str">
        <f t="shared" si="2"/>
        <v/>
      </c>
      <c r="J59" s="157"/>
      <c r="K59" s="157" t="str">
        <f t="shared" si="3"/>
        <v/>
      </c>
      <c r="L59" s="157" t="str">
        <f t="shared" si="4"/>
        <v/>
      </c>
      <c r="M59" s="157"/>
      <c r="N59" s="157" t="str">
        <f t="shared" si="5"/>
        <v/>
      </c>
      <c r="O59" s="174" t="str">
        <f>Table13[[#This Row],[Combined List]]</f>
        <v/>
      </c>
      <c r="P59" s="157">
        <v>55</v>
      </c>
      <c r="Q59" s="174" t="str">
        <f t="shared" si="11"/>
        <v/>
      </c>
      <c r="R59" s="174" t="str">
        <f t="shared" si="11"/>
        <v/>
      </c>
      <c r="S59" s="174" t="str">
        <f t="shared" si="11"/>
        <v/>
      </c>
      <c r="T59" s="174" t="str">
        <f t="shared" si="12"/>
        <v/>
      </c>
      <c r="U59" s="174" t="str">
        <f t="shared" si="13"/>
        <v/>
      </c>
      <c r="V59" s="174" t="str">
        <f t="shared" si="14"/>
        <v/>
      </c>
      <c r="W59" s="174" t="str">
        <f>_xlfn.IFNA(VLOOKUP(T:T,Logframe!$B:$G,6,FALSE),"")</f>
        <v/>
      </c>
      <c r="X59" s="174" t="str">
        <f>_xlfn.IFNA(VLOOKUP(U:U,Logframe!$B:$G,6,FALSE),"")</f>
        <v/>
      </c>
      <c r="Y59" s="174" t="str">
        <f>_xlfn.IFNA(VLOOKUP(V:V,Logframe!$B:$G,6,FALSE),"")</f>
        <v/>
      </c>
      <c r="Z59">
        <v>55</v>
      </c>
      <c r="AD59" t="str">
        <f t="shared" si="16"/>
        <v/>
      </c>
      <c r="AE59" t="str">
        <f t="shared" si="16"/>
        <v/>
      </c>
      <c r="AF59" t="str">
        <f t="shared" si="10"/>
        <v/>
      </c>
    </row>
    <row r="60" spans="1:32" x14ac:dyDescent="0.35">
      <c r="A60">
        <f>INDEX(Logframe!F:F,64,1)</f>
        <v>0</v>
      </c>
      <c r="B60" s="110">
        <v>0.65</v>
      </c>
      <c r="C60" s="321" t="str">
        <f>INDEX(Logframe!B:B,64,1)</f>
        <v>0</v>
      </c>
      <c r="D60" t="str">
        <f t="shared" si="6"/>
        <v/>
      </c>
      <c r="E60" t="str">
        <f t="shared" si="7"/>
        <v/>
      </c>
      <c r="F60" t="str">
        <f t="shared" si="0"/>
        <v/>
      </c>
      <c r="G60" t="str">
        <f t="shared" si="8"/>
        <v/>
      </c>
      <c r="H60" t="str">
        <f t="shared" si="1"/>
        <v/>
      </c>
      <c r="I60" s="157" t="str">
        <f t="shared" si="2"/>
        <v/>
      </c>
      <c r="J60" s="157"/>
      <c r="K60" s="157" t="str">
        <f t="shared" si="3"/>
        <v/>
      </c>
      <c r="L60" s="157" t="str">
        <f t="shared" si="4"/>
        <v/>
      </c>
      <c r="M60" s="157"/>
      <c r="N60" s="157" t="str">
        <f t="shared" si="5"/>
        <v/>
      </c>
      <c r="O60" s="174" t="str">
        <f>Table13[[#This Row],[Combined List]]</f>
        <v/>
      </c>
      <c r="P60" s="157">
        <v>56</v>
      </c>
      <c r="Q60" s="174" t="str">
        <f t="shared" si="11"/>
        <v/>
      </c>
      <c r="R60" s="174" t="str">
        <f t="shared" si="11"/>
        <v/>
      </c>
      <c r="S60" s="174" t="str">
        <f t="shared" si="11"/>
        <v/>
      </c>
      <c r="T60" s="174" t="str">
        <f t="shared" si="12"/>
        <v/>
      </c>
      <c r="U60" s="174" t="str">
        <f t="shared" si="13"/>
        <v/>
      </c>
      <c r="V60" s="174" t="str">
        <f t="shared" si="14"/>
        <v/>
      </c>
      <c r="W60" s="174" t="str">
        <f>_xlfn.IFNA(VLOOKUP(T:T,Logframe!$B:$G,6,FALSE),"")</f>
        <v/>
      </c>
      <c r="X60" s="174" t="str">
        <f>_xlfn.IFNA(VLOOKUP(U:U,Logframe!$B:$G,6,FALSE),"")</f>
        <v/>
      </c>
      <c r="Y60" s="174" t="str">
        <f>_xlfn.IFNA(VLOOKUP(V:V,Logframe!$B:$G,6,FALSE),"")</f>
        <v/>
      </c>
      <c r="Z60">
        <v>56</v>
      </c>
      <c r="AD60" t="str">
        <f t="shared" si="16"/>
        <v/>
      </c>
      <c r="AE60" t="str">
        <f t="shared" si="16"/>
        <v/>
      </c>
      <c r="AF60" t="str">
        <f t="shared" si="10"/>
        <v/>
      </c>
    </row>
    <row r="61" spans="1:32" x14ac:dyDescent="0.35">
      <c r="A61">
        <f>INDEX(Logframe!F:F,65,1)</f>
        <v>0</v>
      </c>
      <c r="B61" s="110">
        <v>0.66</v>
      </c>
      <c r="C61" s="321" t="str">
        <f>INDEX(Logframe!B:B,65,1)</f>
        <v>0</v>
      </c>
      <c r="D61" t="str">
        <f t="shared" si="6"/>
        <v/>
      </c>
      <c r="E61" t="str">
        <f t="shared" si="7"/>
        <v/>
      </c>
      <c r="F61" t="str">
        <f t="shared" si="0"/>
        <v/>
      </c>
      <c r="G61" t="str">
        <f t="shared" si="8"/>
        <v/>
      </c>
      <c r="H61" t="str">
        <f t="shared" si="1"/>
        <v/>
      </c>
      <c r="I61" s="157" t="str">
        <f t="shared" si="2"/>
        <v/>
      </c>
      <c r="J61" s="157"/>
      <c r="K61" s="157" t="str">
        <f t="shared" si="3"/>
        <v/>
      </c>
      <c r="L61" s="157" t="str">
        <f t="shared" si="4"/>
        <v/>
      </c>
      <c r="M61" s="157"/>
      <c r="N61" s="157" t="str">
        <f t="shared" si="5"/>
        <v/>
      </c>
      <c r="O61" s="174" t="str">
        <f>Table13[[#This Row],[Combined List]]</f>
        <v/>
      </c>
      <c r="P61" s="157">
        <v>57</v>
      </c>
      <c r="Q61" s="174" t="str">
        <f t="shared" si="11"/>
        <v/>
      </c>
      <c r="R61" s="174" t="str">
        <f t="shared" si="11"/>
        <v/>
      </c>
      <c r="S61" s="174" t="str">
        <f t="shared" si="11"/>
        <v/>
      </c>
      <c r="T61" s="174" t="str">
        <f t="shared" si="12"/>
        <v/>
      </c>
      <c r="U61" s="174" t="str">
        <f t="shared" si="13"/>
        <v/>
      </c>
      <c r="V61" s="174" t="str">
        <f t="shared" si="14"/>
        <v/>
      </c>
      <c r="W61" s="174" t="str">
        <f>_xlfn.IFNA(VLOOKUP(T:T,Logframe!$B:$G,6,FALSE),"")</f>
        <v/>
      </c>
      <c r="X61" s="174" t="str">
        <f>_xlfn.IFNA(VLOOKUP(U:U,Logframe!$B:$G,6,FALSE),"")</f>
        <v/>
      </c>
      <c r="Y61" s="174" t="str">
        <f>_xlfn.IFNA(VLOOKUP(V:V,Logframe!$B:$G,6,FALSE),"")</f>
        <v/>
      </c>
      <c r="Z61">
        <v>57</v>
      </c>
      <c r="AD61" t="str">
        <f t="shared" si="16"/>
        <v/>
      </c>
      <c r="AE61" t="str">
        <f t="shared" si="16"/>
        <v/>
      </c>
      <c r="AF61" t="str">
        <f t="shared" si="10"/>
        <v/>
      </c>
    </row>
    <row r="62" spans="1:32" x14ac:dyDescent="0.35">
      <c r="A62">
        <f>INDEX(Logframe!F:F,66,1)</f>
        <v>0</v>
      </c>
      <c r="B62" s="110">
        <v>0.67</v>
      </c>
      <c r="C62" s="321" t="str">
        <f>INDEX(Logframe!B:B,66,1)</f>
        <v>0</v>
      </c>
      <c r="D62" t="str">
        <f t="shared" si="6"/>
        <v/>
      </c>
      <c r="E62" t="str">
        <f t="shared" si="7"/>
        <v/>
      </c>
      <c r="F62" t="str">
        <f t="shared" si="0"/>
        <v/>
      </c>
      <c r="G62" t="str">
        <f t="shared" si="8"/>
        <v/>
      </c>
      <c r="H62" t="str">
        <f t="shared" si="1"/>
        <v/>
      </c>
      <c r="I62" s="157" t="str">
        <f t="shared" si="2"/>
        <v/>
      </c>
      <c r="J62" s="157"/>
      <c r="K62" s="157" t="str">
        <f t="shared" si="3"/>
        <v/>
      </c>
      <c r="L62" s="157" t="str">
        <f t="shared" si="4"/>
        <v/>
      </c>
      <c r="M62" s="157"/>
      <c r="N62" s="157" t="str">
        <f t="shared" si="5"/>
        <v/>
      </c>
      <c r="O62" s="174" t="str">
        <f>Table13[[#This Row],[Combined List]]</f>
        <v/>
      </c>
      <c r="P62" s="157">
        <v>58</v>
      </c>
      <c r="Q62" s="174" t="str">
        <f t="shared" si="11"/>
        <v/>
      </c>
      <c r="R62" s="174" t="str">
        <f t="shared" si="11"/>
        <v/>
      </c>
      <c r="S62" s="174" t="str">
        <f t="shared" si="11"/>
        <v/>
      </c>
      <c r="T62" s="174" t="str">
        <f t="shared" si="12"/>
        <v/>
      </c>
      <c r="U62" s="174" t="str">
        <f t="shared" si="13"/>
        <v/>
      </c>
      <c r="V62" s="174" t="str">
        <f t="shared" si="14"/>
        <v/>
      </c>
      <c r="W62" s="174" t="str">
        <f>_xlfn.IFNA(VLOOKUP(T:T,Logframe!$B:$G,6,FALSE),"")</f>
        <v/>
      </c>
      <c r="X62" s="174" t="str">
        <f>_xlfn.IFNA(VLOOKUP(U:U,Logframe!$B:$G,6,FALSE),"")</f>
        <v/>
      </c>
      <c r="Y62" s="174" t="str">
        <f>_xlfn.IFNA(VLOOKUP(V:V,Logframe!$B:$G,6,FALSE),"")</f>
        <v/>
      </c>
      <c r="Z62">
        <v>58</v>
      </c>
      <c r="AD62" t="str">
        <f t="shared" si="16"/>
        <v/>
      </c>
      <c r="AE62" t="str">
        <f t="shared" si="16"/>
        <v/>
      </c>
      <c r="AF62" t="str">
        <f t="shared" si="10"/>
        <v/>
      </c>
    </row>
    <row r="63" spans="1:32" x14ac:dyDescent="0.35">
      <c r="A63">
        <f>INDEX(Logframe!F:F,67,1)</f>
        <v>0</v>
      </c>
      <c r="B63" s="110">
        <v>0.68</v>
      </c>
      <c r="C63" s="321" t="str">
        <f>INDEX(Logframe!B:B,67,1)</f>
        <v>0</v>
      </c>
      <c r="D63" t="str">
        <f t="shared" si="6"/>
        <v/>
      </c>
      <c r="E63" t="str">
        <f t="shared" si="7"/>
        <v/>
      </c>
      <c r="F63" t="str">
        <f t="shared" si="0"/>
        <v/>
      </c>
      <c r="G63" t="str">
        <f t="shared" si="8"/>
        <v/>
      </c>
      <c r="H63" t="str">
        <f t="shared" si="1"/>
        <v/>
      </c>
      <c r="I63" s="157" t="str">
        <f t="shared" si="2"/>
        <v/>
      </c>
      <c r="J63" s="157"/>
      <c r="K63" s="157" t="str">
        <f t="shared" si="3"/>
        <v/>
      </c>
      <c r="L63" s="157" t="str">
        <f t="shared" si="4"/>
        <v/>
      </c>
      <c r="M63" s="157"/>
      <c r="N63" s="157" t="str">
        <f t="shared" si="5"/>
        <v/>
      </c>
      <c r="O63" s="174" t="str">
        <f>Table13[[#This Row],[Combined List]]</f>
        <v/>
      </c>
      <c r="P63" s="157">
        <v>59</v>
      </c>
      <c r="Q63" s="174" t="str">
        <f t="shared" si="11"/>
        <v/>
      </c>
      <c r="R63" s="174" t="str">
        <f t="shared" si="11"/>
        <v/>
      </c>
      <c r="S63" s="174" t="str">
        <f t="shared" si="11"/>
        <v/>
      </c>
      <c r="T63" s="174" t="str">
        <f t="shared" si="12"/>
        <v/>
      </c>
      <c r="U63" s="174" t="str">
        <f t="shared" si="13"/>
        <v/>
      </c>
      <c r="V63" s="174" t="str">
        <f t="shared" si="14"/>
        <v/>
      </c>
      <c r="W63" s="174" t="str">
        <f>_xlfn.IFNA(VLOOKUP(T:T,Logframe!$B:$G,6,FALSE),"")</f>
        <v/>
      </c>
      <c r="X63" s="174" t="str">
        <f>_xlfn.IFNA(VLOOKUP(U:U,Logframe!$B:$G,6,FALSE),"")</f>
        <v/>
      </c>
      <c r="Y63" s="174" t="str">
        <f>_xlfn.IFNA(VLOOKUP(V:V,Logframe!$B:$G,6,FALSE),"")</f>
        <v/>
      </c>
      <c r="Z63">
        <v>59</v>
      </c>
      <c r="AD63" t="str">
        <f t="shared" si="16"/>
        <v/>
      </c>
      <c r="AE63" t="str">
        <f t="shared" si="16"/>
        <v/>
      </c>
      <c r="AF63" t="str">
        <f t="shared" si="10"/>
        <v/>
      </c>
    </row>
    <row r="64" spans="1:32" x14ac:dyDescent="0.35">
      <c r="A64">
        <f>INDEX(Logframe!F:F,68,1)</f>
        <v>0</v>
      </c>
      <c r="B64" s="110">
        <v>0.69</v>
      </c>
      <c r="C64" s="321" t="str">
        <f>INDEX(Logframe!B:B,68,1)</f>
        <v>0</v>
      </c>
      <c r="D64" t="str">
        <f t="shared" si="6"/>
        <v/>
      </c>
      <c r="E64" t="str">
        <f t="shared" si="7"/>
        <v/>
      </c>
      <c r="F64" t="str">
        <f t="shared" si="0"/>
        <v/>
      </c>
      <c r="G64" t="str">
        <f t="shared" si="8"/>
        <v/>
      </c>
      <c r="H64" t="str">
        <f t="shared" si="1"/>
        <v/>
      </c>
      <c r="I64" s="157" t="str">
        <f t="shared" si="2"/>
        <v/>
      </c>
      <c r="J64" s="157"/>
      <c r="K64" s="157" t="str">
        <f t="shared" si="3"/>
        <v/>
      </c>
      <c r="L64" s="157" t="str">
        <f t="shared" si="4"/>
        <v/>
      </c>
      <c r="M64" s="157"/>
      <c r="N64" s="157" t="str">
        <f t="shared" si="5"/>
        <v/>
      </c>
      <c r="O64" s="174" t="str">
        <f>Table13[[#This Row],[Combined List]]</f>
        <v/>
      </c>
      <c r="P64" s="157">
        <v>60</v>
      </c>
      <c r="Q64" s="174" t="str">
        <f t="shared" si="11"/>
        <v/>
      </c>
      <c r="R64" s="174" t="str">
        <f t="shared" si="11"/>
        <v/>
      </c>
      <c r="S64" s="174" t="str">
        <f t="shared" si="11"/>
        <v/>
      </c>
      <c r="T64" s="174" t="str">
        <f t="shared" si="12"/>
        <v/>
      </c>
      <c r="U64" s="174" t="str">
        <f t="shared" si="13"/>
        <v/>
      </c>
      <c r="V64" s="174" t="str">
        <f t="shared" si="14"/>
        <v/>
      </c>
      <c r="W64" s="174" t="str">
        <f>_xlfn.IFNA(VLOOKUP(T:T,Logframe!$B:$G,6,FALSE),"")</f>
        <v/>
      </c>
      <c r="X64" s="174" t="str">
        <f>_xlfn.IFNA(VLOOKUP(U:U,Logframe!$B:$G,6,FALSE),"")</f>
        <v/>
      </c>
      <c r="Y64" s="174" t="str">
        <f>_xlfn.IFNA(VLOOKUP(V:V,Logframe!$B:$G,6,FALSE),"")</f>
        <v/>
      </c>
      <c r="Z64">
        <v>60</v>
      </c>
      <c r="AD64" t="str">
        <f t="shared" si="16"/>
        <v/>
      </c>
      <c r="AE64" t="str">
        <f t="shared" si="16"/>
        <v/>
      </c>
      <c r="AF64" t="str">
        <f t="shared" si="10"/>
        <v/>
      </c>
    </row>
    <row r="65" spans="1:32" x14ac:dyDescent="0.35">
      <c r="A65">
        <f>INDEX(Logframe!F:F,69,1)</f>
        <v>0</v>
      </c>
      <c r="B65" s="110">
        <v>0.71</v>
      </c>
      <c r="C65" s="321" t="str">
        <f>INDEX(Logframe!B:B,69,1)</f>
        <v>0</v>
      </c>
      <c r="D65" t="str">
        <f t="shared" si="6"/>
        <v/>
      </c>
      <c r="E65" t="str">
        <f t="shared" si="7"/>
        <v/>
      </c>
      <c r="F65" t="str">
        <f t="shared" si="0"/>
        <v/>
      </c>
      <c r="G65" t="str">
        <f t="shared" si="8"/>
        <v/>
      </c>
      <c r="H65" t="str">
        <f t="shared" si="1"/>
        <v/>
      </c>
      <c r="I65" s="157" t="str">
        <f t="shared" si="2"/>
        <v/>
      </c>
      <c r="J65" s="157"/>
      <c r="K65" s="157" t="str">
        <f t="shared" si="3"/>
        <v/>
      </c>
      <c r="L65" s="157" t="str">
        <f t="shared" si="4"/>
        <v/>
      </c>
      <c r="M65" s="157"/>
      <c r="N65" s="157" t="str">
        <f t="shared" si="5"/>
        <v/>
      </c>
      <c r="O65" s="174" t="str">
        <f>Table13[[#This Row],[Combined List]]</f>
        <v/>
      </c>
      <c r="P65" s="157">
        <v>61</v>
      </c>
      <c r="Q65" s="174" t="str">
        <f t="shared" si="11"/>
        <v/>
      </c>
      <c r="R65" s="174" t="str">
        <f t="shared" si="11"/>
        <v/>
      </c>
      <c r="S65" s="174" t="str">
        <f t="shared" si="11"/>
        <v/>
      </c>
      <c r="T65" s="174" t="str">
        <f t="shared" si="12"/>
        <v/>
      </c>
      <c r="U65" s="174" t="str">
        <f t="shared" si="13"/>
        <v/>
      </c>
      <c r="V65" s="174" t="str">
        <f t="shared" si="14"/>
        <v/>
      </c>
      <c r="W65" s="174" t="str">
        <f>_xlfn.IFNA(VLOOKUP(T:T,Logframe!$B:$G,6,FALSE),"")</f>
        <v/>
      </c>
      <c r="X65" s="174" t="str">
        <f>_xlfn.IFNA(VLOOKUP(U:U,Logframe!$B:$G,6,FALSE),"")</f>
        <v/>
      </c>
      <c r="Y65" s="174" t="str">
        <f>_xlfn.IFNA(VLOOKUP(V:V,Logframe!$B:$G,6,FALSE),"")</f>
        <v/>
      </c>
      <c r="Z65">
        <v>61</v>
      </c>
      <c r="AD65" t="str">
        <f t="shared" si="16"/>
        <v/>
      </c>
      <c r="AE65" t="str">
        <f t="shared" si="16"/>
        <v/>
      </c>
      <c r="AF65" t="str">
        <f t="shared" si="10"/>
        <v/>
      </c>
    </row>
    <row r="66" spans="1:32" x14ac:dyDescent="0.35">
      <c r="A66">
        <f>INDEX(Logframe!F:F,70,1)</f>
        <v>0</v>
      </c>
      <c r="B66" s="110">
        <v>0.72</v>
      </c>
      <c r="C66" s="321" t="str">
        <f>INDEX(Logframe!B:B,70,1)</f>
        <v>0</v>
      </c>
      <c r="D66" t="str">
        <f t="shared" si="6"/>
        <v/>
      </c>
      <c r="E66" t="str">
        <f t="shared" si="7"/>
        <v/>
      </c>
      <c r="F66" t="str">
        <f t="shared" ref="F66:F129" si="17">IF(ISNUMBER(SEARCH("Code",A:A)),"",IF(LEN(A66)=4,A66,""))</f>
        <v/>
      </c>
      <c r="G66" t="str">
        <f t="shared" si="8"/>
        <v/>
      </c>
      <c r="H66" t="str">
        <f t="shared" ref="H66:H129" si="18">IF(LEN(A66)=5,A66,"")</f>
        <v/>
      </c>
      <c r="I66" s="157" t="str">
        <f t="shared" ref="I66:I129" si="19">CONCATENATE(F:F,G:G,H:H)</f>
        <v/>
      </c>
      <c r="J66" s="157"/>
      <c r="K66" s="157" t="str">
        <f t="shared" ref="K66:K129" si="20">IF(LEN(CONCATENATE(B:B,D:D))&gt;4,CONCATENATE(B:B,D:D),"")</f>
        <v/>
      </c>
      <c r="L66" s="157" t="str">
        <f t="shared" ref="L66:L129" si="21">IF(LEN(CONCATENATE(B:B,E:E))&gt;4,CONCATENATE(B:B,E:E),"")</f>
        <v/>
      </c>
      <c r="M66" s="157"/>
      <c r="N66" s="157" t="str">
        <f t="shared" ref="N66:N129" si="22">IF(LEN(CONCATENATE(B:B,I:I))&gt;4,CONCATENATE(B:B,I:I),"")</f>
        <v/>
      </c>
      <c r="O66" s="174" t="str">
        <f>Table13[[#This Row],[Combined List]]</f>
        <v/>
      </c>
      <c r="P66" s="157">
        <v>62</v>
      </c>
      <c r="Q66" s="174" t="str">
        <f t="shared" si="11"/>
        <v/>
      </c>
      <c r="R66" s="174" t="str">
        <f t="shared" si="11"/>
        <v/>
      </c>
      <c r="S66" s="174" t="str">
        <f t="shared" si="11"/>
        <v/>
      </c>
      <c r="T66" s="174" t="str">
        <f t="shared" si="12"/>
        <v/>
      </c>
      <c r="U66" s="174" t="str">
        <f t="shared" si="13"/>
        <v/>
      </c>
      <c r="V66" s="174" t="str">
        <f t="shared" si="14"/>
        <v/>
      </c>
      <c r="W66" s="174" t="str">
        <f>_xlfn.IFNA(VLOOKUP(T:T,Logframe!$B:$G,6,FALSE),"")</f>
        <v/>
      </c>
      <c r="X66" s="174" t="str">
        <f>_xlfn.IFNA(VLOOKUP(U:U,Logframe!$B:$G,6,FALSE),"")</f>
        <v/>
      </c>
      <c r="Y66" s="174" t="str">
        <f>_xlfn.IFNA(VLOOKUP(V:V,Logframe!$B:$G,6,FALSE),"")</f>
        <v/>
      </c>
      <c r="Z66">
        <v>62</v>
      </c>
      <c r="AD66" t="str">
        <f t="shared" si="16"/>
        <v/>
      </c>
      <c r="AE66" t="str">
        <f t="shared" si="16"/>
        <v/>
      </c>
      <c r="AF66" t="str">
        <f t="shared" si="10"/>
        <v/>
      </c>
    </row>
    <row r="67" spans="1:32" x14ac:dyDescent="0.35">
      <c r="A67">
        <f>INDEX(Logframe!F:F,71,1)</f>
        <v>0</v>
      </c>
      <c r="B67" s="110">
        <v>0.73</v>
      </c>
      <c r="C67" s="321" t="str">
        <f>INDEX(Logframe!B:B,71,1)</f>
        <v>0</v>
      </c>
      <c r="D67" t="str">
        <f t="shared" ref="D67:D130" si="23">IF(LEFT(A67,1)="B",A67,"")</f>
        <v/>
      </c>
      <c r="E67" t="str">
        <f t="shared" ref="E67:E130" si="24">IF(LEN(IF(LEFT(A67,1)="P",A67,""))=7,IF(LEFT(A67,1)="P",A67,""),"")</f>
        <v/>
      </c>
      <c r="F67" t="str">
        <f t="shared" si="17"/>
        <v/>
      </c>
      <c r="G67" t="str">
        <f t="shared" ref="G67:G130" si="25">IF(LEN(A67)=3,A67,"")</f>
        <v/>
      </c>
      <c r="H67" t="str">
        <f t="shared" si="18"/>
        <v/>
      </c>
      <c r="I67" s="157" t="str">
        <f t="shared" si="19"/>
        <v/>
      </c>
      <c r="J67" s="157"/>
      <c r="K67" s="157" t="str">
        <f t="shared" si="20"/>
        <v/>
      </c>
      <c r="L67" s="157" t="str">
        <f t="shared" si="21"/>
        <v/>
      </c>
      <c r="M67" s="157"/>
      <c r="N67" s="157" t="str">
        <f t="shared" si="22"/>
        <v/>
      </c>
      <c r="O67" s="174" t="str">
        <f>Table13[[#This Row],[Combined List]]</f>
        <v/>
      </c>
      <c r="P67" s="157">
        <v>63</v>
      </c>
      <c r="Q67" s="174" t="str">
        <f t="shared" si="11"/>
        <v/>
      </c>
      <c r="R67" s="174" t="str">
        <f t="shared" si="11"/>
        <v/>
      </c>
      <c r="S67" s="174" t="str">
        <f t="shared" si="11"/>
        <v/>
      </c>
      <c r="T67" s="174" t="str">
        <f t="shared" si="12"/>
        <v/>
      </c>
      <c r="U67" s="174" t="str">
        <f t="shared" si="13"/>
        <v/>
      </c>
      <c r="V67" s="174" t="str">
        <f t="shared" si="14"/>
        <v/>
      </c>
      <c r="W67" s="174" t="str">
        <f>_xlfn.IFNA(VLOOKUP(T:T,Logframe!$B:$G,6,FALSE),"")</f>
        <v/>
      </c>
      <c r="X67" s="174" t="str">
        <f>_xlfn.IFNA(VLOOKUP(U:U,Logframe!$B:$G,6,FALSE),"")</f>
        <v/>
      </c>
      <c r="Y67" s="174" t="str">
        <f>_xlfn.IFNA(VLOOKUP(V:V,Logframe!$B:$G,6,FALSE),"")</f>
        <v/>
      </c>
      <c r="Z67">
        <v>63</v>
      </c>
      <c r="AD67" t="str">
        <f t="shared" si="16"/>
        <v/>
      </c>
      <c r="AE67" t="str">
        <f t="shared" si="16"/>
        <v/>
      </c>
      <c r="AF67" t="str">
        <f t="shared" si="10"/>
        <v/>
      </c>
    </row>
    <row r="68" spans="1:32" x14ac:dyDescent="0.35">
      <c r="A68">
        <f>INDEX(Logframe!F:F,72,1)</f>
        <v>0</v>
      </c>
      <c r="B68" s="110">
        <v>0.74</v>
      </c>
      <c r="C68" s="321" t="str">
        <f>INDEX(Logframe!B:B,72,1)</f>
        <v>0</v>
      </c>
      <c r="D68" t="str">
        <f t="shared" si="23"/>
        <v/>
      </c>
      <c r="E68" t="str">
        <f t="shared" si="24"/>
        <v/>
      </c>
      <c r="F68" t="str">
        <f t="shared" si="17"/>
        <v/>
      </c>
      <c r="G68" t="str">
        <f t="shared" si="25"/>
        <v/>
      </c>
      <c r="H68" t="str">
        <f t="shared" si="18"/>
        <v/>
      </c>
      <c r="I68" s="157" t="str">
        <f t="shared" si="19"/>
        <v/>
      </c>
      <c r="J68" s="157"/>
      <c r="K68" s="157" t="str">
        <f t="shared" si="20"/>
        <v/>
      </c>
      <c r="L68" s="157" t="str">
        <f t="shared" si="21"/>
        <v/>
      </c>
      <c r="M68" s="157"/>
      <c r="N68" s="157" t="str">
        <f t="shared" si="22"/>
        <v/>
      </c>
      <c r="O68" s="174" t="str">
        <f>Table13[[#This Row],[Combined List]]</f>
        <v/>
      </c>
      <c r="P68" s="157">
        <v>64</v>
      </c>
      <c r="Q68" s="174" t="str">
        <f t="shared" si="11"/>
        <v/>
      </c>
      <c r="R68" s="174" t="str">
        <f t="shared" si="11"/>
        <v/>
      </c>
      <c r="S68" s="174" t="str">
        <f t="shared" si="11"/>
        <v/>
      </c>
      <c r="T68" s="174" t="str">
        <f t="shared" si="12"/>
        <v/>
      </c>
      <c r="U68" s="174" t="str">
        <f t="shared" si="13"/>
        <v/>
      </c>
      <c r="V68" s="174" t="str">
        <f t="shared" si="14"/>
        <v/>
      </c>
      <c r="W68" s="174" t="str">
        <f>_xlfn.IFNA(VLOOKUP(T:T,Logframe!$B:$G,6,FALSE),"")</f>
        <v/>
      </c>
      <c r="X68" s="174" t="str">
        <f>_xlfn.IFNA(VLOOKUP(U:U,Logframe!$B:$G,6,FALSE),"")</f>
        <v/>
      </c>
      <c r="Y68" s="174" t="str">
        <f>_xlfn.IFNA(VLOOKUP(V:V,Logframe!$B:$G,6,FALSE),"")</f>
        <v/>
      </c>
      <c r="Z68">
        <v>64</v>
      </c>
      <c r="AD68" t="str">
        <f t="shared" si="16"/>
        <v/>
      </c>
      <c r="AE68" t="str">
        <f t="shared" si="16"/>
        <v/>
      </c>
      <c r="AF68" t="str">
        <f t="shared" si="10"/>
        <v/>
      </c>
    </row>
    <row r="69" spans="1:32" x14ac:dyDescent="0.35">
      <c r="A69">
        <f>INDEX(Logframe!F:F,73,1)</f>
        <v>0</v>
      </c>
      <c r="B69" s="110">
        <v>0.75</v>
      </c>
      <c r="C69" s="321" t="str">
        <f>INDEX(Logframe!B:B,73,1)</f>
        <v>0</v>
      </c>
      <c r="D69" t="str">
        <f t="shared" si="23"/>
        <v/>
      </c>
      <c r="E69" t="str">
        <f t="shared" si="24"/>
        <v/>
      </c>
      <c r="F69" t="str">
        <f t="shared" si="17"/>
        <v/>
      </c>
      <c r="G69" t="str">
        <f t="shared" si="25"/>
        <v/>
      </c>
      <c r="H69" t="str">
        <f t="shared" si="18"/>
        <v/>
      </c>
      <c r="I69" s="157" t="str">
        <f t="shared" si="19"/>
        <v/>
      </c>
      <c r="J69" s="157"/>
      <c r="K69" s="157" t="str">
        <f t="shared" si="20"/>
        <v/>
      </c>
      <c r="L69" s="157" t="str">
        <f t="shared" si="21"/>
        <v/>
      </c>
      <c r="M69" s="157"/>
      <c r="N69" s="157" t="str">
        <f t="shared" si="22"/>
        <v/>
      </c>
      <c r="O69" s="174" t="str">
        <f>Table13[[#This Row],[Combined List]]</f>
        <v/>
      </c>
      <c r="P69" s="157">
        <v>65</v>
      </c>
      <c r="Q69" s="174" t="str">
        <f t="shared" si="11"/>
        <v/>
      </c>
      <c r="R69" s="174" t="str">
        <f t="shared" si="11"/>
        <v/>
      </c>
      <c r="S69" s="174" t="str">
        <f t="shared" si="11"/>
        <v/>
      </c>
      <c r="T69" s="174" t="str">
        <f t="shared" si="12"/>
        <v/>
      </c>
      <c r="U69" s="174" t="str">
        <f t="shared" si="13"/>
        <v/>
      </c>
      <c r="V69" s="174" t="str">
        <f t="shared" si="14"/>
        <v/>
      </c>
      <c r="W69" s="174" t="str">
        <f>_xlfn.IFNA(VLOOKUP(T:T,Logframe!$B:$G,6,FALSE),"")</f>
        <v/>
      </c>
      <c r="X69" s="174" t="str">
        <f>_xlfn.IFNA(VLOOKUP(U:U,Logframe!$B:$G,6,FALSE),"")</f>
        <v/>
      </c>
      <c r="Y69" s="174" t="str">
        <f>_xlfn.IFNA(VLOOKUP(V:V,Logframe!$B:$G,6,FALSE),"")</f>
        <v/>
      </c>
      <c r="Z69">
        <v>65</v>
      </c>
      <c r="AD69" t="str">
        <f t="shared" si="16"/>
        <v/>
      </c>
      <c r="AE69" t="str">
        <f t="shared" si="16"/>
        <v/>
      </c>
      <c r="AF69" t="str">
        <f t="shared" ref="AF69:AF132" si="26">_xlfn.IFNA(VLOOKUP(AC:AC,N:O,2,FALSE),"")</f>
        <v/>
      </c>
    </row>
    <row r="70" spans="1:32" x14ac:dyDescent="0.35">
      <c r="A70">
        <f>INDEX(Logframe!F:F,74,1)</f>
        <v>0</v>
      </c>
      <c r="B70" s="110">
        <v>0.76</v>
      </c>
      <c r="C70" s="321" t="str">
        <f>INDEX(Logframe!B:B,74,1)</f>
        <v>0</v>
      </c>
      <c r="D70" t="str">
        <f t="shared" si="23"/>
        <v/>
      </c>
      <c r="E70" t="str">
        <f t="shared" si="24"/>
        <v/>
      </c>
      <c r="F70" t="str">
        <f t="shared" si="17"/>
        <v/>
      </c>
      <c r="G70" t="str">
        <f t="shared" si="25"/>
        <v/>
      </c>
      <c r="H70" t="str">
        <f t="shared" si="18"/>
        <v/>
      </c>
      <c r="I70" s="157" t="str">
        <f t="shared" si="19"/>
        <v/>
      </c>
      <c r="J70" s="157"/>
      <c r="K70" s="157" t="str">
        <f t="shared" si="20"/>
        <v/>
      </c>
      <c r="L70" s="157" t="str">
        <f t="shared" si="21"/>
        <v/>
      </c>
      <c r="M70" s="157"/>
      <c r="N70" s="157" t="str">
        <f t="shared" si="22"/>
        <v/>
      </c>
      <c r="O70" s="174" t="str">
        <f>Table13[[#This Row],[Combined List]]</f>
        <v/>
      </c>
      <c r="P70" s="157">
        <v>66</v>
      </c>
      <c r="Q70" s="174" t="str">
        <f t="shared" ref="Q70:S133" si="27">IFERROR(VALUE(LEFT(AA:AA,4)),"")</f>
        <v/>
      </c>
      <c r="R70" s="174" t="str">
        <f t="shared" si="27"/>
        <v/>
      </c>
      <c r="S70" s="174" t="str">
        <f t="shared" si="27"/>
        <v/>
      </c>
      <c r="T70" s="174" t="str">
        <f t="shared" ref="T70:T133" si="28">_xlfn.IFNA(VLOOKUP(Q:Q,$B:$C,2,FALSE),"")</f>
        <v/>
      </c>
      <c r="U70" s="174" t="str">
        <f t="shared" ref="U70:U133" si="29">_xlfn.IFNA(VLOOKUP(R:R,$B:$C,2,FALSE),"")</f>
        <v/>
      </c>
      <c r="V70" s="174" t="str">
        <f t="shared" ref="V70:V133" si="30">_xlfn.IFNA(VLOOKUP(S:S,$B:$C,2,FALSE),"")</f>
        <v/>
      </c>
      <c r="W70" s="174" t="str">
        <f>_xlfn.IFNA(VLOOKUP(T:T,Logframe!$B:$G,6,FALSE),"")</f>
        <v/>
      </c>
      <c r="X70" s="174" t="str">
        <f>_xlfn.IFNA(VLOOKUP(U:U,Logframe!$B:$G,6,FALSE),"")</f>
        <v/>
      </c>
      <c r="Y70" s="174" t="str">
        <f>_xlfn.IFNA(VLOOKUP(V:V,Logframe!$B:$G,6,FALSE),"")</f>
        <v/>
      </c>
      <c r="Z70">
        <v>66</v>
      </c>
      <c r="AD70" t="str">
        <f t="shared" si="16"/>
        <v/>
      </c>
      <c r="AE70" t="str">
        <f t="shared" si="16"/>
        <v/>
      </c>
      <c r="AF70" t="str">
        <f t="shared" si="26"/>
        <v/>
      </c>
    </row>
    <row r="71" spans="1:32" x14ac:dyDescent="0.35">
      <c r="A71">
        <f>INDEX(Logframe!F:F,75,1)</f>
        <v>0</v>
      </c>
      <c r="B71" s="110">
        <v>0.77</v>
      </c>
      <c r="C71" s="321" t="str">
        <f>INDEX(Logframe!B:B,75,1)</f>
        <v>0</v>
      </c>
      <c r="D71" t="str">
        <f t="shared" si="23"/>
        <v/>
      </c>
      <c r="E71" t="str">
        <f t="shared" si="24"/>
        <v/>
      </c>
      <c r="F71" t="str">
        <f t="shared" si="17"/>
        <v/>
      </c>
      <c r="G71" t="str">
        <f t="shared" si="25"/>
        <v/>
      </c>
      <c r="H71" t="str">
        <f t="shared" si="18"/>
        <v/>
      </c>
      <c r="I71" s="157" t="str">
        <f t="shared" si="19"/>
        <v/>
      </c>
      <c r="J71" s="157"/>
      <c r="K71" s="157" t="str">
        <f t="shared" si="20"/>
        <v/>
      </c>
      <c r="L71" s="157" t="str">
        <f t="shared" si="21"/>
        <v/>
      </c>
      <c r="M71" s="157"/>
      <c r="N71" s="157" t="str">
        <f t="shared" si="22"/>
        <v/>
      </c>
      <c r="O71" s="174" t="str">
        <f>Table13[[#This Row],[Combined List]]</f>
        <v/>
      </c>
      <c r="P71" s="157">
        <v>67</v>
      </c>
      <c r="Q71" s="174" t="str">
        <f t="shared" si="27"/>
        <v/>
      </c>
      <c r="R71" s="174" t="str">
        <f t="shared" si="27"/>
        <v/>
      </c>
      <c r="S71" s="174" t="str">
        <f t="shared" si="27"/>
        <v/>
      </c>
      <c r="T71" s="174" t="str">
        <f t="shared" si="28"/>
        <v/>
      </c>
      <c r="U71" s="174" t="str">
        <f t="shared" si="29"/>
        <v/>
      </c>
      <c r="V71" s="174" t="str">
        <f t="shared" si="30"/>
        <v/>
      </c>
      <c r="W71" s="174" t="str">
        <f>_xlfn.IFNA(VLOOKUP(T:T,Logframe!$B:$G,6,FALSE),"")</f>
        <v/>
      </c>
      <c r="X71" s="174" t="str">
        <f>_xlfn.IFNA(VLOOKUP(U:U,Logframe!$B:$G,6,FALSE),"")</f>
        <v/>
      </c>
      <c r="Y71" s="174" t="str">
        <f>_xlfn.IFNA(VLOOKUP(V:V,Logframe!$B:$G,6,FALSE),"")</f>
        <v/>
      </c>
      <c r="Z71">
        <v>67</v>
      </c>
      <c r="AD71" t="str">
        <f t="shared" si="16"/>
        <v/>
      </c>
      <c r="AE71" t="str">
        <f t="shared" si="16"/>
        <v/>
      </c>
      <c r="AF71" t="str">
        <f t="shared" si="26"/>
        <v/>
      </c>
    </row>
    <row r="72" spans="1:32" x14ac:dyDescent="0.35">
      <c r="A72">
        <f>INDEX(Logframe!F:F,76,1)</f>
        <v>0</v>
      </c>
      <c r="B72" s="110">
        <v>0.78</v>
      </c>
      <c r="C72" s="321" t="str">
        <f>INDEX(Logframe!B:B,76,1)</f>
        <v>0</v>
      </c>
      <c r="D72" t="str">
        <f t="shared" si="23"/>
        <v/>
      </c>
      <c r="E72" t="str">
        <f t="shared" si="24"/>
        <v/>
      </c>
      <c r="F72" t="str">
        <f t="shared" si="17"/>
        <v/>
      </c>
      <c r="G72" t="str">
        <f t="shared" si="25"/>
        <v/>
      </c>
      <c r="H72" t="str">
        <f t="shared" si="18"/>
        <v/>
      </c>
      <c r="I72" s="157" t="str">
        <f t="shared" si="19"/>
        <v/>
      </c>
      <c r="J72" s="157"/>
      <c r="K72" s="157" t="str">
        <f t="shared" si="20"/>
        <v/>
      </c>
      <c r="L72" s="157" t="str">
        <f t="shared" si="21"/>
        <v/>
      </c>
      <c r="M72" s="157"/>
      <c r="N72" s="157" t="str">
        <f t="shared" si="22"/>
        <v/>
      </c>
      <c r="O72" s="174" t="str">
        <f>Table13[[#This Row],[Combined List]]</f>
        <v/>
      </c>
      <c r="P72" s="157">
        <v>68</v>
      </c>
      <c r="Q72" s="174" t="str">
        <f t="shared" si="27"/>
        <v/>
      </c>
      <c r="R72" s="174" t="str">
        <f t="shared" si="27"/>
        <v/>
      </c>
      <c r="S72" s="174" t="str">
        <f t="shared" si="27"/>
        <v/>
      </c>
      <c r="T72" s="174" t="str">
        <f t="shared" si="28"/>
        <v/>
      </c>
      <c r="U72" s="174" t="str">
        <f t="shared" si="29"/>
        <v/>
      </c>
      <c r="V72" s="174" t="str">
        <f t="shared" si="30"/>
        <v/>
      </c>
      <c r="W72" s="174" t="str">
        <f>_xlfn.IFNA(VLOOKUP(T:T,Logframe!$B:$G,6,FALSE),"")</f>
        <v/>
      </c>
      <c r="X72" s="174" t="str">
        <f>_xlfn.IFNA(VLOOKUP(U:U,Logframe!$B:$G,6,FALSE),"")</f>
        <v/>
      </c>
      <c r="Y72" s="174" t="str">
        <f>_xlfn.IFNA(VLOOKUP(V:V,Logframe!$B:$G,6,FALSE),"")</f>
        <v/>
      </c>
      <c r="Z72">
        <v>68</v>
      </c>
      <c r="AD72" t="str">
        <f t="shared" si="16"/>
        <v/>
      </c>
      <c r="AE72" t="str">
        <f t="shared" si="16"/>
        <v/>
      </c>
      <c r="AF72" t="str">
        <f t="shared" si="26"/>
        <v/>
      </c>
    </row>
    <row r="73" spans="1:32" x14ac:dyDescent="0.35">
      <c r="A73">
        <f>INDEX(Logframe!F:F,77,1)</f>
        <v>0</v>
      </c>
      <c r="B73" s="110">
        <v>0.79</v>
      </c>
      <c r="C73" s="321" t="str">
        <f>INDEX(Logframe!B:B,77,1)</f>
        <v>0</v>
      </c>
      <c r="D73" t="str">
        <f t="shared" si="23"/>
        <v/>
      </c>
      <c r="E73" t="str">
        <f t="shared" si="24"/>
        <v/>
      </c>
      <c r="F73" t="str">
        <f t="shared" si="17"/>
        <v/>
      </c>
      <c r="G73" t="str">
        <f t="shared" si="25"/>
        <v/>
      </c>
      <c r="H73" t="str">
        <f t="shared" si="18"/>
        <v/>
      </c>
      <c r="I73" s="157" t="str">
        <f t="shared" si="19"/>
        <v/>
      </c>
      <c r="J73" s="157"/>
      <c r="K73" s="157" t="str">
        <f t="shared" si="20"/>
        <v/>
      </c>
      <c r="L73" s="157" t="str">
        <f t="shared" si="21"/>
        <v/>
      </c>
      <c r="M73" s="157"/>
      <c r="N73" s="157" t="str">
        <f t="shared" si="22"/>
        <v/>
      </c>
      <c r="O73" s="174" t="str">
        <f>Table13[[#This Row],[Combined List]]</f>
        <v/>
      </c>
      <c r="P73" s="157">
        <v>69</v>
      </c>
      <c r="Q73" s="174" t="str">
        <f t="shared" si="27"/>
        <v/>
      </c>
      <c r="R73" s="174" t="str">
        <f t="shared" si="27"/>
        <v/>
      </c>
      <c r="S73" s="174" t="str">
        <f t="shared" si="27"/>
        <v/>
      </c>
      <c r="T73" s="174" t="str">
        <f t="shared" si="28"/>
        <v/>
      </c>
      <c r="U73" s="174" t="str">
        <f t="shared" si="29"/>
        <v/>
      </c>
      <c r="V73" s="174" t="str">
        <f t="shared" si="30"/>
        <v/>
      </c>
      <c r="W73" s="174" t="str">
        <f>_xlfn.IFNA(VLOOKUP(T:T,Logframe!$B:$G,6,FALSE),"")</f>
        <v/>
      </c>
      <c r="X73" s="174" t="str">
        <f>_xlfn.IFNA(VLOOKUP(U:U,Logframe!$B:$G,6,FALSE),"")</f>
        <v/>
      </c>
      <c r="Y73" s="174" t="str">
        <f>_xlfn.IFNA(VLOOKUP(V:V,Logframe!$B:$G,6,FALSE),"")</f>
        <v/>
      </c>
      <c r="Z73">
        <v>69</v>
      </c>
      <c r="AD73" t="str">
        <f t="shared" si="16"/>
        <v/>
      </c>
      <c r="AE73" t="str">
        <f t="shared" si="16"/>
        <v/>
      </c>
      <c r="AF73" t="str">
        <f t="shared" si="26"/>
        <v/>
      </c>
    </row>
    <row r="74" spans="1:32" x14ac:dyDescent="0.35">
      <c r="A74">
        <f>INDEX(Logframe!F:F,78,1)</f>
        <v>0</v>
      </c>
      <c r="B74" s="110">
        <v>0.81</v>
      </c>
      <c r="C74" s="321" t="str">
        <f>INDEX(Logframe!B:B,78,1)</f>
        <v>0</v>
      </c>
      <c r="D74" t="str">
        <f t="shared" si="23"/>
        <v/>
      </c>
      <c r="E74" t="str">
        <f t="shared" si="24"/>
        <v/>
      </c>
      <c r="F74" t="str">
        <f t="shared" si="17"/>
        <v/>
      </c>
      <c r="G74" t="str">
        <f t="shared" si="25"/>
        <v/>
      </c>
      <c r="H74" t="str">
        <f t="shared" si="18"/>
        <v/>
      </c>
      <c r="I74" s="157" t="str">
        <f t="shared" si="19"/>
        <v/>
      </c>
      <c r="J74" s="157"/>
      <c r="K74" s="157" t="str">
        <f t="shared" si="20"/>
        <v/>
      </c>
      <c r="L74" s="157" t="str">
        <f t="shared" si="21"/>
        <v/>
      </c>
      <c r="M74" s="157"/>
      <c r="N74" s="157" t="str">
        <f t="shared" si="22"/>
        <v/>
      </c>
      <c r="O74" s="174" t="str">
        <f>Table13[[#This Row],[Combined List]]</f>
        <v/>
      </c>
      <c r="P74" s="157">
        <v>70</v>
      </c>
      <c r="Q74" s="174" t="str">
        <f t="shared" si="27"/>
        <v/>
      </c>
      <c r="R74" s="174" t="str">
        <f t="shared" si="27"/>
        <v/>
      </c>
      <c r="S74" s="174" t="str">
        <f t="shared" si="27"/>
        <v/>
      </c>
      <c r="T74" s="174" t="str">
        <f t="shared" si="28"/>
        <v/>
      </c>
      <c r="U74" s="174" t="str">
        <f t="shared" si="29"/>
        <v/>
      </c>
      <c r="V74" s="174" t="str">
        <f t="shared" si="30"/>
        <v/>
      </c>
      <c r="W74" s="174" t="str">
        <f>_xlfn.IFNA(VLOOKUP(T:T,Logframe!$B:$G,6,FALSE),"")</f>
        <v/>
      </c>
      <c r="X74" s="174" t="str">
        <f>_xlfn.IFNA(VLOOKUP(U:U,Logframe!$B:$G,6,FALSE),"")</f>
        <v/>
      </c>
      <c r="Y74" s="174" t="str">
        <f>_xlfn.IFNA(VLOOKUP(V:V,Logframe!$B:$G,6,FALSE),"")</f>
        <v/>
      </c>
      <c r="Z74">
        <v>70</v>
      </c>
      <c r="AD74" t="str">
        <f t="shared" si="16"/>
        <v/>
      </c>
      <c r="AE74" t="str">
        <f t="shared" si="16"/>
        <v/>
      </c>
      <c r="AF74" t="str">
        <f t="shared" si="26"/>
        <v/>
      </c>
    </row>
    <row r="75" spans="1:32" x14ac:dyDescent="0.35">
      <c r="A75">
        <f>INDEX(Logframe!F:F,79,1)</f>
        <v>0</v>
      </c>
      <c r="B75" s="110">
        <v>0.82</v>
      </c>
      <c r="C75" s="321" t="str">
        <f>INDEX(Logframe!B:B,79,1)</f>
        <v>0</v>
      </c>
      <c r="D75" t="str">
        <f t="shared" si="23"/>
        <v/>
      </c>
      <c r="E75" t="str">
        <f t="shared" si="24"/>
        <v/>
      </c>
      <c r="F75" t="str">
        <f t="shared" si="17"/>
        <v/>
      </c>
      <c r="G75" t="str">
        <f t="shared" si="25"/>
        <v/>
      </c>
      <c r="H75" t="str">
        <f t="shared" si="18"/>
        <v/>
      </c>
      <c r="I75" s="157" t="str">
        <f t="shared" si="19"/>
        <v/>
      </c>
      <c r="J75" s="157"/>
      <c r="K75" s="157" t="str">
        <f t="shared" si="20"/>
        <v/>
      </c>
      <c r="L75" s="157" t="str">
        <f t="shared" si="21"/>
        <v/>
      </c>
      <c r="M75" s="157"/>
      <c r="N75" s="157" t="str">
        <f t="shared" si="22"/>
        <v/>
      </c>
      <c r="O75" s="174" t="str">
        <f>Table13[[#This Row],[Combined List]]</f>
        <v/>
      </c>
      <c r="P75" s="157">
        <v>71</v>
      </c>
      <c r="Q75" s="174" t="str">
        <f t="shared" si="27"/>
        <v/>
      </c>
      <c r="R75" s="174" t="str">
        <f t="shared" si="27"/>
        <v/>
      </c>
      <c r="S75" s="174" t="str">
        <f t="shared" si="27"/>
        <v/>
      </c>
      <c r="T75" s="174" t="str">
        <f t="shared" si="28"/>
        <v/>
      </c>
      <c r="U75" s="174" t="str">
        <f t="shared" si="29"/>
        <v/>
      </c>
      <c r="V75" s="174" t="str">
        <f t="shared" si="30"/>
        <v/>
      </c>
      <c r="W75" s="174" t="str">
        <f>_xlfn.IFNA(VLOOKUP(T:T,Logframe!$B:$G,6,FALSE),"")</f>
        <v/>
      </c>
      <c r="X75" s="174" t="str">
        <f>_xlfn.IFNA(VLOOKUP(U:U,Logframe!$B:$G,6,FALSE),"")</f>
        <v/>
      </c>
      <c r="Y75" s="174" t="str">
        <f>_xlfn.IFNA(VLOOKUP(V:V,Logframe!$B:$G,6,FALSE),"")</f>
        <v/>
      </c>
      <c r="Z75">
        <v>71</v>
      </c>
      <c r="AD75" t="str">
        <f t="shared" si="16"/>
        <v/>
      </c>
      <c r="AE75" t="str">
        <f t="shared" si="16"/>
        <v/>
      </c>
      <c r="AF75" t="str">
        <f t="shared" si="26"/>
        <v/>
      </c>
    </row>
    <row r="76" spans="1:32" x14ac:dyDescent="0.35">
      <c r="A76">
        <f>INDEX(Logframe!F:F,80,1)</f>
        <v>0</v>
      </c>
      <c r="B76" s="110">
        <v>0.83</v>
      </c>
      <c r="C76" s="321" t="str">
        <f>INDEX(Logframe!B:B,80,1)</f>
        <v>0</v>
      </c>
      <c r="D76" t="str">
        <f t="shared" si="23"/>
        <v/>
      </c>
      <c r="E76" t="str">
        <f t="shared" si="24"/>
        <v/>
      </c>
      <c r="F76" t="str">
        <f t="shared" si="17"/>
        <v/>
      </c>
      <c r="G76" t="str">
        <f t="shared" si="25"/>
        <v/>
      </c>
      <c r="H76" t="str">
        <f t="shared" si="18"/>
        <v/>
      </c>
      <c r="I76" s="157" t="str">
        <f t="shared" si="19"/>
        <v/>
      </c>
      <c r="J76" s="157"/>
      <c r="K76" s="157" t="str">
        <f t="shared" si="20"/>
        <v/>
      </c>
      <c r="L76" s="157" t="str">
        <f t="shared" si="21"/>
        <v/>
      </c>
      <c r="M76" s="157"/>
      <c r="N76" s="157" t="str">
        <f t="shared" si="22"/>
        <v/>
      </c>
      <c r="O76" s="174" t="str">
        <f>Table13[[#This Row],[Combined List]]</f>
        <v/>
      </c>
      <c r="P76" s="157">
        <v>72</v>
      </c>
      <c r="Q76" s="174" t="str">
        <f t="shared" si="27"/>
        <v/>
      </c>
      <c r="R76" s="174" t="str">
        <f t="shared" si="27"/>
        <v/>
      </c>
      <c r="S76" s="174" t="str">
        <f t="shared" si="27"/>
        <v/>
      </c>
      <c r="T76" s="174" t="str">
        <f t="shared" si="28"/>
        <v/>
      </c>
      <c r="U76" s="174" t="str">
        <f t="shared" si="29"/>
        <v/>
      </c>
      <c r="V76" s="174" t="str">
        <f t="shared" si="30"/>
        <v/>
      </c>
      <c r="W76" s="174" t="str">
        <f>_xlfn.IFNA(VLOOKUP(T:T,Logframe!$B:$G,6,FALSE),"")</f>
        <v/>
      </c>
      <c r="X76" s="174" t="str">
        <f>_xlfn.IFNA(VLOOKUP(U:U,Logframe!$B:$G,6,FALSE),"")</f>
        <v/>
      </c>
      <c r="Y76" s="174" t="str">
        <f>_xlfn.IFNA(VLOOKUP(V:V,Logframe!$B:$G,6,FALSE),"")</f>
        <v/>
      </c>
      <c r="Z76">
        <v>72</v>
      </c>
      <c r="AD76" t="str">
        <f t="shared" si="16"/>
        <v/>
      </c>
      <c r="AE76" t="str">
        <f t="shared" si="16"/>
        <v/>
      </c>
      <c r="AF76" t="str">
        <f t="shared" si="26"/>
        <v/>
      </c>
    </row>
    <row r="77" spans="1:32" x14ac:dyDescent="0.35">
      <c r="A77">
        <f>INDEX(Logframe!F:F,81,1)</f>
        <v>0</v>
      </c>
      <c r="B77" s="110">
        <v>0.84</v>
      </c>
      <c r="C77" s="321" t="str">
        <f>INDEX(Logframe!B:B,81,1)</f>
        <v>0</v>
      </c>
      <c r="D77" t="str">
        <f t="shared" si="23"/>
        <v/>
      </c>
      <c r="E77" t="str">
        <f t="shared" si="24"/>
        <v/>
      </c>
      <c r="F77" t="str">
        <f t="shared" si="17"/>
        <v/>
      </c>
      <c r="G77" t="str">
        <f t="shared" si="25"/>
        <v/>
      </c>
      <c r="H77" t="str">
        <f t="shared" si="18"/>
        <v/>
      </c>
      <c r="I77" s="157" t="str">
        <f t="shared" si="19"/>
        <v/>
      </c>
      <c r="J77" s="157"/>
      <c r="K77" s="157" t="str">
        <f t="shared" si="20"/>
        <v/>
      </c>
      <c r="L77" s="157" t="str">
        <f t="shared" si="21"/>
        <v/>
      </c>
      <c r="M77" s="157"/>
      <c r="N77" s="157" t="str">
        <f t="shared" si="22"/>
        <v/>
      </c>
      <c r="O77" s="174" t="str">
        <f>Table13[[#This Row],[Combined List]]</f>
        <v/>
      </c>
      <c r="P77" s="157">
        <v>73</v>
      </c>
      <c r="Q77" s="174" t="str">
        <f t="shared" si="27"/>
        <v/>
      </c>
      <c r="R77" s="174" t="str">
        <f t="shared" si="27"/>
        <v/>
      </c>
      <c r="S77" s="174" t="str">
        <f t="shared" si="27"/>
        <v/>
      </c>
      <c r="T77" s="174" t="str">
        <f t="shared" si="28"/>
        <v/>
      </c>
      <c r="U77" s="174" t="str">
        <f t="shared" si="29"/>
        <v/>
      </c>
      <c r="V77" s="174" t="str">
        <f t="shared" si="30"/>
        <v/>
      </c>
      <c r="W77" s="174" t="str">
        <f>_xlfn.IFNA(VLOOKUP(T:T,Logframe!$B:$G,6,FALSE),"")</f>
        <v/>
      </c>
      <c r="X77" s="174" t="str">
        <f>_xlfn.IFNA(VLOOKUP(U:U,Logframe!$B:$G,6,FALSE),"")</f>
        <v/>
      </c>
      <c r="Y77" s="174" t="str">
        <f>_xlfn.IFNA(VLOOKUP(V:V,Logframe!$B:$G,6,FALSE),"")</f>
        <v/>
      </c>
      <c r="Z77">
        <v>73</v>
      </c>
      <c r="AD77" t="str">
        <f t="shared" si="16"/>
        <v/>
      </c>
      <c r="AE77" t="str">
        <f t="shared" si="16"/>
        <v/>
      </c>
      <c r="AF77" t="str">
        <f t="shared" si="26"/>
        <v/>
      </c>
    </row>
    <row r="78" spans="1:32" x14ac:dyDescent="0.35">
      <c r="A78">
        <f>INDEX(Logframe!F:F,82,1)</f>
        <v>0</v>
      </c>
      <c r="B78" s="110">
        <v>0.85</v>
      </c>
      <c r="C78" s="321" t="str">
        <f>INDEX(Logframe!B:B,82,1)</f>
        <v>0</v>
      </c>
      <c r="D78" t="str">
        <f t="shared" si="23"/>
        <v/>
      </c>
      <c r="E78" t="str">
        <f t="shared" si="24"/>
        <v/>
      </c>
      <c r="F78" t="str">
        <f t="shared" si="17"/>
        <v/>
      </c>
      <c r="G78" t="str">
        <f t="shared" si="25"/>
        <v/>
      </c>
      <c r="H78" t="str">
        <f t="shared" si="18"/>
        <v/>
      </c>
      <c r="I78" s="157" t="str">
        <f t="shared" si="19"/>
        <v/>
      </c>
      <c r="J78" s="157"/>
      <c r="K78" s="157" t="str">
        <f t="shared" si="20"/>
        <v/>
      </c>
      <c r="L78" s="157" t="str">
        <f t="shared" si="21"/>
        <v/>
      </c>
      <c r="M78" s="157"/>
      <c r="N78" s="157" t="str">
        <f t="shared" si="22"/>
        <v/>
      </c>
      <c r="O78" s="174" t="str">
        <f>Table13[[#This Row],[Combined List]]</f>
        <v/>
      </c>
      <c r="P78" s="157">
        <v>74</v>
      </c>
      <c r="Q78" s="174" t="str">
        <f t="shared" si="27"/>
        <v/>
      </c>
      <c r="R78" s="174" t="str">
        <f t="shared" si="27"/>
        <v/>
      </c>
      <c r="S78" s="174" t="str">
        <f t="shared" si="27"/>
        <v/>
      </c>
      <c r="T78" s="174" t="str">
        <f t="shared" si="28"/>
        <v/>
      </c>
      <c r="U78" s="174" t="str">
        <f t="shared" si="29"/>
        <v/>
      </c>
      <c r="V78" s="174" t="str">
        <f t="shared" si="30"/>
        <v/>
      </c>
      <c r="W78" s="174" t="str">
        <f>_xlfn.IFNA(VLOOKUP(T:T,Logframe!$B:$G,6,FALSE),"")</f>
        <v/>
      </c>
      <c r="X78" s="174" t="str">
        <f>_xlfn.IFNA(VLOOKUP(U:U,Logframe!$B:$G,6,FALSE),"")</f>
        <v/>
      </c>
      <c r="Y78" s="174" t="str">
        <f>_xlfn.IFNA(VLOOKUP(V:V,Logframe!$B:$G,6,FALSE),"")</f>
        <v/>
      </c>
      <c r="Z78">
        <v>74</v>
      </c>
      <c r="AD78" t="str">
        <f t="shared" si="16"/>
        <v/>
      </c>
      <c r="AE78" t="str">
        <f t="shared" si="16"/>
        <v/>
      </c>
      <c r="AF78" t="str">
        <f t="shared" si="26"/>
        <v/>
      </c>
    </row>
    <row r="79" spans="1:32" x14ac:dyDescent="0.35">
      <c r="A79">
        <f>INDEX(Logframe!F:F,83,1)</f>
        <v>0</v>
      </c>
      <c r="B79" s="110">
        <v>0.86</v>
      </c>
      <c r="C79" s="321" t="str">
        <f>INDEX(Logframe!B:B,83,1)</f>
        <v>0</v>
      </c>
      <c r="D79" t="str">
        <f t="shared" si="23"/>
        <v/>
      </c>
      <c r="E79" t="str">
        <f t="shared" si="24"/>
        <v/>
      </c>
      <c r="F79" t="str">
        <f t="shared" si="17"/>
        <v/>
      </c>
      <c r="G79" t="str">
        <f t="shared" si="25"/>
        <v/>
      </c>
      <c r="H79" t="str">
        <f t="shared" si="18"/>
        <v/>
      </c>
      <c r="I79" s="157" t="str">
        <f t="shared" si="19"/>
        <v/>
      </c>
      <c r="J79" s="157"/>
      <c r="K79" s="157" t="str">
        <f t="shared" si="20"/>
        <v/>
      </c>
      <c r="L79" s="157" t="str">
        <f t="shared" si="21"/>
        <v/>
      </c>
      <c r="M79" s="157"/>
      <c r="N79" s="157" t="str">
        <f t="shared" si="22"/>
        <v/>
      </c>
      <c r="O79" s="174" t="str">
        <f>Table13[[#This Row],[Combined List]]</f>
        <v/>
      </c>
      <c r="P79" s="157">
        <v>75</v>
      </c>
      <c r="Q79" s="174" t="str">
        <f t="shared" si="27"/>
        <v/>
      </c>
      <c r="R79" s="174" t="str">
        <f t="shared" si="27"/>
        <v/>
      </c>
      <c r="S79" s="174" t="str">
        <f t="shared" si="27"/>
        <v/>
      </c>
      <c r="T79" s="174" t="str">
        <f t="shared" si="28"/>
        <v/>
      </c>
      <c r="U79" s="174" t="str">
        <f t="shared" si="29"/>
        <v/>
      </c>
      <c r="V79" s="174" t="str">
        <f t="shared" si="30"/>
        <v/>
      </c>
      <c r="W79" s="174" t="str">
        <f>_xlfn.IFNA(VLOOKUP(T:T,Logframe!$B:$G,6,FALSE),"")</f>
        <v/>
      </c>
      <c r="X79" s="174" t="str">
        <f>_xlfn.IFNA(VLOOKUP(U:U,Logframe!$B:$G,6,FALSE),"")</f>
        <v/>
      </c>
      <c r="Y79" s="174" t="str">
        <f>_xlfn.IFNA(VLOOKUP(V:V,Logframe!$B:$G,6,FALSE),"")</f>
        <v/>
      </c>
      <c r="Z79">
        <v>75</v>
      </c>
      <c r="AD79" t="str">
        <f t="shared" si="16"/>
        <v/>
      </c>
      <c r="AE79" t="str">
        <f t="shared" si="16"/>
        <v/>
      </c>
      <c r="AF79" t="str">
        <f t="shared" si="26"/>
        <v/>
      </c>
    </row>
    <row r="80" spans="1:32" x14ac:dyDescent="0.35">
      <c r="A80">
        <f>INDEX(Logframe!F:F,84,1)</f>
        <v>0</v>
      </c>
      <c r="B80" s="110">
        <v>0.87</v>
      </c>
      <c r="C80" s="321" t="str">
        <f>INDEX(Logframe!B:B,84,1)</f>
        <v>0</v>
      </c>
      <c r="D80" t="str">
        <f t="shared" si="23"/>
        <v/>
      </c>
      <c r="E80" t="str">
        <f t="shared" si="24"/>
        <v/>
      </c>
      <c r="F80" t="str">
        <f t="shared" si="17"/>
        <v/>
      </c>
      <c r="G80" t="str">
        <f t="shared" si="25"/>
        <v/>
      </c>
      <c r="H80" t="str">
        <f t="shared" si="18"/>
        <v/>
      </c>
      <c r="I80" s="157" t="str">
        <f t="shared" si="19"/>
        <v/>
      </c>
      <c r="J80" s="157"/>
      <c r="K80" s="157" t="str">
        <f t="shared" si="20"/>
        <v/>
      </c>
      <c r="L80" s="157" t="str">
        <f t="shared" si="21"/>
        <v/>
      </c>
      <c r="M80" s="157"/>
      <c r="N80" s="157" t="str">
        <f t="shared" si="22"/>
        <v/>
      </c>
      <c r="O80" s="174" t="str">
        <f>Table13[[#This Row],[Combined List]]</f>
        <v/>
      </c>
      <c r="P80" s="157">
        <v>76</v>
      </c>
      <c r="Q80" s="174" t="str">
        <f t="shared" si="27"/>
        <v/>
      </c>
      <c r="R80" s="174" t="str">
        <f t="shared" si="27"/>
        <v/>
      </c>
      <c r="S80" s="174" t="str">
        <f t="shared" si="27"/>
        <v/>
      </c>
      <c r="T80" s="174" t="str">
        <f t="shared" si="28"/>
        <v/>
      </c>
      <c r="U80" s="174" t="str">
        <f t="shared" si="29"/>
        <v/>
      </c>
      <c r="V80" s="174" t="str">
        <f t="shared" si="30"/>
        <v/>
      </c>
      <c r="W80" s="174" t="str">
        <f>_xlfn.IFNA(VLOOKUP(T:T,Logframe!$B:$G,6,FALSE),"")</f>
        <v/>
      </c>
      <c r="X80" s="174" t="str">
        <f>_xlfn.IFNA(VLOOKUP(U:U,Logframe!$B:$G,6,FALSE),"")</f>
        <v/>
      </c>
      <c r="Y80" s="174" t="str">
        <f>_xlfn.IFNA(VLOOKUP(V:V,Logframe!$B:$G,6,FALSE),"")</f>
        <v/>
      </c>
      <c r="Z80">
        <v>76</v>
      </c>
      <c r="AD80" t="str">
        <f t="shared" si="16"/>
        <v/>
      </c>
      <c r="AE80" t="str">
        <f t="shared" si="16"/>
        <v/>
      </c>
      <c r="AF80" t="str">
        <f t="shared" si="26"/>
        <v/>
      </c>
    </row>
    <row r="81" spans="1:32" x14ac:dyDescent="0.35">
      <c r="A81">
        <f>INDEX(Logframe!F:F,85,1)</f>
        <v>0</v>
      </c>
      <c r="B81" s="110">
        <v>0.88</v>
      </c>
      <c r="C81" s="321" t="str">
        <f>INDEX(Logframe!B:B,85,1)</f>
        <v>0</v>
      </c>
      <c r="D81" t="str">
        <f t="shared" si="23"/>
        <v/>
      </c>
      <c r="E81" t="str">
        <f t="shared" si="24"/>
        <v/>
      </c>
      <c r="F81" t="str">
        <f t="shared" si="17"/>
        <v/>
      </c>
      <c r="G81" t="str">
        <f t="shared" si="25"/>
        <v/>
      </c>
      <c r="H81" t="str">
        <f t="shared" si="18"/>
        <v/>
      </c>
      <c r="I81" s="157" t="str">
        <f t="shared" si="19"/>
        <v/>
      </c>
      <c r="J81" s="157"/>
      <c r="K81" s="157" t="str">
        <f t="shared" si="20"/>
        <v/>
      </c>
      <c r="L81" s="157" t="str">
        <f t="shared" si="21"/>
        <v/>
      </c>
      <c r="M81" s="157"/>
      <c r="N81" s="157" t="str">
        <f t="shared" si="22"/>
        <v/>
      </c>
      <c r="O81" s="174" t="str">
        <f>Table13[[#This Row],[Combined List]]</f>
        <v/>
      </c>
      <c r="P81" s="157">
        <v>77</v>
      </c>
      <c r="Q81" s="174" t="str">
        <f t="shared" si="27"/>
        <v/>
      </c>
      <c r="R81" s="174" t="str">
        <f t="shared" si="27"/>
        <v/>
      </c>
      <c r="S81" s="174" t="str">
        <f t="shared" si="27"/>
        <v/>
      </c>
      <c r="T81" s="174" t="str">
        <f t="shared" si="28"/>
        <v/>
      </c>
      <c r="U81" s="174" t="str">
        <f t="shared" si="29"/>
        <v/>
      </c>
      <c r="V81" s="174" t="str">
        <f t="shared" si="30"/>
        <v/>
      </c>
      <c r="W81" s="174" t="str">
        <f>_xlfn.IFNA(VLOOKUP(T:T,Logframe!$B:$G,6,FALSE),"")</f>
        <v/>
      </c>
      <c r="X81" s="174" t="str">
        <f>_xlfn.IFNA(VLOOKUP(U:U,Logframe!$B:$G,6,FALSE),"")</f>
        <v/>
      </c>
      <c r="Y81" s="174" t="str">
        <f>_xlfn.IFNA(VLOOKUP(V:V,Logframe!$B:$G,6,FALSE),"")</f>
        <v/>
      </c>
      <c r="Z81">
        <v>77</v>
      </c>
      <c r="AD81" t="str">
        <f t="shared" si="16"/>
        <v/>
      </c>
      <c r="AE81" t="str">
        <f t="shared" si="16"/>
        <v/>
      </c>
      <c r="AF81" t="str">
        <f t="shared" si="26"/>
        <v/>
      </c>
    </row>
    <row r="82" spans="1:32" x14ac:dyDescent="0.35">
      <c r="A82">
        <f>INDEX(Logframe!F:F,86,1)</f>
        <v>0</v>
      </c>
      <c r="B82" s="110">
        <v>0.89</v>
      </c>
      <c r="C82" s="321" t="str">
        <f>INDEX(Logframe!B:B,86,1)</f>
        <v>0</v>
      </c>
      <c r="D82" t="str">
        <f t="shared" si="23"/>
        <v/>
      </c>
      <c r="E82" t="str">
        <f t="shared" si="24"/>
        <v/>
      </c>
      <c r="F82" t="str">
        <f t="shared" si="17"/>
        <v/>
      </c>
      <c r="G82" t="str">
        <f t="shared" si="25"/>
        <v/>
      </c>
      <c r="H82" t="str">
        <f t="shared" si="18"/>
        <v/>
      </c>
      <c r="I82" s="157" t="str">
        <f t="shared" si="19"/>
        <v/>
      </c>
      <c r="J82" s="157"/>
      <c r="K82" s="157" t="str">
        <f t="shared" si="20"/>
        <v/>
      </c>
      <c r="L82" s="157" t="str">
        <f t="shared" si="21"/>
        <v/>
      </c>
      <c r="M82" s="157"/>
      <c r="N82" s="157" t="str">
        <f t="shared" si="22"/>
        <v/>
      </c>
      <c r="O82" s="174" t="str">
        <f>Table13[[#This Row],[Combined List]]</f>
        <v/>
      </c>
      <c r="P82" s="157">
        <v>78</v>
      </c>
      <c r="Q82" s="174" t="str">
        <f t="shared" si="27"/>
        <v/>
      </c>
      <c r="R82" s="174" t="str">
        <f t="shared" si="27"/>
        <v/>
      </c>
      <c r="S82" s="174" t="str">
        <f t="shared" si="27"/>
        <v/>
      </c>
      <c r="T82" s="174" t="str">
        <f t="shared" si="28"/>
        <v/>
      </c>
      <c r="U82" s="174" t="str">
        <f t="shared" si="29"/>
        <v/>
      </c>
      <c r="V82" s="174" t="str">
        <f t="shared" si="30"/>
        <v/>
      </c>
      <c r="W82" s="174" t="str">
        <f>_xlfn.IFNA(VLOOKUP(T:T,Logframe!$B:$G,6,FALSE),"")</f>
        <v/>
      </c>
      <c r="X82" s="174" t="str">
        <f>_xlfn.IFNA(VLOOKUP(U:U,Logframe!$B:$G,6,FALSE),"")</f>
        <v/>
      </c>
      <c r="Y82" s="174" t="str">
        <f>_xlfn.IFNA(VLOOKUP(V:V,Logframe!$B:$G,6,FALSE),"")</f>
        <v/>
      </c>
      <c r="Z82">
        <v>78</v>
      </c>
      <c r="AD82" t="str">
        <f t="shared" si="16"/>
        <v/>
      </c>
      <c r="AE82" t="str">
        <f t="shared" si="16"/>
        <v/>
      </c>
      <c r="AF82" t="str">
        <f t="shared" si="26"/>
        <v/>
      </c>
    </row>
    <row r="83" spans="1:32" x14ac:dyDescent="0.35">
      <c r="A83">
        <f>INDEX(Logframe!F:F,87,1)</f>
        <v>0</v>
      </c>
      <c r="B83" s="110">
        <v>0.91</v>
      </c>
      <c r="C83" s="321" t="str">
        <f>INDEX(Logframe!B:B,87,1)</f>
        <v>0</v>
      </c>
      <c r="D83" t="str">
        <f t="shared" si="23"/>
        <v/>
      </c>
      <c r="E83" t="str">
        <f t="shared" si="24"/>
        <v/>
      </c>
      <c r="F83" t="str">
        <f t="shared" si="17"/>
        <v/>
      </c>
      <c r="G83" t="str">
        <f t="shared" si="25"/>
        <v/>
      </c>
      <c r="H83" t="str">
        <f t="shared" si="18"/>
        <v/>
      </c>
      <c r="I83" s="157" t="str">
        <f t="shared" si="19"/>
        <v/>
      </c>
      <c r="J83" s="157"/>
      <c r="K83" s="157" t="str">
        <f t="shared" si="20"/>
        <v/>
      </c>
      <c r="L83" s="157" t="str">
        <f t="shared" si="21"/>
        <v/>
      </c>
      <c r="M83" s="157"/>
      <c r="N83" s="157" t="str">
        <f t="shared" si="22"/>
        <v/>
      </c>
      <c r="O83" s="174" t="str">
        <f>Table13[[#This Row],[Combined List]]</f>
        <v/>
      </c>
      <c r="P83" s="157">
        <v>79</v>
      </c>
      <c r="Q83" s="174" t="str">
        <f t="shared" si="27"/>
        <v/>
      </c>
      <c r="R83" s="174" t="str">
        <f t="shared" si="27"/>
        <v/>
      </c>
      <c r="S83" s="174" t="str">
        <f t="shared" si="27"/>
        <v/>
      </c>
      <c r="T83" s="174" t="str">
        <f t="shared" si="28"/>
        <v/>
      </c>
      <c r="U83" s="174" t="str">
        <f t="shared" si="29"/>
        <v/>
      </c>
      <c r="V83" s="174" t="str">
        <f t="shared" si="30"/>
        <v/>
      </c>
      <c r="W83" s="174" t="str">
        <f>_xlfn.IFNA(VLOOKUP(T:T,Logframe!$B:$G,6,FALSE),"")</f>
        <v/>
      </c>
      <c r="X83" s="174" t="str">
        <f>_xlfn.IFNA(VLOOKUP(U:U,Logframe!$B:$G,6,FALSE),"")</f>
        <v/>
      </c>
      <c r="Y83" s="174" t="str">
        <f>_xlfn.IFNA(VLOOKUP(V:V,Logframe!$B:$G,6,FALSE),"")</f>
        <v/>
      </c>
      <c r="Z83">
        <v>79</v>
      </c>
      <c r="AD83" t="str">
        <f t="shared" si="16"/>
        <v/>
      </c>
      <c r="AE83" t="str">
        <f t="shared" si="16"/>
        <v/>
      </c>
      <c r="AF83" t="str">
        <f t="shared" si="26"/>
        <v/>
      </c>
    </row>
    <row r="84" spans="1:32" x14ac:dyDescent="0.35">
      <c r="A84">
        <f>INDEX(Logframe!F:F,88,1)</f>
        <v>0</v>
      </c>
      <c r="B84" s="110">
        <v>0.92</v>
      </c>
      <c r="C84" s="321" t="str">
        <f>INDEX(Logframe!B:B,88,1)</f>
        <v>0</v>
      </c>
      <c r="D84" t="str">
        <f t="shared" si="23"/>
        <v/>
      </c>
      <c r="E84" t="str">
        <f t="shared" si="24"/>
        <v/>
      </c>
      <c r="F84" t="str">
        <f t="shared" si="17"/>
        <v/>
      </c>
      <c r="G84" t="str">
        <f t="shared" si="25"/>
        <v/>
      </c>
      <c r="H84" t="str">
        <f t="shared" si="18"/>
        <v/>
      </c>
      <c r="I84" s="157" t="str">
        <f t="shared" si="19"/>
        <v/>
      </c>
      <c r="J84" s="157"/>
      <c r="K84" s="157" t="str">
        <f t="shared" si="20"/>
        <v/>
      </c>
      <c r="L84" s="157" t="str">
        <f t="shared" si="21"/>
        <v/>
      </c>
      <c r="M84" s="157"/>
      <c r="N84" s="157" t="str">
        <f t="shared" si="22"/>
        <v/>
      </c>
      <c r="O84" s="174" t="str">
        <f>Table13[[#This Row],[Combined List]]</f>
        <v/>
      </c>
      <c r="P84" s="157">
        <v>80</v>
      </c>
      <c r="Q84" s="174" t="str">
        <f t="shared" si="27"/>
        <v/>
      </c>
      <c r="R84" s="174" t="str">
        <f t="shared" si="27"/>
        <v/>
      </c>
      <c r="S84" s="174" t="str">
        <f t="shared" si="27"/>
        <v/>
      </c>
      <c r="T84" s="174" t="str">
        <f t="shared" si="28"/>
        <v/>
      </c>
      <c r="U84" s="174" t="str">
        <f t="shared" si="29"/>
        <v/>
      </c>
      <c r="V84" s="174" t="str">
        <f t="shared" si="30"/>
        <v/>
      </c>
      <c r="W84" s="174" t="str">
        <f>_xlfn.IFNA(VLOOKUP(T:T,Logframe!$B:$G,6,FALSE),"")</f>
        <v/>
      </c>
      <c r="X84" s="174" t="str">
        <f>_xlfn.IFNA(VLOOKUP(U:U,Logframe!$B:$G,6,FALSE),"")</f>
        <v/>
      </c>
      <c r="Y84" s="174" t="str">
        <f>_xlfn.IFNA(VLOOKUP(V:V,Logframe!$B:$G,6,FALSE),"")</f>
        <v/>
      </c>
      <c r="Z84">
        <v>80</v>
      </c>
      <c r="AD84" t="str">
        <f t="shared" si="16"/>
        <v/>
      </c>
      <c r="AE84" t="str">
        <f t="shared" si="16"/>
        <v/>
      </c>
      <c r="AF84" t="str">
        <f t="shared" si="26"/>
        <v/>
      </c>
    </row>
    <row r="85" spans="1:32" x14ac:dyDescent="0.35">
      <c r="A85">
        <f>INDEX(Logframe!F:F,89,1)</f>
        <v>0</v>
      </c>
      <c r="B85" s="110">
        <v>0.93</v>
      </c>
      <c r="C85" s="321" t="str">
        <f>INDEX(Logframe!B:B,89,1)</f>
        <v>0</v>
      </c>
      <c r="D85" t="str">
        <f t="shared" si="23"/>
        <v/>
      </c>
      <c r="E85" t="str">
        <f t="shared" si="24"/>
        <v/>
      </c>
      <c r="F85" t="str">
        <f t="shared" si="17"/>
        <v/>
      </c>
      <c r="G85" t="str">
        <f t="shared" si="25"/>
        <v/>
      </c>
      <c r="H85" t="str">
        <f t="shared" si="18"/>
        <v/>
      </c>
      <c r="I85" s="157" t="str">
        <f t="shared" si="19"/>
        <v/>
      </c>
      <c r="J85" s="157"/>
      <c r="K85" s="157" t="str">
        <f t="shared" si="20"/>
        <v/>
      </c>
      <c r="L85" s="157" t="str">
        <f t="shared" si="21"/>
        <v/>
      </c>
      <c r="M85" s="157"/>
      <c r="N85" s="157" t="str">
        <f t="shared" si="22"/>
        <v/>
      </c>
      <c r="O85" s="174" t="str">
        <f>Table13[[#This Row],[Combined List]]</f>
        <v/>
      </c>
      <c r="P85" s="157">
        <v>81</v>
      </c>
      <c r="Q85" s="174" t="str">
        <f t="shared" si="27"/>
        <v/>
      </c>
      <c r="R85" s="174" t="str">
        <f t="shared" si="27"/>
        <v/>
      </c>
      <c r="S85" s="174" t="str">
        <f t="shared" si="27"/>
        <v/>
      </c>
      <c r="T85" s="174" t="str">
        <f t="shared" si="28"/>
        <v/>
      </c>
      <c r="U85" s="174" t="str">
        <f t="shared" si="29"/>
        <v/>
      </c>
      <c r="V85" s="174" t="str">
        <f t="shared" si="30"/>
        <v/>
      </c>
      <c r="W85" s="174" t="str">
        <f>_xlfn.IFNA(VLOOKUP(T:T,Logframe!$B:$G,6,FALSE),"")</f>
        <v/>
      </c>
      <c r="X85" s="174" t="str">
        <f>_xlfn.IFNA(VLOOKUP(U:U,Logframe!$B:$G,6,FALSE),"")</f>
        <v/>
      </c>
      <c r="Y85" s="174" t="str">
        <f>_xlfn.IFNA(VLOOKUP(V:V,Logframe!$B:$G,6,FALSE),"")</f>
        <v/>
      </c>
      <c r="Z85">
        <v>81</v>
      </c>
      <c r="AD85" t="str">
        <f t="shared" si="16"/>
        <v/>
      </c>
      <c r="AE85" t="str">
        <f t="shared" si="16"/>
        <v/>
      </c>
      <c r="AF85" t="str">
        <f t="shared" si="26"/>
        <v/>
      </c>
    </row>
    <row r="86" spans="1:32" x14ac:dyDescent="0.35">
      <c r="A86">
        <f>INDEX(Logframe!F:F,90,1)</f>
        <v>0</v>
      </c>
      <c r="B86" s="110">
        <v>0.94</v>
      </c>
      <c r="C86" s="321" t="str">
        <f>INDEX(Logframe!B:B,90,1)</f>
        <v>0</v>
      </c>
      <c r="D86" t="str">
        <f t="shared" si="23"/>
        <v/>
      </c>
      <c r="E86" t="str">
        <f t="shared" si="24"/>
        <v/>
      </c>
      <c r="F86" t="str">
        <f t="shared" si="17"/>
        <v/>
      </c>
      <c r="G86" t="str">
        <f t="shared" si="25"/>
        <v/>
      </c>
      <c r="H86" t="str">
        <f t="shared" si="18"/>
        <v/>
      </c>
      <c r="I86" s="157" t="str">
        <f t="shared" si="19"/>
        <v/>
      </c>
      <c r="J86" s="157"/>
      <c r="K86" s="157" t="str">
        <f t="shared" si="20"/>
        <v/>
      </c>
      <c r="L86" s="157" t="str">
        <f t="shared" si="21"/>
        <v/>
      </c>
      <c r="M86" s="157"/>
      <c r="N86" s="157" t="str">
        <f t="shared" si="22"/>
        <v/>
      </c>
      <c r="O86" s="174" t="str">
        <f>Table13[[#This Row],[Combined List]]</f>
        <v/>
      </c>
      <c r="P86" s="157">
        <v>82</v>
      </c>
      <c r="Q86" s="174" t="str">
        <f t="shared" si="27"/>
        <v/>
      </c>
      <c r="R86" s="174" t="str">
        <f t="shared" si="27"/>
        <v/>
      </c>
      <c r="S86" s="174" t="str">
        <f t="shared" si="27"/>
        <v/>
      </c>
      <c r="T86" s="174" t="str">
        <f t="shared" si="28"/>
        <v/>
      </c>
      <c r="U86" s="174" t="str">
        <f t="shared" si="29"/>
        <v/>
      </c>
      <c r="V86" s="174" t="str">
        <f t="shared" si="30"/>
        <v/>
      </c>
      <c r="W86" s="174" t="str">
        <f>_xlfn.IFNA(VLOOKUP(T:T,Logframe!$B:$G,6,FALSE),"")</f>
        <v/>
      </c>
      <c r="X86" s="174" t="str">
        <f>_xlfn.IFNA(VLOOKUP(U:U,Logframe!$B:$G,6,FALSE),"")</f>
        <v/>
      </c>
      <c r="Y86" s="174" t="str">
        <f>_xlfn.IFNA(VLOOKUP(V:V,Logframe!$B:$G,6,FALSE),"")</f>
        <v/>
      </c>
      <c r="Z86">
        <v>82</v>
      </c>
      <c r="AD86" t="str">
        <f t="shared" ref="AD86:AE149" si="31">RIGHT(AA:AA,7)</f>
        <v/>
      </c>
      <c r="AE86" t="str">
        <f t="shared" si="31"/>
        <v/>
      </c>
      <c r="AF86" t="str">
        <f t="shared" si="26"/>
        <v/>
      </c>
    </row>
    <row r="87" spans="1:32" x14ac:dyDescent="0.35">
      <c r="A87">
        <f>INDEX(Logframe!F:F,91,1)</f>
        <v>0</v>
      </c>
      <c r="B87" s="110">
        <v>0.95</v>
      </c>
      <c r="C87" s="321" t="str">
        <f>INDEX(Logframe!B:B,91,1)</f>
        <v>0</v>
      </c>
      <c r="D87" t="str">
        <f t="shared" si="23"/>
        <v/>
      </c>
      <c r="E87" t="str">
        <f t="shared" si="24"/>
        <v/>
      </c>
      <c r="F87" t="str">
        <f t="shared" si="17"/>
        <v/>
      </c>
      <c r="G87" t="str">
        <f t="shared" si="25"/>
        <v/>
      </c>
      <c r="H87" t="str">
        <f t="shared" si="18"/>
        <v/>
      </c>
      <c r="I87" s="157" t="str">
        <f t="shared" si="19"/>
        <v/>
      </c>
      <c r="J87" s="157"/>
      <c r="K87" s="157" t="str">
        <f t="shared" si="20"/>
        <v/>
      </c>
      <c r="L87" s="157" t="str">
        <f t="shared" si="21"/>
        <v/>
      </c>
      <c r="M87" s="157"/>
      <c r="N87" s="157" t="str">
        <f t="shared" si="22"/>
        <v/>
      </c>
      <c r="O87" s="174" t="str">
        <f>Table13[[#This Row],[Combined List]]</f>
        <v/>
      </c>
      <c r="P87" s="157">
        <v>83</v>
      </c>
      <c r="Q87" s="174" t="str">
        <f t="shared" si="27"/>
        <v/>
      </c>
      <c r="R87" s="174" t="str">
        <f t="shared" si="27"/>
        <v/>
      </c>
      <c r="S87" s="174" t="str">
        <f t="shared" si="27"/>
        <v/>
      </c>
      <c r="T87" s="174" t="str">
        <f t="shared" si="28"/>
        <v/>
      </c>
      <c r="U87" s="174" t="str">
        <f t="shared" si="29"/>
        <v/>
      </c>
      <c r="V87" s="174" t="str">
        <f t="shared" si="30"/>
        <v/>
      </c>
      <c r="W87" s="174" t="str">
        <f>_xlfn.IFNA(VLOOKUP(T:T,Logframe!$B:$G,6,FALSE),"")</f>
        <v/>
      </c>
      <c r="X87" s="174" t="str">
        <f>_xlfn.IFNA(VLOOKUP(U:U,Logframe!$B:$G,6,FALSE),"")</f>
        <v/>
      </c>
      <c r="Y87" s="174" t="str">
        <f>_xlfn.IFNA(VLOOKUP(V:V,Logframe!$B:$G,6,FALSE),"")</f>
        <v/>
      </c>
      <c r="Z87">
        <v>83</v>
      </c>
      <c r="AD87" t="str">
        <f t="shared" si="31"/>
        <v/>
      </c>
      <c r="AE87" t="str">
        <f t="shared" si="31"/>
        <v/>
      </c>
      <c r="AF87" t="str">
        <f t="shared" si="26"/>
        <v/>
      </c>
    </row>
    <row r="88" spans="1:32" x14ac:dyDescent="0.35">
      <c r="A88">
        <f>INDEX(Logframe!F:F,92,1)</f>
        <v>0</v>
      </c>
      <c r="B88" s="110">
        <v>0.96</v>
      </c>
      <c r="C88" s="321" t="str">
        <f>INDEX(Logframe!B:B,92,1)</f>
        <v>0</v>
      </c>
      <c r="D88" t="str">
        <f t="shared" si="23"/>
        <v/>
      </c>
      <c r="E88" t="str">
        <f t="shared" si="24"/>
        <v/>
      </c>
      <c r="F88" t="str">
        <f t="shared" si="17"/>
        <v/>
      </c>
      <c r="G88" t="str">
        <f t="shared" si="25"/>
        <v/>
      </c>
      <c r="H88" t="str">
        <f t="shared" si="18"/>
        <v/>
      </c>
      <c r="I88" s="157" t="str">
        <f t="shared" si="19"/>
        <v/>
      </c>
      <c r="J88" s="157"/>
      <c r="K88" s="157" t="str">
        <f t="shared" si="20"/>
        <v/>
      </c>
      <c r="L88" s="157" t="str">
        <f t="shared" si="21"/>
        <v/>
      </c>
      <c r="M88" s="157"/>
      <c r="N88" s="157" t="str">
        <f t="shared" si="22"/>
        <v/>
      </c>
      <c r="O88" s="174" t="str">
        <f>Table13[[#This Row],[Combined List]]</f>
        <v/>
      </c>
      <c r="P88" s="157">
        <v>84</v>
      </c>
      <c r="Q88" s="174" t="str">
        <f t="shared" si="27"/>
        <v/>
      </c>
      <c r="R88" s="174" t="str">
        <f t="shared" si="27"/>
        <v/>
      </c>
      <c r="S88" s="174" t="str">
        <f t="shared" si="27"/>
        <v/>
      </c>
      <c r="T88" s="174" t="str">
        <f t="shared" si="28"/>
        <v/>
      </c>
      <c r="U88" s="174" t="str">
        <f t="shared" si="29"/>
        <v/>
      </c>
      <c r="V88" s="174" t="str">
        <f t="shared" si="30"/>
        <v/>
      </c>
      <c r="W88" s="174" t="str">
        <f>_xlfn.IFNA(VLOOKUP(T:T,Logframe!$B:$G,6,FALSE),"")</f>
        <v/>
      </c>
      <c r="X88" s="174" t="str">
        <f>_xlfn.IFNA(VLOOKUP(U:U,Logframe!$B:$G,6,FALSE),"")</f>
        <v/>
      </c>
      <c r="Y88" s="174" t="str">
        <f>_xlfn.IFNA(VLOOKUP(V:V,Logframe!$B:$G,6,FALSE),"")</f>
        <v/>
      </c>
      <c r="Z88">
        <v>84</v>
      </c>
      <c r="AD88" t="str">
        <f t="shared" si="31"/>
        <v/>
      </c>
      <c r="AE88" t="str">
        <f t="shared" si="31"/>
        <v/>
      </c>
      <c r="AF88" t="str">
        <f t="shared" si="26"/>
        <v/>
      </c>
    </row>
    <row r="89" spans="1:32" x14ac:dyDescent="0.35">
      <c r="A89">
        <f>INDEX(Logframe!F:F,93,1)</f>
        <v>0</v>
      </c>
      <c r="B89" s="110">
        <v>0.97</v>
      </c>
      <c r="C89" s="321" t="str">
        <f>INDEX(Logframe!B:B,93,1)</f>
        <v>0</v>
      </c>
      <c r="D89" t="str">
        <f t="shared" si="23"/>
        <v/>
      </c>
      <c r="E89" t="str">
        <f t="shared" si="24"/>
        <v/>
      </c>
      <c r="F89" t="str">
        <f t="shared" si="17"/>
        <v/>
      </c>
      <c r="G89" t="str">
        <f t="shared" si="25"/>
        <v/>
      </c>
      <c r="H89" t="str">
        <f t="shared" si="18"/>
        <v/>
      </c>
      <c r="I89" s="157" t="str">
        <f t="shared" si="19"/>
        <v/>
      </c>
      <c r="J89" s="157"/>
      <c r="K89" s="157" t="str">
        <f t="shared" si="20"/>
        <v/>
      </c>
      <c r="L89" s="157" t="str">
        <f t="shared" si="21"/>
        <v/>
      </c>
      <c r="M89" s="157"/>
      <c r="N89" s="157" t="str">
        <f t="shared" si="22"/>
        <v/>
      </c>
      <c r="O89" s="174" t="str">
        <f>Table13[[#This Row],[Combined List]]</f>
        <v/>
      </c>
      <c r="P89" s="157">
        <v>85</v>
      </c>
      <c r="Q89" s="174" t="str">
        <f t="shared" si="27"/>
        <v/>
      </c>
      <c r="R89" s="174" t="str">
        <f t="shared" si="27"/>
        <v/>
      </c>
      <c r="S89" s="174" t="str">
        <f t="shared" si="27"/>
        <v/>
      </c>
      <c r="T89" s="174" t="str">
        <f t="shared" si="28"/>
        <v/>
      </c>
      <c r="U89" s="174" t="str">
        <f t="shared" si="29"/>
        <v/>
      </c>
      <c r="V89" s="174" t="str">
        <f t="shared" si="30"/>
        <v/>
      </c>
      <c r="W89" s="174" t="str">
        <f>_xlfn.IFNA(VLOOKUP(T:T,Logframe!$B:$G,6,FALSE),"")</f>
        <v/>
      </c>
      <c r="X89" s="174" t="str">
        <f>_xlfn.IFNA(VLOOKUP(U:U,Logframe!$B:$G,6,FALSE),"")</f>
        <v/>
      </c>
      <c r="Y89" s="174" t="str">
        <f>_xlfn.IFNA(VLOOKUP(V:V,Logframe!$B:$G,6,FALSE),"")</f>
        <v/>
      </c>
      <c r="Z89">
        <v>85</v>
      </c>
      <c r="AD89" t="str">
        <f t="shared" si="31"/>
        <v/>
      </c>
      <c r="AE89" t="str">
        <f t="shared" si="31"/>
        <v/>
      </c>
      <c r="AF89" t="str">
        <f t="shared" si="26"/>
        <v/>
      </c>
    </row>
    <row r="90" spans="1:32" x14ac:dyDescent="0.35">
      <c r="A90">
        <f>INDEX(Logframe!F:F,94,1)</f>
        <v>0</v>
      </c>
      <c r="B90" s="110">
        <v>0.98</v>
      </c>
      <c r="C90" s="321" t="str">
        <f>INDEX(Logframe!B:B,94,1)</f>
        <v>0</v>
      </c>
      <c r="D90" t="str">
        <f t="shared" si="23"/>
        <v/>
      </c>
      <c r="E90" t="str">
        <f t="shared" si="24"/>
        <v/>
      </c>
      <c r="F90" t="str">
        <f t="shared" si="17"/>
        <v/>
      </c>
      <c r="G90" t="str">
        <f t="shared" si="25"/>
        <v/>
      </c>
      <c r="H90" t="str">
        <f t="shared" si="18"/>
        <v/>
      </c>
      <c r="I90" s="157" t="str">
        <f t="shared" si="19"/>
        <v/>
      </c>
      <c r="J90" s="157"/>
      <c r="K90" s="157" t="str">
        <f t="shared" si="20"/>
        <v/>
      </c>
      <c r="L90" s="157" t="str">
        <f t="shared" si="21"/>
        <v/>
      </c>
      <c r="M90" s="157"/>
      <c r="N90" s="157" t="str">
        <f t="shared" si="22"/>
        <v/>
      </c>
      <c r="O90" s="174" t="str">
        <f>Table13[[#This Row],[Combined List]]</f>
        <v/>
      </c>
      <c r="P90" s="157">
        <v>86</v>
      </c>
      <c r="Q90" s="174" t="str">
        <f t="shared" si="27"/>
        <v/>
      </c>
      <c r="R90" s="174" t="str">
        <f t="shared" si="27"/>
        <v/>
      </c>
      <c r="S90" s="174" t="str">
        <f t="shared" si="27"/>
        <v/>
      </c>
      <c r="T90" s="174" t="str">
        <f t="shared" si="28"/>
        <v/>
      </c>
      <c r="U90" s="174" t="str">
        <f t="shared" si="29"/>
        <v/>
      </c>
      <c r="V90" s="174" t="str">
        <f t="shared" si="30"/>
        <v/>
      </c>
      <c r="W90" s="174" t="str">
        <f>_xlfn.IFNA(VLOOKUP(T:T,Logframe!$B:$G,6,FALSE),"")</f>
        <v/>
      </c>
      <c r="X90" s="174" t="str">
        <f>_xlfn.IFNA(VLOOKUP(U:U,Logframe!$B:$G,6,FALSE),"")</f>
        <v/>
      </c>
      <c r="Y90" s="174" t="str">
        <f>_xlfn.IFNA(VLOOKUP(V:V,Logframe!$B:$G,6,FALSE),"")</f>
        <v/>
      </c>
      <c r="Z90">
        <v>86</v>
      </c>
      <c r="AD90" t="str">
        <f t="shared" si="31"/>
        <v/>
      </c>
      <c r="AE90" t="str">
        <f t="shared" si="31"/>
        <v/>
      </c>
      <c r="AF90" t="str">
        <f t="shared" si="26"/>
        <v/>
      </c>
    </row>
    <row r="91" spans="1:32" x14ac:dyDescent="0.35">
      <c r="A91">
        <f>INDEX(Logframe!F:F,95,1)</f>
        <v>0</v>
      </c>
      <c r="B91" s="110">
        <v>0.99</v>
      </c>
      <c r="C91" s="321" t="str">
        <f>INDEX(Logframe!B:B,95,1)</f>
        <v>0</v>
      </c>
      <c r="D91" t="str">
        <f t="shared" si="23"/>
        <v/>
      </c>
      <c r="E91" t="str">
        <f t="shared" si="24"/>
        <v/>
      </c>
      <c r="F91" t="str">
        <f t="shared" si="17"/>
        <v/>
      </c>
      <c r="G91" t="str">
        <f t="shared" si="25"/>
        <v/>
      </c>
      <c r="H91" t="str">
        <f t="shared" si="18"/>
        <v/>
      </c>
      <c r="I91" s="157" t="str">
        <f t="shared" si="19"/>
        <v/>
      </c>
      <c r="J91" s="157"/>
      <c r="K91" s="157" t="str">
        <f t="shared" si="20"/>
        <v/>
      </c>
      <c r="L91" s="157" t="str">
        <f t="shared" si="21"/>
        <v/>
      </c>
      <c r="M91" s="157"/>
      <c r="N91" s="157" t="str">
        <f t="shared" si="22"/>
        <v/>
      </c>
      <c r="O91" s="174" t="str">
        <f>Table13[[#This Row],[Combined List]]</f>
        <v/>
      </c>
      <c r="P91" s="157">
        <v>87</v>
      </c>
      <c r="Q91" s="174" t="str">
        <f t="shared" si="27"/>
        <v/>
      </c>
      <c r="R91" s="174" t="str">
        <f t="shared" si="27"/>
        <v/>
      </c>
      <c r="S91" s="174" t="str">
        <f t="shared" si="27"/>
        <v/>
      </c>
      <c r="T91" s="174" t="str">
        <f t="shared" si="28"/>
        <v/>
      </c>
      <c r="U91" s="174" t="str">
        <f t="shared" si="29"/>
        <v/>
      </c>
      <c r="V91" s="174" t="str">
        <f t="shared" si="30"/>
        <v/>
      </c>
      <c r="W91" s="174" t="str">
        <f>_xlfn.IFNA(VLOOKUP(T:T,Logframe!$B:$G,6,FALSE),"")</f>
        <v/>
      </c>
      <c r="X91" s="174" t="str">
        <f>_xlfn.IFNA(VLOOKUP(U:U,Logframe!$B:$G,6,FALSE),"")</f>
        <v/>
      </c>
      <c r="Y91" s="174" t="str">
        <f>_xlfn.IFNA(VLOOKUP(V:V,Logframe!$B:$G,6,FALSE),"")</f>
        <v/>
      </c>
      <c r="Z91">
        <v>87</v>
      </c>
      <c r="AD91" t="str">
        <f t="shared" si="31"/>
        <v/>
      </c>
      <c r="AE91" t="str">
        <f t="shared" si="31"/>
        <v/>
      </c>
      <c r="AF91" t="str">
        <f t="shared" si="26"/>
        <v/>
      </c>
    </row>
    <row r="92" spans="1:32" x14ac:dyDescent="0.35">
      <c r="A92">
        <f>INDEX(Logframe!F:F,96,1)</f>
        <v>0</v>
      </c>
      <c r="B92" s="110">
        <v>1.01</v>
      </c>
      <c r="C92" s="321" t="str">
        <f>INDEX(Logframe!B:B,96,1)</f>
        <v>0</v>
      </c>
      <c r="D92" t="str">
        <f t="shared" si="23"/>
        <v/>
      </c>
      <c r="E92" t="str">
        <f t="shared" si="24"/>
        <v/>
      </c>
      <c r="F92" t="str">
        <f t="shared" si="17"/>
        <v/>
      </c>
      <c r="G92" t="str">
        <f t="shared" si="25"/>
        <v/>
      </c>
      <c r="H92" t="str">
        <f t="shared" si="18"/>
        <v/>
      </c>
      <c r="I92" s="157" t="str">
        <f t="shared" si="19"/>
        <v/>
      </c>
      <c r="J92" s="157"/>
      <c r="K92" s="157" t="str">
        <f t="shared" si="20"/>
        <v/>
      </c>
      <c r="L92" s="157" t="str">
        <f t="shared" si="21"/>
        <v/>
      </c>
      <c r="M92" s="157"/>
      <c r="N92" s="157" t="str">
        <f t="shared" si="22"/>
        <v/>
      </c>
      <c r="O92" s="174" t="str">
        <f>Table13[[#This Row],[Combined List]]</f>
        <v/>
      </c>
      <c r="P92" s="157">
        <v>88</v>
      </c>
      <c r="Q92" s="174" t="str">
        <f t="shared" si="27"/>
        <v/>
      </c>
      <c r="R92" s="174" t="str">
        <f t="shared" si="27"/>
        <v/>
      </c>
      <c r="S92" s="174" t="str">
        <f t="shared" si="27"/>
        <v/>
      </c>
      <c r="T92" s="174" t="str">
        <f t="shared" si="28"/>
        <v/>
      </c>
      <c r="U92" s="174" t="str">
        <f t="shared" si="29"/>
        <v/>
      </c>
      <c r="V92" s="174" t="str">
        <f t="shared" si="30"/>
        <v/>
      </c>
      <c r="W92" s="174" t="str">
        <f>_xlfn.IFNA(VLOOKUP(T:T,Logframe!$B:$G,6,FALSE),"")</f>
        <v/>
      </c>
      <c r="X92" s="174" t="str">
        <f>_xlfn.IFNA(VLOOKUP(U:U,Logframe!$B:$G,6,FALSE),"")</f>
        <v/>
      </c>
      <c r="Y92" s="174" t="str">
        <f>_xlfn.IFNA(VLOOKUP(V:V,Logframe!$B:$G,6,FALSE),"")</f>
        <v/>
      </c>
      <c r="Z92">
        <v>88</v>
      </c>
      <c r="AD92" t="str">
        <f t="shared" si="31"/>
        <v/>
      </c>
      <c r="AE92" t="str">
        <f t="shared" si="31"/>
        <v/>
      </c>
      <c r="AF92" t="str">
        <f t="shared" si="26"/>
        <v/>
      </c>
    </row>
    <row r="93" spans="1:32" x14ac:dyDescent="0.35">
      <c r="A93">
        <f>INDEX(Logframe!F:F,97,1)</f>
        <v>0</v>
      </c>
      <c r="B93" s="110">
        <v>1.02</v>
      </c>
      <c r="C93" s="321" t="str">
        <f>INDEX(Logframe!B:B,97,1)</f>
        <v>0</v>
      </c>
      <c r="D93" t="str">
        <f t="shared" si="23"/>
        <v/>
      </c>
      <c r="E93" t="str">
        <f t="shared" si="24"/>
        <v/>
      </c>
      <c r="F93" t="str">
        <f t="shared" si="17"/>
        <v/>
      </c>
      <c r="G93" t="str">
        <f t="shared" si="25"/>
        <v/>
      </c>
      <c r="H93" t="str">
        <f t="shared" si="18"/>
        <v/>
      </c>
      <c r="I93" s="157" t="str">
        <f t="shared" si="19"/>
        <v/>
      </c>
      <c r="J93" s="157"/>
      <c r="K93" s="157" t="str">
        <f t="shared" si="20"/>
        <v/>
      </c>
      <c r="L93" s="157" t="str">
        <f t="shared" si="21"/>
        <v/>
      </c>
      <c r="M93" s="157"/>
      <c r="N93" s="157" t="str">
        <f t="shared" si="22"/>
        <v/>
      </c>
      <c r="O93" s="174" t="str">
        <f>Table13[[#This Row],[Combined List]]</f>
        <v/>
      </c>
      <c r="P93" s="157">
        <v>89</v>
      </c>
      <c r="Q93" s="174" t="str">
        <f t="shared" si="27"/>
        <v/>
      </c>
      <c r="R93" s="174" t="str">
        <f t="shared" si="27"/>
        <v/>
      </c>
      <c r="S93" s="174" t="str">
        <f t="shared" si="27"/>
        <v/>
      </c>
      <c r="T93" s="174" t="str">
        <f t="shared" si="28"/>
        <v/>
      </c>
      <c r="U93" s="174" t="str">
        <f t="shared" si="29"/>
        <v/>
      </c>
      <c r="V93" s="174" t="str">
        <f t="shared" si="30"/>
        <v/>
      </c>
      <c r="W93" s="174" t="str">
        <f>_xlfn.IFNA(VLOOKUP(T:T,Logframe!$B:$G,6,FALSE),"")</f>
        <v/>
      </c>
      <c r="X93" s="174" t="str">
        <f>_xlfn.IFNA(VLOOKUP(U:U,Logframe!$B:$G,6,FALSE),"")</f>
        <v/>
      </c>
      <c r="Y93" s="174" t="str">
        <f>_xlfn.IFNA(VLOOKUP(V:V,Logframe!$B:$G,6,FALSE),"")</f>
        <v/>
      </c>
      <c r="Z93">
        <v>89</v>
      </c>
      <c r="AD93" t="str">
        <f t="shared" si="31"/>
        <v/>
      </c>
      <c r="AE93" t="str">
        <f t="shared" si="31"/>
        <v/>
      </c>
      <c r="AF93" t="str">
        <f t="shared" si="26"/>
        <v/>
      </c>
    </row>
    <row r="94" spans="1:32" x14ac:dyDescent="0.35">
      <c r="A94">
        <f>INDEX(Logframe!F:F,98,1)</f>
        <v>0</v>
      </c>
      <c r="B94" s="110">
        <v>1.03</v>
      </c>
      <c r="C94" s="321" t="str">
        <f>INDEX(Logframe!B:B,98,1)</f>
        <v>0</v>
      </c>
      <c r="D94" t="str">
        <f t="shared" si="23"/>
        <v/>
      </c>
      <c r="E94" t="str">
        <f t="shared" si="24"/>
        <v/>
      </c>
      <c r="F94" t="str">
        <f t="shared" si="17"/>
        <v/>
      </c>
      <c r="G94" t="str">
        <f t="shared" si="25"/>
        <v/>
      </c>
      <c r="H94" t="str">
        <f t="shared" si="18"/>
        <v/>
      </c>
      <c r="I94" s="157" t="str">
        <f t="shared" si="19"/>
        <v/>
      </c>
      <c r="J94" s="157"/>
      <c r="K94" s="157" t="str">
        <f t="shared" si="20"/>
        <v/>
      </c>
      <c r="L94" s="157" t="str">
        <f t="shared" si="21"/>
        <v/>
      </c>
      <c r="M94" s="157"/>
      <c r="N94" s="157" t="str">
        <f t="shared" si="22"/>
        <v/>
      </c>
      <c r="O94" s="174" t="str">
        <f>Table13[[#This Row],[Combined List]]</f>
        <v/>
      </c>
      <c r="P94" s="157">
        <v>90</v>
      </c>
      <c r="Q94" s="174" t="str">
        <f t="shared" si="27"/>
        <v/>
      </c>
      <c r="R94" s="174" t="str">
        <f t="shared" si="27"/>
        <v/>
      </c>
      <c r="S94" s="174" t="str">
        <f t="shared" si="27"/>
        <v/>
      </c>
      <c r="T94" s="174" t="str">
        <f t="shared" si="28"/>
        <v/>
      </c>
      <c r="U94" s="174" t="str">
        <f t="shared" si="29"/>
        <v/>
      </c>
      <c r="V94" s="174" t="str">
        <f t="shared" si="30"/>
        <v/>
      </c>
      <c r="W94" s="174" t="str">
        <f>_xlfn.IFNA(VLOOKUP(T:T,Logframe!$B:$G,6,FALSE),"")</f>
        <v/>
      </c>
      <c r="X94" s="174" t="str">
        <f>_xlfn.IFNA(VLOOKUP(U:U,Logframe!$B:$G,6,FALSE),"")</f>
        <v/>
      </c>
      <c r="Y94" s="174" t="str">
        <f>_xlfn.IFNA(VLOOKUP(V:V,Logframe!$B:$G,6,FALSE),"")</f>
        <v/>
      </c>
      <c r="Z94">
        <v>90</v>
      </c>
      <c r="AD94" t="str">
        <f t="shared" si="31"/>
        <v/>
      </c>
      <c r="AE94" t="str">
        <f t="shared" si="31"/>
        <v/>
      </c>
      <c r="AF94" t="str">
        <f t="shared" si="26"/>
        <v/>
      </c>
    </row>
    <row r="95" spans="1:32" x14ac:dyDescent="0.35">
      <c r="A95">
        <f>INDEX(Logframe!F:F,99,1)</f>
        <v>0</v>
      </c>
      <c r="B95" s="110">
        <v>1.04</v>
      </c>
      <c r="C95" s="321" t="str">
        <f>INDEX(Logframe!B:B,99,1)</f>
        <v>0</v>
      </c>
      <c r="D95" t="str">
        <f t="shared" si="23"/>
        <v/>
      </c>
      <c r="E95" t="str">
        <f t="shared" si="24"/>
        <v/>
      </c>
      <c r="F95" t="str">
        <f t="shared" si="17"/>
        <v/>
      </c>
      <c r="G95" t="str">
        <f t="shared" si="25"/>
        <v/>
      </c>
      <c r="H95" t="str">
        <f t="shared" si="18"/>
        <v/>
      </c>
      <c r="I95" s="157" t="str">
        <f t="shared" si="19"/>
        <v/>
      </c>
      <c r="J95" s="157"/>
      <c r="K95" s="157" t="str">
        <f t="shared" si="20"/>
        <v/>
      </c>
      <c r="L95" s="157" t="str">
        <f t="shared" si="21"/>
        <v/>
      </c>
      <c r="M95" s="157"/>
      <c r="N95" s="157" t="str">
        <f t="shared" si="22"/>
        <v/>
      </c>
      <c r="O95" s="174" t="str">
        <f>Table13[[#This Row],[Combined List]]</f>
        <v/>
      </c>
      <c r="P95" s="157">
        <v>91</v>
      </c>
      <c r="Q95" s="174" t="str">
        <f t="shared" si="27"/>
        <v/>
      </c>
      <c r="R95" s="174" t="str">
        <f t="shared" si="27"/>
        <v/>
      </c>
      <c r="S95" s="174" t="str">
        <f t="shared" si="27"/>
        <v/>
      </c>
      <c r="T95" s="174" t="str">
        <f t="shared" si="28"/>
        <v/>
      </c>
      <c r="U95" s="174" t="str">
        <f t="shared" si="29"/>
        <v/>
      </c>
      <c r="V95" s="174" t="str">
        <f t="shared" si="30"/>
        <v/>
      </c>
      <c r="W95" s="174" t="str">
        <f>_xlfn.IFNA(VLOOKUP(T:T,Logframe!$B:$G,6,FALSE),"")</f>
        <v/>
      </c>
      <c r="X95" s="174" t="str">
        <f>_xlfn.IFNA(VLOOKUP(U:U,Logframe!$B:$G,6,FALSE),"")</f>
        <v/>
      </c>
      <c r="Y95" s="174" t="str">
        <f>_xlfn.IFNA(VLOOKUP(V:V,Logframe!$B:$G,6,FALSE),"")</f>
        <v/>
      </c>
      <c r="Z95">
        <v>91</v>
      </c>
      <c r="AD95" t="str">
        <f t="shared" si="31"/>
        <v/>
      </c>
      <c r="AE95" t="str">
        <f t="shared" si="31"/>
        <v/>
      </c>
      <c r="AF95" t="str">
        <f t="shared" si="26"/>
        <v/>
      </c>
    </row>
    <row r="96" spans="1:32" x14ac:dyDescent="0.35">
      <c r="A96">
        <f>INDEX(Logframe!F:F,100,1)</f>
        <v>0</v>
      </c>
      <c r="B96" s="110">
        <v>1.05</v>
      </c>
      <c r="C96" s="321" t="str">
        <f>INDEX(Logframe!B:B,100,1)</f>
        <v>0</v>
      </c>
      <c r="D96" t="str">
        <f t="shared" si="23"/>
        <v/>
      </c>
      <c r="E96" t="str">
        <f t="shared" si="24"/>
        <v/>
      </c>
      <c r="F96" t="str">
        <f t="shared" si="17"/>
        <v/>
      </c>
      <c r="G96" t="str">
        <f t="shared" si="25"/>
        <v/>
      </c>
      <c r="H96" t="str">
        <f t="shared" si="18"/>
        <v/>
      </c>
      <c r="I96" s="157" t="str">
        <f t="shared" si="19"/>
        <v/>
      </c>
      <c r="J96" s="157"/>
      <c r="K96" s="157" t="str">
        <f t="shared" si="20"/>
        <v/>
      </c>
      <c r="L96" s="157" t="str">
        <f t="shared" si="21"/>
        <v/>
      </c>
      <c r="M96" s="157"/>
      <c r="N96" s="157" t="str">
        <f t="shared" si="22"/>
        <v/>
      </c>
      <c r="O96" s="174" t="str">
        <f>Table13[[#This Row],[Combined List]]</f>
        <v/>
      </c>
      <c r="P96" s="157">
        <v>92</v>
      </c>
      <c r="Q96" s="174" t="str">
        <f t="shared" si="27"/>
        <v/>
      </c>
      <c r="R96" s="174" t="str">
        <f t="shared" si="27"/>
        <v/>
      </c>
      <c r="S96" s="174" t="str">
        <f t="shared" si="27"/>
        <v/>
      </c>
      <c r="T96" s="174" t="str">
        <f t="shared" si="28"/>
        <v/>
      </c>
      <c r="U96" s="174" t="str">
        <f t="shared" si="29"/>
        <v/>
      </c>
      <c r="V96" s="174" t="str">
        <f t="shared" si="30"/>
        <v/>
      </c>
      <c r="W96" s="174" t="str">
        <f>_xlfn.IFNA(VLOOKUP(T:T,Logframe!$B:$G,6,FALSE),"")</f>
        <v/>
      </c>
      <c r="X96" s="174" t="str">
        <f>_xlfn.IFNA(VLOOKUP(U:U,Logframe!$B:$G,6,FALSE),"")</f>
        <v/>
      </c>
      <c r="Y96" s="174" t="str">
        <f>_xlfn.IFNA(VLOOKUP(V:V,Logframe!$B:$G,6,FALSE),"")</f>
        <v/>
      </c>
      <c r="Z96">
        <v>92</v>
      </c>
      <c r="AD96" t="str">
        <f t="shared" si="31"/>
        <v/>
      </c>
      <c r="AE96" t="str">
        <f t="shared" si="31"/>
        <v/>
      </c>
      <c r="AF96" t="str">
        <f t="shared" si="26"/>
        <v/>
      </c>
    </row>
    <row r="97" spans="1:32" x14ac:dyDescent="0.35">
      <c r="A97">
        <f>INDEX(Logframe!F:F,101,1)</f>
        <v>0</v>
      </c>
      <c r="B97" s="110">
        <v>1.06</v>
      </c>
      <c r="C97" s="321" t="str">
        <f>INDEX(Logframe!B:B,101,1)</f>
        <v>0</v>
      </c>
      <c r="D97" t="str">
        <f t="shared" si="23"/>
        <v/>
      </c>
      <c r="E97" t="str">
        <f t="shared" si="24"/>
        <v/>
      </c>
      <c r="F97" t="str">
        <f t="shared" si="17"/>
        <v/>
      </c>
      <c r="G97" t="str">
        <f t="shared" si="25"/>
        <v/>
      </c>
      <c r="H97" t="str">
        <f t="shared" si="18"/>
        <v/>
      </c>
      <c r="I97" s="157" t="str">
        <f t="shared" si="19"/>
        <v/>
      </c>
      <c r="J97" s="157"/>
      <c r="K97" s="157" t="str">
        <f t="shared" si="20"/>
        <v/>
      </c>
      <c r="L97" s="157" t="str">
        <f t="shared" si="21"/>
        <v/>
      </c>
      <c r="M97" s="157"/>
      <c r="N97" s="157" t="str">
        <f t="shared" si="22"/>
        <v/>
      </c>
      <c r="O97" s="174" t="str">
        <f>Table13[[#This Row],[Combined List]]</f>
        <v/>
      </c>
      <c r="P97" s="157">
        <v>93</v>
      </c>
      <c r="Q97" s="174" t="str">
        <f t="shared" si="27"/>
        <v/>
      </c>
      <c r="R97" s="174" t="str">
        <f t="shared" si="27"/>
        <v/>
      </c>
      <c r="S97" s="174" t="str">
        <f t="shared" si="27"/>
        <v/>
      </c>
      <c r="T97" s="174" t="str">
        <f t="shared" si="28"/>
        <v/>
      </c>
      <c r="U97" s="174" t="str">
        <f t="shared" si="29"/>
        <v/>
      </c>
      <c r="V97" s="174" t="str">
        <f t="shared" si="30"/>
        <v/>
      </c>
      <c r="W97" s="174" t="str">
        <f>_xlfn.IFNA(VLOOKUP(T:T,Logframe!$B:$G,6,FALSE),"")</f>
        <v/>
      </c>
      <c r="X97" s="174" t="str">
        <f>_xlfn.IFNA(VLOOKUP(U:U,Logframe!$B:$G,6,FALSE),"")</f>
        <v/>
      </c>
      <c r="Y97" s="174" t="str">
        <f>_xlfn.IFNA(VLOOKUP(V:V,Logframe!$B:$G,6,FALSE),"")</f>
        <v/>
      </c>
      <c r="Z97">
        <v>93</v>
      </c>
      <c r="AD97" t="str">
        <f t="shared" si="31"/>
        <v/>
      </c>
      <c r="AE97" t="str">
        <f t="shared" si="31"/>
        <v/>
      </c>
      <c r="AF97" t="str">
        <f t="shared" si="26"/>
        <v/>
      </c>
    </row>
    <row r="98" spans="1:32" x14ac:dyDescent="0.35">
      <c r="A98">
        <f>INDEX(Logframe!F:F,102,1)</f>
        <v>0</v>
      </c>
      <c r="B98" s="110">
        <v>1.07</v>
      </c>
      <c r="C98" s="321" t="str">
        <f>INDEX(Logframe!B:B,102,1)</f>
        <v>0</v>
      </c>
      <c r="D98" t="str">
        <f t="shared" si="23"/>
        <v/>
      </c>
      <c r="E98" t="str">
        <f t="shared" si="24"/>
        <v/>
      </c>
      <c r="F98" t="str">
        <f t="shared" si="17"/>
        <v/>
      </c>
      <c r="G98" t="str">
        <f t="shared" si="25"/>
        <v/>
      </c>
      <c r="H98" t="str">
        <f t="shared" si="18"/>
        <v/>
      </c>
      <c r="I98" s="157" t="str">
        <f t="shared" si="19"/>
        <v/>
      </c>
      <c r="J98" s="157"/>
      <c r="K98" s="157" t="str">
        <f t="shared" si="20"/>
        <v/>
      </c>
      <c r="L98" s="157" t="str">
        <f t="shared" si="21"/>
        <v/>
      </c>
      <c r="M98" s="157"/>
      <c r="N98" s="157" t="str">
        <f t="shared" si="22"/>
        <v/>
      </c>
      <c r="O98" s="174" t="str">
        <f>Table13[[#This Row],[Combined List]]</f>
        <v/>
      </c>
      <c r="P98" s="157">
        <v>94</v>
      </c>
      <c r="Q98" s="174" t="str">
        <f t="shared" si="27"/>
        <v/>
      </c>
      <c r="R98" s="174" t="str">
        <f t="shared" si="27"/>
        <v/>
      </c>
      <c r="S98" s="174" t="str">
        <f t="shared" si="27"/>
        <v/>
      </c>
      <c r="T98" s="174" t="str">
        <f t="shared" si="28"/>
        <v/>
      </c>
      <c r="U98" s="174" t="str">
        <f t="shared" si="29"/>
        <v/>
      </c>
      <c r="V98" s="174" t="str">
        <f t="shared" si="30"/>
        <v/>
      </c>
      <c r="W98" s="174" t="str">
        <f>_xlfn.IFNA(VLOOKUP(T:T,Logframe!$B:$G,6,FALSE),"")</f>
        <v/>
      </c>
      <c r="X98" s="174" t="str">
        <f>_xlfn.IFNA(VLOOKUP(U:U,Logframe!$B:$G,6,FALSE),"")</f>
        <v/>
      </c>
      <c r="Y98" s="174" t="str">
        <f>_xlfn.IFNA(VLOOKUP(V:V,Logframe!$B:$G,6,FALSE),"")</f>
        <v/>
      </c>
      <c r="Z98">
        <v>94</v>
      </c>
      <c r="AD98" t="str">
        <f t="shared" si="31"/>
        <v/>
      </c>
      <c r="AE98" t="str">
        <f t="shared" si="31"/>
        <v/>
      </c>
      <c r="AF98" t="str">
        <f t="shared" si="26"/>
        <v/>
      </c>
    </row>
    <row r="99" spans="1:32" x14ac:dyDescent="0.35">
      <c r="A99">
        <f>INDEX(Logframe!F:F,103,1)</f>
        <v>0</v>
      </c>
      <c r="B99" s="110">
        <v>1.08</v>
      </c>
      <c r="C99" s="321" t="str">
        <f>INDEX(Logframe!B:B,103,1)</f>
        <v>0</v>
      </c>
      <c r="D99" t="str">
        <f t="shared" si="23"/>
        <v/>
      </c>
      <c r="E99" t="str">
        <f t="shared" si="24"/>
        <v/>
      </c>
      <c r="F99" t="str">
        <f t="shared" si="17"/>
        <v/>
      </c>
      <c r="G99" t="str">
        <f t="shared" si="25"/>
        <v/>
      </c>
      <c r="H99" t="str">
        <f t="shared" si="18"/>
        <v/>
      </c>
      <c r="I99" s="157" t="str">
        <f t="shared" si="19"/>
        <v/>
      </c>
      <c r="J99" s="157"/>
      <c r="K99" s="157" t="str">
        <f t="shared" si="20"/>
        <v/>
      </c>
      <c r="L99" s="157" t="str">
        <f t="shared" si="21"/>
        <v/>
      </c>
      <c r="M99" s="157"/>
      <c r="N99" s="157" t="str">
        <f t="shared" si="22"/>
        <v/>
      </c>
      <c r="O99" s="174" t="str">
        <f>Table13[[#This Row],[Combined List]]</f>
        <v/>
      </c>
      <c r="P99" s="157">
        <v>95</v>
      </c>
      <c r="Q99" s="174" t="str">
        <f t="shared" si="27"/>
        <v/>
      </c>
      <c r="R99" s="174" t="str">
        <f t="shared" si="27"/>
        <v/>
      </c>
      <c r="S99" s="174" t="str">
        <f t="shared" si="27"/>
        <v/>
      </c>
      <c r="T99" s="174" t="str">
        <f t="shared" si="28"/>
        <v/>
      </c>
      <c r="U99" s="174" t="str">
        <f t="shared" si="29"/>
        <v/>
      </c>
      <c r="V99" s="174" t="str">
        <f t="shared" si="30"/>
        <v/>
      </c>
      <c r="W99" s="174" t="str">
        <f>_xlfn.IFNA(VLOOKUP(T:T,Logframe!$B:$G,6,FALSE),"")</f>
        <v/>
      </c>
      <c r="X99" s="174" t="str">
        <f>_xlfn.IFNA(VLOOKUP(U:U,Logframe!$B:$G,6,FALSE),"")</f>
        <v/>
      </c>
      <c r="Y99" s="174" t="str">
        <f>_xlfn.IFNA(VLOOKUP(V:V,Logframe!$B:$G,6,FALSE),"")</f>
        <v/>
      </c>
      <c r="Z99">
        <v>95</v>
      </c>
      <c r="AD99" t="str">
        <f t="shared" si="31"/>
        <v/>
      </c>
      <c r="AE99" t="str">
        <f t="shared" si="31"/>
        <v/>
      </c>
      <c r="AF99" t="str">
        <f t="shared" si="26"/>
        <v/>
      </c>
    </row>
    <row r="100" spans="1:32" x14ac:dyDescent="0.35">
      <c r="A100">
        <f>INDEX(Logframe!F:F,104,1)</f>
        <v>0</v>
      </c>
      <c r="B100" s="110">
        <v>1.0900000000000001</v>
      </c>
      <c r="C100" s="321" t="str">
        <f>INDEX(Logframe!B:B,104,1)</f>
        <v>0</v>
      </c>
      <c r="D100" t="str">
        <f t="shared" si="23"/>
        <v/>
      </c>
      <c r="E100" t="str">
        <f t="shared" si="24"/>
        <v/>
      </c>
      <c r="F100" t="str">
        <f t="shared" si="17"/>
        <v/>
      </c>
      <c r="G100" t="str">
        <f t="shared" si="25"/>
        <v/>
      </c>
      <c r="H100" t="str">
        <f t="shared" si="18"/>
        <v/>
      </c>
      <c r="I100" s="157" t="str">
        <f t="shared" si="19"/>
        <v/>
      </c>
      <c r="J100" s="157"/>
      <c r="K100" s="157" t="str">
        <f t="shared" si="20"/>
        <v/>
      </c>
      <c r="L100" s="157" t="str">
        <f t="shared" si="21"/>
        <v/>
      </c>
      <c r="M100" s="157"/>
      <c r="N100" s="157" t="str">
        <f t="shared" si="22"/>
        <v/>
      </c>
      <c r="O100" s="174" t="str">
        <f>Table13[[#This Row],[Combined List]]</f>
        <v/>
      </c>
      <c r="P100" s="157">
        <v>96</v>
      </c>
      <c r="Q100" s="174" t="str">
        <f t="shared" si="27"/>
        <v/>
      </c>
      <c r="R100" s="174" t="str">
        <f t="shared" si="27"/>
        <v/>
      </c>
      <c r="S100" s="174" t="str">
        <f t="shared" si="27"/>
        <v/>
      </c>
      <c r="T100" s="174" t="str">
        <f t="shared" si="28"/>
        <v/>
      </c>
      <c r="U100" s="174" t="str">
        <f t="shared" si="29"/>
        <v/>
      </c>
      <c r="V100" s="174" t="str">
        <f t="shared" si="30"/>
        <v/>
      </c>
      <c r="W100" s="174" t="str">
        <f>_xlfn.IFNA(VLOOKUP(T:T,Logframe!$B:$G,6,FALSE),"")</f>
        <v/>
      </c>
      <c r="X100" s="174" t="str">
        <f>_xlfn.IFNA(VLOOKUP(U:U,Logframe!$B:$G,6,FALSE),"")</f>
        <v/>
      </c>
      <c r="Y100" s="174" t="str">
        <f>_xlfn.IFNA(VLOOKUP(V:V,Logframe!$B:$G,6,FALSE),"")</f>
        <v/>
      </c>
      <c r="Z100">
        <v>96</v>
      </c>
      <c r="AD100" t="str">
        <f t="shared" si="31"/>
        <v/>
      </c>
      <c r="AE100" t="str">
        <f t="shared" si="31"/>
        <v/>
      </c>
      <c r="AF100" t="str">
        <f t="shared" si="26"/>
        <v/>
      </c>
    </row>
    <row r="101" spans="1:32" x14ac:dyDescent="0.35">
      <c r="A101">
        <f>INDEX(Logframe!F:F,105,1)</f>
        <v>0</v>
      </c>
      <c r="B101" s="110">
        <v>1.1100000000000001</v>
      </c>
      <c r="C101" s="321" t="str">
        <f>INDEX(Logframe!B:B,105,1)</f>
        <v>0</v>
      </c>
      <c r="D101" t="str">
        <f t="shared" si="23"/>
        <v/>
      </c>
      <c r="E101" t="str">
        <f t="shared" si="24"/>
        <v/>
      </c>
      <c r="F101" t="str">
        <f t="shared" si="17"/>
        <v/>
      </c>
      <c r="G101" t="str">
        <f t="shared" si="25"/>
        <v/>
      </c>
      <c r="H101" t="str">
        <f t="shared" si="18"/>
        <v/>
      </c>
      <c r="I101" s="157" t="str">
        <f t="shared" si="19"/>
        <v/>
      </c>
      <c r="J101" s="157"/>
      <c r="K101" s="157" t="str">
        <f t="shared" si="20"/>
        <v/>
      </c>
      <c r="L101" s="157" t="str">
        <f t="shared" si="21"/>
        <v/>
      </c>
      <c r="M101" s="157"/>
      <c r="N101" s="157" t="str">
        <f t="shared" si="22"/>
        <v/>
      </c>
      <c r="O101" s="174" t="str">
        <f>Table13[[#This Row],[Combined List]]</f>
        <v/>
      </c>
      <c r="P101" s="157">
        <v>97</v>
      </c>
      <c r="Q101" s="174" t="str">
        <f t="shared" si="27"/>
        <v/>
      </c>
      <c r="R101" s="174" t="str">
        <f t="shared" si="27"/>
        <v/>
      </c>
      <c r="S101" s="174" t="str">
        <f t="shared" si="27"/>
        <v/>
      </c>
      <c r="T101" s="174" t="str">
        <f t="shared" si="28"/>
        <v/>
      </c>
      <c r="U101" s="174" t="str">
        <f t="shared" si="29"/>
        <v/>
      </c>
      <c r="V101" s="174" t="str">
        <f t="shared" si="30"/>
        <v/>
      </c>
      <c r="W101" s="174" t="str">
        <f>_xlfn.IFNA(VLOOKUP(T:T,Logframe!$B:$G,6,FALSE),"")</f>
        <v/>
      </c>
      <c r="X101" s="174" t="str">
        <f>_xlfn.IFNA(VLOOKUP(U:U,Logframe!$B:$G,6,FALSE),"")</f>
        <v/>
      </c>
      <c r="Y101" s="174" t="str">
        <f>_xlfn.IFNA(VLOOKUP(V:V,Logframe!$B:$G,6,FALSE),"")</f>
        <v/>
      </c>
      <c r="Z101">
        <v>97</v>
      </c>
      <c r="AD101" t="str">
        <f t="shared" si="31"/>
        <v/>
      </c>
      <c r="AE101" t="str">
        <f t="shared" si="31"/>
        <v/>
      </c>
      <c r="AF101" t="str">
        <f t="shared" si="26"/>
        <v/>
      </c>
    </row>
    <row r="102" spans="1:32" x14ac:dyDescent="0.35">
      <c r="A102">
        <f>INDEX(Logframe!F:F,106,1)</f>
        <v>0</v>
      </c>
      <c r="B102" s="110">
        <v>1.1200000000000001</v>
      </c>
      <c r="C102" s="321" t="str">
        <f>INDEX(Logframe!B:B,106,1)</f>
        <v>0</v>
      </c>
      <c r="D102" t="str">
        <f t="shared" si="23"/>
        <v/>
      </c>
      <c r="E102" t="str">
        <f t="shared" si="24"/>
        <v/>
      </c>
      <c r="F102" t="str">
        <f t="shared" si="17"/>
        <v/>
      </c>
      <c r="G102" t="str">
        <f t="shared" si="25"/>
        <v/>
      </c>
      <c r="H102" t="str">
        <f t="shared" si="18"/>
        <v/>
      </c>
      <c r="I102" s="157" t="str">
        <f t="shared" si="19"/>
        <v/>
      </c>
      <c r="J102" s="157"/>
      <c r="K102" s="157" t="str">
        <f t="shared" si="20"/>
        <v/>
      </c>
      <c r="L102" s="157" t="str">
        <f t="shared" si="21"/>
        <v/>
      </c>
      <c r="M102" s="157"/>
      <c r="N102" s="157" t="str">
        <f t="shared" si="22"/>
        <v/>
      </c>
      <c r="O102" s="174" t="str">
        <f>Table13[[#This Row],[Combined List]]</f>
        <v/>
      </c>
      <c r="P102" s="157">
        <v>98</v>
      </c>
      <c r="Q102" s="174" t="str">
        <f t="shared" si="27"/>
        <v/>
      </c>
      <c r="R102" s="174" t="str">
        <f t="shared" si="27"/>
        <v/>
      </c>
      <c r="S102" s="174" t="str">
        <f t="shared" si="27"/>
        <v/>
      </c>
      <c r="T102" s="174" t="str">
        <f t="shared" si="28"/>
        <v/>
      </c>
      <c r="U102" s="174" t="str">
        <f t="shared" si="29"/>
        <v/>
      </c>
      <c r="V102" s="174" t="str">
        <f t="shared" si="30"/>
        <v/>
      </c>
      <c r="W102" s="174" t="str">
        <f>_xlfn.IFNA(VLOOKUP(T:T,Logframe!$B:$G,6,FALSE),"")</f>
        <v/>
      </c>
      <c r="X102" s="174" t="str">
        <f>_xlfn.IFNA(VLOOKUP(U:U,Logframe!$B:$G,6,FALSE),"")</f>
        <v/>
      </c>
      <c r="Y102" s="174" t="str">
        <f>_xlfn.IFNA(VLOOKUP(V:V,Logframe!$B:$G,6,FALSE),"")</f>
        <v/>
      </c>
      <c r="Z102">
        <v>98</v>
      </c>
      <c r="AD102" t="str">
        <f t="shared" si="31"/>
        <v/>
      </c>
      <c r="AE102" t="str">
        <f t="shared" si="31"/>
        <v/>
      </c>
      <c r="AF102" t="str">
        <f t="shared" si="26"/>
        <v/>
      </c>
    </row>
    <row r="103" spans="1:32" x14ac:dyDescent="0.35">
      <c r="A103">
        <f>INDEX(Logframe!F:F,107,1)</f>
        <v>0</v>
      </c>
      <c r="B103" s="110">
        <v>1.1299999999999999</v>
      </c>
      <c r="C103" s="321" t="str">
        <f>INDEX(Logframe!B:B,107,1)</f>
        <v>0</v>
      </c>
      <c r="D103" t="str">
        <f t="shared" si="23"/>
        <v/>
      </c>
      <c r="E103" t="str">
        <f t="shared" si="24"/>
        <v/>
      </c>
      <c r="F103" t="str">
        <f t="shared" si="17"/>
        <v/>
      </c>
      <c r="G103" t="str">
        <f t="shared" si="25"/>
        <v/>
      </c>
      <c r="H103" t="str">
        <f t="shared" si="18"/>
        <v/>
      </c>
      <c r="I103" s="157" t="str">
        <f t="shared" si="19"/>
        <v/>
      </c>
      <c r="J103" s="157"/>
      <c r="K103" s="157" t="str">
        <f t="shared" si="20"/>
        <v/>
      </c>
      <c r="L103" s="157" t="str">
        <f t="shared" si="21"/>
        <v/>
      </c>
      <c r="M103" s="157"/>
      <c r="N103" s="157" t="str">
        <f t="shared" si="22"/>
        <v/>
      </c>
      <c r="O103" s="174" t="str">
        <f>Table13[[#This Row],[Combined List]]</f>
        <v/>
      </c>
      <c r="P103" s="157">
        <v>99</v>
      </c>
      <c r="Q103" s="174" t="str">
        <f t="shared" si="27"/>
        <v/>
      </c>
      <c r="R103" s="174" t="str">
        <f t="shared" si="27"/>
        <v/>
      </c>
      <c r="S103" s="174" t="str">
        <f t="shared" si="27"/>
        <v/>
      </c>
      <c r="T103" s="174" t="str">
        <f t="shared" si="28"/>
        <v/>
      </c>
      <c r="U103" s="174" t="str">
        <f t="shared" si="29"/>
        <v/>
      </c>
      <c r="V103" s="174" t="str">
        <f t="shared" si="30"/>
        <v/>
      </c>
      <c r="W103" s="174" t="str">
        <f>_xlfn.IFNA(VLOOKUP(T:T,Logframe!$B:$G,6,FALSE),"")</f>
        <v/>
      </c>
      <c r="X103" s="174" t="str">
        <f>_xlfn.IFNA(VLOOKUP(U:U,Logframe!$B:$G,6,FALSE),"")</f>
        <v/>
      </c>
      <c r="Y103" s="174" t="str">
        <f>_xlfn.IFNA(VLOOKUP(V:V,Logframe!$B:$G,6,FALSE),"")</f>
        <v/>
      </c>
      <c r="Z103">
        <v>99</v>
      </c>
      <c r="AD103" t="str">
        <f t="shared" si="31"/>
        <v/>
      </c>
      <c r="AE103" t="str">
        <f t="shared" si="31"/>
        <v/>
      </c>
      <c r="AF103" t="str">
        <f t="shared" si="26"/>
        <v/>
      </c>
    </row>
    <row r="104" spans="1:32" x14ac:dyDescent="0.35">
      <c r="A104">
        <f>INDEX(Logframe!F:F,108,1)</f>
        <v>0</v>
      </c>
      <c r="B104" s="110">
        <v>1.1399999999999999</v>
      </c>
      <c r="C104" s="321" t="str">
        <f>INDEX(Logframe!B:B,108,1)</f>
        <v>0</v>
      </c>
      <c r="D104" t="str">
        <f t="shared" si="23"/>
        <v/>
      </c>
      <c r="E104" t="str">
        <f t="shared" si="24"/>
        <v/>
      </c>
      <c r="F104" t="str">
        <f t="shared" si="17"/>
        <v/>
      </c>
      <c r="G104" t="str">
        <f t="shared" si="25"/>
        <v/>
      </c>
      <c r="H104" t="str">
        <f t="shared" si="18"/>
        <v/>
      </c>
      <c r="I104" s="157" t="str">
        <f t="shared" si="19"/>
        <v/>
      </c>
      <c r="J104" s="157"/>
      <c r="K104" s="157" t="str">
        <f t="shared" si="20"/>
        <v/>
      </c>
      <c r="L104" s="157" t="str">
        <f t="shared" si="21"/>
        <v/>
      </c>
      <c r="M104" s="157"/>
      <c r="N104" s="157" t="str">
        <f t="shared" si="22"/>
        <v/>
      </c>
      <c r="O104" s="174" t="str">
        <f>Table13[[#This Row],[Combined List]]</f>
        <v/>
      </c>
      <c r="P104" s="157">
        <v>100</v>
      </c>
      <c r="Q104" s="174" t="str">
        <f t="shared" si="27"/>
        <v/>
      </c>
      <c r="R104" s="174" t="str">
        <f t="shared" si="27"/>
        <v/>
      </c>
      <c r="S104" s="174" t="str">
        <f t="shared" si="27"/>
        <v/>
      </c>
      <c r="T104" s="174" t="str">
        <f t="shared" si="28"/>
        <v/>
      </c>
      <c r="U104" s="174" t="str">
        <f t="shared" si="29"/>
        <v/>
      </c>
      <c r="V104" s="174" t="str">
        <f t="shared" si="30"/>
        <v/>
      </c>
      <c r="W104" s="174" t="str">
        <f>_xlfn.IFNA(VLOOKUP(T:T,Logframe!$B:$G,6,FALSE),"")</f>
        <v/>
      </c>
      <c r="X104" s="174" t="str">
        <f>_xlfn.IFNA(VLOOKUP(U:U,Logframe!$B:$G,6,FALSE),"")</f>
        <v/>
      </c>
      <c r="Y104" s="174" t="str">
        <f>_xlfn.IFNA(VLOOKUP(V:V,Logframe!$B:$G,6,FALSE),"")</f>
        <v/>
      </c>
      <c r="Z104">
        <v>100</v>
      </c>
      <c r="AD104" t="str">
        <f t="shared" si="31"/>
        <v/>
      </c>
      <c r="AE104" t="str">
        <f t="shared" si="31"/>
        <v/>
      </c>
      <c r="AF104" t="str">
        <f t="shared" si="26"/>
        <v/>
      </c>
    </row>
    <row r="105" spans="1:32" x14ac:dyDescent="0.35">
      <c r="A105">
        <f>INDEX(Logframe!F:F,109,1)</f>
        <v>0</v>
      </c>
      <c r="B105" s="110">
        <v>1.1499999999999999</v>
      </c>
      <c r="C105" s="321" t="str">
        <f>INDEX(Logframe!B:B,109,1)</f>
        <v>0</v>
      </c>
      <c r="D105" t="str">
        <f t="shared" si="23"/>
        <v/>
      </c>
      <c r="E105" t="str">
        <f t="shared" si="24"/>
        <v/>
      </c>
      <c r="F105" t="str">
        <f t="shared" si="17"/>
        <v/>
      </c>
      <c r="G105" t="str">
        <f t="shared" si="25"/>
        <v/>
      </c>
      <c r="H105" t="str">
        <f t="shared" si="18"/>
        <v/>
      </c>
      <c r="I105" s="157" t="str">
        <f t="shared" si="19"/>
        <v/>
      </c>
      <c r="J105" s="157"/>
      <c r="K105" s="157" t="str">
        <f t="shared" si="20"/>
        <v/>
      </c>
      <c r="L105" s="157" t="str">
        <f t="shared" si="21"/>
        <v/>
      </c>
      <c r="M105" s="157"/>
      <c r="N105" s="157" t="str">
        <f t="shared" si="22"/>
        <v/>
      </c>
      <c r="O105" s="174" t="str">
        <f>Table13[[#This Row],[Combined List]]</f>
        <v/>
      </c>
      <c r="P105" s="157">
        <v>101</v>
      </c>
      <c r="Q105" s="174" t="str">
        <f t="shared" si="27"/>
        <v/>
      </c>
      <c r="R105" s="174" t="str">
        <f t="shared" si="27"/>
        <v/>
      </c>
      <c r="S105" s="174" t="str">
        <f t="shared" si="27"/>
        <v/>
      </c>
      <c r="T105" s="174" t="str">
        <f t="shared" si="28"/>
        <v/>
      </c>
      <c r="U105" s="174" t="str">
        <f t="shared" si="29"/>
        <v/>
      </c>
      <c r="V105" s="174" t="str">
        <f t="shared" si="30"/>
        <v/>
      </c>
      <c r="W105" s="174" t="str">
        <f>_xlfn.IFNA(VLOOKUP(T:T,Logframe!$B:$G,6,FALSE),"")</f>
        <v/>
      </c>
      <c r="X105" s="174" t="str">
        <f>_xlfn.IFNA(VLOOKUP(U:U,Logframe!$B:$G,6,FALSE),"")</f>
        <v/>
      </c>
      <c r="Y105" s="174" t="str">
        <f>_xlfn.IFNA(VLOOKUP(V:V,Logframe!$B:$G,6,FALSE),"")</f>
        <v/>
      </c>
      <c r="Z105">
        <v>101</v>
      </c>
      <c r="AD105" t="str">
        <f t="shared" si="31"/>
        <v/>
      </c>
      <c r="AE105" t="str">
        <f t="shared" si="31"/>
        <v/>
      </c>
      <c r="AF105" t="str">
        <f t="shared" si="26"/>
        <v/>
      </c>
    </row>
    <row r="106" spans="1:32" x14ac:dyDescent="0.35">
      <c r="A106">
        <f>INDEX(Logframe!F:F,110,1)</f>
        <v>0</v>
      </c>
      <c r="B106" s="110">
        <v>1.1599999999999999</v>
      </c>
      <c r="C106" s="321" t="str">
        <f>INDEX(Logframe!B:B,110,1)</f>
        <v>0</v>
      </c>
      <c r="D106" t="str">
        <f t="shared" si="23"/>
        <v/>
      </c>
      <c r="E106" t="str">
        <f t="shared" si="24"/>
        <v/>
      </c>
      <c r="F106" t="str">
        <f t="shared" si="17"/>
        <v/>
      </c>
      <c r="G106" t="str">
        <f t="shared" si="25"/>
        <v/>
      </c>
      <c r="H106" t="str">
        <f t="shared" si="18"/>
        <v/>
      </c>
      <c r="I106" s="157" t="str">
        <f t="shared" si="19"/>
        <v/>
      </c>
      <c r="J106" s="157"/>
      <c r="K106" s="157" t="str">
        <f t="shared" si="20"/>
        <v/>
      </c>
      <c r="L106" s="157" t="str">
        <f t="shared" si="21"/>
        <v/>
      </c>
      <c r="M106" s="157"/>
      <c r="N106" s="157" t="str">
        <f t="shared" si="22"/>
        <v/>
      </c>
      <c r="O106" s="174" t="str">
        <f>Table13[[#This Row],[Combined List]]</f>
        <v/>
      </c>
      <c r="P106" s="157">
        <v>102</v>
      </c>
      <c r="Q106" s="174" t="str">
        <f t="shared" si="27"/>
        <v/>
      </c>
      <c r="R106" s="174" t="str">
        <f t="shared" si="27"/>
        <v/>
      </c>
      <c r="S106" s="174" t="str">
        <f t="shared" si="27"/>
        <v/>
      </c>
      <c r="T106" s="174" t="str">
        <f t="shared" si="28"/>
        <v/>
      </c>
      <c r="U106" s="174" t="str">
        <f t="shared" si="29"/>
        <v/>
      </c>
      <c r="V106" s="174" t="str">
        <f t="shared" si="30"/>
        <v/>
      </c>
      <c r="W106" s="174" t="str">
        <f>_xlfn.IFNA(VLOOKUP(T:T,Logframe!$B:$G,6,FALSE),"")</f>
        <v/>
      </c>
      <c r="X106" s="174" t="str">
        <f>_xlfn.IFNA(VLOOKUP(U:U,Logframe!$B:$G,6,FALSE),"")</f>
        <v/>
      </c>
      <c r="Y106" s="174" t="str">
        <f>_xlfn.IFNA(VLOOKUP(V:V,Logframe!$B:$G,6,FALSE),"")</f>
        <v/>
      </c>
      <c r="Z106">
        <v>102</v>
      </c>
      <c r="AD106" t="str">
        <f t="shared" si="31"/>
        <v/>
      </c>
      <c r="AE106" t="str">
        <f t="shared" si="31"/>
        <v/>
      </c>
      <c r="AF106" t="str">
        <f t="shared" si="26"/>
        <v/>
      </c>
    </row>
    <row r="107" spans="1:32" x14ac:dyDescent="0.35">
      <c r="A107">
        <f>INDEX(Logframe!F:F,111,1)</f>
        <v>0</v>
      </c>
      <c r="B107" s="110">
        <v>1.17</v>
      </c>
      <c r="C107" s="321" t="str">
        <f>INDEX(Logframe!B:B,111,1)</f>
        <v>0</v>
      </c>
      <c r="D107" t="str">
        <f t="shared" si="23"/>
        <v/>
      </c>
      <c r="E107" t="str">
        <f t="shared" si="24"/>
        <v/>
      </c>
      <c r="F107" t="str">
        <f t="shared" si="17"/>
        <v/>
      </c>
      <c r="G107" t="str">
        <f t="shared" si="25"/>
        <v/>
      </c>
      <c r="H107" t="str">
        <f t="shared" si="18"/>
        <v/>
      </c>
      <c r="I107" s="157" t="str">
        <f t="shared" si="19"/>
        <v/>
      </c>
      <c r="J107" s="157"/>
      <c r="K107" s="157" t="str">
        <f t="shared" si="20"/>
        <v/>
      </c>
      <c r="L107" s="157" t="str">
        <f t="shared" si="21"/>
        <v/>
      </c>
      <c r="M107" s="157"/>
      <c r="N107" s="157" t="str">
        <f t="shared" si="22"/>
        <v/>
      </c>
      <c r="O107" s="174" t="str">
        <f>Table13[[#This Row],[Combined List]]</f>
        <v/>
      </c>
      <c r="P107" s="157">
        <v>103</v>
      </c>
      <c r="Q107" s="174" t="str">
        <f t="shared" si="27"/>
        <v/>
      </c>
      <c r="R107" s="174" t="str">
        <f t="shared" si="27"/>
        <v/>
      </c>
      <c r="S107" s="174" t="str">
        <f t="shared" si="27"/>
        <v/>
      </c>
      <c r="T107" s="174" t="str">
        <f t="shared" si="28"/>
        <v/>
      </c>
      <c r="U107" s="174" t="str">
        <f t="shared" si="29"/>
        <v/>
      </c>
      <c r="V107" s="174" t="str">
        <f t="shared" si="30"/>
        <v/>
      </c>
      <c r="W107" s="174" t="str">
        <f>_xlfn.IFNA(VLOOKUP(T:T,Logframe!$B:$G,6,FALSE),"")</f>
        <v/>
      </c>
      <c r="X107" s="174" t="str">
        <f>_xlfn.IFNA(VLOOKUP(U:U,Logframe!$B:$G,6,FALSE),"")</f>
        <v/>
      </c>
      <c r="Y107" s="174" t="str">
        <f>_xlfn.IFNA(VLOOKUP(V:V,Logframe!$B:$G,6,FALSE),"")</f>
        <v/>
      </c>
      <c r="Z107">
        <v>103</v>
      </c>
      <c r="AD107" t="str">
        <f t="shared" si="31"/>
        <v/>
      </c>
      <c r="AE107" t="str">
        <f t="shared" si="31"/>
        <v/>
      </c>
      <c r="AF107" t="str">
        <f t="shared" si="26"/>
        <v/>
      </c>
    </row>
    <row r="108" spans="1:32" x14ac:dyDescent="0.35">
      <c r="A108">
        <f>INDEX(Logframe!F:F,112,1)</f>
        <v>0</v>
      </c>
      <c r="B108" s="110">
        <v>1.18</v>
      </c>
      <c r="C108" s="321" t="str">
        <f>INDEX(Logframe!B:B,112,1)</f>
        <v>0</v>
      </c>
      <c r="D108" t="str">
        <f t="shared" si="23"/>
        <v/>
      </c>
      <c r="E108" t="str">
        <f t="shared" si="24"/>
        <v/>
      </c>
      <c r="F108" t="str">
        <f t="shared" si="17"/>
        <v/>
      </c>
      <c r="G108" t="str">
        <f t="shared" si="25"/>
        <v/>
      </c>
      <c r="H108" t="str">
        <f t="shared" si="18"/>
        <v/>
      </c>
      <c r="I108" s="157" t="str">
        <f t="shared" si="19"/>
        <v/>
      </c>
      <c r="J108" s="157"/>
      <c r="K108" s="157" t="str">
        <f t="shared" si="20"/>
        <v/>
      </c>
      <c r="L108" s="157" t="str">
        <f t="shared" si="21"/>
        <v/>
      </c>
      <c r="M108" s="157"/>
      <c r="N108" s="157" t="str">
        <f t="shared" si="22"/>
        <v/>
      </c>
      <c r="O108" s="174" t="str">
        <f>Table13[[#This Row],[Combined List]]</f>
        <v/>
      </c>
      <c r="P108" s="157">
        <v>104</v>
      </c>
      <c r="Q108" s="174" t="str">
        <f t="shared" si="27"/>
        <v/>
      </c>
      <c r="R108" s="174" t="str">
        <f t="shared" si="27"/>
        <v/>
      </c>
      <c r="S108" s="174" t="str">
        <f t="shared" si="27"/>
        <v/>
      </c>
      <c r="T108" s="174" t="str">
        <f t="shared" si="28"/>
        <v/>
      </c>
      <c r="U108" s="174" t="str">
        <f t="shared" si="29"/>
        <v/>
      </c>
      <c r="V108" s="174" t="str">
        <f t="shared" si="30"/>
        <v/>
      </c>
      <c r="W108" s="174" t="str">
        <f>_xlfn.IFNA(VLOOKUP(T:T,Logframe!$B:$G,6,FALSE),"")</f>
        <v/>
      </c>
      <c r="X108" s="174" t="str">
        <f>_xlfn.IFNA(VLOOKUP(U:U,Logframe!$B:$G,6,FALSE),"")</f>
        <v/>
      </c>
      <c r="Y108" s="174" t="str">
        <f>_xlfn.IFNA(VLOOKUP(V:V,Logframe!$B:$G,6,FALSE),"")</f>
        <v/>
      </c>
      <c r="Z108">
        <v>104</v>
      </c>
      <c r="AD108" t="str">
        <f t="shared" si="31"/>
        <v/>
      </c>
      <c r="AE108" t="str">
        <f t="shared" si="31"/>
        <v/>
      </c>
      <c r="AF108" t="str">
        <f t="shared" si="26"/>
        <v/>
      </c>
    </row>
    <row r="109" spans="1:32" x14ac:dyDescent="0.35">
      <c r="A109">
        <f>INDEX(Logframe!F:F,113,1)</f>
        <v>0</v>
      </c>
      <c r="B109" s="110">
        <v>1.19</v>
      </c>
      <c r="C109" s="321" t="str">
        <f>INDEX(Logframe!B:B,113,1)</f>
        <v>0</v>
      </c>
      <c r="D109" t="str">
        <f t="shared" si="23"/>
        <v/>
      </c>
      <c r="E109" t="str">
        <f t="shared" si="24"/>
        <v/>
      </c>
      <c r="F109" t="str">
        <f t="shared" si="17"/>
        <v/>
      </c>
      <c r="G109" t="str">
        <f t="shared" si="25"/>
        <v/>
      </c>
      <c r="H109" t="str">
        <f t="shared" si="18"/>
        <v/>
      </c>
      <c r="I109" s="157" t="str">
        <f t="shared" si="19"/>
        <v/>
      </c>
      <c r="J109" s="157"/>
      <c r="K109" s="157" t="str">
        <f t="shared" si="20"/>
        <v/>
      </c>
      <c r="L109" s="157" t="str">
        <f t="shared" si="21"/>
        <v/>
      </c>
      <c r="M109" s="157"/>
      <c r="N109" s="157" t="str">
        <f t="shared" si="22"/>
        <v/>
      </c>
      <c r="O109" s="174" t="str">
        <f>Table13[[#This Row],[Combined List]]</f>
        <v/>
      </c>
      <c r="P109" s="157">
        <v>105</v>
      </c>
      <c r="Q109" s="174" t="str">
        <f t="shared" si="27"/>
        <v/>
      </c>
      <c r="R109" s="174" t="str">
        <f t="shared" si="27"/>
        <v/>
      </c>
      <c r="S109" s="174" t="str">
        <f t="shared" si="27"/>
        <v/>
      </c>
      <c r="T109" s="174" t="str">
        <f t="shared" si="28"/>
        <v/>
      </c>
      <c r="U109" s="174" t="str">
        <f t="shared" si="29"/>
        <v/>
      </c>
      <c r="V109" s="174" t="str">
        <f t="shared" si="30"/>
        <v/>
      </c>
      <c r="W109" s="174" t="str">
        <f>_xlfn.IFNA(VLOOKUP(T:T,Logframe!$B:$G,6,FALSE),"")</f>
        <v/>
      </c>
      <c r="X109" s="174" t="str">
        <f>_xlfn.IFNA(VLOOKUP(U:U,Logframe!$B:$G,6,FALSE),"")</f>
        <v/>
      </c>
      <c r="Y109" s="174" t="str">
        <f>_xlfn.IFNA(VLOOKUP(V:V,Logframe!$B:$G,6,FALSE),"")</f>
        <v/>
      </c>
      <c r="Z109">
        <v>105</v>
      </c>
      <c r="AD109" t="str">
        <f t="shared" si="31"/>
        <v/>
      </c>
      <c r="AE109" t="str">
        <f t="shared" si="31"/>
        <v/>
      </c>
      <c r="AF109" t="str">
        <f t="shared" si="26"/>
        <v/>
      </c>
    </row>
    <row r="110" spans="1:32" x14ac:dyDescent="0.35">
      <c r="A110">
        <f>INDEX(Logframe!F:F,114,1)</f>
        <v>0</v>
      </c>
      <c r="B110" s="110">
        <v>1.21</v>
      </c>
      <c r="C110" s="321" t="str">
        <f>INDEX(Logframe!B:B,114,1)</f>
        <v>0</v>
      </c>
      <c r="D110" t="str">
        <f t="shared" si="23"/>
        <v/>
      </c>
      <c r="E110" t="str">
        <f t="shared" si="24"/>
        <v/>
      </c>
      <c r="F110" t="str">
        <f t="shared" si="17"/>
        <v/>
      </c>
      <c r="G110" t="str">
        <f t="shared" si="25"/>
        <v/>
      </c>
      <c r="H110" t="str">
        <f t="shared" si="18"/>
        <v/>
      </c>
      <c r="I110" s="157" t="str">
        <f t="shared" si="19"/>
        <v/>
      </c>
      <c r="J110" s="157"/>
      <c r="K110" s="157" t="str">
        <f t="shared" si="20"/>
        <v/>
      </c>
      <c r="L110" s="157" t="str">
        <f t="shared" si="21"/>
        <v/>
      </c>
      <c r="M110" s="157"/>
      <c r="N110" s="157" t="str">
        <f t="shared" si="22"/>
        <v/>
      </c>
      <c r="O110" s="174" t="str">
        <f>Table13[[#This Row],[Combined List]]</f>
        <v/>
      </c>
      <c r="P110" s="157">
        <v>106</v>
      </c>
      <c r="Q110" s="174" t="str">
        <f t="shared" si="27"/>
        <v/>
      </c>
      <c r="R110" s="174" t="str">
        <f t="shared" si="27"/>
        <v/>
      </c>
      <c r="S110" s="174" t="str">
        <f t="shared" si="27"/>
        <v/>
      </c>
      <c r="T110" s="174" t="str">
        <f t="shared" si="28"/>
        <v/>
      </c>
      <c r="U110" s="174" t="str">
        <f t="shared" si="29"/>
        <v/>
      </c>
      <c r="V110" s="174" t="str">
        <f t="shared" si="30"/>
        <v/>
      </c>
      <c r="W110" s="174" t="str">
        <f>_xlfn.IFNA(VLOOKUP(T:T,Logframe!$B:$G,6,FALSE),"")</f>
        <v/>
      </c>
      <c r="X110" s="174" t="str">
        <f>_xlfn.IFNA(VLOOKUP(U:U,Logframe!$B:$G,6,FALSE),"")</f>
        <v/>
      </c>
      <c r="Y110" s="174" t="str">
        <f>_xlfn.IFNA(VLOOKUP(V:V,Logframe!$B:$G,6,FALSE),"")</f>
        <v/>
      </c>
      <c r="Z110">
        <v>106</v>
      </c>
      <c r="AD110" t="str">
        <f t="shared" si="31"/>
        <v/>
      </c>
      <c r="AE110" t="str">
        <f t="shared" si="31"/>
        <v/>
      </c>
      <c r="AF110" t="str">
        <f t="shared" si="26"/>
        <v/>
      </c>
    </row>
    <row r="111" spans="1:32" x14ac:dyDescent="0.35">
      <c r="A111">
        <f>INDEX(Logframe!F:F,115,1)</f>
        <v>0</v>
      </c>
      <c r="B111" s="110">
        <v>1.22</v>
      </c>
      <c r="C111" s="321" t="str">
        <f>INDEX(Logframe!B:B,115,1)</f>
        <v>0</v>
      </c>
      <c r="D111" t="str">
        <f t="shared" si="23"/>
        <v/>
      </c>
      <c r="E111" t="str">
        <f t="shared" si="24"/>
        <v/>
      </c>
      <c r="F111" t="str">
        <f t="shared" si="17"/>
        <v/>
      </c>
      <c r="G111" t="str">
        <f t="shared" si="25"/>
        <v/>
      </c>
      <c r="H111" t="str">
        <f t="shared" si="18"/>
        <v/>
      </c>
      <c r="I111" s="157" t="str">
        <f t="shared" si="19"/>
        <v/>
      </c>
      <c r="J111" s="157"/>
      <c r="K111" s="157" t="str">
        <f t="shared" si="20"/>
        <v/>
      </c>
      <c r="L111" s="157" t="str">
        <f t="shared" si="21"/>
        <v/>
      </c>
      <c r="M111" s="157"/>
      <c r="N111" s="157" t="str">
        <f t="shared" si="22"/>
        <v/>
      </c>
      <c r="O111" s="174" t="str">
        <f>Table13[[#This Row],[Combined List]]</f>
        <v/>
      </c>
      <c r="P111" s="157">
        <v>107</v>
      </c>
      <c r="Q111" s="174" t="str">
        <f t="shared" si="27"/>
        <v/>
      </c>
      <c r="R111" s="174" t="str">
        <f t="shared" si="27"/>
        <v/>
      </c>
      <c r="S111" s="174" t="str">
        <f t="shared" si="27"/>
        <v/>
      </c>
      <c r="T111" s="174" t="str">
        <f t="shared" si="28"/>
        <v/>
      </c>
      <c r="U111" s="174" t="str">
        <f t="shared" si="29"/>
        <v/>
      </c>
      <c r="V111" s="174" t="str">
        <f t="shared" si="30"/>
        <v/>
      </c>
      <c r="W111" s="174" t="str">
        <f>_xlfn.IFNA(VLOOKUP(T:T,Logframe!$B:$G,6,FALSE),"")</f>
        <v/>
      </c>
      <c r="X111" s="174" t="str">
        <f>_xlfn.IFNA(VLOOKUP(U:U,Logframe!$B:$G,6,FALSE),"")</f>
        <v/>
      </c>
      <c r="Y111" s="174" t="str">
        <f>_xlfn.IFNA(VLOOKUP(V:V,Logframe!$B:$G,6,FALSE),"")</f>
        <v/>
      </c>
      <c r="Z111">
        <v>107</v>
      </c>
      <c r="AD111" t="str">
        <f t="shared" si="31"/>
        <v/>
      </c>
      <c r="AE111" t="str">
        <f t="shared" si="31"/>
        <v/>
      </c>
      <c r="AF111" t="str">
        <f t="shared" si="26"/>
        <v/>
      </c>
    </row>
    <row r="112" spans="1:32" x14ac:dyDescent="0.35">
      <c r="A112">
        <f>INDEX(Logframe!F:F,116,1)</f>
        <v>0</v>
      </c>
      <c r="B112" s="110">
        <v>1.23</v>
      </c>
      <c r="C112" s="321" t="str">
        <f>INDEX(Logframe!B:B,116,1)</f>
        <v>0</v>
      </c>
      <c r="D112" t="str">
        <f t="shared" si="23"/>
        <v/>
      </c>
      <c r="E112" t="str">
        <f t="shared" si="24"/>
        <v/>
      </c>
      <c r="F112" t="str">
        <f t="shared" si="17"/>
        <v/>
      </c>
      <c r="G112" t="str">
        <f t="shared" si="25"/>
        <v/>
      </c>
      <c r="H112" t="str">
        <f t="shared" si="18"/>
        <v/>
      </c>
      <c r="I112" s="157" t="str">
        <f t="shared" si="19"/>
        <v/>
      </c>
      <c r="J112" s="157"/>
      <c r="K112" s="157" t="str">
        <f t="shared" si="20"/>
        <v/>
      </c>
      <c r="L112" s="157" t="str">
        <f t="shared" si="21"/>
        <v/>
      </c>
      <c r="M112" s="157"/>
      <c r="N112" s="157" t="str">
        <f t="shared" si="22"/>
        <v/>
      </c>
      <c r="O112" s="174" t="str">
        <f>Table13[[#This Row],[Combined List]]</f>
        <v/>
      </c>
      <c r="P112" s="157">
        <v>108</v>
      </c>
      <c r="Q112" s="174" t="str">
        <f t="shared" si="27"/>
        <v/>
      </c>
      <c r="R112" s="174" t="str">
        <f t="shared" si="27"/>
        <v/>
      </c>
      <c r="S112" s="174" t="str">
        <f t="shared" si="27"/>
        <v/>
      </c>
      <c r="T112" s="174" t="str">
        <f t="shared" si="28"/>
        <v/>
      </c>
      <c r="U112" s="174" t="str">
        <f t="shared" si="29"/>
        <v/>
      </c>
      <c r="V112" s="174" t="str">
        <f t="shared" si="30"/>
        <v/>
      </c>
      <c r="W112" s="174" t="str">
        <f>_xlfn.IFNA(VLOOKUP(T:T,Logframe!$B:$G,6,FALSE),"")</f>
        <v/>
      </c>
      <c r="X112" s="174" t="str">
        <f>_xlfn.IFNA(VLOOKUP(U:U,Logframe!$B:$G,6,FALSE),"")</f>
        <v/>
      </c>
      <c r="Y112" s="174" t="str">
        <f>_xlfn.IFNA(VLOOKUP(V:V,Logframe!$B:$G,6,FALSE),"")</f>
        <v/>
      </c>
      <c r="Z112">
        <v>108</v>
      </c>
      <c r="AD112" t="str">
        <f t="shared" si="31"/>
        <v/>
      </c>
      <c r="AE112" t="str">
        <f t="shared" si="31"/>
        <v/>
      </c>
      <c r="AF112" t="str">
        <f t="shared" si="26"/>
        <v/>
      </c>
    </row>
    <row r="113" spans="1:32" x14ac:dyDescent="0.35">
      <c r="A113">
        <f>INDEX(Logframe!F:F,117,1)</f>
        <v>0</v>
      </c>
      <c r="B113" s="110">
        <v>1.24</v>
      </c>
      <c r="C113" s="321" t="str">
        <f>INDEX(Logframe!B:B,117,1)</f>
        <v>0</v>
      </c>
      <c r="D113" t="str">
        <f t="shared" si="23"/>
        <v/>
      </c>
      <c r="E113" t="str">
        <f t="shared" si="24"/>
        <v/>
      </c>
      <c r="F113" t="str">
        <f t="shared" si="17"/>
        <v/>
      </c>
      <c r="G113" t="str">
        <f t="shared" si="25"/>
        <v/>
      </c>
      <c r="H113" t="str">
        <f t="shared" si="18"/>
        <v/>
      </c>
      <c r="I113" s="157" t="str">
        <f t="shared" si="19"/>
        <v/>
      </c>
      <c r="J113" s="157"/>
      <c r="K113" s="157" t="str">
        <f t="shared" si="20"/>
        <v/>
      </c>
      <c r="L113" s="157" t="str">
        <f t="shared" si="21"/>
        <v/>
      </c>
      <c r="M113" s="157"/>
      <c r="N113" s="157" t="str">
        <f t="shared" si="22"/>
        <v/>
      </c>
      <c r="O113" s="174" t="str">
        <f>Table13[[#This Row],[Combined List]]</f>
        <v/>
      </c>
      <c r="P113" s="157">
        <v>109</v>
      </c>
      <c r="Q113" s="174" t="str">
        <f t="shared" si="27"/>
        <v/>
      </c>
      <c r="R113" s="174" t="str">
        <f t="shared" si="27"/>
        <v/>
      </c>
      <c r="S113" s="174" t="str">
        <f t="shared" si="27"/>
        <v/>
      </c>
      <c r="T113" s="174" t="str">
        <f t="shared" si="28"/>
        <v/>
      </c>
      <c r="U113" s="174" t="str">
        <f t="shared" si="29"/>
        <v/>
      </c>
      <c r="V113" s="174" t="str">
        <f t="shared" si="30"/>
        <v/>
      </c>
      <c r="W113" s="174" t="str">
        <f>_xlfn.IFNA(VLOOKUP(T:T,Logframe!$B:$G,6,FALSE),"")</f>
        <v/>
      </c>
      <c r="X113" s="174" t="str">
        <f>_xlfn.IFNA(VLOOKUP(U:U,Logframe!$B:$G,6,FALSE),"")</f>
        <v/>
      </c>
      <c r="Y113" s="174" t="str">
        <f>_xlfn.IFNA(VLOOKUP(V:V,Logframe!$B:$G,6,FALSE),"")</f>
        <v/>
      </c>
      <c r="Z113">
        <v>109</v>
      </c>
      <c r="AD113" t="str">
        <f t="shared" si="31"/>
        <v/>
      </c>
      <c r="AE113" t="str">
        <f t="shared" si="31"/>
        <v/>
      </c>
      <c r="AF113" t="str">
        <f t="shared" si="26"/>
        <v/>
      </c>
    </row>
    <row r="114" spans="1:32" x14ac:dyDescent="0.35">
      <c r="A114">
        <f>INDEX(Logframe!F:F,118,1)</f>
        <v>0</v>
      </c>
      <c r="B114" s="110">
        <v>1.25</v>
      </c>
      <c r="C114" s="321" t="str">
        <f>INDEX(Logframe!B:B,118,1)</f>
        <v>0</v>
      </c>
      <c r="D114" t="str">
        <f t="shared" si="23"/>
        <v/>
      </c>
      <c r="E114" t="str">
        <f t="shared" si="24"/>
        <v/>
      </c>
      <c r="F114" t="str">
        <f t="shared" si="17"/>
        <v/>
      </c>
      <c r="G114" t="str">
        <f t="shared" si="25"/>
        <v/>
      </c>
      <c r="H114" t="str">
        <f t="shared" si="18"/>
        <v/>
      </c>
      <c r="I114" s="157" t="str">
        <f t="shared" si="19"/>
        <v/>
      </c>
      <c r="J114" s="157"/>
      <c r="K114" s="157" t="str">
        <f t="shared" si="20"/>
        <v/>
      </c>
      <c r="L114" s="157" t="str">
        <f t="shared" si="21"/>
        <v/>
      </c>
      <c r="M114" s="157"/>
      <c r="N114" s="157" t="str">
        <f t="shared" si="22"/>
        <v/>
      </c>
      <c r="O114" s="174" t="str">
        <f>Table13[[#This Row],[Combined List]]</f>
        <v/>
      </c>
      <c r="P114" s="157">
        <v>110</v>
      </c>
      <c r="Q114" s="174" t="str">
        <f t="shared" si="27"/>
        <v/>
      </c>
      <c r="R114" s="174" t="str">
        <f t="shared" si="27"/>
        <v/>
      </c>
      <c r="S114" s="174" t="str">
        <f t="shared" si="27"/>
        <v/>
      </c>
      <c r="T114" s="174" t="str">
        <f t="shared" si="28"/>
        <v/>
      </c>
      <c r="U114" s="174" t="str">
        <f t="shared" si="29"/>
        <v/>
      </c>
      <c r="V114" s="174" t="str">
        <f t="shared" si="30"/>
        <v/>
      </c>
      <c r="W114" s="174" t="str">
        <f>_xlfn.IFNA(VLOOKUP(T:T,Logframe!$B:$G,6,FALSE),"")</f>
        <v/>
      </c>
      <c r="X114" s="174" t="str">
        <f>_xlfn.IFNA(VLOOKUP(U:U,Logframe!$B:$G,6,FALSE),"")</f>
        <v/>
      </c>
      <c r="Y114" s="174" t="str">
        <f>_xlfn.IFNA(VLOOKUP(V:V,Logframe!$B:$G,6,FALSE),"")</f>
        <v/>
      </c>
      <c r="Z114">
        <v>110</v>
      </c>
      <c r="AD114" t="str">
        <f t="shared" si="31"/>
        <v/>
      </c>
      <c r="AE114" t="str">
        <f t="shared" si="31"/>
        <v/>
      </c>
      <c r="AF114" t="str">
        <f t="shared" si="26"/>
        <v/>
      </c>
    </row>
    <row r="115" spans="1:32" x14ac:dyDescent="0.35">
      <c r="A115">
        <f>INDEX(Logframe!F:F,119,1)</f>
        <v>0</v>
      </c>
      <c r="B115" s="110">
        <v>1.26</v>
      </c>
      <c r="C115" s="321" t="str">
        <f>INDEX(Logframe!B:B,119,1)</f>
        <v>0</v>
      </c>
      <c r="D115" t="str">
        <f t="shared" si="23"/>
        <v/>
      </c>
      <c r="E115" t="str">
        <f t="shared" si="24"/>
        <v/>
      </c>
      <c r="F115" t="str">
        <f t="shared" si="17"/>
        <v/>
      </c>
      <c r="G115" t="str">
        <f t="shared" si="25"/>
        <v/>
      </c>
      <c r="H115" t="str">
        <f t="shared" si="18"/>
        <v/>
      </c>
      <c r="I115" s="157" t="str">
        <f t="shared" si="19"/>
        <v/>
      </c>
      <c r="J115" s="157"/>
      <c r="K115" s="157" t="str">
        <f t="shared" si="20"/>
        <v/>
      </c>
      <c r="L115" s="157" t="str">
        <f t="shared" si="21"/>
        <v/>
      </c>
      <c r="M115" s="157"/>
      <c r="N115" s="157" t="str">
        <f t="shared" si="22"/>
        <v/>
      </c>
      <c r="O115" s="174" t="str">
        <f>Table13[[#This Row],[Combined List]]</f>
        <v/>
      </c>
      <c r="P115" s="157">
        <v>111</v>
      </c>
      <c r="Q115" s="174" t="str">
        <f t="shared" si="27"/>
        <v/>
      </c>
      <c r="R115" s="174" t="str">
        <f t="shared" si="27"/>
        <v/>
      </c>
      <c r="S115" s="174" t="str">
        <f t="shared" si="27"/>
        <v/>
      </c>
      <c r="T115" s="174" t="str">
        <f t="shared" si="28"/>
        <v/>
      </c>
      <c r="U115" s="174" t="str">
        <f t="shared" si="29"/>
        <v/>
      </c>
      <c r="V115" s="174" t="str">
        <f t="shared" si="30"/>
        <v/>
      </c>
      <c r="W115" s="174" t="str">
        <f>_xlfn.IFNA(VLOOKUP(T:T,Logframe!$B:$G,6,FALSE),"")</f>
        <v/>
      </c>
      <c r="X115" s="174" t="str">
        <f>_xlfn.IFNA(VLOOKUP(U:U,Logframe!$B:$G,6,FALSE),"")</f>
        <v/>
      </c>
      <c r="Y115" s="174" t="str">
        <f>_xlfn.IFNA(VLOOKUP(V:V,Logframe!$B:$G,6,FALSE),"")</f>
        <v/>
      </c>
      <c r="Z115">
        <v>111</v>
      </c>
      <c r="AD115" t="str">
        <f t="shared" si="31"/>
        <v/>
      </c>
      <c r="AE115" t="str">
        <f t="shared" si="31"/>
        <v/>
      </c>
      <c r="AF115" t="str">
        <f t="shared" si="26"/>
        <v/>
      </c>
    </row>
    <row r="116" spans="1:32" x14ac:dyDescent="0.35">
      <c r="A116">
        <f>INDEX(Logframe!F:F,120,1)</f>
        <v>0</v>
      </c>
      <c r="B116" s="110">
        <v>1.27</v>
      </c>
      <c r="C116" s="321" t="str">
        <f>INDEX(Logframe!B:B,120,1)</f>
        <v>0</v>
      </c>
      <c r="D116" t="str">
        <f t="shared" si="23"/>
        <v/>
      </c>
      <c r="E116" t="str">
        <f t="shared" si="24"/>
        <v/>
      </c>
      <c r="F116" t="str">
        <f t="shared" si="17"/>
        <v/>
      </c>
      <c r="G116" t="str">
        <f t="shared" si="25"/>
        <v/>
      </c>
      <c r="H116" t="str">
        <f t="shared" si="18"/>
        <v/>
      </c>
      <c r="I116" s="157" t="str">
        <f t="shared" si="19"/>
        <v/>
      </c>
      <c r="J116" s="157"/>
      <c r="K116" s="157" t="str">
        <f t="shared" si="20"/>
        <v/>
      </c>
      <c r="L116" s="157" t="str">
        <f t="shared" si="21"/>
        <v/>
      </c>
      <c r="M116" s="157"/>
      <c r="N116" s="157" t="str">
        <f t="shared" si="22"/>
        <v/>
      </c>
      <c r="O116" s="174" t="str">
        <f>Table13[[#This Row],[Combined List]]</f>
        <v/>
      </c>
      <c r="P116" s="157">
        <v>112</v>
      </c>
      <c r="Q116" s="174" t="str">
        <f t="shared" si="27"/>
        <v/>
      </c>
      <c r="R116" s="174" t="str">
        <f t="shared" si="27"/>
        <v/>
      </c>
      <c r="S116" s="174" t="str">
        <f t="shared" si="27"/>
        <v/>
      </c>
      <c r="T116" s="174" t="str">
        <f t="shared" si="28"/>
        <v/>
      </c>
      <c r="U116" s="174" t="str">
        <f t="shared" si="29"/>
        <v/>
      </c>
      <c r="V116" s="174" t="str">
        <f t="shared" si="30"/>
        <v/>
      </c>
      <c r="W116" s="174" t="str">
        <f>_xlfn.IFNA(VLOOKUP(T:T,Logframe!$B:$G,6,FALSE),"")</f>
        <v/>
      </c>
      <c r="X116" s="174" t="str">
        <f>_xlfn.IFNA(VLOOKUP(U:U,Logframe!$B:$G,6,FALSE),"")</f>
        <v/>
      </c>
      <c r="Y116" s="174" t="str">
        <f>_xlfn.IFNA(VLOOKUP(V:V,Logframe!$B:$G,6,FALSE),"")</f>
        <v/>
      </c>
      <c r="Z116">
        <v>112</v>
      </c>
      <c r="AD116" t="str">
        <f t="shared" si="31"/>
        <v/>
      </c>
      <c r="AE116" t="str">
        <f t="shared" si="31"/>
        <v/>
      </c>
      <c r="AF116" t="str">
        <f t="shared" si="26"/>
        <v/>
      </c>
    </row>
    <row r="117" spans="1:32" x14ac:dyDescent="0.35">
      <c r="A117">
        <f>INDEX(Logframe!F:F,121,1)</f>
        <v>0</v>
      </c>
      <c r="B117" s="110">
        <v>1.28</v>
      </c>
      <c r="C117" s="321" t="str">
        <f>INDEX(Logframe!B:B,121,1)</f>
        <v>0</v>
      </c>
      <c r="D117" t="str">
        <f t="shared" si="23"/>
        <v/>
      </c>
      <c r="E117" t="str">
        <f t="shared" si="24"/>
        <v/>
      </c>
      <c r="F117" t="str">
        <f t="shared" si="17"/>
        <v/>
      </c>
      <c r="G117" t="str">
        <f t="shared" si="25"/>
        <v/>
      </c>
      <c r="H117" t="str">
        <f t="shared" si="18"/>
        <v/>
      </c>
      <c r="I117" s="157" t="str">
        <f t="shared" si="19"/>
        <v/>
      </c>
      <c r="J117" s="157"/>
      <c r="K117" s="157" t="str">
        <f t="shared" si="20"/>
        <v/>
      </c>
      <c r="L117" s="157" t="str">
        <f t="shared" si="21"/>
        <v/>
      </c>
      <c r="M117" s="157"/>
      <c r="N117" s="157" t="str">
        <f t="shared" si="22"/>
        <v/>
      </c>
      <c r="O117" s="174" t="str">
        <f>Table13[[#This Row],[Combined List]]</f>
        <v/>
      </c>
      <c r="P117" s="157">
        <v>113</v>
      </c>
      <c r="Q117" s="174" t="str">
        <f t="shared" si="27"/>
        <v/>
      </c>
      <c r="R117" s="174" t="str">
        <f t="shared" si="27"/>
        <v/>
      </c>
      <c r="S117" s="174" t="str">
        <f t="shared" si="27"/>
        <v/>
      </c>
      <c r="T117" s="174" t="str">
        <f t="shared" si="28"/>
        <v/>
      </c>
      <c r="U117" s="174" t="str">
        <f t="shared" si="29"/>
        <v/>
      </c>
      <c r="V117" s="174" t="str">
        <f t="shared" si="30"/>
        <v/>
      </c>
      <c r="W117" s="174" t="str">
        <f>_xlfn.IFNA(VLOOKUP(T:T,Logframe!$B:$G,6,FALSE),"")</f>
        <v/>
      </c>
      <c r="X117" s="174" t="str">
        <f>_xlfn.IFNA(VLOOKUP(U:U,Logframe!$B:$G,6,FALSE),"")</f>
        <v/>
      </c>
      <c r="Y117" s="174" t="str">
        <f>_xlfn.IFNA(VLOOKUP(V:V,Logframe!$B:$G,6,FALSE),"")</f>
        <v/>
      </c>
      <c r="Z117">
        <v>113</v>
      </c>
      <c r="AD117" t="str">
        <f t="shared" si="31"/>
        <v/>
      </c>
      <c r="AE117" t="str">
        <f t="shared" si="31"/>
        <v/>
      </c>
      <c r="AF117" t="str">
        <f t="shared" si="26"/>
        <v/>
      </c>
    </row>
    <row r="118" spans="1:32" x14ac:dyDescent="0.35">
      <c r="A118">
        <f>INDEX(Logframe!F:F,122,1)</f>
        <v>0</v>
      </c>
      <c r="B118" s="110">
        <v>1.29</v>
      </c>
      <c r="C118" s="321" t="str">
        <f>INDEX(Logframe!B:B,122,1)</f>
        <v>0</v>
      </c>
      <c r="D118" t="str">
        <f t="shared" si="23"/>
        <v/>
      </c>
      <c r="E118" t="str">
        <f t="shared" si="24"/>
        <v/>
      </c>
      <c r="F118" t="str">
        <f t="shared" si="17"/>
        <v/>
      </c>
      <c r="G118" t="str">
        <f t="shared" si="25"/>
        <v/>
      </c>
      <c r="H118" t="str">
        <f t="shared" si="18"/>
        <v/>
      </c>
      <c r="I118" s="157" t="str">
        <f t="shared" si="19"/>
        <v/>
      </c>
      <c r="J118" s="157"/>
      <c r="K118" s="157" t="str">
        <f t="shared" si="20"/>
        <v/>
      </c>
      <c r="L118" s="157" t="str">
        <f t="shared" si="21"/>
        <v/>
      </c>
      <c r="M118" s="157"/>
      <c r="N118" s="157" t="str">
        <f t="shared" si="22"/>
        <v/>
      </c>
      <c r="O118" s="174" t="str">
        <f>Table13[[#This Row],[Combined List]]</f>
        <v/>
      </c>
      <c r="P118" s="157">
        <v>114</v>
      </c>
      <c r="Q118" s="174" t="str">
        <f t="shared" si="27"/>
        <v/>
      </c>
      <c r="R118" s="174" t="str">
        <f t="shared" si="27"/>
        <v/>
      </c>
      <c r="S118" s="174" t="str">
        <f t="shared" si="27"/>
        <v/>
      </c>
      <c r="T118" s="174" t="str">
        <f t="shared" si="28"/>
        <v/>
      </c>
      <c r="U118" s="174" t="str">
        <f t="shared" si="29"/>
        <v/>
      </c>
      <c r="V118" s="174" t="str">
        <f t="shared" si="30"/>
        <v/>
      </c>
      <c r="W118" s="174" t="str">
        <f>_xlfn.IFNA(VLOOKUP(T:T,Logframe!$B:$G,6,FALSE),"")</f>
        <v/>
      </c>
      <c r="X118" s="174" t="str">
        <f>_xlfn.IFNA(VLOOKUP(U:U,Logframe!$B:$G,6,FALSE),"")</f>
        <v/>
      </c>
      <c r="Y118" s="174" t="str">
        <f>_xlfn.IFNA(VLOOKUP(V:V,Logframe!$B:$G,6,FALSE),"")</f>
        <v/>
      </c>
      <c r="Z118">
        <v>114</v>
      </c>
      <c r="AD118" t="str">
        <f t="shared" si="31"/>
        <v/>
      </c>
      <c r="AE118" t="str">
        <f t="shared" si="31"/>
        <v/>
      </c>
      <c r="AF118" t="str">
        <f t="shared" si="26"/>
        <v/>
      </c>
    </row>
    <row r="119" spans="1:32" x14ac:dyDescent="0.35">
      <c r="A119">
        <f>INDEX(Logframe!F:F,123,1)</f>
        <v>0</v>
      </c>
      <c r="B119" s="110">
        <v>1.31</v>
      </c>
      <c r="C119" s="321" t="str">
        <f>INDEX(Logframe!B:B,123,1)</f>
        <v>0</v>
      </c>
      <c r="D119" t="str">
        <f t="shared" si="23"/>
        <v/>
      </c>
      <c r="E119" t="str">
        <f t="shared" si="24"/>
        <v/>
      </c>
      <c r="F119" t="str">
        <f t="shared" si="17"/>
        <v/>
      </c>
      <c r="G119" t="str">
        <f t="shared" si="25"/>
        <v/>
      </c>
      <c r="H119" t="str">
        <f t="shared" si="18"/>
        <v/>
      </c>
      <c r="I119" s="157" t="str">
        <f t="shared" si="19"/>
        <v/>
      </c>
      <c r="J119" s="157"/>
      <c r="K119" s="157" t="str">
        <f t="shared" si="20"/>
        <v/>
      </c>
      <c r="L119" s="157" t="str">
        <f t="shared" si="21"/>
        <v/>
      </c>
      <c r="M119" s="157"/>
      <c r="N119" s="157" t="str">
        <f t="shared" si="22"/>
        <v/>
      </c>
      <c r="O119" s="174" t="str">
        <f>Table13[[#This Row],[Combined List]]</f>
        <v/>
      </c>
      <c r="P119" s="157">
        <v>115</v>
      </c>
      <c r="Q119" s="174" t="str">
        <f t="shared" si="27"/>
        <v/>
      </c>
      <c r="R119" s="174" t="str">
        <f t="shared" si="27"/>
        <v/>
      </c>
      <c r="S119" s="174" t="str">
        <f t="shared" si="27"/>
        <v/>
      </c>
      <c r="T119" s="174" t="str">
        <f t="shared" si="28"/>
        <v/>
      </c>
      <c r="U119" s="174" t="str">
        <f t="shared" si="29"/>
        <v/>
      </c>
      <c r="V119" s="174" t="str">
        <f t="shared" si="30"/>
        <v/>
      </c>
      <c r="W119" s="174" t="str">
        <f>_xlfn.IFNA(VLOOKUP(T:T,Logframe!$B:$G,6,FALSE),"")</f>
        <v/>
      </c>
      <c r="X119" s="174" t="str">
        <f>_xlfn.IFNA(VLOOKUP(U:U,Logframe!$B:$G,6,FALSE),"")</f>
        <v/>
      </c>
      <c r="Y119" s="174" t="str">
        <f>_xlfn.IFNA(VLOOKUP(V:V,Logframe!$B:$G,6,FALSE),"")</f>
        <v/>
      </c>
      <c r="Z119">
        <v>115</v>
      </c>
      <c r="AD119" t="str">
        <f t="shared" si="31"/>
        <v/>
      </c>
      <c r="AE119" t="str">
        <f t="shared" si="31"/>
        <v/>
      </c>
      <c r="AF119" t="str">
        <f t="shared" si="26"/>
        <v/>
      </c>
    </row>
    <row r="120" spans="1:32" x14ac:dyDescent="0.35">
      <c r="A120">
        <f>INDEX(Logframe!F:F,124,1)</f>
        <v>0</v>
      </c>
      <c r="B120" s="110">
        <v>1.32</v>
      </c>
      <c r="C120" s="321" t="str">
        <f>INDEX(Logframe!B:B,124,1)</f>
        <v>0</v>
      </c>
      <c r="D120" t="str">
        <f t="shared" si="23"/>
        <v/>
      </c>
      <c r="E120" t="str">
        <f t="shared" si="24"/>
        <v/>
      </c>
      <c r="F120" t="str">
        <f t="shared" si="17"/>
        <v/>
      </c>
      <c r="G120" t="str">
        <f t="shared" si="25"/>
        <v/>
      </c>
      <c r="H120" t="str">
        <f t="shared" si="18"/>
        <v/>
      </c>
      <c r="I120" s="157" t="str">
        <f t="shared" si="19"/>
        <v/>
      </c>
      <c r="J120" s="157"/>
      <c r="K120" s="157" t="str">
        <f t="shared" si="20"/>
        <v/>
      </c>
      <c r="L120" s="157" t="str">
        <f t="shared" si="21"/>
        <v/>
      </c>
      <c r="M120" s="157"/>
      <c r="N120" s="157" t="str">
        <f t="shared" si="22"/>
        <v/>
      </c>
      <c r="O120" s="174" t="str">
        <f>Table13[[#This Row],[Combined List]]</f>
        <v/>
      </c>
      <c r="P120" s="157">
        <v>116</v>
      </c>
      <c r="Q120" s="174" t="str">
        <f t="shared" si="27"/>
        <v/>
      </c>
      <c r="R120" s="174" t="str">
        <f t="shared" si="27"/>
        <v/>
      </c>
      <c r="S120" s="174" t="str">
        <f t="shared" si="27"/>
        <v/>
      </c>
      <c r="T120" s="174" t="str">
        <f t="shared" si="28"/>
        <v/>
      </c>
      <c r="U120" s="174" t="str">
        <f t="shared" si="29"/>
        <v/>
      </c>
      <c r="V120" s="174" t="str">
        <f t="shared" si="30"/>
        <v/>
      </c>
      <c r="W120" s="174" t="str">
        <f>_xlfn.IFNA(VLOOKUP(T:T,Logframe!$B:$G,6,FALSE),"")</f>
        <v/>
      </c>
      <c r="X120" s="174" t="str">
        <f>_xlfn.IFNA(VLOOKUP(U:U,Logframe!$B:$G,6,FALSE),"")</f>
        <v/>
      </c>
      <c r="Y120" s="174" t="str">
        <f>_xlfn.IFNA(VLOOKUP(V:V,Logframe!$B:$G,6,FALSE),"")</f>
        <v/>
      </c>
      <c r="Z120">
        <v>116</v>
      </c>
      <c r="AD120" t="str">
        <f t="shared" si="31"/>
        <v/>
      </c>
      <c r="AE120" t="str">
        <f t="shared" si="31"/>
        <v/>
      </c>
      <c r="AF120" t="str">
        <f t="shared" si="26"/>
        <v/>
      </c>
    </row>
    <row r="121" spans="1:32" x14ac:dyDescent="0.35">
      <c r="A121">
        <f>INDEX(Logframe!F:F,125,1)</f>
        <v>0</v>
      </c>
      <c r="B121" s="110">
        <v>1.33</v>
      </c>
      <c r="C121" s="321" t="str">
        <f>INDEX(Logframe!B:B,125,1)</f>
        <v>0</v>
      </c>
      <c r="D121" t="str">
        <f t="shared" si="23"/>
        <v/>
      </c>
      <c r="E121" t="str">
        <f t="shared" si="24"/>
        <v/>
      </c>
      <c r="F121" t="str">
        <f t="shared" si="17"/>
        <v/>
      </c>
      <c r="G121" t="str">
        <f t="shared" si="25"/>
        <v/>
      </c>
      <c r="H121" t="str">
        <f t="shared" si="18"/>
        <v/>
      </c>
      <c r="I121" s="157" t="str">
        <f t="shared" si="19"/>
        <v/>
      </c>
      <c r="J121" s="157"/>
      <c r="K121" s="157" t="str">
        <f t="shared" si="20"/>
        <v/>
      </c>
      <c r="L121" s="157" t="str">
        <f t="shared" si="21"/>
        <v/>
      </c>
      <c r="M121" s="157"/>
      <c r="N121" s="157" t="str">
        <f t="shared" si="22"/>
        <v/>
      </c>
      <c r="O121" s="174" t="str">
        <f>Table13[[#This Row],[Combined List]]</f>
        <v/>
      </c>
      <c r="P121" s="157">
        <v>117</v>
      </c>
      <c r="Q121" s="174" t="str">
        <f t="shared" si="27"/>
        <v/>
      </c>
      <c r="R121" s="174" t="str">
        <f t="shared" si="27"/>
        <v/>
      </c>
      <c r="S121" s="174" t="str">
        <f t="shared" si="27"/>
        <v/>
      </c>
      <c r="T121" s="174" t="str">
        <f t="shared" si="28"/>
        <v/>
      </c>
      <c r="U121" s="174" t="str">
        <f t="shared" si="29"/>
        <v/>
      </c>
      <c r="V121" s="174" t="str">
        <f t="shared" si="30"/>
        <v/>
      </c>
      <c r="W121" s="174" t="str">
        <f>_xlfn.IFNA(VLOOKUP(T:T,Logframe!$B:$G,6,FALSE),"")</f>
        <v/>
      </c>
      <c r="X121" s="174" t="str">
        <f>_xlfn.IFNA(VLOOKUP(U:U,Logframe!$B:$G,6,FALSE),"")</f>
        <v/>
      </c>
      <c r="Y121" s="174" t="str">
        <f>_xlfn.IFNA(VLOOKUP(V:V,Logframe!$B:$G,6,FALSE),"")</f>
        <v/>
      </c>
      <c r="Z121">
        <v>117</v>
      </c>
      <c r="AD121" t="str">
        <f t="shared" si="31"/>
        <v/>
      </c>
      <c r="AE121" t="str">
        <f t="shared" si="31"/>
        <v/>
      </c>
      <c r="AF121" t="str">
        <f t="shared" si="26"/>
        <v/>
      </c>
    </row>
    <row r="122" spans="1:32" x14ac:dyDescent="0.35">
      <c r="A122">
        <f>INDEX(Logframe!F:F,126,1)</f>
        <v>0</v>
      </c>
      <c r="B122" s="110">
        <v>1.34</v>
      </c>
      <c r="C122" s="321" t="str">
        <f>INDEX(Logframe!B:B,126,1)</f>
        <v>0</v>
      </c>
      <c r="D122" t="str">
        <f t="shared" si="23"/>
        <v/>
      </c>
      <c r="E122" t="str">
        <f t="shared" si="24"/>
        <v/>
      </c>
      <c r="F122" t="str">
        <f t="shared" si="17"/>
        <v/>
      </c>
      <c r="G122" t="str">
        <f t="shared" si="25"/>
        <v/>
      </c>
      <c r="H122" t="str">
        <f t="shared" si="18"/>
        <v/>
      </c>
      <c r="I122" s="157" t="str">
        <f t="shared" si="19"/>
        <v/>
      </c>
      <c r="J122" s="157"/>
      <c r="K122" s="157" t="str">
        <f t="shared" si="20"/>
        <v/>
      </c>
      <c r="L122" s="157" t="str">
        <f t="shared" si="21"/>
        <v/>
      </c>
      <c r="M122" s="157"/>
      <c r="N122" s="157" t="str">
        <f t="shared" si="22"/>
        <v/>
      </c>
      <c r="O122" s="174" t="str">
        <f>Table13[[#This Row],[Combined List]]</f>
        <v/>
      </c>
      <c r="P122" s="157">
        <v>118</v>
      </c>
      <c r="Q122" s="174" t="str">
        <f t="shared" si="27"/>
        <v/>
      </c>
      <c r="R122" s="174" t="str">
        <f t="shared" si="27"/>
        <v/>
      </c>
      <c r="S122" s="174" t="str">
        <f t="shared" si="27"/>
        <v/>
      </c>
      <c r="T122" s="174" t="str">
        <f t="shared" si="28"/>
        <v/>
      </c>
      <c r="U122" s="174" t="str">
        <f t="shared" si="29"/>
        <v/>
      </c>
      <c r="V122" s="174" t="str">
        <f t="shared" si="30"/>
        <v/>
      </c>
      <c r="W122" s="174" t="str">
        <f>_xlfn.IFNA(VLOOKUP(T:T,Logframe!$B:$G,6,FALSE),"")</f>
        <v/>
      </c>
      <c r="X122" s="174" t="str">
        <f>_xlfn.IFNA(VLOOKUP(U:U,Logframe!$B:$G,6,FALSE),"")</f>
        <v/>
      </c>
      <c r="Y122" s="174" t="str">
        <f>_xlfn.IFNA(VLOOKUP(V:V,Logframe!$B:$G,6,FALSE),"")</f>
        <v/>
      </c>
      <c r="Z122">
        <v>118</v>
      </c>
      <c r="AD122" t="str">
        <f t="shared" si="31"/>
        <v/>
      </c>
      <c r="AE122" t="str">
        <f t="shared" si="31"/>
        <v/>
      </c>
      <c r="AF122" t="str">
        <f t="shared" si="26"/>
        <v/>
      </c>
    </row>
    <row r="123" spans="1:32" x14ac:dyDescent="0.35">
      <c r="A123">
        <f>INDEX(Logframe!F:F,127,1)</f>
        <v>0</v>
      </c>
      <c r="B123" s="110">
        <v>1.35</v>
      </c>
      <c r="C123" s="321" t="str">
        <f>INDEX(Logframe!B:B,127,1)</f>
        <v>0</v>
      </c>
      <c r="D123" t="str">
        <f t="shared" si="23"/>
        <v/>
      </c>
      <c r="E123" t="str">
        <f t="shared" si="24"/>
        <v/>
      </c>
      <c r="F123" t="str">
        <f t="shared" si="17"/>
        <v/>
      </c>
      <c r="G123" t="str">
        <f t="shared" si="25"/>
        <v/>
      </c>
      <c r="H123" t="str">
        <f t="shared" si="18"/>
        <v/>
      </c>
      <c r="I123" s="157" t="str">
        <f t="shared" si="19"/>
        <v/>
      </c>
      <c r="J123" s="157"/>
      <c r="K123" s="157" t="str">
        <f t="shared" si="20"/>
        <v/>
      </c>
      <c r="L123" s="157" t="str">
        <f t="shared" si="21"/>
        <v/>
      </c>
      <c r="M123" s="157"/>
      <c r="N123" s="157" t="str">
        <f t="shared" si="22"/>
        <v/>
      </c>
      <c r="O123" s="174" t="str">
        <f>Table13[[#This Row],[Combined List]]</f>
        <v/>
      </c>
      <c r="P123" s="157">
        <v>119</v>
      </c>
      <c r="Q123" s="174" t="str">
        <f t="shared" si="27"/>
        <v/>
      </c>
      <c r="R123" s="174" t="str">
        <f t="shared" si="27"/>
        <v/>
      </c>
      <c r="S123" s="174" t="str">
        <f t="shared" si="27"/>
        <v/>
      </c>
      <c r="T123" s="174" t="str">
        <f t="shared" si="28"/>
        <v/>
      </c>
      <c r="U123" s="174" t="str">
        <f t="shared" si="29"/>
        <v/>
      </c>
      <c r="V123" s="174" t="str">
        <f t="shared" si="30"/>
        <v/>
      </c>
      <c r="W123" s="174" t="str">
        <f>_xlfn.IFNA(VLOOKUP(T:T,Logframe!$B:$G,6,FALSE),"")</f>
        <v/>
      </c>
      <c r="X123" s="174" t="str">
        <f>_xlfn.IFNA(VLOOKUP(U:U,Logframe!$B:$G,6,FALSE),"")</f>
        <v/>
      </c>
      <c r="Y123" s="174" t="str">
        <f>_xlfn.IFNA(VLOOKUP(V:V,Logframe!$B:$G,6,FALSE),"")</f>
        <v/>
      </c>
      <c r="Z123">
        <v>119</v>
      </c>
      <c r="AD123" t="str">
        <f t="shared" si="31"/>
        <v/>
      </c>
      <c r="AE123" t="str">
        <f t="shared" si="31"/>
        <v/>
      </c>
      <c r="AF123" t="str">
        <f t="shared" si="26"/>
        <v/>
      </c>
    </row>
    <row r="124" spans="1:32" x14ac:dyDescent="0.35">
      <c r="A124">
        <f>INDEX(Logframe!F:F,128,1)</f>
        <v>0</v>
      </c>
      <c r="B124" s="110">
        <v>1.36</v>
      </c>
      <c r="C124" s="321" t="str">
        <f>INDEX(Logframe!B:B,128,1)</f>
        <v>0</v>
      </c>
      <c r="D124" t="str">
        <f t="shared" si="23"/>
        <v/>
      </c>
      <c r="E124" t="str">
        <f t="shared" si="24"/>
        <v/>
      </c>
      <c r="F124" t="str">
        <f t="shared" si="17"/>
        <v/>
      </c>
      <c r="G124" t="str">
        <f t="shared" si="25"/>
        <v/>
      </c>
      <c r="H124" t="str">
        <f t="shared" si="18"/>
        <v/>
      </c>
      <c r="I124" s="157" t="str">
        <f t="shared" si="19"/>
        <v/>
      </c>
      <c r="J124" s="157"/>
      <c r="K124" s="157" t="str">
        <f t="shared" si="20"/>
        <v/>
      </c>
      <c r="L124" s="157" t="str">
        <f t="shared" si="21"/>
        <v/>
      </c>
      <c r="M124" s="157"/>
      <c r="N124" s="157" t="str">
        <f t="shared" si="22"/>
        <v/>
      </c>
      <c r="O124" s="174" t="str">
        <f>Table13[[#This Row],[Combined List]]</f>
        <v/>
      </c>
      <c r="P124" s="157">
        <v>120</v>
      </c>
      <c r="Q124" s="174" t="str">
        <f t="shared" si="27"/>
        <v/>
      </c>
      <c r="R124" s="174" t="str">
        <f t="shared" si="27"/>
        <v/>
      </c>
      <c r="S124" s="174" t="str">
        <f t="shared" si="27"/>
        <v/>
      </c>
      <c r="T124" s="174" t="str">
        <f t="shared" si="28"/>
        <v/>
      </c>
      <c r="U124" s="174" t="str">
        <f t="shared" si="29"/>
        <v/>
      </c>
      <c r="V124" s="174" t="str">
        <f t="shared" si="30"/>
        <v/>
      </c>
      <c r="W124" s="174" t="str">
        <f>_xlfn.IFNA(VLOOKUP(T:T,Logframe!$B:$G,6,FALSE),"")</f>
        <v/>
      </c>
      <c r="X124" s="174" t="str">
        <f>_xlfn.IFNA(VLOOKUP(U:U,Logframe!$B:$G,6,FALSE),"")</f>
        <v/>
      </c>
      <c r="Y124" s="174" t="str">
        <f>_xlfn.IFNA(VLOOKUP(V:V,Logframe!$B:$G,6,FALSE),"")</f>
        <v/>
      </c>
      <c r="Z124">
        <v>120</v>
      </c>
      <c r="AD124" t="str">
        <f t="shared" si="31"/>
        <v/>
      </c>
      <c r="AE124" t="str">
        <f t="shared" si="31"/>
        <v/>
      </c>
      <c r="AF124" t="str">
        <f t="shared" si="26"/>
        <v/>
      </c>
    </row>
    <row r="125" spans="1:32" x14ac:dyDescent="0.35">
      <c r="A125">
        <f>INDEX(Logframe!F:F,129,1)</f>
        <v>0</v>
      </c>
      <c r="B125" s="110">
        <v>1.37</v>
      </c>
      <c r="C125" s="321" t="str">
        <f>INDEX(Logframe!B:B,129,1)</f>
        <v>0</v>
      </c>
      <c r="D125" t="str">
        <f t="shared" si="23"/>
        <v/>
      </c>
      <c r="E125" t="str">
        <f t="shared" si="24"/>
        <v/>
      </c>
      <c r="F125" t="str">
        <f t="shared" si="17"/>
        <v/>
      </c>
      <c r="G125" t="str">
        <f t="shared" si="25"/>
        <v/>
      </c>
      <c r="H125" t="str">
        <f t="shared" si="18"/>
        <v/>
      </c>
      <c r="I125" s="157" t="str">
        <f t="shared" si="19"/>
        <v/>
      </c>
      <c r="J125" s="157"/>
      <c r="K125" s="157" t="str">
        <f t="shared" si="20"/>
        <v/>
      </c>
      <c r="L125" s="157" t="str">
        <f t="shared" si="21"/>
        <v/>
      </c>
      <c r="M125" s="157"/>
      <c r="N125" s="157" t="str">
        <f t="shared" si="22"/>
        <v/>
      </c>
      <c r="O125" s="174" t="str">
        <f>Table13[[#This Row],[Combined List]]</f>
        <v/>
      </c>
      <c r="P125" s="157">
        <v>121</v>
      </c>
      <c r="Q125" s="174" t="str">
        <f t="shared" si="27"/>
        <v/>
      </c>
      <c r="R125" s="174" t="str">
        <f t="shared" si="27"/>
        <v/>
      </c>
      <c r="S125" s="174" t="str">
        <f t="shared" si="27"/>
        <v/>
      </c>
      <c r="T125" s="174" t="str">
        <f t="shared" si="28"/>
        <v/>
      </c>
      <c r="U125" s="174" t="str">
        <f t="shared" si="29"/>
        <v/>
      </c>
      <c r="V125" s="174" t="str">
        <f t="shared" si="30"/>
        <v/>
      </c>
      <c r="W125" s="174" t="str">
        <f>_xlfn.IFNA(VLOOKUP(T:T,Logframe!$B:$G,6,FALSE),"")</f>
        <v/>
      </c>
      <c r="X125" s="174" t="str">
        <f>_xlfn.IFNA(VLOOKUP(U:U,Logframe!$B:$G,6,FALSE),"")</f>
        <v/>
      </c>
      <c r="Y125" s="174" t="str">
        <f>_xlfn.IFNA(VLOOKUP(V:V,Logframe!$B:$G,6,FALSE),"")</f>
        <v/>
      </c>
      <c r="Z125">
        <v>121</v>
      </c>
      <c r="AD125" t="str">
        <f t="shared" si="31"/>
        <v/>
      </c>
      <c r="AE125" t="str">
        <f t="shared" si="31"/>
        <v/>
      </c>
      <c r="AF125" t="str">
        <f t="shared" si="26"/>
        <v/>
      </c>
    </row>
    <row r="126" spans="1:32" x14ac:dyDescent="0.35">
      <c r="A126">
        <f>INDEX(Logframe!F:F,130,1)</f>
        <v>0</v>
      </c>
      <c r="B126" s="110">
        <v>1.38</v>
      </c>
      <c r="C126" s="321" t="str">
        <f>INDEX(Logframe!B:B,130,1)</f>
        <v>0</v>
      </c>
      <c r="D126" t="str">
        <f t="shared" si="23"/>
        <v/>
      </c>
      <c r="E126" t="str">
        <f t="shared" si="24"/>
        <v/>
      </c>
      <c r="F126" t="str">
        <f t="shared" si="17"/>
        <v/>
      </c>
      <c r="G126" t="str">
        <f t="shared" si="25"/>
        <v/>
      </c>
      <c r="H126" t="str">
        <f t="shared" si="18"/>
        <v/>
      </c>
      <c r="I126" s="157" t="str">
        <f t="shared" si="19"/>
        <v/>
      </c>
      <c r="J126" s="157"/>
      <c r="K126" s="157" t="str">
        <f t="shared" si="20"/>
        <v/>
      </c>
      <c r="L126" s="157" t="str">
        <f t="shared" si="21"/>
        <v/>
      </c>
      <c r="M126" s="157"/>
      <c r="N126" s="157" t="str">
        <f t="shared" si="22"/>
        <v/>
      </c>
      <c r="O126" s="174" t="str">
        <f>Table13[[#This Row],[Combined List]]</f>
        <v/>
      </c>
      <c r="P126" s="157">
        <v>122</v>
      </c>
      <c r="Q126" s="174" t="str">
        <f t="shared" si="27"/>
        <v/>
      </c>
      <c r="R126" s="174" t="str">
        <f t="shared" si="27"/>
        <v/>
      </c>
      <c r="S126" s="174" t="str">
        <f t="shared" si="27"/>
        <v/>
      </c>
      <c r="T126" s="174" t="str">
        <f t="shared" si="28"/>
        <v/>
      </c>
      <c r="U126" s="174" t="str">
        <f t="shared" si="29"/>
        <v/>
      </c>
      <c r="V126" s="174" t="str">
        <f t="shared" si="30"/>
        <v/>
      </c>
      <c r="W126" s="174" t="str">
        <f>_xlfn.IFNA(VLOOKUP(T:T,Logframe!$B:$G,6,FALSE),"")</f>
        <v/>
      </c>
      <c r="X126" s="174" t="str">
        <f>_xlfn.IFNA(VLOOKUP(U:U,Logframe!$B:$G,6,FALSE),"")</f>
        <v/>
      </c>
      <c r="Y126" s="174" t="str">
        <f>_xlfn.IFNA(VLOOKUP(V:V,Logframe!$B:$G,6,FALSE),"")</f>
        <v/>
      </c>
      <c r="Z126">
        <v>122</v>
      </c>
      <c r="AD126" t="str">
        <f t="shared" si="31"/>
        <v/>
      </c>
      <c r="AE126" t="str">
        <f t="shared" si="31"/>
        <v/>
      </c>
      <c r="AF126" t="str">
        <f t="shared" si="26"/>
        <v/>
      </c>
    </row>
    <row r="127" spans="1:32" x14ac:dyDescent="0.35">
      <c r="A127">
        <f>INDEX(Logframe!F:F,131,1)</f>
        <v>0</v>
      </c>
      <c r="B127" s="110">
        <v>1.39</v>
      </c>
      <c r="C127" s="321" t="str">
        <f>INDEX(Logframe!B:B,131,1)</f>
        <v>0</v>
      </c>
      <c r="D127" t="str">
        <f t="shared" si="23"/>
        <v/>
      </c>
      <c r="E127" t="str">
        <f t="shared" si="24"/>
        <v/>
      </c>
      <c r="F127" t="str">
        <f t="shared" si="17"/>
        <v/>
      </c>
      <c r="G127" t="str">
        <f t="shared" si="25"/>
        <v/>
      </c>
      <c r="H127" t="str">
        <f t="shared" si="18"/>
        <v/>
      </c>
      <c r="I127" s="157" t="str">
        <f t="shared" si="19"/>
        <v/>
      </c>
      <c r="J127" s="157"/>
      <c r="K127" s="157" t="str">
        <f t="shared" si="20"/>
        <v/>
      </c>
      <c r="L127" s="157" t="str">
        <f t="shared" si="21"/>
        <v/>
      </c>
      <c r="M127" s="157"/>
      <c r="N127" s="157" t="str">
        <f t="shared" si="22"/>
        <v/>
      </c>
      <c r="O127" s="174" t="str">
        <f>Table13[[#This Row],[Combined List]]</f>
        <v/>
      </c>
      <c r="P127" s="157">
        <v>123</v>
      </c>
      <c r="Q127" s="174" t="str">
        <f t="shared" si="27"/>
        <v/>
      </c>
      <c r="R127" s="174" t="str">
        <f t="shared" si="27"/>
        <v/>
      </c>
      <c r="S127" s="174" t="str">
        <f t="shared" si="27"/>
        <v/>
      </c>
      <c r="T127" s="174" t="str">
        <f t="shared" si="28"/>
        <v/>
      </c>
      <c r="U127" s="174" t="str">
        <f t="shared" si="29"/>
        <v/>
      </c>
      <c r="V127" s="174" t="str">
        <f t="shared" si="30"/>
        <v/>
      </c>
      <c r="W127" s="174" t="str">
        <f>_xlfn.IFNA(VLOOKUP(T:T,Logframe!$B:$G,6,FALSE),"")</f>
        <v/>
      </c>
      <c r="X127" s="174" t="str">
        <f>_xlfn.IFNA(VLOOKUP(U:U,Logframe!$B:$G,6,FALSE),"")</f>
        <v/>
      </c>
      <c r="Y127" s="174" t="str">
        <f>_xlfn.IFNA(VLOOKUP(V:V,Logframe!$B:$G,6,FALSE),"")</f>
        <v/>
      </c>
      <c r="Z127">
        <v>123</v>
      </c>
      <c r="AD127" t="str">
        <f t="shared" si="31"/>
        <v/>
      </c>
      <c r="AE127" t="str">
        <f t="shared" si="31"/>
        <v/>
      </c>
      <c r="AF127" t="str">
        <f t="shared" si="26"/>
        <v/>
      </c>
    </row>
    <row r="128" spans="1:32" x14ac:dyDescent="0.35">
      <c r="A128">
        <f>INDEX(Logframe!F:F,132,1)</f>
        <v>0</v>
      </c>
      <c r="B128" s="110">
        <v>1.41</v>
      </c>
      <c r="C128" s="321" t="str">
        <f>INDEX(Logframe!B:B,132,1)</f>
        <v>0</v>
      </c>
      <c r="D128" t="str">
        <f t="shared" si="23"/>
        <v/>
      </c>
      <c r="E128" t="str">
        <f t="shared" si="24"/>
        <v/>
      </c>
      <c r="F128" t="str">
        <f t="shared" si="17"/>
        <v/>
      </c>
      <c r="G128" t="str">
        <f t="shared" si="25"/>
        <v/>
      </c>
      <c r="H128" t="str">
        <f t="shared" si="18"/>
        <v/>
      </c>
      <c r="I128" s="157" t="str">
        <f t="shared" si="19"/>
        <v/>
      </c>
      <c r="J128" s="157"/>
      <c r="K128" s="157" t="str">
        <f t="shared" si="20"/>
        <v/>
      </c>
      <c r="L128" s="157" t="str">
        <f t="shared" si="21"/>
        <v/>
      </c>
      <c r="M128" s="157"/>
      <c r="N128" s="157" t="str">
        <f t="shared" si="22"/>
        <v/>
      </c>
      <c r="O128" s="174" t="str">
        <f>Table13[[#This Row],[Combined List]]</f>
        <v/>
      </c>
      <c r="P128" s="157">
        <v>124</v>
      </c>
      <c r="Q128" s="174" t="str">
        <f t="shared" si="27"/>
        <v/>
      </c>
      <c r="R128" s="174" t="str">
        <f t="shared" si="27"/>
        <v/>
      </c>
      <c r="S128" s="174" t="str">
        <f t="shared" si="27"/>
        <v/>
      </c>
      <c r="T128" s="174" t="str">
        <f t="shared" si="28"/>
        <v/>
      </c>
      <c r="U128" s="174" t="str">
        <f t="shared" si="29"/>
        <v/>
      </c>
      <c r="V128" s="174" t="str">
        <f t="shared" si="30"/>
        <v/>
      </c>
      <c r="W128" s="174" t="str">
        <f>_xlfn.IFNA(VLOOKUP(T:T,Logframe!$B:$G,6,FALSE),"")</f>
        <v/>
      </c>
      <c r="X128" s="174" t="str">
        <f>_xlfn.IFNA(VLOOKUP(U:U,Logframe!$B:$G,6,FALSE),"")</f>
        <v/>
      </c>
      <c r="Y128" s="174" t="str">
        <f>_xlfn.IFNA(VLOOKUP(V:V,Logframe!$B:$G,6,FALSE),"")</f>
        <v/>
      </c>
      <c r="Z128">
        <v>124</v>
      </c>
      <c r="AD128" t="str">
        <f t="shared" si="31"/>
        <v/>
      </c>
      <c r="AE128" t="str">
        <f t="shared" si="31"/>
        <v/>
      </c>
      <c r="AF128" t="str">
        <f t="shared" si="26"/>
        <v/>
      </c>
    </row>
    <row r="129" spans="1:32" x14ac:dyDescent="0.35">
      <c r="A129">
        <f>INDEX(Logframe!F:F,133,1)</f>
        <v>0</v>
      </c>
      <c r="B129" s="110">
        <v>1.42</v>
      </c>
      <c r="C129" s="321" t="str">
        <f>INDEX(Logframe!B:B,133,1)</f>
        <v>0</v>
      </c>
      <c r="D129" t="str">
        <f t="shared" si="23"/>
        <v/>
      </c>
      <c r="E129" t="str">
        <f t="shared" si="24"/>
        <v/>
      </c>
      <c r="F129" t="str">
        <f t="shared" si="17"/>
        <v/>
      </c>
      <c r="G129" t="str">
        <f t="shared" si="25"/>
        <v/>
      </c>
      <c r="H129" t="str">
        <f t="shared" si="18"/>
        <v/>
      </c>
      <c r="I129" s="157" t="str">
        <f t="shared" si="19"/>
        <v/>
      </c>
      <c r="J129" s="157"/>
      <c r="K129" s="157" t="str">
        <f t="shared" si="20"/>
        <v/>
      </c>
      <c r="L129" s="157" t="str">
        <f t="shared" si="21"/>
        <v/>
      </c>
      <c r="M129" s="157"/>
      <c r="N129" s="157" t="str">
        <f t="shared" si="22"/>
        <v/>
      </c>
      <c r="O129" s="174" t="str">
        <f>Table13[[#This Row],[Combined List]]</f>
        <v/>
      </c>
      <c r="P129" s="157">
        <v>125</v>
      </c>
      <c r="Q129" s="174" t="str">
        <f t="shared" si="27"/>
        <v/>
      </c>
      <c r="R129" s="174" t="str">
        <f t="shared" si="27"/>
        <v/>
      </c>
      <c r="S129" s="174" t="str">
        <f t="shared" si="27"/>
        <v/>
      </c>
      <c r="T129" s="174" t="str">
        <f t="shared" si="28"/>
        <v/>
      </c>
      <c r="U129" s="174" t="str">
        <f t="shared" si="29"/>
        <v/>
      </c>
      <c r="V129" s="174" t="str">
        <f t="shared" si="30"/>
        <v/>
      </c>
      <c r="W129" s="174" t="str">
        <f>_xlfn.IFNA(VLOOKUP(T:T,Logframe!$B:$G,6,FALSE),"")</f>
        <v/>
      </c>
      <c r="X129" s="174" t="str">
        <f>_xlfn.IFNA(VLOOKUP(U:U,Logframe!$B:$G,6,FALSE),"")</f>
        <v/>
      </c>
      <c r="Y129" s="174" t="str">
        <f>_xlfn.IFNA(VLOOKUP(V:V,Logframe!$B:$G,6,FALSE),"")</f>
        <v/>
      </c>
      <c r="Z129">
        <v>125</v>
      </c>
      <c r="AD129" t="str">
        <f t="shared" si="31"/>
        <v/>
      </c>
      <c r="AE129" t="str">
        <f t="shared" si="31"/>
        <v/>
      </c>
      <c r="AF129" t="str">
        <f t="shared" si="26"/>
        <v/>
      </c>
    </row>
    <row r="130" spans="1:32" x14ac:dyDescent="0.35">
      <c r="A130">
        <f>INDEX(Logframe!F:F,134,1)</f>
        <v>0</v>
      </c>
      <c r="B130" s="110">
        <v>1.43</v>
      </c>
      <c r="C130" s="321" t="str">
        <f>INDEX(Logframe!B:B,134,1)</f>
        <v>0</v>
      </c>
      <c r="D130" t="str">
        <f t="shared" si="23"/>
        <v/>
      </c>
      <c r="E130" t="str">
        <f t="shared" si="24"/>
        <v/>
      </c>
      <c r="F130" t="str">
        <f t="shared" ref="F130:F193" si="32">IF(ISNUMBER(SEARCH("Code",A:A)),"",IF(LEN(A130)=4,A130,""))</f>
        <v/>
      </c>
      <c r="G130" t="str">
        <f t="shared" si="25"/>
        <v/>
      </c>
      <c r="H130" t="str">
        <f t="shared" ref="H130:H193" si="33">IF(LEN(A130)=5,A130,"")</f>
        <v/>
      </c>
      <c r="I130" s="157" t="str">
        <f t="shared" ref="I130:I193" si="34">CONCATENATE(F:F,G:G,H:H)</f>
        <v/>
      </c>
      <c r="J130" s="157"/>
      <c r="K130" s="157" t="str">
        <f t="shared" ref="K130:K193" si="35">IF(LEN(CONCATENATE(B:B,D:D))&gt;4,CONCATENATE(B:B,D:D),"")</f>
        <v/>
      </c>
      <c r="L130" s="157" t="str">
        <f t="shared" ref="L130:L193" si="36">IF(LEN(CONCATENATE(B:B,E:E))&gt;4,CONCATENATE(B:B,E:E),"")</f>
        <v/>
      </c>
      <c r="M130" s="157"/>
      <c r="N130" s="157" t="str">
        <f t="shared" ref="N130:N193" si="37">IF(LEN(CONCATENATE(B:B,I:I))&gt;4,CONCATENATE(B:B,I:I),"")</f>
        <v/>
      </c>
      <c r="O130" s="174" t="str">
        <f>Table13[[#This Row],[Combined List]]</f>
        <v/>
      </c>
      <c r="P130" s="157">
        <v>126</v>
      </c>
      <c r="Q130" s="174" t="str">
        <f t="shared" si="27"/>
        <v/>
      </c>
      <c r="R130" s="174" t="str">
        <f t="shared" si="27"/>
        <v/>
      </c>
      <c r="S130" s="174" t="str">
        <f t="shared" si="27"/>
        <v/>
      </c>
      <c r="T130" s="174" t="str">
        <f t="shared" si="28"/>
        <v/>
      </c>
      <c r="U130" s="174" t="str">
        <f t="shared" si="29"/>
        <v/>
      </c>
      <c r="V130" s="174" t="str">
        <f t="shared" si="30"/>
        <v/>
      </c>
      <c r="W130" s="174" t="str">
        <f>_xlfn.IFNA(VLOOKUP(T:T,Logframe!$B:$G,6,FALSE),"")</f>
        <v/>
      </c>
      <c r="X130" s="174" t="str">
        <f>_xlfn.IFNA(VLOOKUP(U:U,Logframe!$B:$G,6,FALSE),"")</f>
        <v/>
      </c>
      <c r="Y130" s="174" t="str">
        <f>_xlfn.IFNA(VLOOKUP(V:V,Logframe!$B:$G,6,FALSE),"")</f>
        <v/>
      </c>
      <c r="Z130">
        <v>126</v>
      </c>
      <c r="AD130" t="str">
        <f t="shared" si="31"/>
        <v/>
      </c>
      <c r="AE130" t="str">
        <f t="shared" si="31"/>
        <v/>
      </c>
      <c r="AF130" t="str">
        <f t="shared" si="26"/>
        <v/>
      </c>
    </row>
    <row r="131" spans="1:32" x14ac:dyDescent="0.35">
      <c r="A131">
        <f>INDEX(Logframe!F:F,135,1)</f>
        <v>0</v>
      </c>
      <c r="B131" s="110">
        <v>1.44</v>
      </c>
      <c r="C131" s="321" t="str">
        <f>INDEX(Logframe!B:B,135,1)</f>
        <v>0</v>
      </c>
      <c r="D131" t="str">
        <f t="shared" ref="D131:D194" si="38">IF(LEFT(A131,1)="B",A131,"")</f>
        <v/>
      </c>
      <c r="E131" t="str">
        <f t="shared" ref="E131:E194" si="39">IF(LEN(IF(LEFT(A131,1)="P",A131,""))=7,IF(LEFT(A131,1)="P",A131,""),"")</f>
        <v/>
      </c>
      <c r="F131" t="str">
        <f t="shared" si="32"/>
        <v/>
      </c>
      <c r="G131" t="str">
        <f t="shared" ref="G131:G194" si="40">IF(LEN(A131)=3,A131,"")</f>
        <v/>
      </c>
      <c r="H131" t="str">
        <f t="shared" si="33"/>
        <v/>
      </c>
      <c r="I131" s="157" t="str">
        <f t="shared" si="34"/>
        <v/>
      </c>
      <c r="J131" s="157"/>
      <c r="K131" s="157" t="str">
        <f t="shared" si="35"/>
        <v/>
      </c>
      <c r="L131" s="157" t="str">
        <f t="shared" si="36"/>
        <v/>
      </c>
      <c r="M131" s="157"/>
      <c r="N131" s="157" t="str">
        <f t="shared" si="37"/>
        <v/>
      </c>
      <c r="O131" s="174" t="str">
        <f>Table13[[#This Row],[Combined List]]</f>
        <v/>
      </c>
      <c r="P131" s="157">
        <v>127</v>
      </c>
      <c r="Q131" s="174" t="str">
        <f t="shared" si="27"/>
        <v/>
      </c>
      <c r="R131" s="174" t="str">
        <f t="shared" si="27"/>
        <v/>
      </c>
      <c r="S131" s="174" t="str">
        <f t="shared" si="27"/>
        <v/>
      </c>
      <c r="T131" s="174" t="str">
        <f t="shared" si="28"/>
        <v/>
      </c>
      <c r="U131" s="174" t="str">
        <f t="shared" si="29"/>
        <v/>
      </c>
      <c r="V131" s="174" t="str">
        <f t="shared" si="30"/>
        <v/>
      </c>
      <c r="W131" s="174" t="str">
        <f>_xlfn.IFNA(VLOOKUP(T:T,Logframe!$B:$G,6,FALSE),"")</f>
        <v/>
      </c>
      <c r="X131" s="174" t="str">
        <f>_xlfn.IFNA(VLOOKUP(U:U,Logframe!$B:$G,6,FALSE),"")</f>
        <v/>
      </c>
      <c r="Y131" s="174" t="str">
        <f>_xlfn.IFNA(VLOOKUP(V:V,Logframe!$B:$G,6,FALSE),"")</f>
        <v/>
      </c>
      <c r="Z131">
        <v>127</v>
      </c>
      <c r="AD131" t="str">
        <f t="shared" si="31"/>
        <v/>
      </c>
      <c r="AE131" t="str">
        <f t="shared" si="31"/>
        <v/>
      </c>
      <c r="AF131" t="str">
        <f t="shared" si="26"/>
        <v/>
      </c>
    </row>
    <row r="132" spans="1:32" x14ac:dyDescent="0.35">
      <c r="A132">
        <f>INDEX(Logframe!F:F,136,1)</f>
        <v>0</v>
      </c>
      <c r="B132" s="110">
        <v>1.45</v>
      </c>
      <c r="C132" s="321" t="str">
        <f>INDEX(Logframe!B:B,136,1)</f>
        <v>0</v>
      </c>
      <c r="D132" t="str">
        <f t="shared" si="38"/>
        <v/>
      </c>
      <c r="E132" t="str">
        <f t="shared" si="39"/>
        <v/>
      </c>
      <c r="F132" t="str">
        <f t="shared" si="32"/>
        <v/>
      </c>
      <c r="G132" t="str">
        <f t="shared" si="40"/>
        <v/>
      </c>
      <c r="H132" t="str">
        <f t="shared" si="33"/>
        <v/>
      </c>
      <c r="I132" s="157" t="str">
        <f t="shared" si="34"/>
        <v/>
      </c>
      <c r="J132" s="157"/>
      <c r="K132" s="157" t="str">
        <f t="shared" si="35"/>
        <v/>
      </c>
      <c r="L132" s="157" t="str">
        <f t="shared" si="36"/>
        <v/>
      </c>
      <c r="M132" s="157"/>
      <c r="N132" s="157" t="str">
        <f t="shared" si="37"/>
        <v/>
      </c>
      <c r="O132" s="174" t="str">
        <f>Table13[[#This Row],[Combined List]]</f>
        <v/>
      </c>
      <c r="P132" s="157">
        <v>128</v>
      </c>
      <c r="Q132" s="174" t="str">
        <f t="shared" si="27"/>
        <v/>
      </c>
      <c r="R132" s="174" t="str">
        <f t="shared" si="27"/>
        <v/>
      </c>
      <c r="S132" s="174" t="str">
        <f t="shared" si="27"/>
        <v/>
      </c>
      <c r="T132" s="174" t="str">
        <f t="shared" si="28"/>
        <v/>
      </c>
      <c r="U132" s="174" t="str">
        <f t="shared" si="29"/>
        <v/>
      </c>
      <c r="V132" s="174" t="str">
        <f t="shared" si="30"/>
        <v/>
      </c>
      <c r="W132" s="174" t="str">
        <f>_xlfn.IFNA(VLOOKUP(T:T,Logframe!$B:$G,6,FALSE),"")</f>
        <v/>
      </c>
      <c r="X132" s="174" t="str">
        <f>_xlfn.IFNA(VLOOKUP(U:U,Logframe!$B:$G,6,FALSE),"")</f>
        <v/>
      </c>
      <c r="Y132" s="174" t="str">
        <f>_xlfn.IFNA(VLOOKUP(V:V,Logframe!$B:$G,6,FALSE),"")</f>
        <v/>
      </c>
      <c r="Z132">
        <v>128</v>
      </c>
      <c r="AD132" t="str">
        <f t="shared" si="31"/>
        <v/>
      </c>
      <c r="AE132" t="str">
        <f t="shared" si="31"/>
        <v/>
      </c>
      <c r="AF132" t="str">
        <f t="shared" si="26"/>
        <v/>
      </c>
    </row>
    <row r="133" spans="1:32" x14ac:dyDescent="0.35">
      <c r="A133">
        <f>INDEX(Logframe!F:F,137,1)</f>
        <v>0</v>
      </c>
      <c r="B133" s="110">
        <v>1.46</v>
      </c>
      <c r="C133" s="321" t="str">
        <f>INDEX(Logframe!B:B,137,1)</f>
        <v>0</v>
      </c>
      <c r="D133" t="str">
        <f t="shared" si="38"/>
        <v/>
      </c>
      <c r="E133" t="str">
        <f t="shared" si="39"/>
        <v/>
      </c>
      <c r="F133" t="str">
        <f t="shared" si="32"/>
        <v/>
      </c>
      <c r="G133" t="str">
        <f t="shared" si="40"/>
        <v/>
      </c>
      <c r="H133" t="str">
        <f t="shared" si="33"/>
        <v/>
      </c>
      <c r="I133" s="157" t="str">
        <f t="shared" si="34"/>
        <v/>
      </c>
      <c r="J133" s="157"/>
      <c r="K133" s="157" t="str">
        <f t="shared" si="35"/>
        <v/>
      </c>
      <c r="L133" s="157" t="str">
        <f t="shared" si="36"/>
        <v/>
      </c>
      <c r="M133" s="157"/>
      <c r="N133" s="157" t="str">
        <f t="shared" si="37"/>
        <v/>
      </c>
      <c r="O133" s="174" t="str">
        <f>Table13[[#This Row],[Combined List]]</f>
        <v/>
      </c>
      <c r="P133" s="157">
        <v>129</v>
      </c>
      <c r="Q133" s="174" t="str">
        <f t="shared" si="27"/>
        <v/>
      </c>
      <c r="R133" s="174" t="str">
        <f t="shared" si="27"/>
        <v/>
      </c>
      <c r="S133" s="174" t="str">
        <f t="shared" si="27"/>
        <v/>
      </c>
      <c r="T133" s="174" t="str">
        <f t="shared" si="28"/>
        <v/>
      </c>
      <c r="U133" s="174" t="str">
        <f t="shared" si="29"/>
        <v/>
      </c>
      <c r="V133" s="174" t="str">
        <f t="shared" si="30"/>
        <v/>
      </c>
      <c r="W133" s="174" t="str">
        <f>_xlfn.IFNA(VLOOKUP(T:T,Logframe!$B:$G,6,FALSE),"")</f>
        <v/>
      </c>
      <c r="X133" s="174" t="str">
        <f>_xlfn.IFNA(VLOOKUP(U:U,Logframe!$B:$G,6,FALSE),"")</f>
        <v/>
      </c>
      <c r="Y133" s="174" t="str">
        <f>_xlfn.IFNA(VLOOKUP(V:V,Logframe!$B:$G,6,FALSE),"")</f>
        <v/>
      </c>
      <c r="Z133">
        <v>129</v>
      </c>
      <c r="AD133" t="str">
        <f t="shared" si="31"/>
        <v/>
      </c>
      <c r="AE133" t="str">
        <f t="shared" si="31"/>
        <v/>
      </c>
      <c r="AF133" t="str">
        <f t="shared" ref="AF133:AF196" si="41">_xlfn.IFNA(VLOOKUP(AC:AC,N:O,2,FALSE),"")</f>
        <v/>
      </c>
    </row>
    <row r="134" spans="1:32" x14ac:dyDescent="0.35">
      <c r="A134">
        <f>INDEX(Logframe!F:F,138,1)</f>
        <v>0</v>
      </c>
      <c r="B134" s="110">
        <v>1.47</v>
      </c>
      <c r="C134" s="321" t="str">
        <f>INDEX(Logframe!B:B,138,1)</f>
        <v>0</v>
      </c>
      <c r="D134" t="str">
        <f t="shared" si="38"/>
        <v/>
      </c>
      <c r="E134" t="str">
        <f t="shared" si="39"/>
        <v/>
      </c>
      <c r="F134" t="str">
        <f t="shared" si="32"/>
        <v/>
      </c>
      <c r="G134" t="str">
        <f t="shared" si="40"/>
        <v/>
      </c>
      <c r="H134" t="str">
        <f t="shared" si="33"/>
        <v/>
      </c>
      <c r="I134" s="157" t="str">
        <f t="shared" si="34"/>
        <v/>
      </c>
      <c r="J134" s="157"/>
      <c r="K134" s="157" t="str">
        <f t="shared" si="35"/>
        <v/>
      </c>
      <c r="L134" s="157" t="str">
        <f t="shared" si="36"/>
        <v/>
      </c>
      <c r="M134" s="157"/>
      <c r="N134" s="157" t="str">
        <f t="shared" si="37"/>
        <v/>
      </c>
      <c r="O134" s="174" t="str">
        <f>Table13[[#This Row],[Combined List]]</f>
        <v/>
      </c>
      <c r="P134" s="157">
        <v>130</v>
      </c>
      <c r="Q134" s="174" t="str">
        <f t="shared" ref="Q134:S197" si="42">IFERROR(VALUE(LEFT(AA:AA,4)),"")</f>
        <v/>
      </c>
      <c r="R134" s="174" t="str">
        <f t="shared" si="42"/>
        <v/>
      </c>
      <c r="S134" s="174" t="str">
        <f t="shared" si="42"/>
        <v/>
      </c>
      <c r="T134" s="174" t="str">
        <f t="shared" ref="T134:T197" si="43">_xlfn.IFNA(VLOOKUP(Q:Q,$B:$C,2,FALSE),"")</f>
        <v/>
      </c>
      <c r="U134" s="174" t="str">
        <f t="shared" ref="U134:U197" si="44">_xlfn.IFNA(VLOOKUP(R:R,$B:$C,2,FALSE),"")</f>
        <v/>
      </c>
      <c r="V134" s="174" t="str">
        <f t="shared" ref="V134:V197" si="45">_xlfn.IFNA(VLOOKUP(S:S,$B:$C,2,FALSE),"")</f>
        <v/>
      </c>
      <c r="W134" s="174" t="str">
        <f>_xlfn.IFNA(VLOOKUP(T:T,Logframe!$B:$G,6,FALSE),"")</f>
        <v/>
      </c>
      <c r="X134" s="174" t="str">
        <f>_xlfn.IFNA(VLOOKUP(U:U,Logframe!$B:$G,6,FALSE),"")</f>
        <v/>
      </c>
      <c r="Y134" s="174" t="str">
        <f>_xlfn.IFNA(VLOOKUP(V:V,Logframe!$B:$G,6,FALSE),"")</f>
        <v/>
      </c>
      <c r="Z134">
        <v>130</v>
      </c>
      <c r="AD134" t="str">
        <f t="shared" si="31"/>
        <v/>
      </c>
      <c r="AE134" t="str">
        <f t="shared" si="31"/>
        <v/>
      </c>
      <c r="AF134" t="str">
        <f t="shared" si="41"/>
        <v/>
      </c>
    </row>
    <row r="135" spans="1:32" x14ac:dyDescent="0.35">
      <c r="A135">
        <f>INDEX(Logframe!F:F,139,1)</f>
        <v>0</v>
      </c>
      <c r="B135" s="110">
        <v>1.48</v>
      </c>
      <c r="C135" s="321" t="str">
        <f>INDEX(Logframe!B:B,139,1)</f>
        <v>0</v>
      </c>
      <c r="D135" t="str">
        <f t="shared" si="38"/>
        <v/>
      </c>
      <c r="E135" t="str">
        <f t="shared" si="39"/>
        <v/>
      </c>
      <c r="F135" t="str">
        <f t="shared" si="32"/>
        <v/>
      </c>
      <c r="G135" t="str">
        <f t="shared" si="40"/>
        <v/>
      </c>
      <c r="H135" t="str">
        <f t="shared" si="33"/>
        <v/>
      </c>
      <c r="I135" s="157" t="str">
        <f t="shared" si="34"/>
        <v/>
      </c>
      <c r="J135" s="157"/>
      <c r="K135" s="157" t="str">
        <f t="shared" si="35"/>
        <v/>
      </c>
      <c r="L135" s="157" t="str">
        <f t="shared" si="36"/>
        <v/>
      </c>
      <c r="M135" s="157"/>
      <c r="N135" s="157" t="str">
        <f t="shared" si="37"/>
        <v/>
      </c>
      <c r="O135" s="174" t="str">
        <f>Table13[[#This Row],[Combined List]]</f>
        <v/>
      </c>
      <c r="P135" s="157">
        <v>131</v>
      </c>
      <c r="Q135" s="174" t="str">
        <f t="shared" si="42"/>
        <v/>
      </c>
      <c r="R135" s="174" t="str">
        <f t="shared" si="42"/>
        <v/>
      </c>
      <c r="S135" s="174" t="str">
        <f t="shared" si="42"/>
        <v/>
      </c>
      <c r="T135" s="174" t="str">
        <f t="shared" si="43"/>
        <v/>
      </c>
      <c r="U135" s="174" t="str">
        <f t="shared" si="44"/>
        <v/>
      </c>
      <c r="V135" s="174" t="str">
        <f t="shared" si="45"/>
        <v/>
      </c>
      <c r="W135" s="174" t="str">
        <f>_xlfn.IFNA(VLOOKUP(T:T,Logframe!$B:$G,6,FALSE),"")</f>
        <v/>
      </c>
      <c r="X135" s="174" t="str">
        <f>_xlfn.IFNA(VLOOKUP(U:U,Logframe!$B:$G,6,FALSE),"")</f>
        <v/>
      </c>
      <c r="Y135" s="174" t="str">
        <f>_xlfn.IFNA(VLOOKUP(V:V,Logframe!$B:$G,6,FALSE),"")</f>
        <v/>
      </c>
      <c r="Z135">
        <v>131</v>
      </c>
      <c r="AD135" t="str">
        <f t="shared" si="31"/>
        <v/>
      </c>
      <c r="AE135" t="str">
        <f t="shared" si="31"/>
        <v/>
      </c>
      <c r="AF135" t="str">
        <f t="shared" si="41"/>
        <v/>
      </c>
    </row>
    <row r="136" spans="1:32" x14ac:dyDescent="0.35">
      <c r="A136">
        <f>INDEX(Logframe!F:F,140,1)</f>
        <v>0</v>
      </c>
      <c r="B136" s="110">
        <v>1.49</v>
      </c>
      <c r="C136" s="321" t="str">
        <f>INDEX(Logframe!B:B,140,1)</f>
        <v>0</v>
      </c>
      <c r="D136" t="str">
        <f t="shared" si="38"/>
        <v/>
      </c>
      <c r="E136" t="str">
        <f t="shared" si="39"/>
        <v/>
      </c>
      <c r="F136" t="str">
        <f t="shared" si="32"/>
        <v/>
      </c>
      <c r="G136" t="str">
        <f t="shared" si="40"/>
        <v/>
      </c>
      <c r="H136" t="str">
        <f t="shared" si="33"/>
        <v/>
      </c>
      <c r="I136" s="157" t="str">
        <f t="shared" si="34"/>
        <v/>
      </c>
      <c r="J136" s="157"/>
      <c r="K136" s="157" t="str">
        <f t="shared" si="35"/>
        <v/>
      </c>
      <c r="L136" s="157" t="str">
        <f t="shared" si="36"/>
        <v/>
      </c>
      <c r="M136" s="157"/>
      <c r="N136" s="157" t="str">
        <f t="shared" si="37"/>
        <v/>
      </c>
      <c r="O136" s="174" t="str">
        <f>Table13[[#This Row],[Combined List]]</f>
        <v/>
      </c>
      <c r="P136" s="157">
        <v>132</v>
      </c>
      <c r="Q136" s="174" t="str">
        <f t="shared" si="42"/>
        <v/>
      </c>
      <c r="R136" s="174" t="str">
        <f t="shared" si="42"/>
        <v/>
      </c>
      <c r="S136" s="174" t="str">
        <f t="shared" si="42"/>
        <v/>
      </c>
      <c r="T136" s="174" t="str">
        <f t="shared" si="43"/>
        <v/>
      </c>
      <c r="U136" s="174" t="str">
        <f t="shared" si="44"/>
        <v/>
      </c>
      <c r="V136" s="174" t="str">
        <f t="shared" si="45"/>
        <v/>
      </c>
      <c r="W136" s="174" t="str">
        <f>_xlfn.IFNA(VLOOKUP(T:T,Logframe!$B:$G,6,FALSE),"")</f>
        <v/>
      </c>
      <c r="X136" s="174" t="str">
        <f>_xlfn.IFNA(VLOOKUP(U:U,Logframe!$B:$G,6,FALSE),"")</f>
        <v/>
      </c>
      <c r="Y136" s="174" t="str">
        <f>_xlfn.IFNA(VLOOKUP(V:V,Logframe!$B:$G,6,FALSE),"")</f>
        <v/>
      </c>
      <c r="Z136">
        <v>132</v>
      </c>
      <c r="AD136" t="str">
        <f t="shared" si="31"/>
        <v/>
      </c>
      <c r="AE136" t="str">
        <f t="shared" si="31"/>
        <v/>
      </c>
      <c r="AF136" t="str">
        <f t="shared" si="41"/>
        <v/>
      </c>
    </row>
    <row r="137" spans="1:32" x14ac:dyDescent="0.35">
      <c r="A137">
        <f>INDEX(Logframe!F:F,141,1)</f>
        <v>0</v>
      </c>
      <c r="B137" s="110">
        <v>1.51</v>
      </c>
      <c r="C137" s="321" t="str">
        <f>INDEX(Logframe!B:B,141,1)</f>
        <v>0</v>
      </c>
      <c r="D137" t="str">
        <f t="shared" si="38"/>
        <v/>
      </c>
      <c r="E137" t="str">
        <f t="shared" si="39"/>
        <v/>
      </c>
      <c r="F137" t="str">
        <f t="shared" si="32"/>
        <v/>
      </c>
      <c r="G137" t="str">
        <f t="shared" si="40"/>
        <v/>
      </c>
      <c r="H137" t="str">
        <f t="shared" si="33"/>
        <v/>
      </c>
      <c r="I137" s="157" t="str">
        <f t="shared" si="34"/>
        <v/>
      </c>
      <c r="J137" s="157"/>
      <c r="K137" s="157" t="str">
        <f t="shared" si="35"/>
        <v/>
      </c>
      <c r="L137" s="157" t="str">
        <f t="shared" si="36"/>
        <v/>
      </c>
      <c r="M137" s="157"/>
      <c r="N137" s="157" t="str">
        <f t="shared" si="37"/>
        <v/>
      </c>
      <c r="O137" s="174" t="str">
        <f>Table13[[#This Row],[Combined List]]</f>
        <v/>
      </c>
      <c r="P137" s="157">
        <v>133</v>
      </c>
      <c r="Q137" s="174" t="str">
        <f t="shared" si="42"/>
        <v/>
      </c>
      <c r="R137" s="174" t="str">
        <f t="shared" si="42"/>
        <v/>
      </c>
      <c r="S137" s="174" t="str">
        <f t="shared" si="42"/>
        <v/>
      </c>
      <c r="T137" s="174" t="str">
        <f t="shared" si="43"/>
        <v/>
      </c>
      <c r="U137" s="174" t="str">
        <f t="shared" si="44"/>
        <v/>
      </c>
      <c r="V137" s="174" t="str">
        <f t="shared" si="45"/>
        <v/>
      </c>
      <c r="W137" s="174" t="str">
        <f>_xlfn.IFNA(VLOOKUP(T:T,Logframe!$B:$G,6,FALSE),"")</f>
        <v/>
      </c>
      <c r="X137" s="174" t="str">
        <f>_xlfn.IFNA(VLOOKUP(U:U,Logframe!$B:$G,6,FALSE),"")</f>
        <v/>
      </c>
      <c r="Y137" s="174" t="str">
        <f>_xlfn.IFNA(VLOOKUP(V:V,Logframe!$B:$G,6,FALSE),"")</f>
        <v/>
      </c>
      <c r="Z137">
        <v>133</v>
      </c>
      <c r="AD137" t="str">
        <f t="shared" si="31"/>
        <v/>
      </c>
      <c r="AE137" t="str">
        <f t="shared" si="31"/>
        <v/>
      </c>
      <c r="AF137" t="str">
        <f t="shared" si="41"/>
        <v/>
      </c>
    </row>
    <row r="138" spans="1:32" x14ac:dyDescent="0.35">
      <c r="A138">
        <f>INDEX(Logframe!F:F,142,1)</f>
        <v>0</v>
      </c>
      <c r="B138" s="110">
        <v>1.52</v>
      </c>
      <c r="C138" s="321" t="str">
        <f>INDEX(Logframe!B:B,142,1)</f>
        <v>0</v>
      </c>
      <c r="D138" t="str">
        <f t="shared" si="38"/>
        <v/>
      </c>
      <c r="E138" t="str">
        <f t="shared" si="39"/>
        <v/>
      </c>
      <c r="F138" t="str">
        <f t="shared" si="32"/>
        <v/>
      </c>
      <c r="G138" t="str">
        <f t="shared" si="40"/>
        <v/>
      </c>
      <c r="H138" t="str">
        <f t="shared" si="33"/>
        <v/>
      </c>
      <c r="I138" s="157" t="str">
        <f t="shared" si="34"/>
        <v/>
      </c>
      <c r="J138" s="157"/>
      <c r="K138" s="157" t="str">
        <f t="shared" si="35"/>
        <v/>
      </c>
      <c r="L138" s="157" t="str">
        <f t="shared" si="36"/>
        <v/>
      </c>
      <c r="M138" s="157"/>
      <c r="N138" s="157" t="str">
        <f t="shared" si="37"/>
        <v/>
      </c>
      <c r="O138" s="174" t="str">
        <f>Table13[[#This Row],[Combined List]]</f>
        <v/>
      </c>
      <c r="P138" s="157">
        <v>134</v>
      </c>
      <c r="Q138" s="174" t="str">
        <f t="shared" si="42"/>
        <v/>
      </c>
      <c r="R138" s="174" t="str">
        <f t="shared" si="42"/>
        <v/>
      </c>
      <c r="S138" s="174" t="str">
        <f t="shared" si="42"/>
        <v/>
      </c>
      <c r="T138" s="174" t="str">
        <f t="shared" si="43"/>
        <v/>
      </c>
      <c r="U138" s="174" t="str">
        <f t="shared" si="44"/>
        <v/>
      </c>
      <c r="V138" s="174" t="str">
        <f t="shared" si="45"/>
        <v/>
      </c>
      <c r="W138" s="174" t="str">
        <f>_xlfn.IFNA(VLOOKUP(T:T,Logframe!$B:$G,6,FALSE),"")</f>
        <v/>
      </c>
      <c r="X138" s="174" t="str">
        <f>_xlfn.IFNA(VLOOKUP(U:U,Logframe!$B:$G,6,FALSE),"")</f>
        <v/>
      </c>
      <c r="Y138" s="174" t="str">
        <f>_xlfn.IFNA(VLOOKUP(V:V,Logframe!$B:$G,6,FALSE),"")</f>
        <v/>
      </c>
      <c r="Z138">
        <v>134</v>
      </c>
      <c r="AD138" t="str">
        <f t="shared" si="31"/>
        <v/>
      </c>
      <c r="AE138" t="str">
        <f t="shared" si="31"/>
        <v/>
      </c>
      <c r="AF138" t="str">
        <f t="shared" si="41"/>
        <v/>
      </c>
    </row>
    <row r="139" spans="1:32" x14ac:dyDescent="0.35">
      <c r="A139">
        <f>INDEX(Logframe!F:F,143,1)</f>
        <v>0</v>
      </c>
      <c r="B139" s="110">
        <v>1.53</v>
      </c>
      <c r="C139" s="321" t="str">
        <f>INDEX(Logframe!B:B,143,1)</f>
        <v>0</v>
      </c>
      <c r="D139" t="str">
        <f t="shared" si="38"/>
        <v/>
      </c>
      <c r="E139" t="str">
        <f t="shared" si="39"/>
        <v/>
      </c>
      <c r="F139" t="str">
        <f t="shared" si="32"/>
        <v/>
      </c>
      <c r="G139" t="str">
        <f t="shared" si="40"/>
        <v/>
      </c>
      <c r="H139" t="str">
        <f t="shared" si="33"/>
        <v/>
      </c>
      <c r="I139" s="157" t="str">
        <f t="shared" si="34"/>
        <v/>
      </c>
      <c r="J139" s="157"/>
      <c r="K139" s="157" t="str">
        <f t="shared" si="35"/>
        <v/>
      </c>
      <c r="L139" s="157" t="str">
        <f t="shared" si="36"/>
        <v/>
      </c>
      <c r="M139" s="157"/>
      <c r="N139" s="157" t="str">
        <f t="shared" si="37"/>
        <v/>
      </c>
      <c r="O139" s="174" t="str">
        <f>Table13[[#This Row],[Combined List]]</f>
        <v/>
      </c>
      <c r="P139" s="157">
        <v>135</v>
      </c>
      <c r="Q139" s="174" t="str">
        <f t="shared" si="42"/>
        <v/>
      </c>
      <c r="R139" s="174" t="str">
        <f t="shared" si="42"/>
        <v/>
      </c>
      <c r="S139" s="174" t="str">
        <f t="shared" si="42"/>
        <v/>
      </c>
      <c r="T139" s="174" t="str">
        <f t="shared" si="43"/>
        <v/>
      </c>
      <c r="U139" s="174" t="str">
        <f t="shared" si="44"/>
        <v/>
      </c>
      <c r="V139" s="174" t="str">
        <f t="shared" si="45"/>
        <v/>
      </c>
      <c r="W139" s="174" t="str">
        <f>_xlfn.IFNA(VLOOKUP(T:T,Logframe!$B:$G,6,FALSE),"")</f>
        <v/>
      </c>
      <c r="X139" s="174" t="str">
        <f>_xlfn.IFNA(VLOOKUP(U:U,Logframe!$B:$G,6,FALSE),"")</f>
        <v/>
      </c>
      <c r="Y139" s="174" t="str">
        <f>_xlfn.IFNA(VLOOKUP(V:V,Logframe!$B:$G,6,FALSE),"")</f>
        <v/>
      </c>
      <c r="Z139">
        <v>135</v>
      </c>
      <c r="AD139" t="str">
        <f t="shared" si="31"/>
        <v/>
      </c>
      <c r="AE139" t="str">
        <f t="shared" si="31"/>
        <v/>
      </c>
      <c r="AF139" t="str">
        <f t="shared" si="41"/>
        <v/>
      </c>
    </row>
    <row r="140" spans="1:32" x14ac:dyDescent="0.35">
      <c r="A140">
        <f>INDEX(Logframe!F:F,144,1)</f>
        <v>0</v>
      </c>
      <c r="B140" s="110">
        <v>1.54</v>
      </c>
      <c r="C140" s="321" t="str">
        <f>INDEX(Logframe!B:B,144,1)</f>
        <v>0</v>
      </c>
      <c r="D140" t="str">
        <f t="shared" si="38"/>
        <v/>
      </c>
      <c r="E140" t="str">
        <f t="shared" si="39"/>
        <v/>
      </c>
      <c r="F140" t="str">
        <f t="shared" si="32"/>
        <v/>
      </c>
      <c r="G140" t="str">
        <f t="shared" si="40"/>
        <v/>
      </c>
      <c r="H140" t="str">
        <f t="shared" si="33"/>
        <v/>
      </c>
      <c r="I140" s="157" t="str">
        <f t="shared" si="34"/>
        <v/>
      </c>
      <c r="J140" s="157"/>
      <c r="K140" s="157" t="str">
        <f t="shared" si="35"/>
        <v/>
      </c>
      <c r="L140" s="157" t="str">
        <f t="shared" si="36"/>
        <v/>
      </c>
      <c r="M140" s="157"/>
      <c r="N140" s="157" t="str">
        <f t="shared" si="37"/>
        <v/>
      </c>
      <c r="O140" s="174" t="str">
        <f>Table13[[#This Row],[Combined List]]</f>
        <v/>
      </c>
      <c r="P140" s="157">
        <v>136</v>
      </c>
      <c r="Q140" s="174" t="str">
        <f t="shared" si="42"/>
        <v/>
      </c>
      <c r="R140" s="174" t="str">
        <f t="shared" si="42"/>
        <v/>
      </c>
      <c r="S140" s="174" t="str">
        <f t="shared" si="42"/>
        <v/>
      </c>
      <c r="T140" s="174" t="str">
        <f t="shared" si="43"/>
        <v/>
      </c>
      <c r="U140" s="174" t="str">
        <f t="shared" si="44"/>
        <v/>
      </c>
      <c r="V140" s="174" t="str">
        <f t="shared" si="45"/>
        <v/>
      </c>
      <c r="W140" s="174" t="str">
        <f>_xlfn.IFNA(VLOOKUP(T:T,Logframe!$B:$G,6,FALSE),"")</f>
        <v/>
      </c>
      <c r="X140" s="174" t="str">
        <f>_xlfn.IFNA(VLOOKUP(U:U,Logframe!$B:$G,6,FALSE),"")</f>
        <v/>
      </c>
      <c r="Y140" s="174" t="str">
        <f>_xlfn.IFNA(VLOOKUP(V:V,Logframe!$B:$G,6,FALSE),"")</f>
        <v/>
      </c>
      <c r="Z140">
        <v>136</v>
      </c>
      <c r="AD140" t="str">
        <f t="shared" si="31"/>
        <v/>
      </c>
      <c r="AE140" t="str">
        <f t="shared" si="31"/>
        <v/>
      </c>
      <c r="AF140" t="str">
        <f t="shared" si="41"/>
        <v/>
      </c>
    </row>
    <row r="141" spans="1:32" x14ac:dyDescent="0.35">
      <c r="A141">
        <f>INDEX(Logframe!F:F,145,1)</f>
        <v>0</v>
      </c>
      <c r="B141" s="110">
        <v>1.55</v>
      </c>
      <c r="C141" s="321" t="str">
        <f>INDEX(Logframe!B:B,145,1)</f>
        <v>0</v>
      </c>
      <c r="D141" t="str">
        <f t="shared" si="38"/>
        <v/>
      </c>
      <c r="E141" t="str">
        <f t="shared" si="39"/>
        <v/>
      </c>
      <c r="F141" t="str">
        <f t="shared" si="32"/>
        <v/>
      </c>
      <c r="G141" t="str">
        <f t="shared" si="40"/>
        <v/>
      </c>
      <c r="H141" t="str">
        <f t="shared" si="33"/>
        <v/>
      </c>
      <c r="I141" s="157" t="str">
        <f t="shared" si="34"/>
        <v/>
      </c>
      <c r="J141" s="157"/>
      <c r="K141" s="157" t="str">
        <f t="shared" si="35"/>
        <v/>
      </c>
      <c r="L141" s="157" t="str">
        <f t="shared" si="36"/>
        <v/>
      </c>
      <c r="M141" s="157"/>
      <c r="N141" s="157" t="str">
        <f t="shared" si="37"/>
        <v/>
      </c>
      <c r="O141" s="174" t="str">
        <f>Table13[[#This Row],[Combined List]]</f>
        <v/>
      </c>
      <c r="P141" s="157">
        <v>137</v>
      </c>
      <c r="Q141" s="174" t="str">
        <f t="shared" si="42"/>
        <v/>
      </c>
      <c r="R141" s="174" t="str">
        <f t="shared" si="42"/>
        <v/>
      </c>
      <c r="S141" s="174" t="str">
        <f t="shared" si="42"/>
        <v/>
      </c>
      <c r="T141" s="174" t="str">
        <f t="shared" si="43"/>
        <v/>
      </c>
      <c r="U141" s="174" t="str">
        <f t="shared" si="44"/>
        <v/>
      </c>
      <c r="V141" s="174" t="str">
        <f t="shared" si="45"/>
        <v/>
      </c>
      <c r="W141" s="174" t="str">
        <f>_xlfn.IFNA(VLOOKUP(T:T,Logframe!$B:$G,6,FALSE),"")</f>
        <v/>
      </c>
      <c r="X141" s="174" t="str">
        <f>_xlfn.IFNA(VLOOKUP(U:U,Logframe!$B:$G,6,FALSE),"")</f>
        <v/>
      </c>
      <c r="Y141" s="174" t="str">
        <f>_xlfn.IFNA(VLOOKUP(V:V,Logframe!$B:$G,6,FALSE),"")</f>
        <v/>
      </c>
      <c r="Z141">
        <v>137</v>
      </c>
      <c r="AD141" t="str">
        <f t="shared" si="31"/>
        <v/>
      </c>
      <c r="AE141" t="str">
        <f t="shared" si="31"/>
        <v/>
      </c>
      <c r="AF141" t="str">
        <f t="shared" si="41"/>
        <v/>
      </c>
    </row>
    <row r="142" spans="1:32" x14ac:dyDescent="0.35">
      <c r="A142">
        <f>INDEX(Logframe!F:F,146,1)</f>
        <v>0</v>
      </c>
      <c r="B142" s="110">
        <v>1.56</v>
      </c>
      <c r="C142" s="321" t="str">
        <f>INDEX(Logframe!B:B,146,1)</f>
        <v>0</v>
      </c>
      <c r="D142" t="str">
        <f t="shared" si="38"/>
        <v/>
      </c>
      <c r="E142" t="str">
        <f t="shared" si="39"/>
        <v/>
      </c>
      <c r="F142" t="str">
        <f t="shared" si="32"/>
        <v/>
      </c>
      <c r="G142" t="str">
        <f t="shared" si="40"/>
        <v/>
      </c>
      <c r="H142" t="str">
        <f t="shared" si="33"/>
        <v/>
      </c>
      <c r="I142" s="157" t="str">
        <f t="shared" si="34"/>
        <v/>
      </c>
      <c r="J142" s="157"/>
      <c r="K142" s="157" t="str">
        <f t="shared" si="35"/>
        <v/>
      </c>
      <c r="L142" s="157" t="str">
        <f t="shared" si="36"/>
        <v/>
      </c>
      <c r="M142" s="157"/>
      <c r="N142" s="157" t="str">
        <f t="shared" si="37"/>
        <v/>
      </c>
      <c r="O142" s="174" t="str">
        <f>Table13[[#This Row],[Combined List]]</f>
        <v/>
      </c>
      <c r="P142" s="157">
        <v>138</v>
      </c>
      <c r="Q142" s="174" t="str">
        <f t="shared" si="42"/>
        <v/>
      </c>
      <c r="R142" s="174" t="str">
        <f t="shared" si="42"/>
        <v/>
      </c>
      <c r="S142" s="174" t="str">
        <f t="shared" si="42"/>
        <v/>
      </c>
      <c r="T142" s="174" t="str">
        <f t="shared" si="43"/>
        <v/>
      </c>
      <c r="U142" s="174" t="str">
        <f t="shared" si="44"/>
        <v/>
      </c>
      <c r="V142" s="174" t="str">
        <f t="shared" si="45"/>
        <v/>
      </c>
      <c r="W142" s="174" t="str">
        <f>_xlfn.IFNA(VLOOKUP(T:T,Logframe!$B:$G,6,FALSE),"")</f>
        <v/>
      </c>
      <c r="X142" s="174" t="str">
        <f>_xlfn.IFNA(VLOOKUP(U:U,Logframe!$B:$G,6,FALSE),"")</f>
        <v/>
      </c>
      <c r="Y142" s="174" t="str">
        <f>_xlfn.IFNA(VLOOKUP(V:V,Logframe!$B:$G,6,FALSE),"")</f>
        <v/>
      </c>
      <c r="Z142">
        <v>138</v>
      </c>
      <c r="AD142" t="str">
        <f t="shared" si="31"/>
        <v/>
      </c>
      <c r="AE142" t="str">
        <f t="shared" si="31"/>
        <v/>
      </c>
      <c r="AF142" t="str">
        <f t="shared" si="41"/>
        <v/>
      </c>
    </row>
    <row r="143" spans="1:32" x14ac:dyDescent="0.35">
      <c r="A143">
        <f>INDEX(Logframe!F:F,147,1)</f>
        <v>0</v>
      </c>
      <c r="B143" s="110">
        <v>1.57</v>
      </c>
      <c r="C143" s="321" t="str">
        <f>INDEX(Logframe!B:B,147,1)</f>
        <v>0</v>
      </c>
      <c r="D143" t="str">
        <f t="shared" si="38"/>
        <v/>
      </c>
      <c r="E143" t="str">
        <f t="shared" si="39"/>
        <v/>
      </c>
      <c r="F143" t="str">
        <f t="shared" si="32"/>
        <v/>
      </c>
      <c r="G143" t="str">
        <f t="shared" si="40"/>
        <v/>
      </c>
      <c r="H143" t="str">
        <f t="shared" si="33"/>
        <v/>
      </c>
      <c r="I143" s="157" t="str">
        <f t="shared" si="34"/>
        <v/>
      </c>
      <c r="J143" s="157"/>
      <c r="K143" s="157" t="str">
        <f t="shared" si="35"/>
        <v/>
      </c>
      <c r="L143" s="157" t="str">
        <f t="shared" si="36"/>
        <v/>
      </c>
      <c r="M143" s="157"/>
      <c r="N143" s="157" t="str">
        <f t="shared" si="37"/>
        <v/>
      </c>
      <c r="O143" s="174" t="str">
        <f>Table13[[#This Row],[Combined List]]</f>
        <v/>
      </c>
      <c r="P143" s="157">
        <v>139</v>
      </c>
      <c r="Q143" s="174" t="str">
        <f t="shared" si="42"/>
        <v/>
      </c>
      <c r="R143" s="174" t="str">
        <f t="shared" si="42"/>
        <v/>
      </c>
      <c r="S143" s="174" t="str">
        <f t="shared" si="42"/>
        <v/>
      </c>
      <c r="T143" s="174" t="str">
        <f t="shared" si="43"/>
        <v/>
      </c>
      <c r="U143" s="174" t="str">
        <f t="shared" si="44"/>
        <v/>
      </c>
      <c r="V143" s="174" t="str">
        <f t="shared" si="45"/>
        <v/>
      </c>
      <c r="W143" s="174" t="str">
        <f>_xlfn.IFNA(VLOOKUP(T:T,Logframe!$B:$G,6,FALSE),"")</f>
        <v/>
      </c>
      <c r="X143" s="174" t="str">
        <f>_xlfn.IFNA(VLOOKUP(U:U,Logframe!$B:$G,6,FALSE),"")</f>
        <v/>
      </c>
      <c r="Y143" s="174" t="str">
        <f>_xlfn.IFNA(VLOOKUP(V:V,Logframe!$B:$G,6,FALSE),"")</f>
        <v/>
      </c>
      <c r="Z143">
        <v>139</v>
      </c>
      <c r="AD143" t="str">
        <f t="shared" si="31"/>
        <v/>
      </c>
      <c r="AE143" t="str">
        <f t="shared" si="31"/>
        <v/>
      </c>
      <c r="AF143" t="str">
        <f t="shared" si="41"/>
        <v/>
      </c>
    </row>
    <row r="144" spans="1:32" x14ac:dyDescent="0.35">
      <c r="A144">
        <f>INDEX(Logframe!F:F,148,1)</f>
        <v>0</v>
      </c>
      <c r="B144" s="110">
        <v>1.58</v>
      </c>
      <c r="C144" s="321" t="str">
        <f>INDEX(Logframe!B:B,148,1)</f>
        <v>0</v>
      </c>
      <c r="D144" t="str">
        <f t="shared" si="38"/>
        <v/>
      </c>
      <c r="E144" t="str">
        <f t="shared" si="39"/>
        <v/>
      </c>
      <c r="F144" t="str">
        <f t="shared" si="32"/>
        <v/>
      </c>
      <c r="G144" t="str">
        <f t="shared" si="40"/>
        <v/>
      </c>
      <c r="H144" t="str">
        <f t="shared" si="33"/>
        <v/>
      </c>
      <c r="I144" s="157" t="str">
        <f t="shared" si="34"/>
        <v/>
      </c>
      <c r="J144" s="157"/>
      <c r="K144" s="157" t="str">
        <f t="shared" si="35"/>
        <v/>
      </c>
      <c r="L144" s="157" t="str">
        <f t="shared" si="36"/>
        <v/>
      </c>
      <c r="M144" s="157"/>
      <c r="N144" s="157" t="str">
        <f t="shared" si="37"/>
        <v/>
      </c>
      <c r="O144" s="174" t="str">
        <f>Table13[[#This Row],[Combined List]]</f>
        <v/>
      </c>
      <c r="P144" s="157">
        <v>140</v>
      </c>
      <c r="Q144" s="174" t="str">
        <f t="shared" si="42"/>
        <v/>
      </c>
      <c r="R144" s="174" t="str">
        <f t="shared" si="42"/>
        <v/>
      </c>
      <c r="S144" s="174" t="str">
        <f t="shared" si="42"/>
        <v/>
      </c>
      <c r="T144" s="174" t="str">
        <f t="shared" si="43"/>
        <v/>
      </c>
      <c r="U144" s="174" t="str">
        <f t="shared" si="44"/>
        <v/>
      </c>
      <c r="V144" s="174" t="str">
        <f t="shared" si="45"/>
        <v/>
      </c>
      <c r="W144" s="174" t="str">
        <f>_xlfn.IFNA(VLOOKUP(T:T,Logframe!$B:$G,6,FALSE),"")</f>
        <v/>
      </c>
      <c r="X144" s="174" t="str">
        <f>_xlfn.IFNA(VLOOKUP(U:U,Logframe!$B:$G,6,FALSE),"")</f>
        <v/>
      </c>
      <c r="Y144" s="174" t="str">
        <f>_xlfn.IFNA(VLOOKUP(V:V,Logframe!$B:$G,6,FALSE),"")</f>
        <v/>
      </c>
      <c r="Z144">
        <v>140</v>
      </c>
      <c r="AD144" t="str">
        <f t="shared" si="31"/>
        <v/>
      </c>
      <c r="AE144" t="str">
        <f t="shared" si="31"/>
        <v/>
      </c>
      <c r="AF144" t="str">
        <f t="shared" si="41"/>
        <v/>
      </c>
    </row>
    <row r="145" spans="1:32" x14ac:dyDescent="0.35">
      <c r="A145">
        <f>INDEX(Logframe!F:F,149,1)</f>
        <v>0</v>
      </c>
      <c r="B145" s="110">
        <v>1.59</v>
      </c>
      <c r="C145" s="321" t="str">
        <f>INDEX(Logframe!B:B,149,1)</f>
        <v>0</v>
      </c>
      <c r="D145" t="str">
        <f t="shared" si="38"/>
        <v/>
      </c>
      <c r="E145" t="str">
        <f t="shared" si="39"/>
        <v/>
      </c>
      <c r="F145" t="str">
        <f t="shared" si="32"/>
        <v/>
      </c>
      <c r="G145" t="str">
        <f t="shared" si="40"/>
        <v/>
      </c>
      <c r="H145" t="str">
        <f t="shared" si="33"/>
        <v/>
      </c>
      <c r="I145" s="157" t="str">
        <f t="shared" si="34"/>
        <v/>
      </c>
      <c r="J145" s="157"/>
      <c r="K145" s="157" t="str">
        <f t="shared" si="35"/>
        <v/>
      </c>
      <c r="L145" s="157" t="str">
        <f t="shared" si="36"/>
        <v/>
      </c>
      <c r="M145" s="157"/>
      <c r="N145" s="157" t="str">
        <f t="shared" si="37"/>
        <v/>
      </c>
      <c r="O145" s="174" t="str">
        <f>Table13[[#This Row],[Combined List]]</f>
        <v/>
      </c>
      <c r="P145" s="157">
        <v>141</v>
      </c>
      <c r="Q145" s="174" t="str">
        <f t="shared" si="42"/>
        <v/>
      </c>
      <c r="R145" s="174" t="str">
        <f t="shared" si="42"/>
        <v/>
      </c>
      <c r="S145" s="174" t="str">
        <f t="shared" si="42"/>
        <v/>
      </c>
      <c r="T145" s="174" t="str">
        <f t="shared" si="43"/>
        <v/>
      </c>
      <c r="U145" s="174" t="str">
        <f t="shared" si="44"/>
        <v/>
      </c>
      <c r="V145" s="174" t="str">
        <f t="shared" si="45"/>
        <v/>
      </c>
      <c r="W145" s="174" t="str">
        <f>_xlfn.IFNA(VLOOKUP(T:T,Logframe!$B:$G,6,FALSE),"")</f>
        <v/>
      </c>
      <c r="X145" s="174" t="str">
        <f>_xlfn.IFNA(VLOOKUP(U:U,Logframe!$B:$G,6,FALSE),"")</f>
        <v/>
      </c>
      <c r="Y145" s="174" t="str">
        <f>_xlfn.IFNA(VLOOKUP(V:V,Logframe!$B:$G,6,FALSE),"")</f>
        <v/>
      </c>
      <c r="Z145">
        <v>141</v>
      </c>
      <c r="AD145" t="str">
        <f t="shared" si="31"/>
        <v/>
      </c>
      <c r="AE145" t="str">
        <f t="shared" si="31"/>
        <v/>
      </c>
      <c r="AF145" t="str">
        <f t="shared" si="41"/>
        <v/>
      </c>
    </row>
    <row r="146" spans="1:32" x14ac:dyDescent="0.35">
      <c r="A146">
        <f>INDEX(Logframe!F:F,150,1)</f>
        <v>0</v>
      </c>
      <c r="B146" s="110">
        <v>1.61</v>
      </c>
      <c r="C146" s="321" t="str">
        <f>INDEX(Logframe!B:B,150,1)</f>
        <v>0</v>
      </c>
      <c r="D146" t="str">
        <f t="shared" si="38"/>
        <v/>
      </c>
      <c r="E146" t="str">
        <f t="shared" si="39"/>
        <v/>
      </c>
      <c r="F146" t="str">
        <f t="shared" si="32"/>
        <v/>
      </c>
      <c r="G146" t="str">
        <f t="shared" si="40"/>
        <v/>
      </c>
      <c r="H146" t="str">
        <f t="shared" si="33"/>
        <v/>
      </c>
      <c r="I146" s="157" t="str">
        <f t="shared" si="34"/>
        <v/>
      </c>
      <c r="J146" s="157"/>
      <c r="K146" s="157" t="str">
        <f t="shared" si="35"/>
        <v/>
      </c>
      <c r="L146" s="157" t="str">
        <f t="shared" si="36"/>
        <v/>
      </c>
      <c r="M146" s="157"/>
      <c r="N146" s="157" t="str">
        <f t="shared" si="37"/>
        <v/>
      </c>
      <c r="O146" s="174" t="str">
        <f>Table13[[#This Row],[Combined List]]</f>
        <v/>
      </c>
      <c r="P146" s="157">
        <v>142</v>
      </c>
      <c r="Q146" s="174" t="str">
        <f t="shared" si="42"/>
        <v/>
      </c>
      <c r="R146" s="174" t="str">
        <f t="shared" si="42"/>
        <v/>
      </c>
      <c r="S146" s="174" t="str">
        <f t="shared" si="42"/>
        <v/>
      </c>
      <c r="T146" s="174" t="str">
        <f t="shared" si="43"/>
        <v/>
      </c>
      <c r="U146" s="174" t="str">
        <f t="shared" si="44"/>
        <v/>
      </c>
      <c r="V146" s="174" t="str">
        <f t="shared" si="45"/>
        <v/>
      </c>
      <c r="W146" s="174" t="str">
        <f>_xlfn.IFNA(VLOOKUP(T:T,Logframe!$B:$G,6,FALSE),"")</f>
        <v/>
      </c>
      <c r="X146" s="174" t="str">
        <f>_xlfn.IFNA(VLOOKUP(U:U,Logframe!$B:$G,6,FALSE),"")</f>
        <v/>
      </c>
      <c r="Y146" s="174" t="str">
        <f>_xlfn.IFNA(VLOOKUP(V:V,Logframe!$B:$G,6,FALSE),"")</f>
        <v/>
      </c>
      <c r="Z146">
        <v>142</v>
      </c>
      <c r="AD146" t="str">
        <f t="shared" si="31"/>
        <v/>
      </c>
      <c r="AE146" t="str">
        <f t="shared" si="31"/>
        <v/>
      </c>
      <c r="AF146" t="str">
        <f t="shared" si="41"/>
        <v/>
      </c>
    </row>
    <row r="147" spans="1:32" x14ac:dyDescent="0.35">
      <c r="A147">
        <f>INDEX(Logframe!F:F,151,1)</f>
        <v>0</v>
      </c>
      <c r="B147" s="110">
        <v>1.62</v>
      </c>
      <c r="C147" s="321" t="str">
        <f>INDEX(Logframe!B:B,151,1)</f>
        <v>0</v>
      </c>
      <c r="D147" t="str">
        <f t="shared" si="38"/>
        <v/>
      </c>
      <c r="E147" t="str">
        <f t="shared" si="39"/>
        <v/>
      </c>
      <c r="F147" t="str">
        <f t="shared" si="32"/>
        <v/>
      </c>
      <c r="G147" t="str">
        <f t="shared" si="40"/>
        <v/>
      </c>
      <c r="H147" t="str">
        <f t="shared" si="33"/>
        <v/>
      </c>
      <c r="I147" s="157" t="str">
        <f t="shared" si="34"/>
        <v/>
      </c>
      <c r="J147" s="157"/>
      <c r="K147" s="157" t="str">
        <f t="shared" si="35"/>
        <v/>
      </c>
      <c r="L147" s="157" t="str">
        <f t="shared" si="36"/>
        <v/>
      </c>
      <c r="M147" s="157"/>
      <c r="N147" s="157" t="str">
        <f t="shared" si="37"/>
        <v/>
      </c>
      <c r="O147" s="174" t="str">
        <f>Table13[[#This Row],[Combined List]]</f>
        <v/>
      </c>
      <c r="P147" s="157">
        <v>143</v>
      </c>
      <c r="Q147" s="174" t="str">
        <f t="shared" si="42"/>
        <v/>
      </c>
      <c r="R147" s="174" t="str">
        <f t="shared" si="42"/>
        <v/>
      </c>
      <c r="S147" s="174" t="str">
        <f t="shared" si="42"/>
        <v/>
      </c>
      <c r="T147" s="174" t="str">
        <f t="shared" si="43"/>
        <v/>
      </c>
      <c r="U147" s="174" t="str">
        <f t="shared" si="44"/>
        <v/>
      </c>
      <c r="V147" s="174" t="str">
        <f t="shared" si="45"/>
        <v/>
      </c>
      <c r="W147" s="174" t="str">
        <f>_xlfn.IFNA(VLOOKUP(T:T,Logframe!$B:$G,6,FALSE),"")</f>
        <v/>
      </c>
      <c r="X147" s="174" t="str">
        <f>_xlfn.IFNA(VLOOKUP(U:U,Logframe!$B:$G,6,FALSE),"")</f>
        <v/>
      </c>
      <c r="Y147" s="174" t="str">
        <f>_xlfn.IFNA(VLOOKUP(V:V,Logframe!$B:$G,6,FALSE),"")</f>
        <v/>
      </c>
      <c r="Z147">
        <v>143</v>
      </c>
      <c r="AD147" t="str">
        <f t="shared" si="31"/>
        <v/>
      </c>
      <c r="AE147" t="str">
        <f t="shared" si="31"/>
        <v/>
      </c>
      <c r="AF147" t="str">
        <f t="shared" si="41"/>
        <v/>
      </c>
    </row>
    <row r="148" spans="1:32" x14ac:dyDescent="0.35">
      <c r="A148">
        <f>INDEX(Logframe!F:F,152,1)</f>
        <v>0</v>
      </c>
      <c r="B148" s="110">
        <v>1.63</v>
      </c>
      <c r="C148" s="321" t="str">
        <f>INDEX(Logframe!B:B,152,1)</f>
        <v>0</v>
      </c>
      <c r="D148" t="str">
        <f t="shared" si="38"/>
        <v/>
      </c>
      <c r="E148" t="str">
        <f t="shared" si="39"/>
        <v/>
      </c>
      <c r="F148" t="str">
        <f t="shared" si="32"/>
        <v/>
      </c>
      <c r="G148" t="str">
        <f t="shared" si="40"/>
        <v/>
      </c>
      <c r="H148" t="str">
        <f t="shared" si="33"/>
        <v/>
      </c>
      <c r="I148" s="157" t="str">
        <f t="shared" si="34"/>
        <v/>
      </c>
      <c r="J148" s="157"/>
      <c r="K148" s="157" t="str">
        <f t="shared" si="35"/>
        <v/>
      </c>
      <c r="L148" s="157" t="str">
        <f t="shared" si="36"/>
        <v/>
      </c>
      <c r="M148" s="157"/>
      <c r="N148" s="157" t="str">
        <f t="shared" si="37"/>
        <v/>
      </c>
      <c r="O148" s="174" t="str">
        <f>Table13[[#This Row],[Combined List]]</f>
        <v/>
      </c>
      <c r="P148" s="157">
        <v>144</v>
      </c>
      <c r="Q148" s="174" t="str">
        <f t="shared" si="42"/>
        <v/>
      </c>
      <c r="R148" s="174" t="str">
        <f t="shared" si="42"/>
        <v/>
      </c>
      <c r="S148" s="174" t="str">
        <f t="shared" si="42"/>
        <v/>
      </c>
      <c r="T148" s="174" t="str">
        <f t="shared" si="43"/>
        <v/>
      </c>
      <c r="U148" s="174" t="str">
        <f t="shared" si="44"/>
        <v/>
      </c>
      <c r="V148" s="174" t="str">
        <f t="shared" si="45"/>
        <v/>
      </c>
      <c r="W148" s="174" t="str">
        <f>_xlfn.IFNA(VLOOKUP(T:T,Logframe!$B:$G,6,FALSE),"")</f>
        <v/>
      </c>
      <c r="X148" s="174" t="str">
        <f>_xlfn.IFNA(VLOOKUP(U:U,Logframe!$B:$G,6,FALSE),"")</f>
        <v/>
      </c>
      <c r="Y148" s="174" t="str">
        <f>_xlfn.IFNA(VLOOKUP(V:V,Logframe!$B:$G,6,FALSE),"")</f>
        <v/>
      </c>
      <c r="Z148">
        <v>144</v>
      </c>
      <c r="AD148" t="str">
        <f t="shared" si="31"/>
        <v/>
      </c>
      <c r="AE148" t="str">
        <f t="shared" si="31"/>
        <v/>
      </c>
      <c r="AF148" t="str">
        <f t="shared" si="41"/>
        <v/>
      </c>
    </row>
    <row r="149" spans="1:32" x14ac:dyDescent="0.35">
      <c r="A149">
        <f>INDEX(Logframe!F:F,153,1)</f>
        <v>0</v>
      </c>
      <c r="B149" s="110">
        <v>1.64</v>
      </c>
      <c r="C149" s="321" t="str">
        <f>INDEX(Logframe!B:B,153,1)</f>
        <v>0</v>
      </c>
      <c r="D149" t="str">
        <f t="shared" si="38"/>
        <v/>
      </c>
      <c r="E149" t="str">
        <f t="shared" si="39"/>
        <v/>
      </c>
      <c r="F149" t="str">
        <f t="shared" si="32"/>
        <v/>
      </c>
      <c r="G149" t="str">
        <f t="shared" si="40"/>
        <v/>
      </c>
      <c r="H149" t="str">
        <f t="shared" si="33"/>
        <v/>
      </c>
      <c r="I149" s="157" t="str">
        <f t="shared" si="34"/>
        <v/>
      </c>
      <c r="J149" s="157"/>
      <c r="K149" s="157" t="str">
        <f t="shared" si="35"/>
        <v/>
      </c>
      <c r="L149" s="157" t="str">
        <f t="shared" si="36"/>
        <v/>
      </c>
      <c r="M149" s="157"/>
      <c r="N149" s="157" t="str">
        <f t="shared" si="37"/>
        <v/>
      </c>
      <c r="O149" s="174" t="str">
        <f>Table13[[#This Row],[Combined List]]</f>
        <v/>
      </c>
      <c r="P149" s="157">
        <v>145</v>
      </c>
      <c r="Q149" s="174" t="str">
        <f t="shared" si="42"/>
        <v/>
      </c>
      <c r="R149" s="174" t="str">
        <f t="shared" si="42"/>
        <v/>
      </c>
      <c r="S149" s="174" t="str">
        <f t="shared" si="42"/>
        <v/>
      </c>
      <c r="T149" s="174" t="str">
        <f t="shared" si="43"/>
        <v/>
      </c>
      <c r="U149" s="174" t="str">
        <f t="shared" si="44"/>
        <v/>
      </c>
      <c r="V149" s="174" t="str">
        <f t="shared" si="45"/>
        <v/>
      </c>
      <c r="W149" s="174" t="str">
        <f>_xlfn.IFNA(VLOOKUP(T:T,Logframe!$B:$G,6,FALSE),"")</f>
        <v/>
      </c>
      <c r="X149" s="174" t="str">
        <f>_xlfn.IFNA(VLOOKUP(U:U,Logframe!$B:$G,6,FALSE),"")</f>
        <v/>
      </c>
      <c r="Y149" s="174" t="str">
        <f>_xlfn.IFNA(VLOOKUP(V:V,Logframe!$B:$G,6,FALSE),"")</f>
        <v/>
      </c>
      <c r="Z149">
        <v>145</v>
      </c>
      <c r="AD149" t="str">
        <f t="shared" si="31"/>
        <v/>
      </c>
      <c r="AE149" t="str">
        <f t="shared" si="31"/>
        <v/>
      </c>
      <c r="AF149" t="str">
        <f t="shared" si="41"/>
        <v/>
      </c>
    </row>
    <row r="150" spans="1:32" x14ac:dyDescent="0.35">
      <c r="A150">
        <f>INDEX(Logframe!F:F,154,1)</f>
        <v>0</v>
      </c>
      <c r="B150" s="110">
        <v>1.65</v>
      </c>
      <c r="C150" s="321" t="str">
        <f>INDEX(Logframe!B:B,154,1)</f>
        <v>0</v>
      </c>
      <c r="D150" t="str">
        <f t="shared" si="38"/>
        <v/>
      </c>
      <c r="E150" t="str">
        <f t="shared" si="39"/>
        <v/>
      </c>
      <c r="F150" t="str">
        <f t="shared" si="32"/>
        <v/>
      </c>
      <c r="G150" t="str">
        <f t="shared" si="40"/>
        <v/>
      </c>
      <c r="H150" t="str">
        <f t="shared" si="33"/>
        <v/>
      </c>
      <c r="I150" s="157" t="str">
        <f t="shared" si="34"/>
        <v/>
      </c>
      <c r="J150" s="157"/>
      <c r="K150" s="157" t="str">
        <f t="shared" si="35"/>
        <v/>
      </c>
      <c r="L150" s="157" t="str">
        <f t="shared" si="36"/>
        <v/>
      </c>
      <c r="M150" s="157"/>
      <c r="N150" s="157" t="str">
        <f t="shared" si="37"/>
        <v/>
      </c>
      <c r="O150" s="174" t="str">
        <f>Table13[[#This Row],[Combined List]]</f>
        <v/>
      </c>
      <c r="P150" s="157">
        <v>146</v>
      </c>
      <c r="Q150" s="174" t="str">
        <f t="shared" si="42"/>
        <v/>
      </c>
      <c r="R150" s="174" t="str">
        <f t="shared" si="42"/>
        <v/>
      </c>
      <c r="S150" s="174" t="str">
        <f t="shared" si="42"/>
        <v/>
      </c>
      <c r="T150" s="174" t="str">
        <f t="shared" si="43"/>
        <v/>
      </c>
      <c r="U150" s="174" t="str">
        <f t="shared" si="44"/>
        <v/>
      </c>
      <c r="V150" s="174" t="str">
        <f t="shared" si="45"/>
        <v/>
      </c>
      <c r="W150" s="174" t="str">
        <f>_xlfn.IFNA(VLOOKUP(T:T,Logframe!$B:$G,6,FALSE),"")</f>
        <v/>
      </c>
      <c r="X150" s="174" t="str">
        <f>_xlfn.IFNA(VLOOKUP(U:U,Logframe!$B:$G,6,FALSE),"")</f>
        <v/>
      </c>
      <c r="Y150" s="174" t="str">
        <f>_xlfn.IFNA(VLOOKUP(V:V,Logframe!$B:$G,6,FALSE),"")</f>
        <v/>
      </c>
      <c r="Z150">
        <v>146</v>
      </c>
      <c r="AD150" t="str">
        <f t="shared" ref="AD150:AE213" si="46">RIGHT(AA:AA,7)</f>
        <v/>
      </c>
      <c r="AE150" t="str">
        <f t="shared" si="46"/>
        <v/>
      </c>
      <c r="AF150" t="str">
        <f t="shared" si="41"/>
        <v/>
      </c>
    </row>
    <row r="151" spans="1:32" x14ac:dyDescent="0.35">
      <c r="A151">
        <f>INDEX(Logframe!F:F,155,1)</f>
        <v>0</v>
      </c>
      <c r="B151" s="110">
        <v>1.66</v>
      </c>
      <c r="C151" s="321" t="str">
        <f>INDEX(Logframe!B:B,155,1)</f>
        <v>0</v>
      </c>
      <c r="D151" t="str">
        <f t="shared" si="38"/>
        <v/>
      </c>
      <c r="E151" t="str">
        <f t="shared" si="39"/>
        <v/>
      </c>
      <c r="F151" t="str">
        <f t="shared" si="32"/>
        <v/>
      </c>
      <c r="G151" t="str">
        <f t="shared" si="40"/>
        <v/>
      </c>
      <c r="H151" t="str">
        <f t="shared" si="33"/>
        <v/>
      </c>
      <c r="I151" s="157" t="str">
        <f t="shared" si="34"/>
        <v/>
      </c>
      <c r="J151" s="157"/>
      <c r="K151" s="157" t="str">
        <f t="shared" si="35"/>
        <v/>
      </c>
      <c r="L151" s="157" t="str">
        <f t="shared" si="36"/>
        <v/>
      </c>
      <c r="M151" s="157"/>
      <c r="N151" s="157" t="str">
        <f t="shared" si="37"/>
        <v/>
      </c>
      <c r="O151" s="174" t="str">
        <f>Table13[[#This Row],[Combined List]]</f>
        <v/>
      </c>
      <c r="P151" s="157">
        <v>147</v>
      </c>
      <c r="Q151" s="174" t="str">
        <f t="shared" si="42"/>
        <v/>
      </c>
      <c r="R151" s="174" t="str">
        <f t="shared" si="42"/>
        <v/>
      </c>
      <c r="S151" s="174" t="str">
        <f t="shared" si="42"/>
        <v/>
      </c>
      <c r="T151" s="174" t="str">
        <f t="shared" si="43"/>
        <v/>
      </c>
      <c r="U151" s="174" t="str">
        <f t="shared" si="44"/>
        <v/>
      </c>
      <c r="V151" s="174" t="str">
        <f t="shared" si="45"/>
        <v/>
      </c>
      <c r="W151" s="174" t="str">
        <f>_xlfn.IFNA(VLOOKUP(T:T,Logframe!$B:$G,6,FALSE),"")</f>
        <v/>
      </c>
      <c r="X151" s="174" t="str">
        <f>_xlfn.IFNA(VLOOKUP(U:U,Logframe!$B:$G,6,FALSE),"")</f>
        <v/>
      </c>
      <c r="Y151" s="174" t="str">
        <f>_xlfn.IFNA(VLOOKUP(V:V,Logframe!$B:$G,6,FALSE),"")</f>
        <v/>
      </c>
      <c r="Z151">
        <v>147</v>
      </c>
      <c r="AD151" t="str">
        <f t="shared" si="46"/>
        <v/>
      </c>
      <c r="AE151" t="str">
        <f t="shared" si="46"/>
        <v/>
      </c>
      <c r="AF151" t="str">
        <f t="shared" si="41"/>
        <v/>
      </c>
    </row>
    <row r="152" spans="1:32" x14ac:dyDescent="0.35">
      <c r="A152">
        <f>INDEX(Logframe!F:F,156,1)</f>
        <v>0</v>
      </c>
      <c r="B152" s="110">
        <v>1.67</v>
      </c>
      <c r="C152" s="321" t="str">
        <f>INDEX(Logframe!B:B,156,1)</f>
        <v>0</v>
      </c>
      <c r="D152" t="str">
        <f t="shared" si="38"/>
        <v/>
      </c>
      <c r="E152" t="str">
        <f t="shared" si="39"/>
        <v/>
      </c>
      <c r="F152" t="str">
        <f t="shared" si="32"/>
        <v/>
      </c>
      <c r="G152" t="str">
        <f t="shared" si="40"/>
        <v/>
      </c>
      <c r="H152" t="str">
        <f t="shared" si="33"/>
        <v/>
      </c>
      <c r="I152" s="157" t="str">
        <f t="shared" si="34"/>
        <v/>
      </c>
      <c r="J152" s="157"/>
      <c r="K152" s="157" t="str">
        <f t="shared" si="35"/>
        <v/>
      </c>
      <c r="L152" s="157" t="str">
        <f t="shared" si="36"/>
        <v/>
      </c>
      <c r="M152" s="157"/>
      <c r="N152" s="157" t="str">
        <f t="shared" si="37"/>
        <v/>
      </c>
      <c r="O152" s="174" t="str">
        <f>Table13[[#This Row],[Combined List]]</f>
        <v/>
      </c>
      <c r="P152" s="157">
        <v>148</v>
      </c>
      <c r="Q152" s="174" t="str">
        <f t="shared" si="42"/>
        <v/>
      </c>
      <c r="R152" s="174" t="str">
        <f t="shared" si="42"/>
        <v/>
      </c>
      <c r="S152" s="174" t="str">
        <f t="shared" si="42"/>
        <v/>
      </c>
      <c r="T152" s="174" t="str">
        <f t="shared" si="43"/>
        <v/>
      </c>
      <c r="U152" s="174" t="str">
        <f t="shared" si="44"/>
        <v/>
      </c>
      <c r="V152" s="174" t="str">
        <f t="shared" si="45"/>
        <v/>
      </c>
      <c r="W152" s="174" t="str">
        <f>_xlfn.IFNA(VLOOKUP(T:T,Logframe!$B:$G,6,FALSE),"")</f>
        <v/>
      </c>
      <c r="X152" s="174" t="str">
        <f>_xlfn.IFNA(VLOOKUP(U:U,Logframe!$B:$G,6,FALSE),"")</f>
        <v/>
      </c>
      <c r="Y152" s="174" t="str">
        <f>_xlfn.IFNA(VLOOKUP(V:V,Logframe!$B:$G,6,FALSE),"")</f>
        <v/>
      </c>
      <c r="Z152">
        <v>148</v>
      </c>
      <c r="AD152" t="str">
        <f t="shared" si="46"/>
        <v/>
      </c>
      <c r="AE152" t="str">
        <f t="shared" si="46"/>
        <v/>
      </c>
      <c r="AF152" t="str">
        <f t="shared" si="41"/>
        <v/>
      </c>
    </row>
    <row r="153" spans="1:32" x14ac:dyDescent="0.35">
      <c r="A153">
        <f>INDEX(Logframe!F:F,157,1)</f>
        <v>0</v>
      </c>
      <c r="B153" s="110">
        <v>1.68</v>
      </c>
      <c r="C153" s="321" t="str">
        <f>INDEX(Logframe!B:B,157,1)</f>
        <v>0</v>
      </c>
      <c r="D153" t="str">
        <f t="shared" si="38"/>
        <v/>
      </c>
      <c r="E153" t="str">
        <f t="shared" si="39"/>
        <v/>
      </c>
      <c r="F153" t="str">
        <f t="shared" si="32"/>
        <v/>
      </c>
      <c r="G153" t="str">
        <f t="shared" si="40"/>
        <v/>
      </c>
      <c r="H153" t="str">
        <f t="shared" si="33"/>
        <v/>
      </c>
      <c r="I153" s="157" t="str">
        <f t="shared" si="34"/>
        <v/>
      </c>
      <c r="J153" s="157"/>
      <c r="K153" s="157" t="str">
        <f t="shared" si="35"/>
        <v/>
      </c>
      <c r="L153" s="157" t="str">
        <f t="shared" si="36"/>
        <v/>
      </c>
      <c r="M153" s="157"/>
      <c r="N153" s="157" t="str">
        <f t="shared" si="37"/>
        <v/>
      </c>
      <c r="O153" s="174" t="str">
        <f>Table13[[#This Row],[Combined List]]</f>
        <v/>
      </c>
      <c r="P153" s="157">
        <v>149</v>
      </c>
      <c r="Q153" s="174" t="str">
        <f t="shared" si="42"/>
        <v/>
      </c>
      <c r="R153" s="174" t="str">
        <f t="shared" si="42"/>
        <v/>
      </c>
      <c r="S153" s="174" t="str">
        <f t="shared" si="42"/>
        <v/>
      </c>
      <c r="T153" s="174" t="str">
        <f t="shared" si="43"/>
        <v/>
      </c>
      <c r="U153" s="174" t="str">
        <f t="shared" si="44"/>
        <v/>
      </c>
      <c r="V153" s="174" t="str">
        <f t="shared" si="45"/>
        <v/>
      </c>
      <c r="W153" s="174" t="str">
        <f>_xlfn.IFNA(VLOOKUP(T:T,Logframe!$B:$G,6,FALSE),"")</f>
        <v/>
      </c>
      <c r="X153" s="174" t="str">
        <f>_xlfn.IFNA(VLOOKUP(U:U,Logframe!$B:$G,6,FALSE),"")</f>
        <v/>
      </c>
      <c r="Y153" s="174" t="str">
        <f>_xlfn.IFNA(VLOOKUP(V:V,Logframe!$B:$G,6,FALSE),"")</f>
        <v/>
      </c>
      <c r="Z153">
        <v>149</v>
      </c>
      <c r="AD153" t="str">
        <f t="shared" si="46"/>
        <v/>
      </c>
      <c r="AE153" t="str">
        <f t="shared" si="46"/>
        <v/>
      </c>
      <c r="AF153" t="str">
        <f t="shared" si="41"/>
        <v/>
      </c>
    </row>
    <row r="154" spans="1:32" x14ac:dyDescent="0.35">
      <c r="A154">
        <f>INDEX(Logframe!F:F,158,1)</f>
        <v>0</v>
      </c>
      <c r="B154" s="110">
        <v>1.69</v>
      </c>
      <c r="C154" s="321" t="str">
        <f>INDEX(Logframe!B:B,158,1)</f>
        <v>0</v>
      </c>
      <c r="D154" t="str">
        <f t="shared" si="38"/>
        <v/>
      </c>
      <c r="E154" t="str">
        <f t="shared" si="39"/>
        <v/>
      </c>
      <c r="F154" t="str">
        <f t="shared" si="32"/>
        <v/>
      </c>
      <c r="G154" t="str">
        <f t="shared" si="40"/>
        <v/>
      </c>
      <c r="H154" t="str">
        <f t="shared" si="33"/>
        <v/>
      </c>
      <c r="I154" s="157" t="str">
        <f t="shared" si="34"/>
        <v/>
      </c>
      <c r="J154" s="157"/>
      <c r="K154" s="157" t="str">
        <f t="shared" si="35"/>
        <v/>
      </c>
      <c r="L154" s="157" t="str">
        <f t="shared" si="36"/>
        <v/>
      </c>
      <c r="M154" s="157"/>
      <c r="N154" s="157" t="str">
        <f t="shared" si="37"/>
        <v/>
      </c>
      <c r="O154" s="174" t="str">
        <f>Table13[[#This Row],[Combined List]]</f>
        <v/>
      </c>
      <c r="P154" s="157">
        <v>150</v>
      </c>
      <c r="Q154" s="174" t="str">
        <f t="shared" si="42"/>
        <v/>
      </c>
      <c r="R154" s="174" t="str">
        <f t="shared" si="42"/>
        <v/>
      </c>
      <c r="S154" s="174" t="str">
        <f t="shared" si="42"/>
        <v/>
      </c>
      <c r="T154" s="174" t="str">
        <f t="shared" si="43"/>
        <v/>
      </c>
      <c r="U154" s="174" t="str">
        <f t="shared" si="44"/>
        <v/>
      </c>
      <c r="V154" s="174" t="str">
        <f t="shared" si="45"/>
        <v/>
      </c>
      <c r="W154" s="174" t="str">
        <f>_xlfn.IFNA(VLOOKUP(T:T,Logframe!$B:$G,6,FALSE),"")</f>
        <v/>
      </c>
      <c r="X154" s="174" t="str">
        <f>_xlfn.IFNA(VLOOKUP(U:U,Logframe!$B:$G,6,FALSE),"")</f>
        <v/>
      </c>
      <c r="Y154" s="174" t="str">
        <f>_xlfn.IFNA(VLOOKUP(V:V,Logframe!$B:$G,6,FALSE),"")</f>
        <v/>
      </c>
      <c r="Z154">
        <v>150</v>
      </c>
      <c r="AD154" t="str">
        <f t="shared" si="46"/>
        <v/>
      </c>
      <c r="AE154" t="str">
        <f t="shared" si="46"/>
        <v/>
      </c>
      <c r="AF154" t="str">
        <f t="shared" si="41"/>
        <v/>
      </c>
    </row>
    <row r="155" spans="1:32" x14ac:dyDescent="0.35">
      <c r="A155">
        <f>INDEX(Logframe!F:F,159,1)</f>
        <v>0</v>
      </c>
      <c r="B155" s="110">
        <v>1.71</v>
      </c>
      <c r="C155" s="321" t="str">
        <f>INDEX(Logframe!B:B,159,1)</f>
        <v>0</v>
      </c>
      <c r="D155" t="str">
        <f t="shared" si="38"/>
        <v/>
      </c>
      <c r="E155" t="str">
        <f t="shared" si="39"/>
        <v/>
      </c>
      <c r="F155" t="str">
        <f t="shared" si="32"/>
        <v/>
      </c>
      <c r="G155" t="str">
        <f t="shared" si="40"/>
        <v/>
      </c>
      <c r="H155" t="str">
        <f t="shared" si="33"/>
        <v/>
      </c>
      <c r="I155" s="157" t="str">
        <f t="shared" si="34"/>
        <v/>
      </c>
      <c r="J155" s="157"/>
      <c r="K155" s="157" t="str">
        <f t="shared" si="35"/>
        <v/>
      </c>
      <c r="L155" s="157" t="str">
        <f t="shared" si="36"/>
        <v/>
      </c>
      <c r="M155" s="157"/>
      <c r="N155" s="157" t="str">
        <f t="shared" si="37"/>
        <v/>
      </c>
      <c r="O155" s="174" t="str">
        <f>Table13[[#This Row],[Combined List]]</f>
        <v/>
      </c>
      <c r="P155" s="157">
        <v>151</v>
      </c>
      <c r="Q155" s="174" t="str">
        <f t="shared" si="42"/>
        <v/>
      </c>
      <c r="R155" s="174" t="str">
        <f t="shared" si="42"/>
        <v/>
      </c>
      <c r="S155" s="174" t="str">
        <f t="shared" si="42"/>
        <v/>
      </c>
      <c r="T155" s="174" t="str">
        <f t="shared" si="43"/>
        <v/>
      </c>
      <c r="U155" s="174" t="str">
        <f t="shared" si="44"/>
        <v/>
      </c>
      <c r="V155" s="174" t="str">
        <f t="shared" si="45"/>
        <v/>
      </c>
      <c r="W155" s="174" t="str">
        <f>_xlfn.IFNA(VLOOKUP(T:T,Logframe!$B:$G,6,FALSE),"")</f>
        <v/>
      </c>
      <c r="X155" s="174" t="str">
        <f>_xlfn.IFNA(VLOOKUP(U:U,Logframe!$B:$G,6,FALSE),"")</f>
        <v/>
      </c>
      <c r="Y155" s="174" t="str">
        <f>_xlfn.IFNA(VLOOKUP(V:V,Logframe!$B:$G,6,FALSE),"")</f>
        <v/>
      </c>
      <c r="Z155">
        <v>151</v>
      </c>
      <c r="AD155" t="str">
        <f t="shared" si="46"/>
        <v/>
      </c>
      <c r="AE155" t="str">
        <f t="shared" si="46"/>
        <v/>
      </c>
      <c r="AF155" t="str">
        <f t="shared" si="41"/>
        <v/>
      </c>
    </row>
    <row r="156" spans="1:32" x14ac:dyDescent="0.35">
      <c r="A156">
        <f>INDEX(Logframe!F:F,160,1)</f>
        <v>0</v>
      </c>
      <c r="B156" s="110">
        <v>1.72</v>
      </c>
      <c r="C156" s="321" t="str">
        <f>INDEX(Logframe!B:B,160,1)</f>
        <v>0</v>
      </c>
      <c r="D156" t="str">
        <f t="shared" si="38"/>
        <v/>
      </c>
      <c r="E156" t="str">
        <f t="shared" si="39"/>
        <v/>
      </c>
      <c r="F156" t="str">
        <f t="shared" si="32"/>
        <v/>
      </c>
      <c r="G156" t="str">
        <f t="shared" si="40"/>
        <v/>
      </c>
      <c r="H156" t="str">
        <f t="shared" si="33"/>
        <v/>
      </c>
      <c r="I156" s="157" t="str">
        <f t="shared" si="34"/>
        <v/>
      </c>
      <c r="J156" s="157"/>
      <c r="K156" s="157" t="str">
        <f t="shared" si="35"/>
        <v/>
      </c>
      <c r="L156" s="157" t="str">
        <f t="shared" si="36"/>
        <v/>
      </c>
      <c r="M156" s="157"/>
      <c r="N156" s="157" t="str">
        <f t="shared" si="37"/>
        <v/>
      </c>
      <c r="O156" s="174" t="str">
        <f>Table13[[#This Row],[Combined List]]</f>
        <v/>
      </c>
      <c r="P156" s="157">
        <v>152</v>
      </c>
      <c r="Q156" s="174" t="str">
        <f t="shared" si="42"/>
        <v/>
      </c>
      <c r="R156" s="174" t="str">
        <f t="shared" si="42"/>
        <v/>
      </c>
      <c r="S156" s="174" t="str">
        <f t="shared" si="42"/>
        <v/>
      </c>
      <c r="T156" s="174" t="str">
        <f t="shared" si="43"/>
        <v/>
      </c>
      <c r="U156" s="174" t="str">
        <f t="shared" si="44"/>
        <v/>
      </c>
      <c r="V156" s="174" t="str">
        <f t="shared" si="45"/>
        <v/>
      </c>
      <c r="W156" s="174" t="str">
        <f>_xlfn.IFNA(VLOOKUP(T:T,Logframe!$B:$G,6,FALSE),"")</f>
        <v/>
      </c>
      <c r="X156" s="174" t="str">
        <f>_xlfn.IFNA(VLOOKUP(U:U,Logframe!$B:$G,6,FALSE),"")</f>
        <v/>
      </c>
      <c r="Y156" s="174" t="str">
        <f>_xlfn.IFNA(VLOOKUP(V:V,Logframe!$B:$G,6,FALSE),"")</f>
        <v/>
      </c>
      <c r="Z156">
        <v>152</v>
      </c>
      <c r="AD156" t="str">
        <f t="shared" si="46"/>
        <v/>
      </c>
      <c r="AE156" t="str">
        <f t="shared" si="46"/>
        <v/>
      </c>
      <c r="AF156" t="str">
        <f t="shared" si="41"/>
        <v/>
      </c>
    </row>
    <row r="157" spans="1:32" x14ac:dyDescent="0.35">
      <c r="A157">
        <f>INDEX(Logframe!F:F,161,1)</f>
        <v>0</v>
      </c>
      <c r="B157" s="110">
        <v>1.73</v>
      </c>
      <c r="C157" s="321" t="str">
        <f>INDEX(Logframe!B:B,161,1)</f>
        <v>0</v>
      </c>
      <c r="D157" t="str">
        <f t="shared" si="38"/>
        <v/>
      </c>
      <c r="E157" t="str">
        <f t="shared" si="39"/>
        <v/>
      </c>
      <c r="F157" t="str">
        <f t="shared" si="32"/>
        <v/>
      </c>
      <c r="G157" t="str">
        <f t="shared" si="40"/>
        <v/>
      </c>
      <c r="H157" t="str">
        <f t="shared" si="33"/>
        <v/>
      </c>
      <c r="I157" s="157" t="str">
        <f t="shared" si="34"/>
        <v/>
      </c>
      <c r="J157" s="157"/>
      <c r="K157" s="157" t="str">
        <f t="shared" si="35"/>
        <v/>
      </c>
      <c r="L157" s="157" t="str">
        <f t="shared" si="36"/>
        <v/>
      </c>
      <c r="M157" s="157"/>
      <c r="N157" s="157" t="str">
        <f t="shared" si="37"/>
        <v/>
      </c>
      <c r="O157" s="174" t="str">
        <f>Table13[[#This Row],[Combined List]]</f>
        <v/>
      </c>
      <c r="P157" s="157">
        <v>153</v>
      </c>
      <c r="Q157" s="174" t="str">
        <f t="shared" si="42"/>
        <v/>
      </c>
      <c r="R157" s="174" t="str">
        <f t="shared" si="42"/>
        <v/>
      </c>
      <c r="S157" s="174" t="str">
        <f t="shared" si="42"/>
        <v/>
      </c>
      <c r="T157" s="174" t="str">
        <f t="shared" si="43"/>
        <v/>
      </c>
      <c r="U157" s="174" t="str">
        <f t="shared" si="44"/>
        <v/>
      </c>
      <c r="V157" s="174" t="str">
        <f t="shared" si="45"/>
        <v/>
      </c>
      <c r="W157" s="174" t="str">
        <f>_xlfn.IFNA(VLOOKUP(T:T,Logframe!$B:$G,6,FALSE),"")</f>
        <v/>
      </c>
      <c r="X157" s="174" t="str">
        <f>_xlfn.IFNA(VLOOKUP(U:U,Logframe!$B:$G,6,FALSE),"")</f>
        <v/>
      </c>
      <c r="Y157" s="174" t="str">
        <f>_xlfn.IFNA(VLOOKUP(V:V,Logframe!$B:$G,6,FALSE),"")</f>
        <v/>
      </c>
      <c r="Z157">
        <v>153</v>
      </c>
      <c r="AD157" t="str">
        <f t="shared" si="46"/>
        <v/>
      </c>
      <c r="AE157" t="str">
        <f t="shared" si="46"/>
        <v/>
      </c>
      <c r="AF157" t="str">
        <f t="shared" si="41"/>
        <v/>
      </c>
    </row>
    <row r="158" spans="1:32" x14ac:dyDescent="0.35">
      <c r="A158">
        <f>INDEX(Logframe!F:F,162,1)</f>
        <v>0</v>
      </c>
      <c r="B158" s="110">
        <v>1.74</v>
      </c>
      <c r="C158" s="321" t="str">
        <f>INDEX(Logframe!B:B,162,1)</f>
        <v>0</v>
      </c>
      <c r="D158" t="str">
        <f t="shared" si="38"/>
        <v/>
      </c>
      <c r="E158" t="str">
        <f t="shared" si="39"/>
        <v/>
      </c>
      <c r="F158" t="str">
        <f t="shared" si="32"/>
        <v/>
      </c>
      <c r="G158" t="str">
        <f t="shared" si="40"/>
        <v/>
      </c>
      <c r="H158" t="str">
        <f t="shared" si="33"/>
        <v/>
      </c>
      <c r="I158" s="157" t="str">
        <f t="shared" si="34"/>
        <v/>
      </c>
      <c r="J158" s="157"/>
      <c r="K158" s="157" t="str">
        <f t="shared" si="35"/>
        <v/>
      </c>
      <c r="L158" s="157" t="str">
        <f t="shared" si="36"/>
        <v/>
      </c>
      <c r="M158" s="157"/>
      <c r="N158" s="157" t="str">
        <f t="shared" si="37"/>
        <v/>
      </c>
      <c r="O158" s="174" t="str">
        <f>Table13[[#This Row],[Combined List]]</f>
        <v/>
      </c>
      <c r="P158" s="157">
        <v>154</v>
      </c>
      <c r="Q158" s="174" t="str">
        <f t="shared" si="42"/>
        <v/>
      </c>
      <c r="R158" s="174" t="str">
        <f t="shared" si="42"/>
        <v/>
      </c>
      <c r="S158" s="174" t="str">
        <f t="shared" si="42"/>
        <v/>
      </c>
      <c r="T158" s="174" t="str">
        <f t="shared" si="43"/>
        <v/>
      </c>
      <c r="U158" s="174" t="str">
        <f t="shared" si="44"/>
        <v/>
      </c>
      <c r="V158" s="174" t="str">
        <f t="shared" si="45"/>
        <v/>
      </c>
      <c r="W158" s="174" t="str">
        <f>_xlfn.IFNA(VLOOKUP(T:T,Logframe!$B:$G,6,FALSE),"")</f>
        <v/>
      </c>
      <c r="X158" s="174" t="str">
        <f>_xlfn.IFNA(VLOOKUP(U:U,Logframe!$B:$G,6,FALSE),"")</f>
        <v/>
      </c>
      <c r="Y158" s="174" t="str">
        <f>_xlfn.IFNA(VLOOKUP(V:V,Logframe!$B:$G,6,FALSE),"")</f>
        <v/>
      </c>
      <c r="Z158">
        <v>154</v>
      </c>
      <c r="AD158" t="str">
        <f t="shared" si="46"/>
        <v/>
      </c>
      <c r="AE158" t="str">
        <f t="shared" si="46"/>
        <v/>
      </c>
      <c r="AF158" t="str">
        <f t="shared" si="41"/>
        <v/>
      </c>
    </row>
    <row r="159" spans="1:32" x14ac:dyDescent="0.35">
      <c r="A159">
        <f>INDEX(Logframe!F:F,163,1)</f>
        <v>0</v>
      </c>
      <c r="B159" s="110">
        <v>1.75</v>
      </c>
      <c r="C159" s="321" t="str">
        <f>INDEX(Logframe!B:B,163,1)</f>
        <v>0</v>
      </c>
      <c r="D159" t="str">
        <f t="shared" si="38"/>
        <v/>
      </c>
      <c r="E159" t="str">
        <f t="shared" si="39"/>
        <v/>
      </c>
      <c r="F159" t="str">
        <f t="shared" si="32"/>
        <v/>
      </c>
      <c r="G159" t="str">
        <f t="shared" si="40"/>
        <v/>
      </c>
      <c r="H159" t="str">
        <f t="shared" si="33"/>
        <v/>
      </c>
      <c r="I159" s="157" t="str">
        <f t="shared" si="34"/>
        <v/>
      </c>
      <c r="J159" s="157"/>
      <c r="K159" s="157" t="str">
        <f t="shared" si="35"/>
        <v/>
      </c>
      <c r="L159" s="157" t="str">
        <f t="shared" si="36"/>
        <v/>
      </c>
      <c r="M159" s="157"/>
      <c r="N159" s="157" t="str">
        <f t="shared" si="37"/>
        <v/>
      </c>
      <c r="O159" s="174" t="str">
        <f>Table13[[#This Row],[Combined List]]</f>
        <v/>
      </c>
      <c r="P159" s="157">
        <v>155</v>
      </c>
      <c r="Q159" s="174" t="str">
        <f t="shared" si="42"/>
        <v/>
      </c>
      <c r="R159" s="174" t="str">
        <f t="shared" si="42"/>
        <v/>
      </c>
      <c r="S159" s="174" t="str">
        <f t="shared" si="42"/>
        <v/>
      </c>
      <c r="T159" s="174" t="str">
        <f t="shared" si="43"/>
        <v/>
      </c>
      <c r="U159" s="174" t="str">
        <f t="shared" si="44"/>
        <v/>
      </c>
      <c r="V159" s="174" t="str">
        <f t="shared" si="45"/>
        <v/>
      </c>
      <c r="W159" s="174" t="str">
        <f>_xlfn.IFNA(VLOOKUP(T:T,Logframe!$B:$G,6,FALSE),"")</f>
        <v/>
      </c>
      <c r="X159" s="174" t="str">
        <f>_xlfn.IFNA(VLOOKUP(U:U,Logframe!$B:$G,6,FALSE),"")</f>
        <v/>
      </c>
      <c r="Y159" s="174" t="str">
        <f>_xlfn.IFNA(VLOOKUP(V:V,Logframe!$B:$G,6,FALSE),"")</f>
        <v/>
      </c>
      <c r="Z159">
        <v>155</v>
      </c>
      <c r="AD159" t="str">
        <f t="shared" si="46"/>
        <v/>
      </c>
      <c r="AE159" t="str">
        <f t="shared" si="46"/>
        <v/>
      </c>
      <c r="AF159" t="str">
        <f t="shared" si="41"/>
        <v/>
      </c>
    </row>
    <row r="160" spans="1:32" x14ac:dyDescent="0.35">
      <c r="A160">
        <f>INDEX(Logframe!F:F,164,1)</f>
        <v>0</v>
      </c>
      <c r="B160" s="110">
        <v>1.76</v>
      </c>
      <c r="C160" s="321" t="str">
        <f>INDEX(Logframe!B:B,164,1)</f>
        <v>0</v>
      </c>
      <c r="D160" t="str">
        <f t="shared" si="38"/>
        <v/>
      </c>
      <c r="E160" t="str">
        <f t="shared" si="39"/>
        <v/>
      </c>
      <c r="F160" t="str">
        <f t="shared" si="32"/>
        <v/>
      </c>
      <c r="G160" t="str">
        <f t="shared" si="40"/>
        <v/>
      </c>
      <c r="H160" t="str">
        <f t="shared" si="33"/>
        <v/>
      </c>
      <c r="I160" s="157" t="str">
        <f t="shared" si="34"/>
        <v/>
      </c>
      <c r="J160" s="157"/>
      <c r="K160" s="157" t="str">
        <f t="shared" si="35"/>
        <v/>
      </c>
      <c r="L160" s="157" t="str">
        <f t="shared" si="36"/>
        <v/>
      </c>
      <c r="M160" s="157"/>
      <c r="N160" s="157" t="str">
        <f t="shared" si="37"/>
        <v/>
      </c>
      <c r="O160" s="174" t="str">
        <f>Table13[[#This Row],[Combined List]]</f>
        <v/>
      </c>
      <c r="P160" s="157">
        <v>156</v>
      </c>
      <c r="Q160" s="174" t="str">
        <f t="shared" si="42"/>
        <v/>
      </c>
      <c r="R160" s="174" t="str">
        <f t="shared" si="42"/>
        <v/>
      </c>
      <c r="S160" s="174" t="str">
        <f t="shared" si="42"/>
        <v/>
      </c>
      <c r="T160" s="174" t="str">
        <f t="shared" si="43"/>
        <v/>
      </c>
      <c r="U160" s="174" t="str">
        <f t="shared" si="44"/>
        <v/>
      </c>
      <c r="V160" s="174" t="str">
        <f t="shared" si="45"/>
        <v/>
      </c>
      <c r="W160" s="174" t="str">
        <f>_xlfn.IFNA(VLOOKUP(T:T,Logframe!$B:$G,6,FALSE),"")</f>
        <v/>
      </c>
      <c r="X160" s="174" t="str">
        <f>_xlfn.IFNA(VLOOKUP(U:U,Logframe!$B:$G,6,FALSE),"")</f>
        <v/>
      </c>
      <c r="Y160" s="174" t="str">
        <f>_xlfn.IFNA(VLOOKUP(V:V,Logframe!$B:$G,6,FALSE),"")</f>
        <v/>
      </c>
      <c r="Z160">
        <v>156</v>
      </c>
      <c r="AD160" t="str">
        <f t="shared" si="46"/>
        <v/>
      </c>
      <c r="AE160" t="str">
        <f t="shared" si="46"/>
        <v/>
      </c>
      <c r="AF160" t="str">
        <f t="shared" si="41"/>
        <v/>
      </c>
    </row>
    <row r="161" spans="1:32" x14ac:dyDescent="0.35">
      <c r="A161">
        <f>INDEX(Logframe!F:F,165,1)</f>
        <v>0</v>
      </c>
      <c r="B161" s="110">
        <v>1.77</v>
      </c>
      <c r="C161" s="321" t="str">
        <f>INDEX(Logframe!B:B,165,1)</f>
        <v>0</v>
      </c>
      <c r="D161" t="str">
        <f t="shared" si="38"/>
        <v/>
      </c>
      <c r="E161" t="str">
        <f t="shared" si="39"/>
        <v/>
      </c>
      <c r="F161" t="str">
        <f t="shared" si="32"/>
        <v/>
      </c>
      <c r="G161" t="str">
        <f t="shared" si="40"/>
        <v/>
      </c>
      <c r="H161" t="str">
        <f t="shared" si="33"/>
        <v/>
      </c>
      <c r="I161" s="157" t="str">
        <f t="shared" si="34"/>
        <v/>
      </c>
      <c r="J161" s="157"/>
      <c r="K161" s="157" t="str">
        <f t="shared" si="35"/>
        <v/>
      </c>
      <c r="L161" s="157" t="str">
        <f t="shared" si="36"/>
        <v/>
      </c>
      <c r="M161" s="157"/>
      <c r="N161" s="157" t="str">
        <f t="shared" si="37"/>
        <v/>
      </c>
      <c r="O161" s="174" t="str">
        <f>Table13[[#This Row],[Combined List]]</f>
        <v/>
      </c>
      <c r="P161" s="157">
        <v>157</v>
      </c>
      <c r="Q161" s="174" t="str">
        <f t="shared" si="42"/>
        <v/>
      </c>
      <c r="R161" s="174" t="str">
        <f t="shared" si="42"/>
        <v/>
      </c>
      <c r="S161" s="174" t="str">
        <f t="shared" si="42"/>
        <v/>
      </c>
      <c r="T161" s="174" t="str">
        <f t="shared" si="43"/>
        <v/>
      </c>
      <c r="U161" s="174" t="str">
        <f t="shared" si="44"/>
        <v/>
      </c>
      <c r="V161" s="174" t="str">
        <f t="shared" si="45"/>
        <v/>
      </c>
      <c r="W161" s="174" t="str">
        <f>_xlfn.IFNA(VLOOKUP(T:T,Logframe!$B:$G,6,FALSE),"")</f>
        <v/>
      </c>
      <c r="X161" s="174" t="str">
        <f>_xlfn.IFNA(VLOOKUP(U:U,Logframe!$B:$G,6,FALSE),"")</f>
        <v/>
      </c>
      <c r="Y161" s="174" t="str">
        <f>_xlfn.IFNA(VLOOKUP(V:V,Logframe!$B:$G,6,FALSE),"")</f>
        <v/>
      </c>
      <c r="Z161">
        <v>157</v>
      </c>
      <c r="AD161" t="str">
        <f t="shared" si="46"/>
        <v/>
      </c>
      <c r="AE161" t="str">
        <f t="shared" si="46"/>
        <v/>
      </c>
      <c r="AF161" t="str">
        <f t="shared" si="41"/>
        <v/>
      </c>
    </row>
    <row r="162" spans="1:32" x14ac:dyDescent="0.35">
      <c r="A162">
        <f>INDEX(Logframe!F:F,166,1)</f>
        <v>0</v>
      </c>
      <c r="B162" s="110">
        <v>1.78</v>
      </c>
      <c r="C162" s="321" t="str">
        <f>INDEX(Logframe!B:B,166,1)</f>
        <v>0</v>
      </c>
      <c r="D162" t="str">
        <f t="shared" si="38"/>
        <v/>
      </c>
      <c r="E162" t="str">
        <f t="shared" si="39"/>
        <v/>
      </c>
      <c r="F162" t="str">
        <f t="shared" si="32"/>
        <v/>
      </c>
      <c r="G162" t="str">
        <f t="shared" si="40"/>
        <v/>
      </c>
      <c r="H162" t="str">
        <f t="shared" si="33"/>
        <v/>
      </c>
      <c r="I162" s="157" t="str">
        <f t="shared" si="34"/>
        <v/>
      </c>
      <c r="J162" s="157"/>
      <c r="K162" s="157" t="str">
        <f t="shared" si="35"/>
        <v/>
      </c>
      <c r="L162" s="157" t="str">
        <f t="shared" si="36"/>
        <v/>
      </c>
      <c r="M162" s="157"/>
      <c r="N162" s="157" t="str">
        <f t="shared" si="37"/>
        <v/>
      </c>
      <c r="O162" s="174" t="str">
        <f>Table13[[#This Row],[Combined List]]</f>
        <v/>
      </c>
      <c r="P162" s="157">
        <v>158</v>
      </c>
      <c r="Q162" s="174" t="str">
        <f t="shared" si="42"/>
        <v/>
      </c>
      <c r="R162" s="174" t="str">
        <f t="shared" si="42"/>
        <v/>
      </c>
      <c r="S162" s="174" t="str">
        <f t="shared" si="42"/>
        <v/>
      </c>
      <c r="T162" s="174" t="str">
        <f t="shared" si="43"/>
        <v/>
      </c>
      <c r="U162" s="174" t="str">
        <f t="shared" si="44"/>
        <v/>
      </c>
      <c r="V162" s="174" t="str">
        <f t="shared" si="45"/>
        <v/>
      </c>
      <c r="W162" s="174" t="str">
        <f>_xlfn.IFNA(VLOOKUP(T:T,Logframe!$B:$G,6,FALSE),"")</f>
        <v/>
      </c>
      <c r="X162" s="174" t="str">
        <f>_xlfn.IFNA(VLOOKUP(U:U,Logframe!$B:$G,6,FALSE),"")</f>
        <v/>
      </c>
      <c r="Y162" s="174" t="str">
        <f>_xlfn.IFNA(VLOOKUP(V:V,Logframe!$B:$G,6,FALSE),"")</f>
        <v/>
      </c>
      <c r="Z162">
        <v>158</v>
      </c>
      <c r="AD162" t="str">
        <f t="shared" si="46"/>
        <v/>
      </c>
      <c r="AE162" t="str">
        <f t="shared" si="46"/>
        <v/>
      </c>
      <c r="AF162" t="str">
        <f t="shared" si="41"/>
        <v/>
      </c>
    </row>
    <row r="163" spans="1:32" x14ac:dyDescent="0.35">
      <c r="A163">
        <f>INDEX(Logframe!F:F,167,1)</f>
        <v>0</v>
      </c>
      <c r="B163" s="110">
        <v>1.79</v>
      </c>
      <c r="C163" s="321" t="str">
        <f>INDEX(Logframe!B:B,167,1)</f>
        <v>0</v>
      </c>
      <c r="D163" t="str">
        <f t="shared" si="38"/>
        <v/>
      </c>
      <c r="E163" t="str">
        <f t="shared" si="39"/>
        <v/>
      </c>
      <c r="F163" t="str">
        <f t="shared" si="32"/>
        <v/>
      </c>
      <c r="G163" t="str">
        <f t="shared" si="40"/>
        <v/>
      </c>
      <c r="H163" t="str">
        <f t="shared" si="33"/>
        <v/>
      </c>
      <c r="I163" s="157" t="str">
        <f t="shared" si="34"/>
        <v/>
      </c>
      <c r="J163" s="157"/>
      <c r="K163" s="157" t="str">
        <f t="shared" si="35"/>
        <v/>
      </c>
      <c r="L163" s="157" t="str">
        <f t="shared" si="36"/>
        <v/>
      </c>
      <c r="M163" s="157"/>
      <c r="N163" s="157" t="str">
        <f t="shared" si="37"/>
        <v/>
      </c>
      <c r="O163" s="174" t="str">
        <f>Table13[[#This Row],[Combined List]]</f>
        <v/>
      </c>
      <c r="P163" s="157">
        <v>159</v>
      </c>
      <c r="Q163" s="174" t="str">
        <f t="shared" si="42"/>
        <v/>
      </c>
      <c r="R163" s="174" t="str">
        <f t="shared" si="42"/>
        <v/>
      </c>
      <c r="S163" s="174" t="str">
        <f t="shared" si="42"/>
        <v/>
      </c>
      <c r="T163" s="174" t="str">
        <f t="shared" si="43"/>
        <v/>
      </c>
      <c r="U163" s="174" t="str">
        <f t="shared" si="44"/>
        <v/>
      </c>
      <c r="V163" s="174" t="str">
        <f t="shared" si="45"/>
        <v/>
      </c>
      <c r="W163" s="174" t="str">
        <f>_xlfn.IFNA(VLOOKUP(T:T,Logframe!$B:$G,6,FALSE),"")</f>
        <v/>
      </c>
      <c r="X163" s="174" t="str">
        <f>_xlfn.IFNA(VLOOKUP(U:U,Logframe!$B:$G,6,FALSE),"")</f>
        <v/>
      </c>
      <c r="Y163" s="174" t="str">
        <f>_xlfn.IFNA(VLOOKUP(V:V,Logframe!$B:$G,6,FALSE),"")</f>
        <v/>
      </c>
      <c r="Z163">
        <v>159</v>
      </c>
      <c r="AD163" t="str">
        <f t="shared" si="46"/>
        <v/>
      </c>
      <c r="AE163" t="str">
        <f t="shared" si="46"/>
        <v/>
      </c>
      <c r="AF163" t="str">
        <f t="shared" si="41"/>
        <v/>
      </c>
    </row>
    <row r="164" spans="1:32" x14ac:dyDescent="0.35">
      <c r="A164">
        <f>INDEX(Logframe!F:F,168,1)</f>
        <v>0</v>
      </c>
      <c r="B164" s="110">
        <v>1.81</v>
      </c>
      <c r="C164" s="321" t="str">
        <f>INDEX(Logframe!B:B,168,1)</f>
        <v>0</v>
      </c>
      <c r="D164" t="str">
        <f t="shared" si="38"/>
        <v/>
      </c>
      <c r="E164" t="str">
        <f t="shared" si="39"/>
        <v/>
      </c>
      <c r="F164" t="str">
        <f t="shared" si="32"/>
        <v/>
      </c>
      <c r="G164" t="str">
        <f t="shared" si="40"/>
        <v/>
      </c>
      <c r="H164" t="str">
        <f t="shared" si="33"/>
        <v/>
      </c>
      <c r="I164" s="157" t="str">
        <f t="shared" si="34"/>
        <v/>
      </c>
      <c r="J164" s="157"/>
      <c r="K164" s="157" t="str">
        <f t="shared" si="35"/>
        <v/>
      </c>
      <c r="L164" s="157" t="str">
        <f t="shared" si="36"/>
        <v/>
      </c>
      <c r="M164" s="157"/>
      <c r="N164" s="157" t="str">
        <f t="shared" si="37"/>
        <v/>
      </c>
      <c r="O164" s="174" t="str">
        <f>Table13[[#This Row],[Combined List]]</f>
        <v/>
      </c>
      <c r="P164" s="157">
        <v>160</v>
      </c>
      <c r="Q164" s="174" t="str">
        <f t="shared" si="42"/>
        <v/>
      </c>
      <c r="R164" s="174" t="str">
        <f t="shared" si="42"/>
        <v/>
      </c>
      <c r="S164" s="174" t="str">
        <f t="shared" si="42"/>
        <v/>
      </c>
      <c r="T164" s="174" t="str">
        <f t="shared" si="43"/>
        <v/>
      </c>
      <c r="U164" s="174" t="str">
        <f t="shared" si="44"/>
        <v/>
      </c>
      <c r="V164" s="174" t="str">
        <f t="shared" si="45"/>
        <v/>
      </c>
      <c r="W164" s="174" t="str">
        <f>_xlfn.IFNA(VLOOKUP(T:T,Logframe!$B:$G,6,FALSE),"")</f>
        <v/>
      </c>
      <c r="X164" s="174" t="str">
        <f>_xlfn.IFNA(VLOOKUP(U:U,Logframe!$B:$G,6,FALSE),"")</f>
        <v/>
      </c>
      <c r="Y164" s="174" t="str">
        <f>_xlfn.IFNA(VLOOKUP(V:V,Logframe!$B:$G,6,FALSE),"")</f>
        <v/>
      </c>
      <c r="Z164">
        <v>160</v>
      </c>
      <c r="AD164" t="str">
        <f t="shared" si="46"/>
        <v/>
      </c>
      <c r="AE164" t="str">
        <f t="shared" si="46"/>
        <v/>
      </c>
      <c r="AF164" t="str">
        <f t="shared" si="41"/>
        <v/>
      </c>
    </row>
    <row r="165" spans="1:32" x14ac:dyDescent="0.35">
      <c r="A165">
        <f>INDEX(Logframe!F:F,169,1)</f>
        <v>0</v>
      </c>
      <c r="B165" s="110">
        <v>1.82</v>
      </c>
      <c r="C165" s="321" t="str">
        <f>INDEX(Logframe!B:B,169,1)</f>
        <v>0</v>
      </c>
      <c r="D165" t="str">
        <f t="shared" si="38"/>
        <v/>
      </c>
      <c r="E165" t="str">
        <f t="shared" si="39"/>
        <v/>
      </c>
      <c r="F165" t="str">
        <f t="shared" si="32"/>
        <v/>
      </c>
      <c r="G165" t="str">
        <f t="shared" si="40"/>
        <v/>
      </c>
      <c r="H165" t="str">
        <f t="shared" si="33"/>
        <v/>
      </c>
      <c r="I165" s="157" t="str">
        <f t="shared" si="34"/>
        <v/>
      </c>
      <c r="J165" s="157"/>
      <c r="K165" s="157" t="str">
        <f t="shared" si="35"/>
        <v/>
      </c>
      <c r="L165" s="157" t="str">
        <f t="shared" si="36"/>
        <v/>
      </c>
      <c r="M165" s="157"/>
      <c r="N165" s="157" t="str">
        <f t="shared" si="37"/>
        <v/>
      </c>
      <c r="O165" s="174" t="str">
        <f>Table13[[#This Row],[Combined List]]</f>
        <v/>
      </c>
      <c r="P165" s="157">
        <v>161</v>
      </c>
      <c r="Q165" s="174" t="str">
        <f t="shared" si="42"/>
        <v/>
      </c>
      <c r="R165" s="174" t="str">
        <f t="shared" si="42"/>
        <v/>
      </c>
      <c r="S165" s="174" t="str">
        <f t="shared" si="42"/>
        <v/>
      </c>
      <c r="T165" s="174" t="str">
        <f t="shared" si="43"/>
        <v/>
      </c>
      <c r="U165" s="174" t="str">
        <f t="shared" si="44"/>
        <v/>
      </c>
      <c r="V165" s="174" t="str">
        <f t="shared" si="45"/>
        <v/>
      </c>
      <c r="W165" s="174" t="str">
        <f>_xlfn.IFNA(VLOOKUP(T:T,Logframe!$B:$G,6,FALSE),"")</f>
        <v/>
      </c>
      <c r="X165" s="174" t="str">
        <f>_xlfn.IFNA(VLOOKUP(U:U,Logframe!$B:$G,6,FALSE),"")</f>
        <v/>
      </c>
      <c r="Y165" s="174" t="str">
        <f>_xlfn.IFNA(VLOOKUP(V:V,Logframe!$B:$G,6,FALSE),"")</f>
        <v/>
      </c>
      <c r="Z165">
        <v>161</v>
      </c>
      <c r="AD165" t="str">
        <f t="shared" si="46"/>
        <v/>
      </c>
      <c r="AE165" t="str">
        <f t="shared" si="46"/>
        <v/>
      </c>
      <c r="AF165" t="str">
        <f t="shared" si="41"/>
        <v/>
      </c>
    </row>
    <row r="166" spans="1:32" x14ac:dyDescent="0.35">
      <c r="A166">
        <f>INDEX(Logframe!F:F,170,1)</f>
        <v>0</v>
      </c>
      <c r="B166" s="110">
        <v>1.83</v>
      </c>
      <c r="C166" s="321" t="str">
        <f>INDEX(Logframe!B:B,170,1)</f>
        <v>0</v>
      </c>
      <c r="D166" t="str">
        <f t="shared" si="38"/>
        <v/>
      </c>
      <c r="E166" t="str">
        <f t="shared" si="39"/>
        <v/>
      </c>
      <c r="F166" t="str">
        <f t="shared" si="32"/>
        <v/>
      </c>
      <c r="G166" t="str">
        <f t="shared" si="40"/>
        <v/>
      </c>
      <c r="H166" t="str">
        <f t="shared" si="33"/>
        <v/>
      </c>
      <c r="I166" s="157" t="str">
        <f t="shared" si="34"/>
        <v/>
      </c>
      <c r="J166" s="157"/>
      <c r="K166" s="157" t="str">
        <f t="shared" si="35"/>
        <v/>
      </c>
      <c r="L166" s="157" t="str">
        <f t="shared" si="36"/>
        <v/>
      </c>
      <c r="M166" s="157"/>
      <c r="N166" s="157" t="str">
        <f t="shared" si="37"/>
        <v/>
      </c>
      <c r="O166" s="174" t="str">
        <f>Table13[[#This Row],[Combined List]]</f>
        <v/>
      </c>
      <c r="P166" s="157">
        <v>162</v>
      </c>
      <c r="Q166" s="174" t="str">
        <f t="shared" si="42"/>
        <v/>
      </c>
      <c r="R166" s="174" t="str">
        <f t="shared" si="42"/>
        <v/>
      </c>
      <c r="S166" s="174" t="str">
        <f t="shared" si="42"/>
        <v/>
      </c>
      <c r="T166" s="174" t="str">
        <f t="shared" si="43"/>
        <v/>
      </c>
      <c r="U166" s="174" t="str">
        <f t="shared" si="44"/>
        <v/>
      </c>
      <c r="V166" s="174" t="str">
        <f t="shared" si="45"/>
        <v/>
      </c>
      <c r="W166" s="174" t="str">
        <f>_xlfn.IFNA(VLOOKUP(T:T,Logframe!$B:$G,6,FALSE),"")</f>
        <v/>
      </c>
      <c r="X166" s="174" t="str">
        <f>_xlfn.IFNA(VLOOKUP(U:U,Logframe!$B:$G,6,FALSE),"")</f>
        <v/>
      </c>
      <c r="Y166" s="174" t="str">
        <f>_xlfn.IFNA(VLOOKUP(V:V,Logframe!$B:$G,6,FALSE),"")</f>
        <v/>
      </c>
      <c r="Z166">
        <v>162</v>
      </c>
      <c r="AD166" t="str">
        <f t="shared" si="46"/>
        <v/>
      </c>
      <c r="AE166" t="str">
        <f t="shared" si="46"/>
        <v/>
      </c>
      <c r="AF166" t="str">
        <f t="shared" si="41"/>
        <v/>
      </c>
    </row>
    <row r="167" spans="1:32" x14ac:dyDescent="0.35">
      <c r="A167">
        <f>INDEX(Logframe!F:F,171,1)</f>
        <v>0</v>
      </c>
      <c r="B167" s="110">
        <v>1.84</v>
      </c>
      <c r="C167" s="321" t="str">
        <f>INDEX(Logframe!B:B,171,1)</f>
        <v>0</v>
      </c>
      <c r="D167" t="str">
        <f t="shared" si="38"/>
        <v/>
      </c>
      <c r="E167" t="str">
        <f t="shared" si="39"/>
        <v/>
      </c>
      <c r="F167" t="str">
        <f t="shared" si="32"/>
        <v/>
      </c>
      <c r="G167" t="str">
        <f t="shared" si="40"/>
        <v/>
      </c>
      <c r="H167" t="str">
        <f t="shared" si="33"/>
        <v/>
      </c>
      <c r="I167" s="157" t="str">
        <f t="shared" si="34"/>
        <v/>
      </c>
      <c r="J167" s="157"/>
      <c r="K167" s="157" t="str">
        <f t="shared" si="35"/>
        <v/>
      </c>
      <c r="L167" s="157" t="str">
        <f t="shared" si="36"/>
        <v/>
      </c>
      <c r="M167" s="157"/>
      <c r="N167" s="157" t="str">
        <f t="shared" si="37"/>
        <v/>
      </c>
      <c r="O167" s="174" t="str">
        <f>Table13[[#This Row],[Combined List]]</f>
        <v/>
      </c>
      <c r="P167" s="157">
        <v>163</v>
      </c>
      <c r="Q167" s="174" t="str">
        <f t="shared" si="42"/>
        <v/>
      </c>
      <c r="R167" s="174" t="str">
        <f t="shared" si="42"/>
        <v/>
      </c>
      <c r="S167" s="174" t="str">
        <f t="shared" si="42"/>
        <v/>
      </c>
      <c r="T167" s="174" t="str">
        <f t="shared" si="43"/>
        <v/>
      </c>
      <c r="U167" s="174" t="str">
        <f t="shared" si="44"/>
        <v/>
      </c>
      <c r="V167" s="174" t="str">
        <f t="shared" si="45"/>
        <v/>
      </c>
      <c r="W167" s="174" t="str">
        <f>_xlfn.IFNA(VLOOKUP(T:T,Logframe!$B:$G,6,FALSE),"")</f>
        <v/>
      </c>
      <c r="X167" s="174" t="str">
        <f>_xlfn.IFNA(VLOOKUP(U:U,Logframe!$B:$G,6,FALSE),"")</f>
        <v/>
      </c>
      <c r="Y167" s="174" t="str">
        <f>_xlfn.IFNA(VLOOKUP(V:V,Logframe!$B:$G,6,FALSE),"")</f>
        <v/>
      </c>
      <c r="Z167">
        <v>163</v>
      </c>
      <c r="AD167" t="str">
        <f t="shared" si="46"/>
        <v/>
      </c>
      <c r="AE167" t="str">
        <f t="shared" si="46"/>
        <v/>
      </c>
      <c r="AF167" t="str">
        <f t="shared" si="41"/>
        <v/>
      </c>
    </row>
    <row r="168" spans="1:32" x14ac:dyDescent="0.35">
      <c r="A168">
        <f>INDEX(Logframe!F:F,172,1)</f>
        <v>0</v>
      </c>
      <c r="B168" s="110">
        <v>1.85</v>
      </c>
      <c r="C168" s="321" t="str">
        <f>INDEX(Logframe!B:B,172,1)</f>
        <v>0</v>
      </c>
      <c r="D168" t="str">
        <f t="shared" si="38"/>
        <v/>
      </c>
      <c r="E168" t="str">
        <f t="shared" si="39"/>
        <v/>
      </c>
      <c r="F168" t="str">
        <f t="shared" si="32"/>
        <v/>
      </c>
      <c r="G168" t="str">
        <f t="shared" si="40"/>
        <v/>
      </c>
      <c r="H168" t="str">
        <f t="shared" si="33"/>
        <v/>
      </c>
      <c r="I168" s="157" t="str">
        <f t="shared" si="34"/>
        <v/>
      </c>
      <c r="J168" s="157"/>
      <c r="K168" s="157" t="str">
        <f t="shared" si="35"/>
        <v/>
      </c>
      <c r="L168" s="157" t="str">
        <f t="shared" si="36"/>
        <v/>
      </c>
      <c r="M168" s="157"/>
      <c r="N168" s="157" t="str">
        <f t="shared" si="37"/>
        <v/>
      </c>
      <c r="O168" s="174" t="str">
        <f>Table13[[#This Row],[Combined List]]</f>
        <v/>
      </c>
      <c r="P168" s="157">
        <v>164</v>
      </c>
      <c r="Q168" s="174" t="str">
        <f t="shared" si="42"/>
        <v/>
      </c>
      <c r="R168" s="174" t="str">
        <f t="shared" si="42"/>
        <v/>
      </c>
      <c r="S168" s="174" t="str">
        <f t="shared" si="42"/>
        <v/>
      </c>
      <c r="T168" s="174" t="str">
        <f t="shared" si="43"/>
        <v/>
      </c>
      <c r="U168" s="174" t="str">
        <f t="shared" si="44"/>
        <v/>
      </c>
      <c r="V168" s="174" t="str">
        <f t="shared" si="45"/>
        <v/>
      </c>
      <c r="W168" s="174" t="str">
        <f>_xlfn.IFNA(VLOOKUP(T:T,Logframe!$B:$G,6,FALSE),"")</f>
        <v/>
      </c>
      <c r="X168" s="174" t="str">
        <f>_xlfn.IFNA(VLOOKUP(U:U,Logframe!$B:$G,6,FALSE),"")</f>
        <v/>
      </c>
      <c r="Y168" s="174" t="str">
        <f>_xlfn.IFNA(VLOOKUP(V:V,Logframe!$B:$G,6,FALSE),"")</f>
        <v/>
      </c>
      <c r="Z168">
        <v>164</v>
      </c>
      <c r="AD168" t="str">
        <f t="shared" si="46"/>
        <v/>
      </c>
      <c r="AE168" t="str">
        <f t="shared" si="46"/>
        <v/>
      </c>
      <c r="AF168" t="str">
        <f t="shared" si="41"/>
        <v/>
      </c>
    </row>
    <row r="169" spans="1:32" x14ac:dyDescent="0.35">
      <c r="A169" s="5">
        <f>INDEX(Logframe!F:F,173,1)</f>
        <v>0</v>
      </c>
      <c r="B169" s="110">
        <v>1.86</v>
      </c>
      <c r="C169" s="322" t="str">
        <f>INDEX(Logframe!B:B,173,1)</f>
        <v>0</v>
      </c>
      <c r="D169" t="str">
        <f t="shared" si="38"/>
        <v/>
      </c>
      <c r="E169" t="str">
        <f t="shared" si="39"/>
        <v/>
      </c>
      <c r="F169" t="str">
        <f t="shared" si="32"/>
        <v/>
      </c>
      <c r="G169" t="str">
        <f t="shared" si="40"/>
        <v/>
      </c>
      <c r="H169" t="str">
        <f t="shared" si="33"/>
        <v/>
      </c>
      <c r="I169" s="157" t="str">
        <f t="shared" si="34"/>
        <v/>
      </c>
      <c r="J169" s="157"/>
      <c r="K169" s="157" t="str">
        <f t="shared" si="35"/>
        <v/>
      </c>
      <c r="L169" s="157" t="str">
        <f t="shared" si="36"/>
        <v/>
      </c>
      <c r="M169" s="157"/>
      <c r="N169" s="157" t="str">
        <f t="shared" si="37"/>
        <v/>
      </c>
      <c r="O169" s="174" t="str">
        <f>Table13[[#This Row],[Combined List]]</f>
        <v/>
      </c>
      <c r="P169" s="157">
        <v>165</v>
      </c>
      <c r="Q169" s="174" t="str">
        <f t="shared" si="42"/>
        <v/>
      </c>
      <c r="R169" s="174" t="str">
        <f t="shared" si="42"/>
        <v/>
      </c>
      <c r="S169" s="174" t="str">
        <f t="shared" si="42"/>
        <v/>
      </c>
      <c r="T169" s="174" t="str">
        <f t="shared" si="43"/>
        <v/>
      </c>
      <c r="U169" s="174" t="str">
        <f t="shared" si="44"/>
        <v/>
      </c>
      <c r="V169" s="174" t="str">
        <f t="shared" si="45"/>
        <v/>
      </c>
      <c r="W169" s="174" t="str">
        <f>_xlfn.IFNA(VLOOKUP(T:T,Logframe!$B:$G,6,FALSE),"")</f>
        <v/>
      </c>
      <c r="X169" s="174" t="str">
        <f>_xlfn.IFNA(VLOOKUP(U:U,Logframe!$B:$G,6,FALSE),"")</f>
        <v/>
      </c>
      <c r="Y169" s="174" t="str">
        <f>_xlfn.IFNA(VLOOKUP(V:V,Logframe!$B:$G,6,FALSE),"")</f>
        <v/>
      </c>
      <c r="Z169">
        <v>165</v>
      </c>
      <c r="AD169" t="str">
        <f t="shared" si="46"/>
        <v/>
      </c>
      <c r="AE169" t="str">
        <f t="shared" si="46"/>
        <v/>
      </c>
      <c r="AF169" t="str">
        <f t="shared" si="41"/>
        <v/>
      </c>
    </row>
    <row r="170" spans="1:32" x14ac:dyDescent="0.35">
      <c r="A170">
        <f>INDEX(Logframe!F:F,174,1)</f>
        <v>0</v>
      </c>
      <c r="B170" s="110">
        <v>1.87</v>
      </c>
      <c r="C170" s="321" t="str">
        <f>INDEX(Logframe!B:B,174,1)</f>
        <v>0</v>
      </c>
      <c r="D170" t="str">
        <f t="shared" si="38"/>
        <v/>
      </c>
      <c r="E170" t="str">
        <f t="shared" si="39"/>
        <v/>
      </c>
      <c r="F170" t="str">
        <f t="shared" si="32"/>
        <v/>
      </c>
      <c r="G170" t="str">
        <f t="shared" si="40"/>
        <v/>
      </c>
      <c r="H170" t="str">
        <f t="shared" si="33"/>
        <v/>
      </c>
      <c r="I170" s="157" t="str">
        <f t="shared" si="34"/>
        <v/>
      </c>
      <c r="J170" s="157"/>
      <c r="K170" s="157" t="str">
        <f t="shared" si="35"/>
        <v/>
      </c>
      <c r="L170" s="157" t="str">
        <f t="shared" si="36"/>
        <v/>
      </c>
      <c r="M170" s="157"/>
      <c r="N170" s="157" t="str">
        <f t="shared" si="37"/>
        <v/>
      </c>
      <c r="O170" s="174" t="str">
        <f>Table13[[#This Row],[Combined List]]</f>
        <v/>
      </c>
      <c r="P170" s="157">
        <v>166</v>
      </c>
      <c r="Q170" s="174" t="str">
        <f t="shared" si="42"/>
        <v/>
      </c>
      <c r="R170" s="174" t="str">
        <f t="shared" si="42"/>
        <v/>
      </c>
      <c r="S170" s="174" t="str">
        <f t="shared" si="42"/>
        <v/>
      </c>
      <c r="T170" s="174" t="str">
        <f t="shared" si="43"/>
        <v/>
      </c>
      <c r="U170" s="174" t="str">
        <f t="shared" si="44"/>
        <v/>
      </c>
      <c r="V170" s="174" t="str">
        <f t="shared" si="45"/>
        <v/>
      </c>
      <c r="W170" s="174" t="str">
        <f>_xlfn.IFNA(VLOOKUP(T:T,Logframe!$B:$G,6,FALSE),"")</f>
        <v/>
      </c>
      <c r="X170" s="174" t="str">
        <f>_xlfn.IFNA(VLOOKUP(U:U,Logframe!$B:$G,6,FALSE),"")</f>
        <v/>
      </c>
      <c r="Y170" s="174" t="str">
        <f>_xlfn.IFNA(VLOOKUP(V:V,Logframe!$B:$G,6,FALSE),"")</f>
        <v/>
      </c>
      <c r="Z170">
        <v>166</v>
      </c>
      <c r="AD170" t="str">
        <f t="shared" si="46"/>
        <v/>
      </c>
      <c r="AE170" t="str">
        <f t="shared" si="46"/>
        <v/>
      </c>
      <c r="AF170" t="str">
        <f t="shared" si="41"/>
        <v/>
      </c>
    </row>
    <row r="171" spans="1:32" x14ac:dyDescent="0.35">
      <c r="A171">
        <f>INDEX(Logframe!F:F,175,1)</f>
        <v>0</v>
      </c>
      <c r="B171" s="110">
        <v>1.88</v>
      </c>
      <c r="C171" s="321" t="str">
        <f>INDEX(Logframe!B:B,175,1)</f>
        <v>0</v>
      </c>
      <c r="D171" t="str">
        <f t="shared" si="38"/>
        <v/>
      </c>
      <c r="E171" t="str">
        <f t="shared" si="39"/>
        <v/>
      </c>
      <c r="F171" t="str">
        <f t="shared" si="32"/>
        <v/>
      </c>
      <c r="G171" t="str">
        <f t="shared" si="40"/>
        <v/>
      </c>
      <c r="H171" t="str">
        <f t="shared" si="33"/>
        <v/>
      </c>
      <c r="I171" s="157" t="str">
        <f t="shared" si="34"/>
        <v/>
      </c>
      <c r="J171" s="157"/>
      <c r="K171" s="157" t="str">
        <f t="shared" si="35"/>
        <v/>
      </c>
      <c r="L171" s="157" t="str">
        <f t="shared" si="36"/>
        <v/>
      </c>
      <c r="M171" s="157"/>
      <c r="N171" s="157" t="str">
        <f t="shared" si="37"/>
        <v/>
      </c>
      <c r="O171" s="174" t="str">
        <f>Table13[[#This Row],[Combined List]]</f>
        <v/>
      </c>
      <c r="P171" s="157">
        <v>167</v>
      </c>
      <c r="Q171" s="174" t="str">
        <f t="shared" si="42"/>
        <v/>
      </c>
      <c r="R171" s="174" t="str">
        <f t="shared" si="42"/>
        <v/>
      </c>
      <c r="S171" s="174" t="str">
        <f t="shared" si="42"/>
        <v/>
      </c>
      <c r="T171" s="174" t="str">
        <f t="shared" si="43"/>
        <v/>
      </c>
      <c r="U171" s="174" t="str">
        <f t="shared" si="44"/>
        <v/>
      </c>
      <c r="V171" s="174" t="str">
        <f t="shared" si="45"/>
        <v/>
      </c>
      <c r="W171" s="174" t="str">
        <f>_xlfn.IFNA(VLOOKUP(T:T,Logframe!$B:$G,6,FALSE),"")</f>
        <v/>
      </c>
      <c r="X171" s="174" t="str">
        <f>_xlfn.IFNA(VLOOKUP(U:U,Logframe!$B:$G,6,FALSE),"")</f>
        <v/>
      </c>
      <c r="Y171" s="174" t="str">
        <f>_xlfn.IFNA(VLOOKUP(V:V,Logframe!$B:$G,6,FALSE),"")</f>
        <v/>
      </c>
      <c r="Z171">
        <v>167</v>
      </c>
      <c r="AD171" t="str">
        <f t="shared" si="46"/>
        <v/>
      </c>
      <c r="AE171" t="str">
        <f t="shared" si="46"/>
        <v/>
      </c>
      <c r="AF171" t="str">
        <f t="shared" si="41"/>
        <v/>
      </c>
    </row>
    <row r="172" spans="1:32" x14ac:dyDescent="0.35">
      <c r="A172">
        <f>INDEX(Logframe!F:F,176,1)</f>
        <v>0</v>
      </c>
      <c r="B172" s="110">
        <v>1.89</v>
      </c>
      <c r="C172" s="321">
        <f>INDEX(Logframe!B:B,176,1)</f>
        <v>0</v>
      </c>
      <c r="D172" t="str">
        <f t="shared" si="38"/>
        <v/>
      </c>
      <c r="E172" t="str">
        <f t="shared" si="39"/>
        <v/>
      </c>
      <c r="F172" t="str">
        <f t="shared" si="32"/>
        <v/>
      </c>
      <c r="G172" t="str">
        <f t="shared" si="40"/>
        <v/>
      </c>
      <c r="H172" t="str">
        <f t="shared" si="33"/>
        <v/>
      </c>
      <c r="I172" s="157" t="str">
        <f t="shared" si="34"/>
        <v/>
      </c>
      <c r="J172" s="157"/>
      <c r="K172" s="157" t="str">
        <f t="shared" si="35"/>
        <v/>
      </c>
      <c r="L172" s="157" t="str">
        <f t="shared" si="36"/>
        <v/>
      </c>
      <c r="M172" s="157"/>
      <c r="N172" s="157" t="str">
        <f t="shared" si="37"/>
        <v/>
      </c>
      <c r="O172" s="174" t="str">
        <f>Table13[[#This Row],[Combined List]]</f>
        <v/>
      </c>
      <c r="P172" s="157">
        <v>168</v>
      </c>
      <c r="Q172" s="174" t="str">
        <f t="shared" si="42"/>
        <v/>
      </c>
      <c r="R172" s="174" t="str">
        <f t="shared" si="42"/>
        <v/>
      </c>
      <c r="S172" s="174" t="str">
        <f t="shared" si="42"/>
        <v/>
      </c>
      <c r="T172" s="174" t="str">
        <f t="shared" si="43"/>
        <v/>
      </c>
      <c r="U172" s="174" t="str">
        <f t="shared" si="44"/>
        <v/>
      </c>
      <c r="V172" s="174" t="str">
        <f t="shared" si="45"/>
        <v/>
      </c>
      <c r="W172" s="174" t="str">
        <f>_xlfn.IFNA(VLOOKUP(T:T,Logframe!$B:$G,6,FALSE),"")</f>
        <v/>
      </c>
      <c r="X172" s="174" t="str">
        <f>_xlfn.IFNA(VLOOKUP(U:U,Logframe!$B:$G,6,FALSE),"")</f>
        <v/>
      </c>
      <c r="Y172" s="174" t="str">
        <f>_xlfn.IFNA(VLOOKUP(V:V,Logframe!$B:$G,6,FALSE),"")</f>
        <v/>
      </c>
      <c r="Z172">
        <v>168</v>
      </c>
      <c r="AD172" t="str">
        <f t="shared" si="46"/>
        <v/>
      </c>
      <c r="AE172" t="str">
        <f t="shared" si="46"/>
        <v/>
      </c>
      <c r="AF172" t="str">
        <f t="shared" si="41"/>
        <v/>
      </c>
    </row>
    <row r="173" spans="1:32" x14ac:dyDescent="0.35">
      <c r="A173">
        <f>INDEX(Logframe!F:F,177,1)</f>
        <v>0</v>
      </c>
      <c r="B173" s="110">
        <v>1.91</v>
      </c>
      <c r="C173" s="321">
        <f>INDEX(Logframe!B:B,177,1)</f>
        <v>0</v>
      </c>
      <c r="D173" t="str">
        <f t="shared" si="38"/>
        <v/>
      </c>
      <c r="E173" t="str">
        <f t="shared" si="39"/>
        <v/>
      </c>
      <c r="F173" t="str">
        <f t="shared" si="32"/>
        <v/>
      </c>
      <c r="G173" t="str">
        <f t="shared" si="40"/>
        <v/>
      </c>
      <c r="H173" t="str">
        <f t="shared" si="33"/>
        <v/>
      </c>
      <c r="I173" s="157" t="str">
        <f t="shared" si="34"/>
        <v/>
      </c>
      <c r="J173" s="157"/>
      <c r="K173" s="157" t="str">
        <f t="shared" si="35"/>
        <v/>
      </c>
      <c r="L173" s="157" t="str">
        <f t="shared" si="36"/>
        <v/>
      </c>
      <c r="M173" s="157"/>
      <c r="N173" s="157" t="str">
        <f t="shared" si="37"/>
        <v/>
      </c>
      <c r="O173" s="174" t="str">
        <f>Table13[[#This Row],[Combined List]]</f>
        <v/>
      </c>
      <c r="P173" s="157">
        <v>169</v>
      </c>
      <c r="Q173" s="174" t="str">
        <f t="shared" si="42"/>
        <v/>
      </c>
      <c r="R173" s="174" t="str">
        <f t="shared" si="42"/>
        <v/>
      </c>
      <c r="S173" s="174" t="str">
        <f t="shared" si="42"/>
        <v/>
      </c>
      <c r="T173" s="174" t="str">
        <f t="shared" si="43"/>
        <v/>
      </c>
      <c r="U173" s="174" t="str">
        <f t="shared" si="44"/>
        <v/>
      </c>
      <c r="V173" s="174" t="str">
        <f t="shared" si="45"/>
        <v/>
      </c>
      <c r="W173" s="174" t="str">
        <f>_xlfn.IFNA(VLOOKUP(T:T,Logframe!$B:$G,6,FALSE),"")</f>
        <v/>
      </c>
      <c r="X173" s="174" t="str">
        <f>_xlfn.IFNA(VLOOKUP(U:U,Logframe!$B:$G,6,FALSE),"")</f>
        <v/>
      </c>
      <c r="Y173" s="174" t="str">
        <f>_xlfn.IFNA(VLOOKUP(V:V,Logframe!$B:$G,6,FALSE),"")</f>
        <v/>
      </c>
      <c r="Z173">
        <v>169</v>
      </c>
      <c r="AD173" t="str">
        <f t="shared" si="46"/>
        <v/>
      </c>
      <c r="AE173" t="str">
        <f t="shared" si="46"/>
        <v/>
      </c>
      <c r="AF173" t="str">
        <f t="shared" si="41"/>
        <v/>
      </c>
    </row>
    <row r="174" spans="1:32" x14ac:dyDescent="0.35">
      <c r="A174">
        <f>INDEX(Logframe!F:F,178,1)</f>
        <v>0</v>
      </c>
      <c r="B174" s="110">
        <v>1.92</v>
      </c>
      <c r="C174" s="321">
        <f>INDEX(Logframe!B:B,178,1)</f>
        <v>0</v>
      </c>
      <c r="D174" t="str">
        <f t="shared" si="38"/>
        <v/>
      </c>
      <c r="E174" t="str">
        <f t="shared" si="39"/>
        <v/>
      </c>
      <c r="F174" t="str">
        <f t="shared" si="32"/>
        <v/>
      </c>
      <c r="G174" t="str">
        <f t="shared" si="40"/>
        <v/>
      </c>
      <c r="H174" t="str">
        <f t="shared" si="33"/>
        <v/>
      </c>
      <c r="I174" s="157" t="str">
        <f t="shared" si="34"/>
        <v/>
      </c>
      <c r="J174" s="157"/>
      <c r="K174" s="157" t="str">
        <f t="shared" si="35"/>
        <v/>
      </c>
      <c r="L174" s="157" t="str">
        <f t="shared" si="36"/>
        <v/>
      </c>
      <c r="M174" s="157"/>
      <c r="N174" s="157" t="str">
        <f t="shared" si="37"/>
        <v/>
      </c>
      <c r="O174" s="174" t="str">
        <f>Table13[[#This Row],[Combined List]]</f>
        <v/>
      </c>
      <c r="P174" s="157">
        <v>170</v>
      </c>
      <c r="Q174" s="174" t="str">
        <f t="shared" si="42"/>
        <v/>
      </c>
      <c r="R174" s="174" t="str">
        <f t="shared" si="42"/>
        <v/>
      </c>
      <c r="S174" s="174" t="str">
        <f t="shared" si="42"/>
        <v/>
      </c>
      <c r="T174" s="174" t="str">
        <f t="shared" si="43"/>
        <v/>
      </c>
      <c r="U174" s="174" t="str">
        <f t="shared" si="44"/>
        <v/>
      </c>
      <c r="V174" s="174" t="str">
        <f t="shared" si="45"/>
        <v/>
      </c>
      <c r="W174" s="174" t="str">
        <f>_xlfn.IFNA(VLOOKUP(T:T,Logframe!$B:$G,6,FALSE),"")</f>
        <v/>
      </c>
      <c r="X174" s="174" t="str">
        <f>_xlfn.IFNA(VLOOKUP(U:U,Logframe!$B:$G,6,FALSE),"")</f>
        <v/>
      </c>
      <c r="Y174" s="174" t="str">
        <f>_xlfn.IFNA(VLOOKUP(V:V,Logframe!$B:$G,6,FALSE),"")</f>
        <v/>
      </c>
      <c r="Z174">
        <v>170</v>
      </c>
      <c r="AD174" t="str">
        <f t="shared" si="46"/>
        <v/>
      </c>
      <c r="AE174" t="str">
        <f t="shared" si="46"/>
        <v/>
      </c>
      <c r="AF174" t="str">
        <f t="shared" si="41"/>
        <v/>
      </c>
    </row>
    <row r="175" spans="1:32" x14ac:dyDescent="0.35">
      <c r="A175">
        <f>INDEX(Logframe!F:F,179,1)</f>
        <v>0</v>
      </c>
      <c r="B175" s="110">
        <v>1.93</v>
      </c>
      <c r="C175" s="321">
        <f>INDEX(Logframe!B:B,179,1)</f>
        <v>0</v>
      </c>
      <c r="D175" t="str">
        <f t="shared" si="38"/>
        <v/>
      </c>
      <c r="E175" t="str">
        <f t="shared" si="39"/>
        <v/>
      </c>
      <c r="F175" t="str">
        <f t="shared" si="32"/>
        <v/>
      </c>
      <c r="G175" t="str">
        <f t="shared" si="40"/>
        <v/>
      </c>
      <c r="H175" t="str">
        <f t="shared" si="33"/>
        <v/>
      </c>
      <c r="I175" s="157" t="str">
        <f t="shared" si="34"/>
        <v/>
      </c>
      <c r="J175" s="157"/>
      <c r="K175" s="157" t="str">
        <f t="shared" si="35"/>
        <v/>
      </c>
      <c r="L175" s="157" t="str">
        <f t="shared" si="36"/>
        <v/>
      </c>
      <c r="M175" s="157"/>
      <c r="N175" s="157" t="str">
        <f t="shared" si="37"/>
        <v/>
      </c>
      <c r="O175" s="174" t="str">
        <f>Table13[[#This Row],[Combined List]]</f>
        <v/>
      </c>
      <c r="P175" s="157">
        <v>171</v>
      </c>
      <c r="Q175" s="174" t="str">
        <f t="shared" si="42"/>
        <v/>
      </c>
      <c r="R175" s="174" t="str">
        <f t="shared" si="42"/>
        <v/>
      </c>
      <c r="S175" s="174" t="str">
        <f t="shared" si="42"/>
        <v/>
      </c>
      <c r="T175" s="174" t="str">
        <f t="shared" si="43"/>
        <v/>
      </c>
      <c r="U175" s="174" t="str">
        <f t="shared" si="44"/>
        <v/>
      </c>
      <c r="V175" s="174" t="str">
        <f t="shared" si="45"/>
        <v/>
      </c>
      <c r="W175" s="174" t="str">
        <f>_xlfn.IFNA(VLOOKUP(T:T,Logframe!$B:$G,6,FALSE),"")</f>
        <v/>
      </c>
      <c r="X175" s="174" t="str">
        <f>_xlfn.IFNA(VLOOKUP(U:U,Logframe!$B:$G,6,FALSE),"")</f>
        <v/>
      </c>
      <c r="Y175" s="174" t="str">
        <f>_xlfn.IFNA(VLOOKUP(V:V,Logframe!$B:$G,6,FALSE),"")</f>
        <v/>
      </c>
      <c r="Z175">
        <v>171</v>
      </c>
      <c r="AD175" t="str">
        <f t="shared" si="46"/>
        <v/>
      </c>
      <c r="AE175" t="str">
        <f t="shared" si="46"/>
        <v/>
      </c>
      <c r="AF175" t="str">
        <f t="shared" si="41"/>
        <v/>
      </c>
    </row>
    <row r="176" spans="1:32" x14ac:dyDescent="0.35">
      <c r="A176">
        <f>INDEX(Logframe!F:F,180,1)</f>
        <v>0</v>
      </c>
      <c r="B176" s="110">
        <v>1.94</v>
      </c>
      <c r="C176" s="321">
        <f>INDEX(Logframe!B:B,180,1)</f>
        <v>0</v>
      </c>
      <c r="D176" t="str">
        <f t="shared" si="38"/>
        <v/>
      </c>
      <c r="E176" t="str">
        <f t="shared" si="39"/>
        <v/>
      </c>
      <c r="F176" t="str">
        <f t="shared" si="32"/>
        <v/>
      </c>
      <c r="G176" t="str">
        <f t="shared" si="40"/>
        <v/>
      </c>
      <c r="H176" t="str">
        <f t="shared" si="33"/>
        <v/>
      </c>
      <c r="I176" s="157" t="str">
        <f t="shared" si="34"/>
        <v/>
      </c>
      <c r="J176" s="157"/>
      <c r="K176" s="157" t="str">
        <f t="shared" si="35"/>
        <v/>
      </c>
      <c r="L176" s="157" t="str">
        <f t="shared" si="36"/>
        <v/>
      </c>
      <c r="M176" s="157"/>
      <c r="N176" s="157" t="str">
        <f t="shared" si="37"/>
        <v/>
      </c>
      <c r="O176" s="174" t="str">
        <f>Table13[[#This Row],[Combined List]]</f>
        <v/>
      </c>
      <c r="P176" s="157">
        <v>172</v>
      </c>
      <c r="Q176" s="174" t="str">
        <f t="shared" si="42"/>
        <v/>
      </c>
      <c r="R176" s="174" t="str">
        <f t="shared" si="42"/>
        <v/>
      </c>
      <c r="S176" s="174" t="str">
        <f t="shared" si="42"/>
        <v/>
      </c>
      <c r="T176" s="174" t="str">
        <f t="shared" si="43"/>
        <v/>
      </c>
      <c r="U176" s="174" t="str">
        <f t="shared" si="44"/>
        <v/>
      </c>
      <c r="V176" s="174" t="str">
        <f t="shared" si="45"/>
        <v/>
      </c>
      <c r="W176" s="174" t="str">
        <f>_xlfn.IFNA(VLOOKUP(T:T,Logframe!$B:$G,6,FALSE),"")</f>
        <v/>
      </c>
      <c r="X176" s="174" t="str">
        <f>_xlfn.IFNA(VLOOKUP(U:U,Logframe!$B:$G,6,FALSE),"")</f>
        <v/>
      </c>
      <c r="Y176" s="174" t="str">
        <f>_xlfn.IFNA(VLOOKUP(V:V,Logframe!$B:$G,6,FALSE),"")</f>
        <v/>
      </c>
      <c r="Z176">
        <v>172</v>
      </c>
      <c r="AD176" t="str">
        <f t="shared" si="46"/>
        <v/>
      </c>
      <c r="AE176" t="str">
        <f t="shared" si="46"/>
        <v/>
      </c>
      <c r="AF176" t="str">
        <f t="shared" si="41"/>
        <v/>
      </c>
    </row>
    <row r="177" spans="1:32" x14ac:dyDescent="0.35">
      <c r="A177">
        <f>INDEX(Logframe!F:F,181,1)</f>
        <v>0</v>
      </c>
      <c r="B177" s="110">
        <v>1.95</v>
      </c>
      <c r="C177" s="321">
        <f>INDEX(Logframe!B:B,181,1)</f>
        <v>0</v>
      </c>
      <c r="D177" t="str">
        <f t="shared" si="38"/>
        <v/>
      </c>
      <c r="E177" t="str">
        <f t="shared" si="39"/>
        <v/>
      </c>
      <c r="F177" t="str">
        <f t="shared" si="32"/>
        <v/>
      </c>
      <c r="G177" t="str">
        <f t="shared" si="40"/>
        <v/>
      </c>
      <c r="H177" t="str">
        <f t="shared" si="33"/>
        <v/>
      </c>
      <c r="I177" s="157" t="str">
        <f t="shared" si="34"/>
        <v/>
      </c>
      <c r="J177" s="157"/>
      <c r="K177" s="157" t="str">
        <f t="shared" si="35"/>
        <v/>
      </c>
      <c r="L177" s="157" t="str">
        <f t="shared" si="36"/>
        <v/>
      </c>
      <c r="M177" s="157"/>
      <c r="N177" s="157" t="str">
        <f t="shared" si="37"/>
        <v/>
      </c>
      <c r="O177" s="174" t="str">
        <f>Table13[[#This Row],[Combined List]]</f>
        <v/>
      </c>
      <c r="P177" s="157">
        <v>173</v>
      </c>
      <c r="Q177" s="174" t="str">
        <f t="shared" si="42"/>
        <v/>
      </c>
      <c r="R177" s="174" t="str">
        <f t="shared" si="42"/>
        <v/>
      </c>
      <c r="S177" s="174" t="str">
        <f t="shared" si="42"/>
        <v/>
      </c>
      <c r="T177" s="174" t="str">
        <f t="shared" si="43"/>
        <v/>
      </c>
      <c r="U177" s="174" t="str">
        <f t="shared" si="44"/>
        <v/>
      </c>
      <c r="V177" s="174" t="str">
        <f t="shared" si="45"/>
        <v/>
      </c>
      <c r="W177" s="174" t="str">
        <f>_xlfn.IFNA(VLOOKUP(T:T,Logframe!$B:$G,6,FALSE),"")</f>
        <v/>
      </c>
      <c r="X177" s="174" t="str">
        <f>_xlfn.IFNA(VLOOKUP(U:U,Logframe!$B:$G,6,FALSE),"")</f>
        <v/>
      </c>
      <c r="Y177" s="174" t="str">
        <f>_xlfn.IFNA(VLOOKUP(V:V,Logframe!$B:$G,6,FALSE),"")</f>
        <v/>
      </c>
      <c r="Z177">
        <v>173</v>
      </c>
      <c r="AD177" t="str">
        <f t="shared" si="46"/>
        <v/>
      </c>
      <c r="AE177" t="str">
        <f t="shared" si="46"/>
        <v/>
      </c>
      <c r="AF177" t="str">
        <f t="shared" si="41"/>
        <v/>
      </c>
    </row>
    <row r="178" spans="1:32" x14ac:dyDescent="0.35">
      <c r="A178">
        <f>INDEX(Logframe!F:F,182,1)</f>
        <v>0</v>
      </c>
      <c r="B178" s="110">
        <v>1.96</v>
      </c>
      <c r="C178" s="321">
        <f>INDEX(Logframe!B:B,182,1)</f>
        <v>0</v>
      </c>
      <c r="D178" t="str">
        <f t="shared" si="38"/>
        <v/>
      </c>
      <c r="E178" t="str">
        <f t="shared" si="39"/>
        <v/>
      </c>
      <c r="F178" t="str">
        <f t="shared" si="32"/>
        <v/>
      </c>
      <c r="G178" t="str">
        <f t="shared" si="40"/>
        <v/>
      </c>
      <c r="H178" t="str">
        <f t="shared" si="33"/>
        <v/>
      </c>
      <c r="I178" s="157" t="str">
        <f t="shared" si="34"/>
        <v/>
      </c>
      <c r="J178" s="157"/>
      <c r="K178" s="157" t="str">
        <f t="shared" si="35"/>
        <v/>
      </c>
      <c r="L178" s="157" t="str">
        <f t="shared" si="36"/>
        <v/>
      </c>
      <c r="M178" s="157"/>
      <c r="N178" s="157" t="str">
        <f t="shared" si="37"/>
        <v/>
      </c>
      <c r="O178" s="174" t="str">
        <f>Table13[[#This Row],[Combined List]]</f>
        <v/>
      </c>
      <c r="P178" s="157">
        <v>174</v>
      </c>
      <c r="Q178" s="174" t="str">
        <f t="shared" si="42"/>
        <v/>
      </c>
      <c r="R178" s="174" t="str">
        <f t="shared" si="42"/>
        <v/>
      </c>
      <c r="S178" s="174" t="str">
        <f t="shared" si="42"/>
        <v/>
      </c>
      <c r="T178" s="174" t="str">
        <f t="shared" si="43"/>
        <v/>
      </c>
      <c r="U178" s="174" t="str">
        <f t="shared" si="44"/>
        <v/>
      </c>
      <c r="V178" s="174" t="str">
        <f t="shared" si="45"/>
        <v/>
      </c>
      <c r="W178" s="174" t="str">
        <f>_xlfn.IFNA(VLOOKUP(T:T,Logframe!$B:$G,6,FALSE),"")</f>
        <v/>
      </c>
      <c r="X178" s="174" t="str">
        <f>_xlfn.IFNA(VLOOKUP(U:U,Logframe!$B:$G,6,FALSE),"")</f>
        <v/>
      </c>
      <c r="Y178" s="174" t="str">
        <f>_xlfn.IFNA(VLOOKUP(V:V,Logframe!$B:$G,6,FALSE),"")</f>
        <v/>
      </c>
      <c r="Z178">
        <v>174</v>
      </c>
      <c r="AD178" t="str">
        <f t="shared" si="46"/>
        <v/>
      </c>
      <c r="AE178" t="str">
        <f t="shared" si="46"/>
        <v/>
      </c>
      <c r="AF178" t="str">
        <f t="shared" si="41"/>
        <v/>
      </c>
    </row>
    <row r="179" spans="1:32" x14ac:dyDescent="0.35">
      <c r="A179">
        <f>INDEX(Logframe!F:F,183,1)</f>
        <v>0</v>
      </c>
      <c r="B179" s="110">
        <v>1.97</v>
      </c>
      <c r="C179" s="321">
        <f>INDEX(Logframe!B:B,183,1)</f>
        <v>0</v>
      </c>
      <c r="D179" t="str">
        <f t="shared" si="38"/>
        <v/>
      </c>
      <c r="E179" t="str">
        <f t="shared" si="39"/>
        <v/>
      </c>
      <c r="F179" t="str">
        <f t="shared" si="32"/>
        <v/>
      </c>
      <c r="G179" t="str">
        <f t="shared" si="40"/>
        <v/>
      </c>
      <c r="H179" t="str">
        <f t="shared" si="33"/>
        <v/>
      </c>
      <c r="I179" s="157" t="str">
        <f t="shared" si="34"/>
        <v/>
      </c>
      <c r="J179" s="157"/>
      <c r="K179" s="157" t="str">
        <f t="shared" si="35"/>
        <v/>
      </c>
      <c r="L179" s="157" t="str">
        <f t="shared" si="36"/>
        <v/>
      </c>
      <c r="M179" s="157"/>
      <c r="N179" s="157" t="str">
        <f t="shared" si="37"/>
        <v/>
      </c>
      <c r="O179" s="174" t="str">
        <f>Table13[[#This Row],[Combined List]]</f>
        <v/>
      </c>
      <c r="P179" s="157">
        <v>175</v>
      </c>
      <c r="Q179" s="174" t="str">
        <f t="shared" si="42"/>
        <v/>
      </c>
      <c r="R179" s="174" t="str">
        <f t="shared" si="42"/>
        <v/>
      </c>
      <c r="S179" s="174" t="str">
        <f t="shared" si="42"/>
        <v/>
      </c>
      <c r="T179" s="174" t="str">
        <f t="shared" si="43"/>
        <v/>
      </c>
      <c r="U179" s="174" t="str">
        <f t="shared" si="44"/>
        <v/>
      </c>
      <c r="V179" s="174" t="str">
        <f t="shared" si="45"/>
        <v/>
      </c>
      <c r="W179" s="174" t="str">
        <f>_xlfn.IFNA(VLOOKUP(T:T,Logframe!$B:$G,6,FALSE),"")</f>
        <v/>
      </c>
      <c r="X179" s="174" t="str">
        <f>_xlfn.IFNA(VLOOKUP(U:U,Logframe!$B:$G,6,FALSE),"")</f>
        <v/>
      </c>
      <c r="Y179" s="174" t="str">
        <f>_xlfn.IFNA(VLOOKUP(V:V,Logframe!$B:$G,6,FALSE),"")</f>
        <v/>
      </c>
      <c r="Z179">
        <v>175</v>
      </c>
      <c r="AD179" t="str">
        <f t="shared" si="46"/>
        <v/>
      </c>
      <c r="AE179" t="str">
        <f t="shared" si="46"/>
        <v/>
      </c>
      <c r="AF179" t="str">
        <f t="shared" si="41"/>
        <v/>
      </c>
    </row>
    <row r="180" spans="1:32" x14ac:dyDescent="0.35">
      <c r="A180">
        <f>INDEX(Logframe!F:F,184,1)</f>
        <v>0</v>
      </c>
      <c r="B180" s="110">
        <v>1.98</v>
      </c>
      <c r="C180" s="321">
        <f>INDEX(Logframe!B:B,184,1)</f>
        <v>0</v>
      </c>
      <c r="D180" t="str">
        <f t="shared" si="38"/>
        <v/>
      </c>
      <c r="E180" t="str">
        <f t="shared" si="39"/>
        <v/>
      </c>
      <c r="F180" t="str">
        <f t="shared" si="32"/>
        <v/>
      </c>
      <c r="G180" t="str">
        <f t="shared" si="40"/>
        <v/>
      </c>
      <c r="H180" t="str">
        <f t="shared" si="33"/>
        <v/>
      </c>
      <c r="I180" s="157" t="str">
        <f t="shared" si="34"/>
        <v/>
      </c>
      <c r="J180" s="157"/>
      <c r="K180" s="157" t="str">
        <f t="shared" si="35"/>
        <v/>
      </c>
      <c r="L180" s="157" t="str">
        <f t="shared" si="36"/>
        <v/>
      </c>
      <c r="M180" s="157"/>
      <c r="N180" s="157" t="str">
        <f t="shared" si="37"/>
        <v/>
      </c>
      <c r="O180" s="174" t="str">
        <f>Table13[[#This Row],[Combined List]]</f>
        <v/>
      </c>
      <c r="P180" s="157">
        <v>176</v>
      </c>
      <c r="Q180" s="174" t="str">
        <f t="shared" si="42"/>
        <v/>
      </c>
      <c r="R180" s="174" t="str">
        <f t="shared" si="42"/>
        <v/>
      </c>
      <c r="S180" s="174" t="str">
        <f t="shared" si="42"/>
        <v/>
      </c>
      <c r="T180" s="174" t="str">
        <f t="shared" si="43"/>
        <v/>
      </c>
      <c r="U180" s="174" t="str">
        <f t="shared" si="44"/>
        <v/>
      </c>
      <c r="V180" s="174" t="str">
        <f t="shared" si="45"/>
        <v/>
      </c>
      <c r="W180" s="174" t="str">
        <f>_xlfn.IFNA(VLOOKUP(T:T,Logframe!$B:$G,6,FALSE),"")</f>
        <v/>
      </c>
      <c r="X180" s="174" t="str">
        <f>_xlfn.IFNA(VLOOKUP(U:U,Logframe!$B:$G,6,FALSE),"")</f>
        <v/>
      </c>
      <c r="Y180" s="174" t="str">
        <f>_xlfn.IFNA(VLOOKUP(V:V,Logframe!$B:$G,6,FALSE),"")</f>
        <v/>
      </c>
      <c r="Z180">
        <v>176</v>
      </c>
      <c r="AD180" t="str">
        <f t="shared" si="46"/>
        <v/>
      </c>
      <c r="AE180" t="str">
        <f t="shared" si="46"/>
        <v/>
      </c>
      <c r="AF180" t="str">
        <f t="shared" si="41"/>
        <v/>
      </c>
    </row>
    <row r="181" spans="1:32" x14ac:dyDescent="0.35">
      <c r="A181">
        <f>INDEX(Logframe!F:F,185,1)</f>
        <v>0</v>
      </c>
      <c r="B181" s="110">
        <v>1.99</v>
      </c>
      <c r="C181" s="321">
        <f>INDEX(Logframe!B:B,185,1)</f>
        <v>0</v>
      </c>
      <c r="D181" t="str">
        <f t="shared" si="38"/>
        <v/>
      </c>
      <c r="E181" t="str">
        <f t="shared" si="39"/>
        <v/>
      </c>
      <c r="F181" t="str">
        <f t="shared" si="32"/>
        <v/>
      </c>
      <c r="G181" t="str">
        <f t="shared" si="40"/>
        <v/>
      </c>
      <c r="H181" t="str">
        <f t="shared" si="33"/>
        <v/>
      </c>
      <c r="I181" s="157" t="str">
        <f t="shared" si="34"/>
        <v/>
      </c>
      <c r="J181" s="157"/>
      <c r="K181" s="157" t="str">
        <f t="shared" si="35"/>
        <v/>
      </c>
      <c r="L181" s="157" t="str">
        <f t="shared" si="36"/>
        <v/>
      </c>
      <c r="M181" s="157"/>
      <c r="N181" s="157" t="str">
        <f t="shared" si="37"/>
        <v/>
      </c>
      <c r="O181" s="174" t="str">
        <f>Table13[[#This Row],[Combined List]]</f>
        <v/>
      </c>
      <c r="P181" s="157">
        <v>177</v>
      </c>
      <c r="Q181" s="174" t="str">
        <f t="shared" si="42"/>
        <v/>
      </c>
      <c r="R181" s="174" t="str">
        <f t="shared" si="42"/>
        <v/>
      </c>
      <c r="S181" s="174" t="str">
        <f t="shared" si="42"/>
        <v/>
      </c>
      <c r="T181" s="174" t="str">
        <f t="shared" si="43"/>
        <v/>
      </c>
      <c r="U181" s="174" t="str">
        <f t="shared" si="44"/>
        <v/>
      </c>
      <c r="V181" s="174" t="str">
        <f t="shared" si="45"/>
        <v/>
      </c>
      <c r="W181" s="174" t="str">
        <f>_xlfn.IFNA(VLOOKUP(T:T,Logframe!$B:$G,6,FALSE),"")</f>
        <v/>
      </c>
      <c r="X181" s="174" t="str">
        <f>_xlfn.IFNA(VLOOKUP(U:U,Logframe!$B:$G,6,FALSE),"")</f>
        <v/>
      </c>
      <c r="Y181" s="174" t="str">
        <f>_xlfn.IFNA(VLOOKUP(V:V,Logframe!$B:$G,6,FALSE),"")</f>
        <v/>
      </c>
      <c r="Z181">
        <v>177</v>
      </c>
      <c r="AD181" t="str">
        <f t="shared" si="46"/>
        <v/>
      </c>
      <c r="AE181" t="str">
        <f t="shared" si="46"/>
        <v/>
      </c>
      <c r="AF181" t="str">
        <f t="shared" si="41"/>
        <v/>
      </c>
    </row>
    <row r="182" spans="1:32" x14ac:dyDescent="0.35">
      <c r="A182">
        <f>INDEX(Logframe!F:F,186,1)</f>
        <v>0</v>
      </c>
      <c r="B182" s="110">
        <v>2.0099999999999998</v>
      </c>
      <c r="C182" s="321">
        <f>INDEX(Logframe!B:B,186,1)</f>
        <v>0</v>
      </c>
      <c r="D182" t="str">
        <f t="shared" si="38"/>
        <v/>
      </c>
      <c r="E182" t="str">
        <f t="shared" si="39"/>
        <v/>
      </c>
      <c r="F182" t="str">
        <f t="shared" si="32"/>
        <v/>
      </c>
      <c r="G182" t="str">
        <f t="shared" si="40"/>
        <v/>
      </c>
      <c r="H182" t="str">
        <f t="shared" si="33"/>
        <v/>
      </c>
      <c r="I182" s="157" t="str">
        <f t="shared" si="34"/>
        <v/>
      </c>
      <c r="J182" s="157"/>
      <c r="K182" s="157" t="str">
        <f t="shared" si="35"/>
        <v/>
      </c>
      <c r="L182" s="157" t="str">
        <f t="shared" si="36"/>
        <v/>
      </c>
      <c r="M182" s="157"/>
      <c r="N182" s="157" t="str">
        <f t="shared" si="37"/>
        <v/>
      </c>
      <c r="O182" s="174" t="str">
        <f>Table13[[#This Row],[Combined List]]</f>
        <v/>
      </c>
      <c r="P182" s="157">
        <v>178</v>
      </c>
      <c r="Q182" s="174" t="str">
        <f t="shared" si="42"/>
        <v/>
      </c>
      <c r="R182" s="174" t="str">
        <f t="shared" si="42"/>
        <v/>
      </c>
      <c r="S182" s="174" t="str">
        <f t="shared" si="42"/>
        <v/>
      </c>
      <c r="T182" s="174" t="str">
        <f t="shared" si="43"/>
        <v/>
      </c>
      <c r="U182" s="174" t="str">
        <f t="shared" si="44"/>
        <v/>
      </c>
      <c r="V182" s="174" t="str">
        <f t="shared" si="45"/>
        <v/>
      </c>
      <c r="W182" s="174" t="str">
        <f>_xlfn.IFNA(VLOOKUP(T:T,Logframe!$B:$G,6,FALSE),"")</f>
        <v/>
      </c>
      <c r="X182" s="174" t="str">
        <f>_xlfn.IFNA(VLOOKUP(U:U,Logframe!$B:$G,6,FALSE),"")</f>
        <v/>
      </c>
      <c r="Y182" s="174" t="str">
        <f>_xlfn.IFNA(VLOOKUP(V:V,Logframe!$B:$G,6,FALSE),"")</f>
        <v/>
      </c>
      <c r="Z182">
        <v>178</v>
      </c>
      <c r="AD182" t="str">
        <f t="shared" si="46"/>
        <v/>
      </c>
      <c r="AE182" t="str">
        <f t="shared" si="46"/>
        <v/>
      </c>
      <c r="AF182" t="str">
        <f t="shared" si="41"/>
        <v/>
      </c>
    </row>
    <row r="183" spans="1:32" x14ac:dyDescent="0.35">
      <c r="A183">
        <f>INDEX(Logframe!F:F,187,1)</f>
        <v>0</v>
      </c>
      <c r="B183" s="110">
        <v>2.02</v>
      </c>
      <c r="C183" s="321">
        <f>INDEX(Logframe!B:B,187,1)</f>
        <v>0</v>
      </c>
      <c r="D183" t="str">
        <f t="shared" si="38"/>
        <v/>
      </c>
      <c r="E183" t="str">
        <f t="shared" si="39"/>
        <v/>
      </c>
      <c r="F183" t="str">
        <f t="shared" si="32"/>
        <v/>
      </c>
      <c r="G183" t="str">
        <f t="shared" si="40"/>
        <v/>
      </c>
      <c r="H183" t="str">
        <f t="shared" si="33"/>
        <v/>
      </c>
      <c r="I183" s="157" t="str">
        <f t="shared" si="34"/>
        <v/>
      </c>
      <c r="J183" s="157"/>
      <c r="K183" s="157" t="str">
        <f t="shared" si="35"/>
        <v/>
      </c>
      <c r="L183" s="157" t="str">
        <f t="shared" si="36"/>
        <v/>
      </c>
      <c r="M183" s="157"/>
      <c r="N183" s="157" t="str">
        <f t="shared" si="37"/>
        <v/>
      </c>
      <c r="O183" s="174" t="str">
        <f>Table13[[#This Row],[Combined List]]</f>
        <v/>
      </c>
      <c r="P183" s="157">
        <v>179</v>
      </c>
      <c r="Q183" s="174" t="str">
        <f t="shared" si="42"/>
        <v/>
      </c>
      <c r="R183" s="174" t="str">
        <f t="shared" si="42"/>
        <v/>
      </c>
      <c r="S183" s="174" t="str">
        <f t="shared" si="42"/>
        <v/>
      </c>
      <c r="T183" s="174" t="str">
        <f t="shared" si="43"/>
        <v/>
      </c>
      <c r="U183" s="174" t="str">
        <f t="shared" si="44"/>
        <v/>
      </c>
      <c r="V183" s="174" t="str">
        <f t="shared" si="45"/>
        <v/>
      </c>
      <c r="W183" s="174" t="str">
        <f>_xlfn.IFNA(VLOOKUP(T:T,Logframe!$B:$G,6,FALSE),"")</f>
        <v/>
      </c>
      <c r="X183" s="174" t="str">
        <f>_xlfn.IFNA(VLOOKUP(U:U,Logframe!$B:$G,6,FALSE),"")</f>
        <v/>
      </c>
      <c r="Y183" s="174" t="str">
        <f>_xlfn.IFNA(VLOOKUP(V:V,Logframe!$B:$G,6,FALSE),"")</f>
        <v/>
      </c>
      <c r="Z183">
        <v>179</v>
      </c>
      <c r="AD183" t="str">
        <f t="shared" si="46"/>
        <v/>
      </c>
      <c r="AE183" t="str">
        <f t="shared" si="46"/>
        <v/>
      </c>
      <c r="AF183" t="str">
        <f t="shared" si="41"/>
        <v/>
      </c>
    </row>
    <row r="184" spans="1:32" x14ac:dyDescent="0.35">
      <c r="A184">
        <f>INDEX(Logframe!F:F,188,1)</f>
        <v>0</v>
      </c>
      <c r="B184" s="110">
        <v>2.0299999999999998</v>
      </c>
      <c r="C184" s="321">
        <f>INDEX(Logframe!B:B,188,1)</f>
        <v>0</v>
      </c>
      <c r="D184" t="str">
        <f t="shared" si="38"/>
        <v/>
      </c>
      <c r="E184" t="str">
        <f t="shared" si="39"/>
        <v/>
      </c>
      <c r="F184" t="str">
        <f t="shared" si="32"/>
        <v/>
      </c>
      <c r="G184" t="str">
        <f t="shared" si="40"/>
        <v/>
      </c>
      <c r="H184" t="str">
        <f t="shared" si="33"/>
        <v/>
      </c>
      <c r="I184" s="157" t="str">
        <f t="shared" si="34"/>
        <v/>
      </c>
      <c r="J184" s="157"/>
      <c r="K184" s="157" t="str">
        <f t="shared" si="35"/>
        <v/>
      </c>
      <c r="L184" s="157" t="str">
        <f t="shared" si="36"/>
        <v/>
      </c>
      <c r="M184" s="157"/>
      <c r="N184" s="157" t="str">
        <f t="shared" si="37"/>
        <v/>
      </c>
      <c r="O184" s="174" t="str">
        <f>Table13[[#This Row],[Combined List]]</f>
        <v/>
      </c>
      <c r="P184" s="157">
        <v>180</v>
      </c>
      <c r="Q184" s="174" t="str">
        <f t="shared" si="42"/>
        <v/>
      </c>
      <c r="R184" s="174" t="str">
        <f t="shared" si="42"/>
        <v/>
      </c>
      <c r="S184" s="174" t="str">
        <f t="shared" si="42"/>
        <v/>
      </c>
      <c r="T184" s="174" t="str">
        <f t="shared" si="43"/>
        <v/>
      </c>
      <c r="U184" s="174" t="str">
        <f t="shared" si="44"/>
        <v/>
      </c>
      <c r="V184" s="174" t="str">
        <f t="shared" si="45"/>
        <v/>
      </c>
      <c r="W184" s="174" t="str">
        <f>_xlfn.IFNA(VLOOKUP(T:T,Logframe!$B:$G,6,FALSE),"")</f>
        <v/>
      </c>
      <c r="X184" s="174" t="str">
        <f>_xlfn.IFNA(VLOOKUP(U:U,Logframe!$B:$G,6,FALSE),"")</f>
        <v/>
      </c>
      <c r="Y184" s="174" t="str">
        <f>_xlfn.IFNA(VLOOKUP(V:V,Logframe!$B:$G,6,FALSE),"")</f>
        <v/>
      </c>
      <c r="Z184">
        <v>180</v>
      </c>
      <c r="AD184" t="str">
        <f t="shared" si="46"/>
        <v/>
      </c>
      <c r="AE184" t="str">
        <f t="shared" si="46"/>
        <v/>
      </c>
      <c r="AF184" t="str">
        <f t="shared" si="41"/>
        <v/>
      </c>
    </row>
    <row r="185" spans="1:32" x14ac:dyDescent="0.35">
      <c r="A185">
        <f>INDEX(Logframe!F:F,189,1)</f>
        <v>0</v>
      </c>
      <c r="B185" s="110">
        <v>2.04</v>
      </c>
      <c r="C185" s="321">
        <f>INDEX(Logframe!B:B,189,1)</f>
        <v>0</v>
      </c>
      <c r="D185" t="str">
        <f t="shared" si="38"/>
        <v/>
      </c>
      <c r="E185" t="str">
        <f t="shared" si="39"/>
        <v/>
      </c>
      <c r="F185" t="str">
        <f t="shared" si="32"/>
        <v/>
      </c>
      <c r="G185" t="str">
        <f t="shared" si="40"/>
        <v/>
      </c>
      <c r="H185" t="str">
        <f t="shared" si="33"/>
        <v/>
      </c>
      <c r="I185" s="157" t="str">
        <f t="shared" si="34"/>
        <v/>
      </c>
      <c r="J185" s="157"/>
      <c r="K185" s="157" t="str">
        <f t="shared" si="35"/>
        <v/>
      </c>
      <c r="L185" s="157" t="str">
        <f t="shared" si="36"/>
        <v/>
      </c>
      <c r="M185" s="157"/>
      <c r="N185" s="157" t="str">
        <f t="shared" si="37"/>
        <v/>
      </c>
      <c r="O185" s="174" t="str">
        <f>Table13[[#This Row],[Combined List]]</f>
        <v/>
      </c>
      <c r="P185" s="157">
        <v>181</v>
      </c>
      <c r="Q185" s="174" t="str">
        <f t="shared" si="42"/>
        <v/>
      </c>
      <c r="R185" s="174" t="str">
        <f t="shared" si="42"/>
        <v/>
      </c>
      <c r="S185" s="174" t="str">
        <f t="shared" si="42"/>
        <v/>
      </c>
      <c r="T185" s="174" t="str">
        <f t="shared" si="43"/>
        <v/>
      </c>
      <c r="U185" s="174" t="str">
        <f t="shared" si="44"/>
        <v/>
      </c>
      <c r="V185" s="174" t="str">
        <f t="shared" si="45"/>
        <v/>
      </c>
      <c r="W185" s="174" t="str">
        <f>_xlfn.IFNA(VLOOKUP(T:T,Logframe!$B:$G,6,FALSE),"")</f>
        <v/>
      </c>
      <c r="X185" s="174" t="str">
        <f>_xlfn.IFNA(VLOOKUP(U:U,Logframe!$B:$G,6,FALSE),"")</f>
        <v/>
      </c>
      <c r="Y185" s="174" t="str">
        <f>_xlfn.IFNA(VLOOKUP(V:V,Logframe!$B:$G,6,FALSE),"")</f>
        <v/>
      </c>
      <c r="Z185">
        <v>181</v>
      </c>
      <c r="AD185" t="str">
        <f t="shared" si="46"/>
        <v/>
      </c>
      <c r="AE185" t="str">
        <f t="shared" si="46"/>
        <v/>
      </c>
      <c r="AF185" t="str">
        <f t="shared" si="41"/>
        <v/>
      </c>
    </row>
    <row r="186" spans="1:32" x14ac:dyDescent="0.35">
      <c r="A186">
        <f>INDEX(Logframe!F:F,190,1)</f>
        <v>0</v>
      </c>
      <c r="B186" s="110">
        <v>2.0499999999999998</v>
      </c>
      <c r="C186" s="321">
        <f>INDEX(Logframe!B:B,190,1)</f>
        <v>0</v>
      </c>
      <c r="D186" t="str">
        <f t="shared" si="38"/>
        <v/>
      </c>
      <c r="E186" t="str">
        <f t="shared" si="39"/>
        <v/>
      </c>
      <c r="F186" t="str">
        <f t="shared" si="32"/>
        <v/>
      </c>
      <c r="G186" t="str">
        <f t="shared" si="40"/>
        <v/>
      </c>
      <c r="H186" t="str">
        <f t="shared" si="33"/>
        <v/>
      </c>
      <c r="I186" s="157" t="str">
        <f t="shared" si="34"/>
        <v/>
      </c>
      <c r="J186" s="157"/>
      <c r="K186" s="157" t="str">
        <f t="shared" si="35"/>
        <v/>
      </c>
      <c r="L186" s="157" t="str">
        <f t="shared" si="36"/>
        <v/>
      </c>
      <c r="M186" s="157"/>
      <c r="N186" s="157" t="str">
        <f t="shared" si="37"/>
        <v/>
      </c>
      <c r="O186" s="174" t="str">
        <f>Table13[[#This Row],[Combined List]]</f>
        <v/>
      </c>
      <c r="P186" s="157">
        <v>182</v>
      </c>
      <c r="Q186" s="174" t="str">
        <f t="shared" si="42"/>
        <v/>
      </c>
      <c r="R186" s="174" t="str">
        <f t="shared" si="42"/>
        <v/>
      </c>
      <c r="S186" s="174" t="str">
        <f t="shared" si="42"/>
        <v/>
      </c>
      <c r="T186" s="174" t="str">
        <f t="shared" si="43"/>
        <v/>
      </c>
      <c r="U186" s="174" t="str">
        <f t="shared" si="44"/>
        <v/>
      </c>
      <c r="V186" s="174" t="str">
        <f t="shared" si="45"/>
        <v/>
      </c>
      <c r="W186" s="174" t="str">
        <f>_xlfn.IFNA(VLOOKUP(T:T,Logframe!$B:$G,6,FALSE),"")</f>
        <v/>
      </c>
      <c r="X186" s="174" t="str">
        <f>_xlfn.IFNA(VLOOKUP(U:U,Logframe!$B:$G,6,FALSE),"")</f>
        <v/>
      </c>
      <c r="Y186" s="174" t="str">
        <f>_xlfn.IFNA(VLOOKUP(V:V,Logframe!$B:$G,6,FALSE),"")</f>
        <v/>
      </c>
      <c r="Z186">
        <v>182</v>
      </c>
      <c r="AD186" t="str">
        <f t="shared" si="46"/>
        <v/>
      </c>
      <c r="AE186" t="str">
        <f t="shared" si="46"/>
        <v/>
      </c>
      <c r="AF186" t="str">
        <f t="shared" si="41"/>
        <v/>
      </c>
    </row>
    <row r="187" spans="1:32" x14ac:dyDescent="0.35">
      <c r="A187">
        <f>INDEX(Logframe!F:F,191,1)</f>
        <v>0</v>
      </c>
      <c r="B187" s="110">
        <v>2.06</v>
      </c>
      <c r="C187" s="321">
        <f>INDEX(Logframe!B:B,191,1)</f>
        <v>0</v>
      </c>
      <c r="D187" t="str">
        <f t="shared" si="38"/>
        <v/>
      </c>
      <c r="E187" t="str">
        <f t="shared" si="39"/>
        <v/>
      </c>
      <c r="F187" t="str">
        <f t="shared" si="32"/>
        <v/>
      </c>
      <c r="G187" t="str">
        <f t="shared" si="40"/>
        <v/>
      </c>
      <c r="H187" t="str">
        <f t="shared" si="33"/>
        <v/>
      </c>
      <c r="I187" s="157" t="str">
        <f t="shared" si="34"/>
        <v/>
      </c>
      <c r="J187" s="157"/>
      <c r="K187" s="157" t="str">
        <f t="shared" si="35"/>
        <v/>
      </c>
      <c r="L187" s="157" t="str">
        <f t="shared" si="36"/>
        <v/>
      </c>
      <c r="M187" s="157"/>
      <c r="N187" s="157" t="str">
        <f t="shared" si="37"/>
        <v/>
      </c>
      <c r="O187" s="174" t="str">
        <f>Table13[[#This Row],[Combined List]]</f>
        <v/>
      </c>
      <c r="P187" s="157">
        <v>183</v>
      </c>
      <c r="Q187" s="174" t="str">
        <f t="shared" si="42"/>
        <v/>
      </c>
      <c r="R187" s="174" t="str">
        <f t="shared" si="42"/>
        <v/>
      </c>
      <c r="S187" s="174" t="str">
        <f t="shared" si="42"/>
        <v/>
      </c>
      <c r="T187" s="174" t="str">
        <f t="shared" si="43"/>
        <v/>
      </c>
      <c r="U187" s="174" t="str">
        <f t="shared" si="44"/>
        <v/>
      </c>
      <c r="V187" s="174" t="str">
        <f t="shared" si="45"/>
        <v/>
      </c>
      <c r="W187" s="174" t="str">
        <f>_xlfn.IFNA(VLOOKUP(T:T,Logframe!$B:$G,6,FALSE),"")</f>
        <v/>
      </c>
      <c r="X187" s="174" t="str">
        <f>_xlfn.IFNA(VLOOKUP(U:U,Logframe!$B:$G,6,FALSE),"")</f>
        <v/>
      </c>
      <c r="Y187" s="174" t="str">
        <f>_xlfn.IFNA(VLOOKUP(V:V,Logframe!$B:$G,6,FALSE),"")</f>
        <v/>
      </c>
      <c r="Z187">
        <v>183</v>
      </c>
      <c r="AD187" t="str">
        <f t="shared" si="46"/>
        <v/>
      </c>
      <c r="AE187" t="str">
        <f t="shared" si="46"/>
        <v/>
      </c>
      <c r="AF187" t="str">
        <f t="shared" si="41"/>
        <v/>
      </c>
    </row>
    <row r="188" spans="1:32" x14ac:dyDescent="0.35">
      <c r="A188">
        <f>INDEX(Logframe!F:F,192,1)</f>
        <v>0</v>
      </c>
      <c r="B188" s="110">
        <v>2.0699999999999998</v>
      </c>
      <c r="C188" s="321">
        <f>INDEX(Logframe!B:B,192,1)</f>
        <v>0</v>
      </c>
      <c r="D188" t="str">
        <f t="shared" si="38"/>
        <v/>
      </c>
      <c r="E188" t="str">
        <f t="shared" si="39"/>
        <v/>
      </c>
      <c r="F188" t="str">
        <f t="shared" si="32"/>
        <v/>
      </c>
      <c r="G188" t="str">
        <f t="shared" si="40"/>
        <v/>
      </c>
      <c r="H188" t="str">
        <f t="shared" si="33"/>
        <v/>
      </c>
      <c r="I188" s="157" t="str">
        <f t="shared" si="34"/>
        <v/>
      </c>
      <c r="J188" s="157"/>
      <c r="K188" s="157" t="str">
        <f t="shared" si="35"/>
        <v/>
      </c>
      <c r="L188" s="157" t="str">
        <f t="shared" si="36"/>
        <v/>
      </c>
      <c r="M188" s="157"/>
      <c r="N188" s="157" t="str">
        <f t="shared" si="37"/>
        <v/>
      </c>
      <c r="O188" s="174" t="str">
        <f>Table13[[#This Row],[Combined List]]</f>
        <v/>
      </c>
      <c r="P188" s="157">
        <v>184</v>
      </c>
      <c r="Q188" s="174" t="str">
        <f t="shared" si="42"/>
        <v/>
      </c>
      <c r="R188" s="174" t="str">
        <f t="shared" si="42"/>
        <v/>
      </c>
      <c r="S188" s="174" t="str">
        <f t="shared" si="42"/>
        <v/>
      </c>
      <c r="T188" s="174" t="str">
        <f t="shared" si="43"/>
        <v/>
      </c>
      <c r="U188" s="174" t="str">
        <f t="shared" si="44"/>
        <v/>
      </c>
      <c r="V188" s="174" t="str">
        <f t="shared" si="45"/>
        <v/>
      </c>
      <c r="W188" s="174" t="str">
        <f>_xlfn.IFNA(VLOOKUP(T:T,Logframe!$B:$G,6,FALSE),"")</f>
        <v/>
      </c>
      <c r="X188" s="174" t="str">
        <f>_xlfn.IFNA(VLOOKUP(U:U,Logframe!$B:$G,6,FALSE),"")</f>
        <v/>
      </c>
      <c r="Y188" s="174" t="str">
        <f>_xlfn.IFNA(VLOOKUP(V:V,Logframe!$B:$G,6,FALSE),"")</f>
        <v/>
      </c>
      <c r="Z188">
        <v>184</v>
      </c>
      <c r="AD188" t="str">
        <f t="shared" si="46"/>
        <v/>
      </c>
      <c r="AE188" t="str">
        <f t="shared" si="46"/>
        <v/>
      </c>
      <c r="AF188" t="str">
        <f t="shared" si="41"/>
        <v/>
      </c>
    </row>
    <row r="189" spans="1:32" x14ac:dyDescent="0.35">
      <c r="A189">
        <f>INDEX(Logframe!F:F,193,1)</f>
        <v>0</v>
      </c>
      <c r="B189" s="110">
        <v>2.08</v>
      </c>
      <c r="C189" s="321">
        <f>INDEX(Logframe!B:B,193,1)</f>
        <v>0</v>
      </c>
      <c r="D189" t="str">
        <f t="shared" si="38"/>
        <v/>
      </c>
      <c r="E189" t="str">
        <f t="shared" si="39"/>
        <v/>
      </c>
      <c r="F189" t="str">
        <f t="shared" si="32"/>
        <v/>
      </c>
      <c r="G189" t="str">
        <f t="shared" si="40"/>
        <v/>
      </c>
      <c r="H189" t="str">
        <f t="shared" si="33"/>
        <v/>
      </c>
      <c r="I189" s="157" t="str">
        <f t="shared" si="34"/>
        <v/>
      </c>
      <c r="J189" s="157"/>
      <c r="K189" s="157" t="str">
        <f t="shared" si="35"/>
        <v/>
      </c>
      <c r="L189" s="157" t="str">
        <f t="shared" si="36"/>
        <v/>
      </c>
      <c r="M189" s="157"/>
      <c r="N189" s="157" t="str">
        <f t="shared" si="37"/>
        <v/>
      </c>
      <c r="O189" s="174" t="str">
        <f>Table13[[#This Row],[Combined List]]</f>
        <v/>
      </c>
      <c r="P189" s="157">
        <v>185</v>
      </c>
      <c r="Q189" s="174" t="str">
        <f t="shared" si="42"/>
        <v/>
      </c>
      <c r="R189" s="174" t="str">
        <f t="shared" si="42"/>
        <v/>
      </c>
      <c r="S189" s="174" t="str">
        <f t="shared" si="42"/>
        <v/>
      </c>
      <c r="T189" s="174" t="str">
        <f t="shared" si="43"/>
        <v/>
      </c>
      <c r="U189" s="174" t="str">
        <f t="shared" si="44"/>
        <v/>
      </c>
      <c r="V189" s="174" t="str">
        <f t="shared" si="45"/>
        <v/>
      </c>
      <c r="W189" s="174" t="str">
        <f>_xlfn.IFNA(VLOOKUP(T:T,Logframe!$B:$G,6,FALSE),"")</f>
        <v/>
      </c>
      <c r="X189" s="174" t="str">
        <f>_xlfn.IFNA(VLOOKUP(U:U,Logframe!$B:$G,6,FALSE),"")</f>
        <v/>
      </c>
      <c r="Y189" s="174" t="str">
        <f>_xlfn.IFNA(VLOOKUP(V:V,Logframe!$B:$G,6,FALSE),"")</f>
        <v/>
      </c>
      <c r="Z189">
        <v>185</v>
      </c>
      <c r="AD189" t="str">
        <f t="shared" si="46"/>
        <v/>
      </c>
      <c r="AE189" t="str">
        <f t="shared" si="46"/>
        <v/>
      </c>
      <c r="AF189" t="str">
        <f t="shared" si="41"/>
        <v/>
      </c>
    </row>
    <row r="190" spans="1:32" x14ac:dyDescent="0.35">
      <c r="A190">
        <f>INDEX(Logframe!F:F,194,1)</f>
        <v>0</v>
      </c>
      <c r="B190" s="110">
        <v>2.09</v>
      </c>
      <c r="C190" s="321">
        <f>INDEX(Logframe!B:B,194,1)</f>
        <v>0</v>
      </c>
      <c r="D190" t="str">
        <f t="shared" si="38"/>
        <v/>
      </c>
      <c r="E190" t="str">
        <f t="shared" si="39"/>
        <v/>
      </c>
      <c r="F190" t="str">
        <f t="shared" si="32"/>
        <v/>
      </c>
      <c r="G190" t="str">
        <f t="shared" si="40"/>
        <v/>
      </c>
      <c r="H190" t="str">
        <f t="shared" si="33"/>
        <v/>
      </c>
      <c r="I190" s="157" t="str">
        <f t="shared" si="34"/>
        <v/>
      </c>
      <c r="J190" s="157"/>
      <c r="K190" s="157" t="str">
        <f t="shared" si="35"/>
        <v/>
      </c>
      <c r="L190" s="157" t="str">
        <f t="shared" si="36"/>
        <v/>
      </c>
      <c r="M190" s="157"/>
      <c r="N190" s="157" t="str">
        <f t="shared" si="37"/>
        <v/>
      </c>
      <c r="O190" s="174" t="str">
        <f>Table13[[#This Row],[Combined List]]</f>
        <v/>
      </c>
      <c r="P190" s="157">
        <v>186</v>
      </c>
      <c r="Q190" s="174" t="str">
        <f t="shared" si="42"/>
        <v/>
      </c>
      <c r="R190" s="174" t="str">
        <f t="shared" si="42"/>
        <v/>
      </c>
      <c r="S190" s="174" t="str">
        <f t="shared" si="42"/>
        <v/>
      </c>
      <c r="T190" s="174" t="str">
        <f t="shared" si="43"/>
        <v/>
      </c>
      <c r="U190" s="174" t="str">
        <f t="shared" si="44"/>
        <v/>
      </c>
      <c r="V190" s="174" t="str">
        <f t="shared" si="45"/>
        <v/>
      </c>
      <c r="W190" s="174" t="str">
        <f>_xlfn.IFNA(VLOOKUP(T:T,Logframe!$B:$G,6,FALSE),"")</f>
        <v/>
      </c>
      <c r="X190" s="174" t="str">
        <f>_xlfn.IFNA(VLOOKUP(U:U,Logframe!$B:$G,6,FALSE),"")</f>
        <v/>
      </c>
      <c r="Y190" s="174" t="str">
        <f>_xlfn.IFNA(VLOOKUP(V:V,Logframe!$B:$G,6,FALSE),"")</f>
        <v/>
      </c>
      <c r="Z190">
        <v>186</v>
      </c>
      <c r="AD190" t="str">
        <f t="shared" si="46"/>
        <v/>
      </c>
      <c r="AE190" t="str">
        <f t="shared" si="46"/>
        <v/>
      </c>
      <c r="AF190" t="str">
        <f t="shared" si="41"/>
        <v/>
      </c>
    </row>
    <row r="191" spans="1:32" x14ac:dyDescent="0.35">
      <c r="A191">
        <f>INDEX(Logframe!F:F,195,1)</f>
        <v>0</v>
      </c>
      <c r="B191" s="110">
        <v>2.11</v>
      </c>
      <c r="C191" s="321">
        <f>INDEX(Logframe!B:B,195,1)</f>
        <v>0</v>
      </c>
      <c r="D191" t="str">
        <f t="shared" si="38"/>
        <v/>
      </c>
      <c r="E191" t="str">
        <f t="shared" si="39"/>
        <v/>
      </c>
      <c r="F191" t="str">
        <f t="shared" si="32"/>
        <v/>
      </c>
      <c r="G191" t="str">
        <f t="shared" si="40"/>
        <v/>
      </c>
      <c r="H191" t="str">
        <f t="shared" si="33"/>
        <v/>
      </c>
      <c r="I191" s="157" t="str">
        <f t="shared" si="34"/>
        <v/>
      </c>
      <c r="J191" s="157"/>
      <c r="K191" s="157" t="str">
        <f t="shared" si="35"/>
        <v/>
      </c>
      <c r="L191" s="157" t="str">
        <f t="shared" si="36"/>
        <v/>
      </c>
      <c r="M191" s="157"/>
      <c r="N191" s="157" t="str">
        <f t="shared" si="37"/>
        <v/>
      </c>
      <c r="O191" s="174" t="str">
        <f>Table13[[#This Row],[Combined List]]</f>
        <v/>
      </c>
      <c r="P191" s="157">
        <v>187</v>
      </c>
      <c r="Q191" s="174" t="str">
        <f t="shared" si="42"/>
        <v/>
      </c>
      <c r="R191" s="174" t="str">
        <f t="shared" si="42"/>
        <v/>
      </c>
      <c r="S191" s="174" t="str">
        <f t="shared" si="42"/>
        <v/>
      </c>
      <c r="T191" s="174" t="str">
        <f t="shared" si="43"/>
        <v/>
      </c>
      <c r="U191" s="174" t="str">
        <f t="shared" si="44"/>
        <v/>
      </c>
      <c r="V191" s="174" t="str">
        <f t="shared" si="45"/>
        <v/>
      </c>
      <c r="W191" s="174" t="str">
        <f>_xlfn.IFNA(VLOOKUP(T:T,Logframe!$B:$G,6,FALSE),"")</f>
        <v/>
      </c>
      <c r="X191" s="174" t="str">
        <f>_xlfn.IFNA(VLOOKUP(U:U,Logframe!$B:$G,6,FALSE),"")</f>
        <v/>
      </c>
      <c r="Y191" s="174" t="str">
        <f>_xlfn.IFNA(VLOOKUP(V:V,Logframe!$B:$G,6,FALSE),"")</f>
        <v/>
      </c>
      <c r="Z191">
        <v>187</v>
      </c>
      <c r="AD191" t="str">
        <f t="shared" si="46"/>
        <v/>
      </c>
      <c r="AE191" t="str">
        <f t="shared" si="46"/>
        <v/>
      </c>
      <c r="AF191" t="str">
        <f t="shared" si="41"/>
        <v/>
      </c>
    </row>
    <row r="192" spans="1:32" x14ac:dyDescent="0.35">
      <c r="A192">
        <f>INDEX(Logframe!F:F,196,1)</f>
        <v>0</v>
      </c>
      <c r="B192" s="110">
        <v>2.12</v>
      </c>
      <c r="C192" s="321">
        <f>INDEX(Logframe!B:B,196,1)</f>
        <v>0</v>
      </c>
      <c r="D192" t="str">
        <f t="shared" si="38"/>
        <v/>
      </c>
      <c r="E192" t="str">
        <f t="shared" si="39"/>
        <v/>
      </c>
      <c r="F192" t="str">
        <f t="shared" si="32"/>
        <v/>
      </c>
      <c r="G192" t="str">
        <f t="shared" si="40"/>
        <v/>
      </c>
      <c r="H192" t="str">
        <f t="shared" si="33"/>
        <v/>
      </c>
      <c r="I192" s="157" t="str">
        <f t="shared" si="34"/>
        <v/>
      </c>
      <c r="J192" s="157"/>
      <c r="K192" s="157" t="str">
        <f t="shared" si="35"/>
        <v/>
      </c>
      <c r="L192" s="157" t="str">
        <f t="shared" si="36"/>
        <v/>
      </c>
      <c r="M192" s="157"/>
      <c r="N192" s="157" t="str">
        <f t="shared" si="37"/>
        <v/>
      </c>
      <c r="O192" s="174" t="str">
        <f>Table13[[#This Row],[Combined List]]</f>
        <v/>
      </c>
      <c r="P192" s="157">
        <v>188</v>
      </c>
      <c r="Q192" s="174" t="str">
        <f t="shared" si="42"/>
        <v/>
      </c>
      <c r="R192" s="174" t="str">
        <f t="shared" si="42"/>
        <v/>
      </c>
      <c r="S192" s="174" t="str">
        <f t="shared" si="42"/>
        <v/>
      </c>
      <c r="T192" s="174" t="str">
        <f t="shared" si="43"/>
        <v/>
      </c>
      <c r="U192" s="174" t="str">
        <f t="shared" si="44"/>
        <v/>
      </c>
      <c r="V192" s="174" t="str">
        <f t="shared" si="45"/>
        <v/>
      </c>
      <c r="W192" s="174" t="str">
        <f>_xlfn.IFNA(VLOOKUP(T:T,Logframe!$B:$G,6,FALSE),"")</f>
        <v/>
      </c>
      <c r="X192" s="174" t="str">
        <f>_xlfn.IFNA(VLOOKUP(U:U,Logframe!$B:$G,6,FALSE),"")</f>
        <v/>
      </c>
      <c r="Y192" s="174" t="str">
        <f>_xlfn.IFNA(VLOOKUP(V:V,Logframe!$B:$G,6,FALSE),"")</f>
        <v/>
      </c>
      <c r="Z192">
        <v>188</v>
      </c>
      <c r="AD192" t="str">
        <f t="shared" si="46"/>
        <v/>
      </c>
      <c r="AE192" t="str">
        <f t="shared" si="46"/>
        <v/>
      </c>
      <c r="AF192" t="str">
        <f t="shared" si="41"/>
        <v/>
      </c>
    </row>
    <row r="193" spans="1:32" x14ac:dyDescent="0.35">
      <c r="A193">
        <f>INDEX(Logframe!F:F,197,1)</f>
        <v>0</v>
      </c>
      <c r="B193" s="110">
        <v>2.13</v>
      </c>
      <c r="C193" s="321">
        <f>INDEX(Logframe!B:B,197,1)</f>
        <v>0</v>
      </c>
      <c r="D193" t="str">
        <f t="shared" si="38"/>
        <v/>
      </c>
      <c r="E193" t="str">
        <f t="shared" si="39"/>
        <v/>
      </c>
      <c r="F193" t="str">
        <f t="shared" si="32"/>
        <v/>
      </c>
      <c r="G193" t="str">
        <f t="shared" si="40"/>
        <v/>
      </c>
      <c r="H193" t="str">
        <f t="shared" si="33"/>
        <v/>
      </c>
      <c r="I193" s="157" t="str">
        <f t="shared" si="34"/>
        <v/>
      </c>
      <c r="J193" s="157"/>
      <c r="K193" s="157" t="str">
        <f t="shared" si="35"/>
        <v/>
      </c>
      <c r="L193" s="157" t="str">
        <f t="shared" si="36"/>
        <v/>
      </c>
      <c r="M193" s="157"/>
      <c r="N193" s="157" t="str">
        <f t="shared" si="37"/>
        <v/>
      </c>
      <c r="O193" s="174" t="str">
        <f>Table13[[#This Row],[Combined List]]</f>
        <v/>
      </c>
      <c r="P193" s="157">
        <v>189</v>
      </c>
      <c r="Q193" s="174" t="str">
        <f t="shared" si="42"/>
        <v/>
      </c>
      <c r="R193" s="174" t="str">
        <f t="shared" si="42"/>
        <v/>
      </c>
      <c r="S193" s="174" t="str">
        <f t="shared" si="42"/>
        <v/>
      </c>
      <c r="T193" s="174" t="str">
        <f t="shared" si="43"/>
        <v/>
      </c>
      <c r="U193" s="174" t="str">
        <f t="shared" si="44"/>
        <v/>
      </c>
      <c r="V193" s="174" t="str">
        <f t="shared" si="45"/>
        <v/>
      </c>
      <c r="W193" s="174" t="str">
        <f>_xlfn.IFNA(VLOOKUP(T:T,Logframe!$B:$G,6,FALSE),"")</f>
        <v/>
      </c>
      <c r="X193" s="174" t="str">
        <f>_xlfn.IFNA(VLOOKUP(U:U,Logframe!$B:$G,6,FALSE),"")</f>
        <v/>
      </c>
      <c r="Y193" s="174" t="str">
        <f>_xlfn.IFNA(VLOOKUP(V:V,Logframe!$B:$G,6,FALSE),"")</f>
        <v/>
      </c>
      <c r="Z193">
        <v>189</v>
      </c>
      <c r="AD193" t="str">
        <f t="shared" si="46"/>
        <v/>
      </c>
      <c r="AE193" t="str">
        <f t="shared" si="46"/>
        <v/>
      </c>
      <c r="AF193" t="str">
        <f t="shared" si="41"/>
        <v/>
      </c>
    </row>
    <row r="194" spans="1:32" x14ac:dyDescent="0.35">
      <c r="A194">
        <f>INDEX(Logframe!F:F,198,1)</f>
        <v>0</v>
      </c>
      <c r="B194" s="110">
        <v>2.14</v>
      </c>
      <c r="C194" s="321">
        <f>INDEX(Logframe!B:B,198,1)</f>
        <v>0</v>
      </c>
      <c r="D194" t="str">
        <f t="shared" si="38"/>
        <v/>
      </c>
      <c r="E194" t="str">
        <f t="shared" si="39"/>
        <v/>
      </c>
      <c r="F194" t="str">
        <f t="shared" ref="F194:F228" si="47">IF(ISNUMBER(SEARCH("Code",A:A)),"",IF(LEN(A194)=4,A194,""))</f>
        <v/>
      </c>
      <c r="G194" t="str">
        <f t="shared" si="40"/>
        <v/>
      </c>
      <c r="H194" t="str">
        <f t="shared" ref="H194:H228" si="48">IF(LEN(A194)=5,A194,"")</f>
        <v/>
      </c>
      <c r="I194" s="157" t="str">
        <f t="shared" ref="I194:I228" si="49">CONCATENATE(F:F,G:G,H:H)</f>
        <v/>
      </c>
      <c r="J194" s="157"/>
      <c r="K194" s="157" t="str">
        <f t="shared" ref="K194:K228" si="50">IF(LEN(CONCATENATE(B:B,D:D))&gt;4,CONCATENATE(B:B,D:D),"")</f>
        <v/>
      </c>
      <c r="L194" s="157" t="str">
        <f t="shared" ref="L194:L228" si="51">IF(LEN(CONCATENATE(B:B,E:E))&gt;4,CONCATENATE(B:B,E:E),"")</f>
        <v/>
      </c>
      <c r="M194" s="157"/>
      <c r="N194" s="157" t="str">
        <f t="shared" ref="N194:N228" si="52">IF(LEN(CONCATENATE(B:B,I:I))&gt;4,CONCATENATE(B:B,I:I),"")</f>
        <v/>
      </c>
      <c r="O194" s="174" t="str">
        <f>Table13[[#This Row],[Combined List]]</f>
        <v/>
      </c>
      <c r="P194" s="157">
        <v>190</v>
      </c>
      <c r="Q194" s="174" t="str">
        <f t="shared" si="42"/>
        <v/>
      </c>
      <c r="R194" s="174" t="str">
        <f t="shared" si="42"/>
        <v/>
      </c>
      <c r="S194" s="174" t="str">
        <f t="shared" si="42"/>
        <v/>
      </c>
      <c r="T194" s="174" t="str">
        <f t="shared" si="43"/>
        <v/>
      </c>
      <c r="U194" s="174" t="str">
        <f t="shared" si="44"/>
        <v/>
      </c>
      <c r="V194" s="174" t="str">
        <f t="shared" si="45"/>
        <v/>
      </c>
      <c r="W194" s="174" t="str">
        <f>_xlfn.IFNA(VLOOKUP(T:T,Logframe!$B:$G,6,FALSE),"")</f>
        <v/>
      </c>
      <c r="X194" s="174" t="str">
        <f>_xlfn.IFNA(VLOOKUP(U:U,Logframe!$B:$G,6,FALSE),"")</f>
        <v/>
      </c>
      <c r="Y194" s="174" t="str">
        <f>_xlfn.IFNA(VLOOKUP(V:V,Logframe!$B:$G,6,FALSE),"")</f>
        <v/>
      </c>
      <c r="Z194">
        <v>190</v>
      </c>
      <c r="AD194" t="str">
        <f t="shared" si="46"/>
        <v/>
      </c>
      <c r="AE194" t="str">
        <f t="shared" si="46"/>
        <v/>
      </c>
      <c r="AF194" t="str">
        <f t="shared" si="41"/>
        <v/>
      </c>
    </row>
    <row r="195" spans="1:32" x14ac:dyDescent="0.35">
      <c r="A195">
        <f>INDEX(Logframe!F:F,199,1)</f>
        <v>0</v>
      </c>
      <c r="B195" s="110">
        <v>2.15</v>
      </c>
      <c r="C195" s="321">
        <f>INDEX(Logframe!B:B,199,1)</f>
        <v>0</v>
      </c>
      <c r="D195" t="str">
        <f t="shared" ref="D195:D228" si="53">IF(LEFT(A195,1)="B",A195,"")</f>
        <v/>
      </c>
      <c r="E195" t="str">
        <f t="shared" ref="E195:E228" si="54">IF(LEN(IF(LEFT(A195,1)="P",A195,""))=7,IF(LEFT(A195,1)="P",A195,""),"")</f>
        <v/>
      </c>
      <c r="F195" t="str">
        <f t="shared" si="47"/>
        <v/>
      </c>
      <c r="G195" t="str">
        <f t="shared" ref="G195:G228" si="55">IF(LEN(A195)=3,A195,"")</f>
        <v/>
      </c>
      <c r="H195" t="str">
        <f t="shared" si="48"/>
        <v/>
      </c>
      <c r="I195" s="157" t="str">
        <f t="shared" si="49"/>
        <v/>
      </c>
      <c r="J195" s="157"/>
      <c r="K195" s="157" t="str">
        <f t="shared" si="50"/>
        <v/>
      </c>
      <c r="L195" s="157" t="str">
        <f t="shared" si="51"/>
        <v/>
      </c>
      <c r="M195" s="157"/>
      <c r="N195" s="157" t="str">
        <f t="shared" si="52"/>
        <v/>
      </c>
      <c r="O195" s="174" t="str">
        <f>Table13[[#This Row],[Combined List]]</f>
        <v/>
      </c>
      <c r="P195" s="157">
        <v>191</v>
      </c>
      <c r="Q195" s="174" t="str">
        <f t="shared" si="42"/>
        <v/>
      </c>
      <c r="R195" s="174" t="str">
        <f t="shared" si="42"/>
        <v/>
      </c>
      <c r="S195" s="174" t="str">
        <f t="shared" si="42"/>
        <v/>
      </c>
      <c r="T195" s="174" t="str">
        <f t="shared" si="43"/>
        <v/>
      </c>
      <c r="U195" s="174" t="str">
        <f t="shared" si="44"/>
        <v/>
      </c>
      <c r="V195" s="174" t="str">
        <f t="shared" si="45"/>
        <v/>
      </c>
      <c r="W195" s="174" t="str">
        <f>_xlfn.IFNA(VLOOKUP(T:T,Logframe!$B:$G,6,FALSE),"")</f>
        <v/>
      </c>
      <c r="X195" s="174" t="str">
        <f>_xlfn.IFNA(VLOOKUP(U:U,Logframe!$B:$G,6,FALSE),"")</f>
        <v/>
      </c>
      <c r="Y195" s="174" t="str">
        <f>_xlfn.IFNA(VLOOKUP(V:V,Logframe!$B:$G,6,FALSE),"")</f>
        <v/>
      </c>
      <c r="Z195">
        <v>191</v>
      </c>
      <c r="AD195" t="str">
        <f t="shared" si="46"/>
        <v/>
      </c>
      <c r="AE195" t="str">
        <f t="shared" si="46"/>
        <v/>
      </c>
      <c r="AF195" t="str">
        <f t="shared" si="41"/>
        <v/>
      </c>
    </row>
    <row r="196" spans="1:32" x14ac:dyDescent="0.35">
      <c r="A196" s="5">
        <f>INDEX(Logframe!F:F,200,1)</f>
        <v>0</v>
      </c>
      <c r="B196" s="110">
        <v>2.16</v>
      </c>
      <c r="C196" s="322">
        <f>INDEX(Logframe!B:B,200,1)</f>
        <v>0</v>
      </c>
      <c r="D196" t="str">
        <f t="shared" si="53"/>
        <v/>
      </c>
      <c r="E196" t="str">
        <f t="shared" si="54"/>
        <v/>
      </c>
      <c r="F196" t="str">
        <f t="shared" si="47"/>
        <v/>
      </c>
      <c r="G196" t="str">
        <f t="shared" si="55"/>
        <v/>
      </c>
      <c r="H196" t="str">
        <f t="shared" si="48"/>
        <v/>
      </c>
      <c r="I196" s="157" t="str">
        <f t="shared" si="49"/>
        <v/>
      </c>
      <c r="J196" s="157"/>
      <c r="K196" s="157" t="str">
        <f t="shared" si="50"/>
        <v/>
      </c>
      <c r="L196" s="157" t="str">
        <f t="shared" si="51"/>
        <v/>
      </c>
      <c r="M196" s="157"/>
      <c r="N196" s="157" t="str">
        <f t="shared" si="52"/>
        <v/>
      </c>
      <c r="O196" s="174" t="str">
        <f>Table13[[#This Row],[Combined List]]</f>
        <v/>
      </c>
      <c r="P196" s="157">
        <v>192</v>
      </c>
      <c r="Q196" s="174" t="str">
        <f t="shared" si="42"/>
        <v/>
      </c>
      <c r="R196" s="174" t="str">
        <f t="shared" si="42"/>
        <v/>
      </c>
      <c r="S196" s="174" t="str">
        <f t="shared" si="42"/>
        <v/>
      </c>
      <c r="T196" s="174" t="str">
        <f t="shared" si="43"/>
        <v/>
      </c>
      <c r="U196" s="174" t="str">
        <f t="shared" si="44"/>
        <v/>
      </c>
      <c r="V196" s="174" t="str">
        <f t="shared" si="45"/>
        <v/>
      </c>
      <c r="W196" s="174" t="str">
        <f>_xlfn.IFNA(VLOOKUP(T:T,Logframe!$B:$G,6,FALSE),"")</f>
        <v/>
      </c>
      <c r="X196" s="174" t="str">
        <f>_xlfn.IFNA(VLOOKUP(U:U,Logframe!$B:$G,6,FALSE),"")</f>
        <v/>
      </c>
      <c r="Y196" s="174" t="str">
        <f>_xlfn.IFNA(VLOOKUP(V:V,Logframe!$B:$G,6,FALSE),"")</f>
        <v/>
      </c>
      <c r="Z196">
        <v>192</v>
      </c>
      <c r="AD196" t="str">
        <f t="shared" si="46"/>
        <v/>
      </c>
      <c r="AE196" t="str">
        <f t="shared" si="46"/>
        <v/>
      </c>
      <c r="AF196" t="str">
        <f t="shared" si="41"/>
        <v/>
      </c>
    </row>
    <row r="197" spans="1:32" x14ac:dyDescent="0.35">
      <c r="A197">
        <f>INDEX(Logframe!F:F,201,1)</f>
        <v>0</v>
      </c>
      <c r="B197" s="110">
        <v>2.17</v>
      </c>
      <c r="C197" s="321">
        <f>INDEX(Logframe!B:B,201,1)</f>
        <v>0</v>
      </c>
      <c r="D197" t="str">
        <f t="shared" si="53"/>
        <v/>
      </c>
      <c r="E197" t="str">
        <f t="shared" si="54"/>
        <v/>
      </c>
      <c r="F197" t="str">
        <f t="shared" si="47"/>
        <v/>
      </c>
      <c r="G197" t="str">
        <f t="shared" si="55"/>
        <v/>
      </c>
      <c r="H197" t="str">
        <f t="shared" si="48"/>
        <v/>
      </c>
      <c r="I197" s="157" t="str">
        <f t="shared" si="49"/>
        <v/>
      </c>
      <c r="J197" s="157"/>
      <c r="K197" s="157" t="str">
        <f t="shared" si="50"/>
        <v/>
      </c>
      <c r="L197" s="157" t="str">
        <f t="shared" si="51"/>
        <v/>
      </c>
      <c r="M197" s="157"/>
      <c r="N197" s="157" t="str">
        <f t="shared" si="52"/>
        <v/>
      </c>
      <c r="O197" s="174" t="str">
        <f>Table13[[#This Row],[Combined List]]</f>
        <v/>
      </c>
      <c r="P197" s="157">
        <v>193</v>
      </c>
      <c r="Q197" s="174" t="str">
        <f t="shared" si="42"/>
        <v/>
      </c>
      <c r="R197" s="174" t="str">
        <f t="shared" si="42"/>
        <v/>
      </c>
      <c r="S197" s="174" t="str">
        <f t="shared" si="42"/>
        <v/>
      </c>
      <c r="T197" s="174" t="str">
        <f t="shared" si="43"/>
        <v/>
      </c>
      <c r="U197" s="174" t="str">
        <f t="shared" si="44"/>
        <v/>
      </c>
      <c r="V197" s="174" t="str">
        <f t="shared" si="45"/>
        <v/>
      </c>
      <c r="W197" s="174" t="str">
        <f>_xlfn.IFNA(VLOOKUP(T:T,Logframe!$B:$G,6,FALSE),"")</f>
        <v/>
      </c>
      <c r="X197" s="174" t="str">
        <f>_xlfn.IFNA(VLOOKUP(U:U,Logframe!$B:$G,6,FALSE),"")</f>
        <v/>
      </c>
      <c r="Y197" s="174" t="str">
        <f>_xlfn.IFNA(VLOOKUP(V:V,Logframe!$B:$G,6,FALSE),"")</f>
        <v/>
      </c>
      <c r="Z197">
        <v>193</v>
      </c>
      <c r="AD197" t="str">
        <f t="shared" si="46"/>
        <v/>
      </c>
      <c r="AE197" t="str">
        <f t="shared" si="46"/>
        <v/>
      </c>
      <c r="AF197" t="str">
        <f t="shared" ref="AF197:AF228" si="56">_xlfn.IFNA(VLOOKUP(AC:AC,N:O,2,FALSE),"")</f>
        <v/>
      </c>
    </row>
    <row r="198" spans="1:32" x14ac:dyDescent="0.35">
      <c r="A198">
        <f>INDEX(Logframe!F:F,202,1)</f>
        <v>0</v>
      </c>
      <c r="B198" s="110">
        <v>2.1800000000000002</v>
      </c>
      <c r="C198" s="321">
        <f>INDEX(Logframe!B:B,202,1)</f>
        <v>0</v>
      </c>
      <c r="D198" t="str">
        <f t="shared" si="53"/>
        <v/>
      </c>
      <c r="E198" t="str">
        <f t="shared" si="54"/>
        <v/>
      </c>
      <c r="F198" t="str">
        <f t="shared" si="47"/>
        <v/>
      </c>
      <c r="G198" t="str">
        <f t="shared" si="55"/>
        <v/>
      </c>
      <c r="H198" t="str">
        <f t="shared" si="48"/>
        <v/>
      </c>
      <c r="I198" s="157" t="str">
        <f t="shared" si="49"/>
        <v/>
      </c>
      <c r="J198" s="157"/>
      <c r="K198" s="157" t="str">
        <f t="shared" si="50"/>
        <v/>
      </c>
      <c r="L198" s="157" t="str">
        <f t="shared" si="51"/>
        <v/>
      </c>
      <c r="M198" s="157"/>
      <c r="N198" s="157" t="str">
        <f t="shared" si="52"/>
        <v/>
      </c>
      <c r="O198" s="174" t="str">
        <f>Table13[[#This Row],[Combined List]]</f>
        <v/>
      </c>
      <c r="P198" s="157">
        <v>194</v>
      </c>
      <c r="Q198" s="174" t="str">
        <f t="shared" ref="Q198:S228" si="57">IFERROR(VALUE(LEFT(AA:AA,4)),"")</f>
        <v/>
      </c>
      <c r="R198" s="174" t="str">
        <f t="shared" si="57"/>
        <v/>
      </c>
      <c r="S198" s="174" t="str">
        <f t="shared" si="57"/>
        <v/>
      </c>
      <c r="T198" s="174" t="str">
        <f t="shared" ref="T198:T228" si="58">_xlfn.IFNA(VLOOKUP(Q:Q,$B:$C,2,FALSE),"")</f>
        <v/>
      </c>
      <c r="U198" s="174" t="str">
        <f t="shared" ref="U198:U228" si="59">_xlfn.IFNA(VLOOKUP(R:R,$B:$C,2,FALSE),"")</f>
        <v/>
      </c>
      <c r="V198" s="174" t="str">
        <f t="shared" ref="V198:V228" si="60">_xlfn.IFNA(VLOOKUP(S:S,$B:$C,2,FALSE),"")</f>
        <v/>
      </c>
      <c r="W198" s="174" t="str">
        <f>_xlfn.IFNA(VLOOKUP(T:T,Logframe!$B:$G,6,FALSE),"")</f>
        <v/>
      </c>
      <c r="X198" s="174" t="str">
        <f>_xlfn.IFNA(VLOOKUP(U:U,Logframe!$B:$G,6,FALSE),"")</f>
        <v/>
      </c>
      <c r="Y198" s="174" t="str">
        <f>_xlfn.IFNA(VLOOKUP(V:V,Logframe!$B:$G,6,FALSE),"")</f>
        <v/>
      </c>
      <c r="Z198">
        <v>194</v>
      </c>
      <c r="AD198" t="str">
        <f t="shared" si="46"/>
        <v/>
      </c>
      <c r="AE198" t="str">
        <f t="shared" si="46"/>
        <v/>
      </c>
      <c r="AF198" t="str">
        <f t="shared" si="56"/>
        <v/>
      </c>
    </row>
    <row r="199" spans="1:32" x14ac:dyDescent="0.35">
      <c r="A199">
        <f>INDEX(Logframe!F:F,203,1)</f>
        <v>0</v>
      </c>
      <c r="B199" s="110">
        <v>2.19</v>
      </c>
      <c r="C199" s="321">
        <f>INDEX(Logframe!B:B,203,1)</f>
        <v>0</v>
      </c>
      <c r="D199" t="str">
        <f t="shared" si="53"/>
        <v/>
      </c>
      <c r="E199" t="str">
        <f t="shared" si="54"/>
        <v/>
      </c>
      <c r="F199" t="str">
        <f t="shared" si="47"/>
        <v/>
      </c>
      <c r="G199" t="str">
        <f t="shared" si="55"/>
        <v/>
      </c>
      <c r="H199" t="str">
        <f t="shared" si="48"/>
        <v/>
      </c>
      <c r="I199" s="157" t="str">
        <f t="shared" si="49"/>
        <v/>
      </c>
      <c r="J199" s="157"/>
      <c r="K199" s="157" t="str">
        <f t="shared" si="50"/>
        <v/>
      </c>
      <c r="L199" s="157" t="str">
        <f t="shared" si="51"/>
        <v/>
      </c>
      <c r="M199" s="157"/>
      <c r="N199" s="157" t="str">
        <f t="shared" si="52"/>
        <v/>
      </c>
      <c r="O199" s="174" t="str">
        <f>Table13[[#This Row],[Combined List]]</f>
        <v/>
      </c>
      <c r="P199" s="157">
        <v>195</v>
      </c>
      <c r="Q199" s="174" t="str">
        <f t="shared" si="57"/>
        <v/>
      </c>
      <c r="R199" s="174" t="str">
        <f t="shared" si="57"/>
        <v/>
      </c>
      <c r="S199" s="174" t="str">
        <f t="shared" si="57"/>
        <v/>
      </c>
      <c r="T199" s="174" t="str">
        <f t="shared" si="58"/>
        <v/>
      </c>
      <c r="U199" s="174" t="str">
        <f t="shared" si="59"/>
        <v/>
      </c>
      <c r="V199" s="174" t="str">
        <f t="shared" si="60"/>
        <v/>
      </c>
      <c r="W199" s="174" t="str">
        <f>_xlfn.IFNA(VLOOKUP(T:T,Logframe!$B:$G,6,FALSE),"")</f>
        <v/>
      </c>
      <c r="X199" s="174" t="str">
        <f>_xlfn.IFNA(VLOOKUP(U:U,Logframe!$B:$G,6,FALSE),"")</f>
        <v/>
      </c>
      <c r="Y199" s="174" t="str">
        <f>_xlfn.IFNA(VLOOKUP(V:V,Logframe!$B:$G,6,FALSE),"")</f>
        <v/>
      </c>
      <c r="Z199">
        <v>195</v>
      </c>
      <c r="AD199" t="str">
        <f t="shared" si="46"/>
        <v/>
      </c>
      <c r="AE199" t="str">
        <f t="shared" si="46"/>
        <v/>
      </c>
      <c r="AF199" t="str">
        <f t="shared" si="56"/>
        <v/>
      </c>
    </row>
    <row r="200" spans="1:32" x14ac:dyDescent="0.35">
      <c r="A200">
        <f>INDEX(Logframe!F:F,204,1)</f>
        <v>0</v>
      </c>
      <c r="B200" s="110">
        <v>2.21</v>
      </c>
      <c r="C200" s="321">
        <f>INDEX(Logframe!B:B,204,1)</f>
        <v>0</v>
      </c>
      <c r="D200" t="str">
        <f t="shared" si="53"/>
        <v/>
      </c>
      <c r="E200" t="str">
        <f t="shared" si="54"/>
        <v/>
      </c>
      <c r="F200" t="str">
        <f t="shared" si="47"/>
        <v/>
      </c>
      <c r="G200" t="str">
        <f t="shared" si="55"/>
        <v/>
      </c>
      <c r="H200" t="str">
        <f t="shared" si="48"/>
        <v/>
      </c>
      <c r="I200" s="157" t="str">
        <f t="shared" si="49"/>
        <v/>
      </c>
      <c r="J200" s="157"/>
      <c r="K200" s="157" t="str">
        <f t="shared" si="50"/>
        <v/>
      </c>
      <c r="L200" s="157" t="str">
        <f t="shared" si="51"/>
        <v/>
      </c>
      <c r="M200" s="157"/>
      <c r="N200" s="157" t="str">
        <f t="shared" si="52"/>
        <v/>
      </c>
      <c r="O200" s="174" t="str">
        <f>Table13[[#This Row],[Combined List]]</f>
        <v/>
      </c>
      <c r="P200" s="157">
        <v>196</v>
      </c>
      <c r="Q200" s="174" t="str">
        <f t="shared" si="57"/>
        <v/>
      </c>
      <c r="R200" s="174" t="str">
        <f t="shared" si="57"/>
        <v/>
      </c>
      <c r="S200" s="174" t="str">
        <f t="shared" si="57"/>
        <v/>
      </c>
      <c r="T200" s="174" t="str">
        <f t="shared" si="58"/>
        <v/>
      </c>
      <c r="U200" s="174" t="str">
        <f t="shared" si="59"/>
        <v/>
      </c>
      <c r="V200" s="174" t="str">
        <f t="shared" si="60"/>
        <v/>
      </c>
      <c r="W200" s="174" t="str">
        <f>_xlfn.IFNA(VLOOKUP(T:T,Logframe!$B:$G,6,FALSE),"")</f>
        <v/>
      </c>
      <c r="X200" s="174" t="str">
        <f>_xlfn.IFNA(VLOOKUP(U:U,Logframe!$B:$G,6,FALSE),"")</f>
        <v/>
      </c>
      <c r="Y200" s="174" t="str">
        <f>_xlfn.IFNA(VLOOKUP(V:V,Logframe!$B:$G,6,FALSE),"")</f>
        <v/>
      </c>
      <c r="Z200">
        <v>196</v>
      </c>
      <c r="AD200" t="str">
        <f t="shared" si="46"/>
        <v/>
      </c>
      <c r="AE200" t="str">
        <f t="shared" si="46"/>
        <v/>
      </c>
      <c r="AF200" t="str">
        <f t="shared" si="56"/>
        <v/>
      </c>
    </row>
    <row r="201" spans="1:32" x14ac:dyDescent="0.35">
      <c r="A201">
        <f>INDEX(Logframe!F:F,205,1)</f>
        <v>0</v>
      </c>
      <c r="B201" s="110">
        <v>2.2200000000000002</v>
      </c>
      <c r="C201" s="321">
        <f>INDEX(Logframe!B:B,205,1)</f>
        <v>0</v>
      </c>
      <c r="D201" t="str">
        <f t="shared" si="53"/>
        <v/>
      </c>
      <c r="E201" t="str">
        <f t="shared" si="54"/>
        <v/>
      </c>
      <c r="F201" t="str">
        <f t="shared" si="47"/>
        <v/>
      </c>
      <c r="G201" t="str">
        <f t="shared" si="55"/>
        <v/>
      </c>
      <c r="H201" t="str">
        <f t="shared" si="48"/>
        <v/>
      </c>
      <c r="I201" s="157" t="str">
        <f t="shared" si="49"/>
        <v/>
      </c>
      <c r="J201" s="157"/>
      <c r="K201" s="157" t="str">
        <f t="shared" si="50"/>
        <v/>
      </c>
      <c r="L201" s="157" t="str">
        <f t="shared" si="51"/>
        <v/>
      </c>
      <c r="M201" s="157"/>
      <c r="N201" s="157" t="str">
        <f t="shared" si="52"/>
        <v/>
      </c>
      <c r="O201" s="174" t="str">
        <f>Table13[[#This Row],[Combined List]]</f>
        <v/>
      </c>
      <c r="P201" s="157">
        <v>197</v>
      </c>
      <c r="Q201" s="174" t="str">
        <f t="shared" si="57"/>
        <v/>
      </c>
      <c r="R201" s="174" t="str">
        <f t="shared" si="57"/>
        <v/>
      </c>
      <c r="S201" s="174" t="str">
        <f t="shared" si="57"/>
        <v/>
      </c>
      <c r="T201" s="174" t="str">
        <f t="shared" si="58"/>
        <v/>
      </c>
      <c r="U201" s="174" t="str">
        <f t="shared" si="59"/>
        <v/>
      </c>
      <c r="V201" s="174" t="str">
        <f t="shared" si="60"/>
        <v/>
      </c>
      <c r="W201" s="174" t="str">
        <f>_xlfn.IFNA(VLOOKUP(T:T,Logframe!$B:$G,6,FALSE),"")</f>
        <v/>
      </c>
      <c r="X201" s="174" t="str">
        <f>_xlfn.IFNA(VLOOKUP(U:U,Logframe!$B:$G,6,FALSE),"")</f>
        <v/>
      </c>
      <c r="Y201" s="174" t="str">
        <f>_xlfn.IFNA(VLOOKUP(V:V,Logframe!$B:$G,6,FALSE),"")</f>
        <v/>
      </c>
      <c r="Z201">
        <v>197</v>
      </c>
      <c r="AD201" t="str">
        <f t="shared" si="46"/>
        <v/>
      </c>
      <c r="AE201" t="str">
        <f t="shared" si="46"/>
        <v/>
      </c>
      <c r="AF201" t="str">
        <f t="shared" si="56"/>
        <v/>
      </c>
    </row>
    <row r="202" spans="1:32" x14ac:dyDescent="0.35">
      <c r="A202">
        <f>INDEX(Logframe!F:F,206,1)</f>
        <v>0</v>
      </c>
      <c r="B202" s="110">
        <v>2.23</v>
      </c>
      <c r="C202" s="321">
        <f>INDEX(Logframe!B:B,206,1)</f>
        <v>0</v>
      </c>
      <c r="D202" t="str">
        <f t="shared" si="53"/>
        <v/>
      </c>
      <c r="E202" t="str">
        <f t="shared" si="54"/>
        <v/>
      </c>
      <c r="F202" t="str">
        <f t="shared" si="47"/>
        <v/>
      </c>
      <c r="G202" t="str">
        <f t="shared" si="55"/>
        <v/>
      </c>
      <c r="H202" t="str">
        <f t="shared" si="48"/>
        <v/>
      </c>
      <c r="I202" s="157" t="str">
        <f t="shared" si="49"/>
        <v/>
      </c>
      <c r="J202" s="157"/>
      <c r="K202" s="157" t="str">
        <f t="shared" si="50"/>
        <v/>
      </c>
      <c r="L202" s="157" t="str">
        <f t="shared" si="51"/>
        <v/>
      </c>
      <c r="M202" s="157"/>
      <c r="N202" s="157" t="str">
        <f t="shared" si="52"/>
        <v/>
      </c>
      <c r="O202" s="174" t="str">
        <f>Table13[[#This Row],[Combined List]]</f>
        <v/>
      </c>
      <c r="P202" s="157">
        <v>198</v>
      </c>
      <c r="Q202" s="174" t="str">
        <f t="shared" si="57"/>
        <v/>
      </c>
      <c r="R202" s="174" t="str">
        <f t="shared" si="57"/>
        <v/>
      </c>
      <c r="S202" s="174" t="str">
        <f t="shared" si="57"/>
        <v/>
      </c>
      <c r="T202" s="174" t="str">
        <f t="shared" si="58"/>
        <v/>
      </c>
      <c r="U202" s="174" t="str">
        <f t="shared" si="59"/>
        <v/>
      </c>
      <c r="V202" s="174" t="str">
        <f t="shared" si="60"/>
        <v/>
      </c>
      <c r="W202" s="174" t="str">
        <f>_xlfn.IFNA(VLOOKUP(T:T,Logframe!$B:$G,6,FALSE),"")</f>
        <v/>
      </c>
      <c r="X202" s="174" t="str">
        <f>_xlfn.IFNA(VLOOKUP(U:U,Logframe!$B:$G,6,FALSE),"")</f>
        <v/>
      </c>
      <c r="Y202" s="174" t="str">
        <f>_xlfn.IFNA(VLOOKUP(V:V,Logframe!$B:$G,6,FALSE),"")</f>
        <v/>
      </c>
      <c r="Z202">
        <v>198</v>
      </c>
      <c r="AD202" t="str">
        <f t="shared" si="46"/>
        <v/>
      </c>
      <c r="AE202" t="str">
        <f t="shared" si="46"/>
        <v/>
      </c>
      <c r="AF202" t="str">
        <f t="shared" si="56"/>
        <v/>
      </c>
    </row>
    <row r="203" spans="1:32" x14ac:dyDescent="0.35">
      <c r="A203">
        <f>INDEX(Logframe!F:F,207,1)</f>
        <v>0</v>
      </c>
      <c r="B203" s="110">
        <v>2.2400000000000002</v>
      </c>
      <c r="C203" s="321">
        <f>INDEX(Logframe!B:B,207,1)</f>
        <v>0</v>
      </c>
      <c r="D203" t="str">
        <f t="shared" si="53"/>
        <v/>
      </c>
      <c r="E203" t="str">
        <f t="shared" si="54"/>
        <v/>
      </c>
      <c r="F203" t="str">
        <f t="shared" si="47"/>
        <v/>
      </c>
      <c r="G203" t="str">
        <f t="shared" si="55"/>
        <v/>
      </c>
      <c r="H203" t="str">
        <f t="shared" si="48"/>
        <v/>
      </c>
      <c r="I203" s="157" t="str">
        <f t="shared" si="49"/>
        <v/>
      </c>
      <c r="J203" s="157"/>
      <c r="K203" s="157" t="str">
        <f t="shared" si="50"/>
        <v/>
      </c>
      <c r="L203" s="157" t="str">
        <f t="shared" si="51"/>
        <v/>
      </c>
      <c r="M203" s="157"/>
      <c r="N203" s="157" t="str">
        <f t="shared" si="52"/>
        <v/>
      </c>
      <c r="O203" s="174" t="str">
        <f>Table13[[#This Row],[Combined List]]</f>
        <v/>
      </c>
      <c r="P203" s="157">
        <v>199</v>
      </c>
      <c r="Q203" s="174" t="str">
        <f t="shared" si="57"/>
        <v/>
      </c>
      <c r="R203" s="174" t="str">
        <f t="shared" si="57"/>
        <v/>
      </c>
      <c r="S203" s="174" t="str">
        <f t="shared" si="57"/>
        <v/>
      </c>
      <c r="T203" s="174" t="str">
        <f t="shared" si="58"/>
        <v/>
      </c>
      <c r="U203" s="174" t="str">
        <f t="shared" si="59"/>
        <v/>
      </c>
      <c r="V203" s="174" t="str">
        <f t="shared" si="60"/>
        <v/>
      </c>
      <c r="W203" s="174" t="str">
        <f>_xlfn.IFNA(VLOOKUP(T:T,Logframe!$B:$G,6,FALSE),"")</f>
        <v/>
      </c>
      <c r="X203" s="174" t="str">
        <f>_xlfn.IFNA(VLOOKUP(U:U,Logframe!$B:$G,6,FALSE),"")</f>
        <v/>
      </c>
      <c r="Y203" s="174" t="str">
        <f>_xlfn.IFNA(VLOOKUP(V:V,Logframe!$B:$G,6,FALSE),"")</f>
        <v/>
      </c>
      <c r="Z203">
        <v>199</v>
      </c>
      <c r="AD203" t="str">
        <f t="shared" si="46"/>
        <v/>
      </c>
      <c r="AE203" t="str">
        <f t="shared" si="46"/>
        <v/>
      </c>
      <c r="AF203" t="str">
        <f t="shared" si="56"/>
        <v/>
      </c>
    </row>
    <row r="204" spans="1:32" x14ac:dyDescent="0.35">
      <c r="A204">
        <f>INDEX(Logframe!F:F,208,1)</f>
        <v>0</v>
      </c>
      <c r="B204" s="110">
        <v>2.25</v>
      </c>
      <c r="C204" s="321">
        <f>INDEX(Logframe!B:B,208,1)</f>
        <v>0</v>
      </c>
      <c r="D204" t="str">
        <f t="shared" si="53"/>
        <v/>
      </c>
      <c r="E204" t="str">
        <f t="shared" si="54"/>
        <v/>
      </c>
      <c r="F204" t="str">
        <f t="shared" si="47"/>
        <v/>
      </c>
      <c r="G204" t="str">
        <f t="shared" si="55"/>
        <v/>
      </c>
      <c r="H204" t="str">
        <f t="shared" si="48"/>
        <v/>
      </c>
      <c r="I204" s="157" t="str">
        <f t="shared" si="49"/>
        <v/>
      </c>
      <c r="J204" s="157"/>
      <c r="K204" s="157" t="str">
        <f t="shared" si="50"/>
        <v/>
      </c>
      <c r="L204" s="157" t="str">
        <f t="shared" si="51"/>
        <v/>
      </c>
      <c r="M204" s="157"/>
      <c r="N204" s="157" t="str">
        <f t="shared" si="52"/>
        <v/>
      </c>
      <c r="O204" s="174" t="str">
        <f>Table13[[#This Row],[Combined List]]</f>
        <v/>
      </c>
      <c r="P204" s="157">
        <v>200</v>
      </c>
      <c r="Q204" s="174" t="str">
        <f t="shared" si="57"/>
        <v/>
      </c>
      <c r="R204" s="174" t="str">
        <f t="shared" si="57"/>
        <v/>
      </c>
      <c r="S204" s="174" t="str">
        <f t="shared" si="57"/>
        <v/>
      </c>
      <c r="T204" s="174" t="str">
        <f t="shared" si="58"/>
        <v/>
      </c>
      <c r="U204" s="174" t="str">
        <f t="shared" si="59"/>
        <v/>
      </c>
      <c r="V204" s="174" t="str">
        <f t="shared" si="60"/>
        <v/>
      </c>
      <c r="W204" s="174" t="str">
        <f>_xlfn.IFNA(VLOOKUP(T:T,Logframe!$B:$G,6,FALSE),"")</f>
        <v/>
      </c>
      <c r="X204" s="174" t="str">
        <f>_xlfn.IFNA(VLOOKUP(U:U,Logframe!$B:$G,6,FALSE),"")</f>
        <v/>
      </c>
      <c r="Y204" s="174" t="str">
        <f>_xlfn.IFNA(VLOOKUP(V:V,Logframe!$B:$G,6,FALSE),"")</f>
        <v/>
      </c>
      <c r="Z204">
        <v>200</v>
      </c>
      <c r="AD204" t="str">
        <f t="shared" si="46"/>
        <v/>
      </c>
      <c r="AE204" t="str">
        <f t="shared" si="46"/>
        <v/>
      </c>
      <c r="AF204" t="str">
        <f t="shared" si="56"/>
        <v/>
      </c>
    </row>
    <row r="205" spans="1:32" x14ac:dyDescent="0.35">
      <c r="A205">
        <f>INDEX(Logframe!F:F,209,1)</f>
        <v>0</v>
      </c>
      <c r="B205" s="110">
        <v>2.2599999999999998</v>
      </c>
      <c r="C205" s="321">
        <f>INDEX(Logframe!B:B,209,1)</f>
        <v>0</v>
      </c>
      <c r="D205" t="str">
        <f t="shared" si="53"/>
        <v/>
      </c>
      <c r="E205" t="str">
        <f t="shared" si="54"/>
        <v/>
      </c>
      <c r="F205" t="str">
        <f t="shared" si="47"/>
        <v/>
      </c>
      <c r="G205" t="str">
        <f t="shared" si="55"/>
        <v/>
      </c>
      <c r="H205" t="str">
        <f t="shared" si="48"/>
        <v/>
      </c>
      <c r="I205" s="157" t="str">
        <f t="shared" si="49"/>
        <v/>
      </c>
      <c r="J205" s="157"/>
      <c r="K205" s="157" t="str">
        <f t="shared" si="50"/>
        <v/>
      </c>
      <c r="L205" s="157" t="str">
        <f t="shared" si="51"/>
        <v/>
      </c>
      <c r="M205" s="157"/>
      <c r="N205" s="157" t="str">
        <f t="shared" si="52"/>
        <v/>
      </c>
      <c r="O205" s="174" t="str">
        <f>Table13[[#This Row],[Combined List]]</f>
        <v/>
      </c>
      <c r="P205" s="157">
        <v>201</v>
      </c>
      <c r="Q205" s="174" t="str">
        <f t="shared" si="57"/>
        <v/>
      </c>
      <c r="R205" s="174" t="str">
        <f t="shared" si="57"/>
        <v/>
      </c>
      <c r="S205" s="174" t="str">
        <f t="shared" si="57"/>
        <v/>
      </c>
      <c r="T205" s="174" t="str">
        <f t="shared" si="58"/>
        <v/>
      </c>
      <c r="U205" s="174" t="str">
        <f t="shared" si="59"/>
        <v/>
      </c>
      <c r="V205" s="174" t="str">
        <f t="shared" si="60"/>
        <v/>
      </c>
      <c r="W205" s="174" t="str">
        <f>_xlfn.IFNA(VLOOKUP(T:T,Logframe!$B:$G,6,FALSE),"")</f>
        <v/>
      </c>
      <c r="X205" s="174" t="str">
        <f>_xlfn.IFNA(VLOOKUP(U:U,Logframe!$B:$G,6,FALSE),"")</f>
        <v/>
      </c>
      <c r="Y205" s="174" t="str">
        <f>_xlfn.IFNA(VLOOKUP(V:V,Logframe!$B:$G,6,FALSE),"")</f>
        <v/>
      </c>
      <c r="Z205">
        <v>201</v>
      </c>
      <c r="AD205" t="str">
        <f t="shared" si="46"/>
        <v/>
      </c>
      <c r="AE205" t="str">
        <f t="shared" si="46"/>
        <v/>
      </c>
      <c r="AF205" t="str">
        <f t="shared" si="56"/>
        <v/>
      </c>
    </row>
    <row r="206" spans="1:32" x14ac:dyDescent="0.35">
      <c r="A206">
        <f>INDEX(Logframe!F:F,210,1)</f>
        <v>0</v>
      </c>
      <c r="B206" s="110">
        <v>2.27</v>
      </c>
      <c r="C206" s="321">
        <f>INDEX(Logframe!B:B,210,1)</f>
        <v>0</v>
      </c>
      <c r="D206" t="str">
        <f t="shared" si="53"/>
        <v/>
      </c>
      <c r="E206" t="str">
        <f t="shared" si="54"/>
        <v/>
      </c>
      <c r="F206" t="str">
        <f t="shared" si="47"/>
        <v/>
      </c>
      <c r="G206" t="str">
        <f t="shared" si="55"/>
        <v/>
      </c>
      <c r="H206" t="str">
        <f t="shared" si="48"/>
        <v/>
      </c>
      <c r="I206" s="157" t="str">
        <f t="shared" si="49"/>
        <v/>
      </c>
      <c r="J206" s="157"/>
      <c r="K206" s="157" t="str">
        <f t="shared" si="50"/>
        <v/>
      </c>
      <c r="L206" s="157" t="str">
        <f t="shared" si="51"/>
        <v/>
      </c>
      <c r="M206" s="157"/>
      <c r="N206" s="157" t="str">
        <f t="shared" si="52"/>
        <v/>
      </c>
      <c r="O206" s="174" t="str">
        <f>Table13[[#This Row],[Combined List]]</f>
        <v/>
      </c>
      <c r="P206" s="157">
        <v>202</v>
      </c>
      <c r="Q206" s="174" t="str">
        <f t="shared" si="57"/>
        <v/>
      </c>
      <c r="R206" s="174" t="str">
        <f t="shared" si="57"/>
        <v/>
      </c>
      <c r="S206" s="174" t="str">
        <f t="shared" si="57"/>
        <v/>
      </c>
      <c r="T206" s="174" t="str">
        <f t="shared" si="58"/>
        <v/>
      </c>
      <c r="U206" s="174" t="str">
        <f t="shared" si="59"/>
        <v/>
      </c>
      <c r="V206" s="174" t="str">
        <f t="shared" si="60"/>
        <v/>
      </c>
      <c r="W206" s="174" t="str">
        <f>_xlfn.IFNA(VLOOKUP(T:T,Logframe!$B:$G,6,FALSE),"")</f>
        <v/>
      </c>
      <c r="X206" s="174" t="str">
        <f>_xlfn.IFNA(VLOOKUP(U:U,Logframe!$B:$G,6,FALSE),"")</f>
        <v/>
      </c>
      <c r="Y206" s="174" t="str">
        <f>_xlfn.IFNA(VLOOKUP(V:V,Logframe!$B:$G,6,FALSE),"")</f>
        <v/>
      </c>
      <c r="Z206">
        <v>202</v>
      </c>
      <c r="AD206" t="str">
        <f t="shared" si="46"/>
        <v/>
      </c>
      <c r="AE206" t="str">
        <f t="shared" si="46"/>
        <v/>
      </c>
      <c r="AF206" t="str">
        <f t="shared" si="56"/>
        <v/>
      </c>
    </row>
    <row r="207" spans="1:32" x14ac:dyDescent="0.35">
      <c r="A207">
        <f>INDEX(Logframe!F:F,211,1)</f>
        <v>0</v>
      </c>
      <c r="B207" s="110">
        <v>2.2799999999999998</v>
      </c>
      <c r="C207" s="321">
        <f>INDEX(Logframe!B:B,211,1)</f>
        <v>0</v>
      </c>
      <c r="D207" t="str">
        <f t="shared" si="53"/>
        <v/>
      </c>
      <c r="E207" t="str">
        <f t="shared" si="54"/>
        <v/>
      </c>
      <c r="F207" t="str">
        <f t="shared" si="47"/>
        <v/>
      </c>
      <c r="G207" t="str">
        <f t="shared" si="55"/>
        <v/>
      </c>
      <c r="H207" t="str">
        <f t="shared" si="48"/>
        <v/>
      </c>
      <c r="I207" s="157" t="str">
        <f t="shared" si="49"/>
        <v/>
      </c>
      <c r="J207" s="157"/>
      <c r="K207" s="157" t="str">
        <f t="shared" si="50"/>
        <v/>
      </c>
      <c r="L207" s="157" t="str">
        <f t="shared" si="51"/>
        <v/>
      </c>
      <c r="M207" s="157"/>
      <c r="N207" s="157" t="str">
        <f t="shared" si="52"/>
        <v/>
      </c>
      <c r="O207" s="174" t="str">
        <f>Table13[[#This Row],[Combined List]]</f>
        <v/>
      </c>
      <c r="P207" s="157">
        <v>203</v>
      </c>
      <c r="Q207" s="174" t="str">
        <f t="shared" si="57"/>
        <v/>
      </c>
      <c r="R207" s="174" t="str">
        <f t="shared" si="57"/>
        <v/>
      </c>
      <c r="S207" s="174" t="str">
        <f t="shared" si="57"/>
        <v/>
      </c>
      <c r="T207" s="174" t="str">
        <f t="shared" si="58"/>
        <v/>
      </c>
      <c r="U207" s="174" t="str">
        <f t="shared" si="59"/>
        <v/>
      </c>
      <c r="V207" s="174" t="str">
        <f t="shared" si="60"/>
        <v/>
      </c>
      <c r="W207" s="174" t="str">
        <f>_xlfn.IFNA(VLOOKUP(T:T,Logframe!$B:$G,6,FALSE),"")</f>
        <v/>
      </c>
      <c r="X207" s="174" t="str">
        <f>_xlfn.IFNA(VLOOKUP(U:U,Logframe!$B:$G,6,FALSE),"")</f>
        <v/>
      </c>
      <c r="Y207" s="174" t="str">
        <f>_xlfn.IFNA(VLOOKUP(V:V,Logframe!$B:$G,6,FALSE),"")</f>
        <v/>
      </c>
      <c r="Z207">
        <v>203</v>
      </c>
      <c r="AD207" t="str">
        <f t="shared" si="46"/>
        <v/>
      </c>
      <c r="AE207" t="str">
        <f t="shared" si="46"/>
        <v/>
      </c>
      <c r="AF207" t="str">
        <f t="shared" si="56"/>
        <v/>
      </c>
    </row>
    <row r="208" spans="1:32" x14ac:dyDescent="0.35">
      <c r="A208">
        <f>INDEX(Logframe!F:F,212,1)</f>
        <v>0</v>
      </c>
      <c r="B208" s="110">
        <v>2.29</v>
      </c>
      <c r="C208" s="321">
        <f>INDEX(Logframe!B:B,212,1)</f>
        <v>0</v>
      </c>
      <c r="D208" t="str">
        <f t="shared" si="53"/>
        <v/>
      </c>
      <c r="E208" t="str">
        <f t="shared" si="54"/>
        <v/>
      </c>
      <c r="F208" t="str">
        <f t="shared" si="47"/>
        <v/>
      </c>
      <c r="G208" t="str">
        <f t="shared" si="55"/>
        <v/>
      </c>
      <c r="H208" t="str">
        <f t="shared" si="48"/>
        <v/>
      </c>
      <c r="I208" s="157" t="str">
        <f t="shared" si="49"/>
        <v/>
      </c>
      <c r="J208" s="157"/>
      <c r="K208" s="157" t="str">
        <f t="shared" si="50"/>
        <v/>
      </c>
      <c r="L208" s="157" t="str">
        <f t="shared" si="51"/>
        <v/>
      </c>
      <c r="M208" s="157"/>
      <c r="N208" s="157" t="str">
        <f t="shared" si="52"/>
        <v/>
      </c>
      <c r="O208" s="174" t="str">
        <f>Table13[[#This Row],[Combined List]]</f>
        <v/>
      </c>
      <c r="P208" s="157">
        <v>204</v>
      </c>
      <c r="Q208" s="174" t="str">
        <f t="shared" si="57"/>
        <v/>
      </c>
      <c r="R208" s="174" t="str">
        <f t="shared" si="57"/>
        <v/>
      </c>
      <c r="S208" s="174" t="str">
        <f t="shared" si="57"/>
        <v/>
      </c>
      <c r="T208" s="174" t="str">
        <f t="shared" si="58"/>
        <v/>
      </c>
      <c r="U208" s="174" t="str">
        <f t="shared" si="59"/>
        <v/>
      </c>
      <c r="V208" s="174" t="str">
        <f t="shared" si="60"/>
        <v/>
      </c>
      <c r="W208" s="174" t="str">
        <f>_xlfn.IFNA(VLOOKUP(T:T,Logframe!$B:$G,6,FALSE),"")</f>
        <v/>
      </c>
      <c r="X208" s="174" t="str">
        <f>_xlfn.IFNA(VLOOKUP(U:U,Logframe!$B:$G,6,FALSE),"")</f>
        <v/>
      </c>
      <c r="Y208" s="174" t="str">
        <f>_xlfn.IFNA(VLOOKUP(V:V,Logframe!$B:$G,6,FALSE),"")</f>
        <v/>
      </c>
      <c r="Z208">
        <v>204</v>
      </c>
      <c r="AD208" t="str">
        <f t="shared" si="46"/>
        <v/>
      </c>
      <c r="AE208" t="str">
        <f t="shared" si="46"/>
        <v/>
      </c>
      <c r="AF208" t="str">
        <f t="shared" si="56"/>
        <v/>
      </c>
    </row>
    <row r="209" spans="1:32" x14ac:dyDescent="0.35">
      <c r="A209">
        <f>INDEX(Logframe!F:F,213,1)</f>
        <v>0</v>
      </c>
      <c r="B209" s="110">
        <v>2.31</v>
      </c>
      <c r="C209" s="321">
        <f>INDEX(Logframe!B:B,213,1)</f>
        <v>0</v>
      </c>
      <c r="D209" t="str">
        <f t="shared" si="53"/>
        <v/>
      </c>
      <c r="E209" t="str">
        <f t="shared" si="54"/>
        <v/>
      </c>
      <c r="F209" t="str">
        <f t="shared" si="47"/>
        <v/>
      </c>
      <c r="G209" t="str">
        <f t="shared" si="55"/>
        <v/>
      </c>
      <c r="H209" t="str">
        <f t="shared" si="48"/>
        <v/>
      </c>
      <c r="I209" s="157" t="str">
        <f t="shared" si="49"/>
        <v/>
      </c>
      <c r="J209" s="157"/>
      <c r="K209" s="157" t="str">
        <f t="shared" si="50"/>
        <v/>
      </c>
      <c r="L209" s="157" t="str">
        <f t="shared" si="51"/>
        <v/>
      </c>
      <c r="M209" s="157"/>
      <c r="N209" s="157" t="str">
        <f t="shared" si="52"/>
        <v/>
      </c>
      <c r="O209" s="174" t="str">
        <f>Table13[[#This Row],[Combined List]]</f>
        <v/>
      </c>
      <c r="P209" s="157">
        <v>205</v>
      </c>
      <c r="Q209" s="174" t="str">
        <f t="shared" si="57"/>
        <v/>
      </c>
      <c r="R209" s="174" t="str">
        <f t="shared" si="57"/>
        <v/>
      </c>
      <c r="S209" s="174" t="str">
        <f t="shared" si="57"/>
        <v/>
      </c>
      <c r="T209" s="174" t="str">
        <f t="shared" si="58"/>
        <v/>
      </c>
      <c r="U209" s="174" t="str">
        <f t="shared" si="59"/>
        <v/>
      </c>
      <c r="V209" s="174" t="str">
        <f t="shared" si="60"/>
        <v/>
      </c>
      <c r="W209" s="174" t="str">
        <f>_xlfn.IFNA(VLOOKUP(T:T,Logframe!$B:$G,6,FALSE),"")</f>
        <v/>
      </c>
      <c r="X209" s="174" t="str">
        <f>_xlfn.IFNA(VLOOKUP(U:U,Logframe!$B:$G,6,FALSE),"")</f>
        <v/>
      </c>
      <c r="Y209" s="174" t="str">
        <f>_xlfn.IFNA(VLOOKUP(V:V,Logframe!$B:$G,6,FALSE),"")</f>
        <v/>
      </c>
      <c r="Z209">
        <v>205</v>
      </c>
      <c r="AD209" t="str">
        <f t="shared" si="46"/>
        <v/>
      </c>
      <c r="AE209" t="str">
        <f t="shared" si="46"/>
        <v/>
      </c>
      <c r="AF209" t="str">
        <f t="shared" si="56"/>
        <v/>
      </c>
    </row>
    <row r="210" spans="1:32" x14ac:dyDescent="0.35">
      <c r="A210">
        <f>INDEX(Logframe!F:F,214,1)</f>
        <v>0</v>
      </c>
      <c r="B210" s="110">
        <v>2.3199999999999998</v>
      </c>
      <c r="C210" s="321">
        <f>INDEX(Logframe!B:B,214,1)</f>
        <v>0</v>
      </c>
      <c r="D210" t="str">
        <f t="shared" si="53"/>
        <v/>
      </c>
      <c r="E210" t="str">
        <f t="shared" si="54"/>
        <v/>
      </c>
      <c r="F210" t="str">
        <f t="shared" si="47"/>
        <v/>
      </c>
      <c r="G210" t="str">
        <f t="shared" si="55"/>
        <v/>
      </c>
      <c r="H210" t="str">
        <f t="shared" si="48"/>
        <v/>
      </c>
      <c r="I210" s="157" t="str">
        <f t="shared" si="49"/>
        <v/>
      </c>
      <c r="J210" s="157"/>
      <c r="K210" s="157" t="str">
        <f t="shared" si="50"/>
        <v/>
      </c>
      <c r="L210" s="157" t="str">
        <f t="shared" si="51"/>
        <v/>
      </c>
      <c r="M210" s="157"/>
      <c r="N210" s="157" t="str">
        <f t="shared" si="52"/>
        <v/>
      </c>
      <c r="O210" s="174" t="str">
        <f>Table13[[#This Row],[Combined List]]</f>
        <v/>
      </c>
      <c r="P210" s="157">
        <v>206</v>
      </c>
      <c r="Q210" s="174" t="str">
        <f t="shared" si="57"/>
        <v/>
      </c>
      <c r="R210" s="174" t="str">
        <f t="shared" si="57"/>
        <v/>
      </c>
      <c r="S210" s="174" t="str">
        <f t="shared" si="57"/>
        <v/>
      </c>
      <c r="T210" s="174" t="str">
        <f t="shared" si="58"/>
        <v/>
      </c>
      <c r="U210" s="174" t="str">
        <f t="shared" si="59"/>
        <v/>
      </c>
      <c r="V210" s="174" t="str">
        <f t="shared" si="60"/>
        <v/>
      </c>
      <c r="W210" s="174" t="str">
        <f>_xlfn.IFNA(VLOOKUP(T:T,Logframe!$B:$G,6,FALSE),"")</f>
        <v/>
      </c>
      <c r="X210" s="174" t="str">
        <f>_xlfn.IFNA(VLOOKUP(U:U,Logframe!$B:$G,6,FALSE),"")</f>
        <v/>
      </c>
      <c r="Y210" s="174" t="str">
        <f>_xlfn.IFNA(VLOOKUP(V:V,Logframe!$B:$G,6,FALSE),"")</f>
        <v/>
      </c>
      <c r="Z210">
        <v>206</v>
      </c>
      <c r="AD210" t="str">
        <f t="shared" si="46"/>
        <v/>
      </c>
      <c r="AE210" t="str">
        <f t="shared" si="46"/>
        <v/>
      </c>
      <c r="AF210" t="str">
        <f t="shared" si="56"/>
        <v/>
      </c>
    </row>
    <row r="211" spans="1:32" x14ac:dyDescent="0.35">
      <c r="A211">
        <f>INDEX(Logframe!F:F,215,1)</f>
        <v>0</v>
      </c>
      <c r="B211" s="110">
        <v>2.33</v>
      </c>
      <c r="C211" s="321">
        <f>INDEX(Logframe!B:B,215,1)</f>
        <v>0</v>
      </c>
      <c r="D211" t="str">
        <f t="shared" si="53"/>
        <v/>
      </c>
      <c r="E211" t="str">
        <f t="shared" si="54"/>
        <v/>
      </c>
      <c r="F211" t="str">
        <f t="shared" si="47"/>
        <v/>
      </c>
      <c r="G211" t="str">
        <f t="shared" si="55"/>
        <v/>
      </c>
      <c r="H211" t="str">
        <f t="shared" si="48"/>
        <v/>
      </c>
      <c r="I211" s="157" t="str">
        <f t="shared" si="49"/>
        <v/>
      </c>
      <c r="J211" s="157"/>
      <c r="K211" s="157" t="str">
        <f t="shared" si="50"/>
        <v/>
      </c>
      <c r="L211" s="157" t="str">
        <f t="shared" si="51"/>
        <v/>
      </c>
      <c r="M211" s="157"/>
      <c r="N211" s="157" t="str">
        <f t="shared" si="52"/>
        <v/>
      </c>
      <c r="O211" s="174" t="str">
        <f>Table13[[#This Row],[Combined List]]</f>
        <v/>
      </c>
      <c r="P211" s="157">
        <v>207</v>
      </c>
      <c r="Q211" s="174" t="str">
        <f t="shared" si="57"/>
        <v/>
      </c>
      <c r="R211" s="174" t="str">
        <f t="shared" si="57"/>
        <v/>
      </c>
      <c r="S211" s="174" t="str">
        <f t="shared" si="57"/>
        <v/>
      </c>
      <c r="T211" s="174" t="str">
        <f t="shared" si="58"/>
        <v/>
      </c>
      <c r="U211" s="174" t="str">
        <f t="shared" si="59"/>
        <v/>
      </c>
      <c r="V211" s="174" t="str">
        <f t="shared" si="60"/>
        <v/>
      </c>
      <c r="W211" s="174" t="str">
        <f>_xlfn.IFNA(VLOOKUP(T:T,Logframe!$B:$G,6,FALSE),"")</f>
        <v/>
      </c>
      <c r="X211" s="174" t="str">
        <f>_xlfn.IFNA(VLOOKUP(U:U,Logframe!$B:$G,6,FALSE),"")</f>
        <v/>
      </c>
      <c r="Y211" s="174" t="str">
        <f>_xlfn.IFNA(VLOOKUP(V:V,Logframe!$B:$G,6,FALSE),"")</f>
        <v/>
      </c>
      <c r="Z211">
        <v>207</v>
      </c>
      <c r="AD211" t="str">
        <f t="shared" si="46"/>
        <v/>
      </c>
      <c r="AE211" t="str">
        <f t="shared" si="46"/>
        <v/>
      </c>
      <c r="AF211" t="str">
        <f t="shared" si="56"/>
        <v/>
      </c>
    </row>
    <row r="212" spans="1:32" x14ac:dyDescent="0.35">
      <c r="A212">
        <f>INDEX(Logframe!F:F,216,1)</f>
        <v>0</v>
      </c>
      <c r="B212" s="110">
        <v>2.34</v>
      </c>
      <c r="C212" s="321">
        <f>INDEX(Logframe!B:B,216,1)</f>
        <v>0</v>
      </c>
      <c r="D212" t="str">
        <f t="shared" si="53"/>
        <v/>
      </c>
      <c r="E212" t="str">
        <f t="shared" si="54"/>
        <v/>
      </c>
      <c r="F212" t="str">
        <f t="shared" si="47"/>
        <v/>
      </c>
      <c r="G212" t="str">
        <f t="shared" si="55"/>
        <v/>
      </c>
      <c r="H212" t="str">
        <f t="shared" si="48"/>
        <v/>
      </c>
      <c r="I212" s="157" t="str">
        <f t="shared" si="49"/>
        <v/>
      </c>
      <c r="J212" s="157"/>
      <c r="K212" s="157" t="str">
        <f t="shared" si="50"/>
        <v/>
      </c>
      <c r="L212" s="157" t="str">
        <f t="shared" si="51"/>
        <v/>
      </c>
      <c r="M212" s="157"/>
      <c r="N212" s="157" t="str">
        <f t="shared" si="52"/>
        <v/>
      </c>
      <c r="O212" s="174" t="str">
        <f>Table13[[#This Row],[Combined List]]</f>
        <v/>
      </c>
      <c r="P212" s="157">
        <v>208</v>
      </c>
      <c r="Q212" s="174" t="str">
        <f t="shared" si="57"/>
        <v/>
      </c>
      <c r="R212" s="174" t="str">
        <f t="shared" si="57"/>
        <v/>
      </c>
      <c r="S212" s="174" t="str">
        <f t="shared" si="57"/>
        <v/>
      </c>
      <c r="T212" s="174" t="str">
        <f t="shared" si="58"/>
        <v/>
      </c>
      <c r="U212" s="174" t="str">
        <f t="shared" si="59"/>
        <v/>
      </c>
      <c r="V212" s="174" t="str">
        <f t="shared" si="60"/>
        <v/>
      </c>
      <c r="W212" s="174" t="str">
        <f>_xlfn.IFNA(VLOOKUP(T:T,Logframe!$B:$G,6,FALSE),"")</f>
        <v/>
      </c>
      <c r="X212" s="174" t="str">
        <f>_xlfn.IFNA(VLOOKUP(U:U,Logframe!$B:$G,6,FALSE),"")</f>
        <v/>
      </c>
      <c r="Y212" s="174" t="str">
        <f>_xlfn.IFNA(VLOOKUP(V:V,Logframe!$B:$G,6,FALSE),"")</f>
        <v/>
      </c>
      <c r="Z212">
        <v>208</v>
      </c>
      <c r="AD212" t="str">
        <f t="shared" si="46"/>
        <v/>
      </c>
      <c r="AE212" t="str">
        <f t="shared" si="46"/>
        <v/>
      </c>
      <c r="AF212" t="str">
        <f t="shared" si="56"/>
        <v/>
      </c>
    </row>
    <row r="213" spans="1:32" x14ac:dyDescent="0.35">
      <c r="A213">
        <f>INDEX(Logframe!F:F,217,1)</f>
        <v>0</v>
      </c>
      <c r="B213" s="110">
        <v>2.35</v>
      </c>
      <c r="C213" s="321">
        <f>INDEX(Logframe!B:B,217,1)</f>
        <v>0</v>
      </c>
      <c r="D213" t="str">
        <f t="shared" si="53"/>
        <v/>
      </c>
      <c r="E213" t="str">
        <f t="shared" si="54"/>
        <v/>
      </c>
      <c r="F213" t="str">
        <f t="shared" si="47"/>
        <v/>
      </c>
      <c r="G213" t="str">
        <f t="shared" si="55"/>
        <v/>
      </c>
      <c r="H213" t="str">
        <f t="shared" si="48"/>
        <v/>
      </c>
      <c r="I213" s="157" t="str">
        <f t="shared" si="49"/>
        <v/>
      </c>
      <c r="J213" s="157"/>
      <c r="K213" s="157" t="str">
        <f t="shared" si="50"/>
        <v/>
      </c>
      <c r="L213" s="157" t="str">
        <f t="shared" si="51"/>
        <v/>
      </c>
      <c r="M213" s="157"/>
      <c r="N213" s="157" t="str">
        <f t="shared" si="52"/>
        <v/>
      </c>
      <c r="O213" s="174" t="str">
        <f>Table13[[#This Row],[Combined List]]</f>
        <v/>
      </c>
      <c r="P213" s="157">
        <v>209</v>
      </c>
      <c r="Q213" s="174" t="str">
        <f t="shared" si="57"/>
        <v/>
      </c>
      <c r="R213" s="174" t="str">
        <f t="shared" si="57"/>
        <v/>
      </c>
      <c r="S213" s="174" t="str">
        <f t="shared" si="57"/>
        <v/>
      </c>
      <c r="T213" s="174" t="str">
        <f t="shared" si="58"/>
        <v/>
      </c>
      <c r="U213" s="174" t="str">
        <f t="shared" si="59"/>
        <v/>
      </c>
      <c r="V213" s="174" t="str">
        <f t="shared" si="60"/>
        <v/>
      </c>
      <c r="W213" s="174" t="str">
        <f>_xlfn.IFNA(VLOOKUP(T:T,Logframe!$B:$G,6,FALSE),"")</f>
        <v/>
      </c>
      <c r="X213" s="174" t="str">
        <f>_xlfn.IFNA(VLOOKUP(U:U,Logframe!$B:$G,6,FALSE),"")</f>
        <v/>
      </c>
      <c r="Y213" s="174" t="str">
        <f>_xlfn.IFNA(VLOOKUP(V:V,Logframe!$B:$G,6,FALSE),"")</f>
        <v/>
      </c>
      <c r="Z213">
        <v>209</v>
      </c>
      <c r="AD213" t="str">
        <f t="shared" si="46"/>
        <v/>
      </c>
      <c r="AE213" t="str">
        <f t="shared" si="46"/>
        <v/>
      </c>
      <c r="AF213" t="str">
        <f t="shared" si="56"/>
        <v/>
      </c>
    </row>
    <row r="214" spans="1:32" x14ac:dyDescent="0.35">
      <c r="A214">
        <f>INDEX(Logframe!F:F,218,1)</f>
        <v>0</v>
      </c>
      <c r="B214" s="110">
        <v>2.36</v>
      </c>
      <c r="C214" s="321">
        <f>INDEX(Logframe!B:B,218,1)</f>
        <v>0</v>
      </c>
      <c r="D214" t="str">
        <f t="shared" si="53"/>
        <v/>
      </c>
      <c r="E214" t="str">
        <f t="shared" si="54"/>
        <v/>
      </c>
      <c r="F214" t="str">
        <f t="shared" si="47"/>
        <v/>
      </c>
      <c r="G214" t="str">
        <f t="shared" si="55"/>
        <v/>
      </c>
      <c r="H214" t="str">
        <f t="shared" si="48"/>
        <v/>
      </c>
      <c r="I214" s="157" t="str">
        <f t="shared" si="49"/>
        <v/>
      </c>
      <c r="J214" s="157"/>
      <c r="K214" s="157" t="str">
        <f t="shared" si="50"/>
        <v/>
      </c>
      <c r="L214" s="157" t="str">
        <f t="shared" si="51"/>
        <v/>
      </c>
      <c r="M214" s="157"/>
      <c r="N214" s="157" t="str">
        <f t="shared" si="52"/>
        <v/>
      </c>
      <c r="O214" s="174" t="str">
        <f>Table13[[#This Row],[Combined List]]</f>
        <v/>
      </c>
      <c r="P214" s="157">
        <v>210</v>
      </c>
      <c r="Q214" s="174" t="str">
        <f t="shared" si="57"/>
        <v/>
      </c>
      <c r="R214" s="174" t="str">
        <f t="shared" si="57"/>
        <v/>
      </c>
      <c r="S214" s="174" t="str">
        <f t="shared" si="57"/>
        <v/>
      </c>
      <c r="T214" s="174" t="str">
        <f t="shared" si="58"/>
        <v/>
      </c>
      <c r="U214" s="174" t="str">
        <f t="shared" si="59"/>
        <v/>
      </c>
      <c r="V214" s="174" t="str">
        <f t="shared" si="60"/>
        <v/>
      </c>
      <c r="W214" s="174" t="str">
        <f>_xlfn.IFNA(VLOOKUP(T:T,Logframe!$B:$G,6,FALSE),"")</f>
        <v/>
      </c>
      <c r="X214" s="174" t="str">
        <f>_xlfn.IFNA(VLOOKUP(U:U,Logframe!$B:$G,6,FALSE),"")</f>
        <v/>
      </c>
      <c r="Y214" s="174" t="str">
        <f>_xlfn.IFNA(VLOOKUP(V:V,Logframe!$B:$G,6,FALSE),"")</f>
        <v/>
      </c>
      <c r="Z214">
        <v>210</v>
      </c>
      <c r="AD214" t="str">
        <f t="shared" ref="AD214:AE228" si="61">RIGHT(AA:AA,7)</f>
        <v/>
      </c>
      <c r="AE214" t="str">
        <f t="shared" si="61"/>
        <v/>
      </c>
      <c r="AF214" t="str">
        <f t="shared" si="56"/>
        <v/>
      </c>
    </row>
    <row r="215" spans="1:32" x14ac:dyDescent="0.35">
      <c r="A215">
        <f>INDEX(Logframe!F:F,219,1)</f>
        <v>0</v>
      </c>
      <c r="B215" s="110">
        <v>2.37</v>
      </c>
      <c r="C215" s="321">
        <f>INDEX(Logframe!B:B,219,1)</f>
        <v>0</v>
      </c>
      <c r="D215" t="str">
        <f t="shared" si="53"/>
        <v/>
      </c>
      <c r="E215" t="str">
        <f t="shared" si="54"/>
        <v/>
      </c>
      <c r="F215" t="str">
        <f t="shared" si="47"/>
        <v/>
      </c>
      <c r="G215" t="str">
        <f t="shared" si="55"/>
        <v/>
      </c>
      <c r="H215" t="str">
        <f t="shared" si="48"/>
        <v/>
      </c>
      <c r="I215" s="157" t="str">
        <f t="shared" si="49"/>
        <v/>
      </c>
      <c r="J215" s="157"/>
      <c r="K215" s="157" t="str">
        <f t="shared" si="50"/>
        <v/>
      </c>
      <c r="L215" s="157" t="str">
        <f t="shared" si="51"/>
        <v/>
      </c>
      <c r="M215" s="157"/>
      <c r="N215" s="157" t="str">
        <f t="shared" si="52"/>
        <v/>
      </c>
      <c r="O215" s="174" t="str">
        <f>Table13[[#This Row],[Combined List]]</f>
        <v/>
      </c>
      <c r="P215" s="157">
        <v>211</v>
      </c>
      <c r="Q215" s="174" t="str">
        <f t="shared" si="57"/>
        <v/>
      </c>
      <c r="R215" s="174" t="str">
        <f t="shared" si="57"/>
        <v/>
      </c>
      <c r="S215" s="174" t="str">
        <f t="shared" si="57"/>
        <v/>
      </c>
      <c r="T215" s="174" t="str">
        <f t="shared" si="58"/>
        <v/>
      </c>
      <c r="U215" s="174" t="str">
        <f t="shared" si="59"/>
        <v/>
      </c>
      <c r="V215" s="174" t="str">
        <f t="shared" si="60"/>
        <v/>
      </c>
      <c r="W215" s="174" t="str">
        <f>_xlfn.IFNA(VLOOKUP(T:T,Logframe!$B:$G,6,FALSE),"")</f>
        <v/>
      </c>
      <c r="X215" s="174" t="str">
        <f>_xlfn.IFNA(VLOOKUP(U:U,Logframe!$B:$G,6,FALSE),"")</f>
        <v/>
      </c>
      <c r="Y215" s="174" t="str">
        <f>_xlfn.IFNA(VLOOKUP(V:V,Logframe!$B:$G,6,FALSE),"")</f>
        <v/>
      </c>
      <c r="Z215">
        <v>211</v>
      </c>
      <c r="AD215" t="str">
        <f t="shared" si="61"/>
        <v/>
      </c>
      <c r="AE215" t="str">
        <f t="shared" si="61"/>
        <v/>
      </c>
      <c r="AF215" t="str">
        <f t="shared" si="56"/>
        <v/>
      </c>
    </row>
    <row r="216" spans="1:32" x14ac:dyDescent="0.35">
      <c r="A216">
        <f>INDEX(Logframe!F:F,220,1)</f>
        <v>0</v>
      </c>
      <c r="B216" s="110">
        <v>2.38</v>
      </c>
      <c r="C216" s="321">
        <f>INDEX(Logframe!B:B,220,1)</f>
        <v>0</v>
      </c>
      <c r="D216" t="str">
        <f t="shared" si="53"/>
        <v/>
      </c>
      <c r="E216" t="str">
        <f t="shared" si="54"/>
        <v/>
      </c>
      <c r="F216" t="str">
        <f t="shared" si="47"/>
        <v/>
      </c>
      <c r="G216" t="str">
        <f t="shared" si="55"/>
        <v/>
      </c>
      <c r="H216" t="str">
        <f t="shared" si="48"/>
        <v/>
      </c>
      <c r="I216" s="157" t="str">
        <f t="shared" si="49"/>
        <v/>
      </c>
      <c r="J216" s="157"/>
      <c r="K216" s="157" t="str">
        <f t="shared" si="50"/>
        <v/>
      </c>
      <c r="L216" s="157" t="str">
        <f t="shared" si="51"/>
        <v/>
      </c>
      <c r="M216" s="157"/>
      <c r="N216" s="157" t="str">
        <f t="shared" si="52"/>
        <v/>
      </c>
      <c r="O216" s="174" t="str">
        <f>Table13[[#This Row],[Combined List]]</f>
        <v/>
      </c>
      <c r="P216" s="157">
        <v>212</v>
      </c>
      <c r="Q216" s="174" t="str">
        <f t="shared" si="57"/>
        <v/>
      </c>
      <c r="R216" s="174" t="str">
        <f t="shared" si="57"/>
        <v/>
      </c>
      <c r="S216" s="174" t="str">
        <f t="shared" si="57"/>
        <v/>
      </c>
      <c r="T216" s="174" t="str">
        <f t="shared" si="58"/>
        <v/>
      </c>
      <c r="U216" s="174" t="str">
        <f t="shared" si="59"/>
        <v/>
      </c>
      <c r="V216" s="174" t="str">
        <f t="shared" si="60"/>
        <v/>
      </c>
      <c r="W216" s="174" t="str">
        <f>_xlfn.IFNA(VLOOKUP(T:T,Logframe!$B:$G,6,FALSE),"")</f>
        <v/>
      </c>
      <c r="X216" s="174" t="str">
        <f>_xlfn.IFNA(VLOOKUP(U:U,Logframe!$B:$G,6,FALSE),"")</f>
        <v/>
      </c>
      <c r="Y216" s="174" t="str">
        <f>_xlfn.IFNA(VLOOKUP(V:V,Logframe!$B:$G,6,FALSE),"")</f>
        <v/>
      </c>
      <c r="Z216">
        <v>212</v>
      </c>
      <c r="AD216" t="str">
        <f t="shared" si="61"/>
        <v/>
      </c>
      <c r="AE216" t="str">
        <f t="shared" si="61"/>
        <v/>
      </c>
      <c r="AF216" t="str">
        <f t="shared" si="56"/>
        <v/>
      </c>
    </row>
    <row r="217" spans="1:32" x14ac:dyDescent="0.35">
      <c r="A217">
        <f>INDEX(Logframe!F:F,221,1)</f>
        <v>0</v>
      </c>
      <c r="B217" s="110">
        <v>2.39</v>
      </c>
      <c r="C217" s="321">
        <f>INDEX(Logframe!B:B,221,1)</f>
        <v>0</v>
      </c>
      <c r="D217" t="str">
        <f t="shared" si="53"/>
        <v/>
      </c>
      <c r="E217" t="str">
        <f t="shared" si="54"/>
        <v/>
      </c>
      <c r="F217" t="str">
        <f t="shared" si="47"/>
        <v/>
      </c>
      <c r="G217" t="str">
        <f t="shared" si="55"/>
        <v/>
      </c>
      <c r="H217" t="str">
        <f t="shared" si="48"/>
        <v/>
      </c>
      <c r="I217" s="157" t="str">
        <f t="shared" si="49"/>
        <v/>
      </c>
      <c r="J217" s="157"/>
      <c r="K217" s="157" t="str">
        <f t="shared" si="50"/>
        <v/>
      </c>
      <c r="L217" s="157" t="str">
        <f t="shared" si="51"/>
        <v/>
      </c>
      <c r="M217" s="157"/>
      <c r="N217" s="157" t="str">
        <f t="shared" si="52"/>
        <v/>
      </c>
      <c r="O217" s="174" t="str">
        <f>Table13[[#This Row],[Combined List]]</f>
        <v/>
      </c>
      <c r="P217" s="157">
        <v>213</v>
      </c>
      <c r="Q217" s="174" t="str">
        <f t="shared" si="57"/>
        <v/>
      </c>
      <c r="R217" s="174" t="str">
        <f t="shared" si="57"/>
        <v/>
      </c>
      <c r="S217" s="174" t="str">
        <f t="shared" si="57"/>
        <v/>
      </c>
      <c r="T217" s="174" t="str">
        <f t="shared" si="58"/>
        <v/>
      </c>
      <c r="U217" s="174" t="str">
        <f t="shared" si="59"/>
        <v/>
      </c>
      <c r="V217" s="174" t="str">
        <f t="shared" si="60"/>
        <v/>
      </c>
      <c r="W217" s="174" t="str">
        <f>_xlfn.IFNA(VLOOKUP(T:T,Logframe!$B:$G,6,FALSE),"")</f>
        <v/>
      </c>
      <c r="X217" s="174" t="str">
        <f>_xlfn.IFNA(VLOOKUP(U:U,Logframe!$B:$G,6,FALSE),"")</f>
        <v/>
      </c>
      <c r="Y217" s="174" t="str">
        <f>_xlfn.IFNA(VLOOKUP(V:V,Logframe!$B:$G,6,FALSE),"")</f>
        <v/>
      </c>
      <c r="Z217">
        <v>213</v>
      </c>
      <c r="AD217" t="str">
        <f t="shared" si="61"/>
        <v/>
      </c>
      <c r="AE217" t="str">
        <f t="shared" si="61"/>
        <v/>
      </c>
      <c r="AF217" t="str">
        <f t="shared" si="56"/>
        <v/>
      </c>
    </row>
    <row r="218" spans="1:32" x14ac:dyDescent="0.35">
      <c r="A218">
        <f>INDEX(Logframe!F:F,222,1)</f>
        <v>0</v>
      </c>
      <c r="B218" s="110">
        <v>2.41</v>
      </c>
      <c r="C218" s="321">
        <f>INDEX(Logframe!B:B,222,1)</f>
        <v>0</v>
      </c>
      <c r="D218" t="str">
        <f t="shared" si="53"/>
        <v/>
      </c>
      <c r="E218" t="str">
        <f t="shared" si="54"/>
        <v/>
      </c>
      <c r="F218" t="str">
        <f t="shared" si="47"/>
        <v/>
      </c>
      <c r="G218" t="str">
        <f t="shared" si="55"/>
        <v/>
      </c>
      <c r="H218" t="str">
        <f t="shared" si="48"/>
        <v/>
      </c>
      <c r="I218" s="157" t="str">
        <f t="shared" si="49"/>
        <v/>
      </c>
      <c r="J218" s="157"/>
      <c r="K218" s="157" t="str">
        <f t="shared" si="50"/>
        <v/>
      </c>
      <c r="L218" s="157" t="str">
        <f t="shared" si="51"/>
        <v/>
      </c>
      <c r="M218" s="157"/>
      <c r="N218" s="157" t="str">
        <f t="shared" si="52"/>
        <v/>
      </c>
      <c r="O218" s="174" t="str">
        <f>Table13[[#This Row],[Combined List]]</f>
        <v/>
      </c>
      <c r="P218" s="157">
        <v>214</v>
      </c>
      <c r="Q218" s="174" t="str">
        <f t="shared" si="57"/>
        <v/>
      </c>
      <c r="R218" s="174" t="str">
        <f t="shared" si="57"/>
        <v/>
      </c>
      <c r="S218" s="174" t="str">
        <f t="shared" si="57"/>
        <v/>
      </c>
      <c r="T218" s="174" t="str">
        <f t="shared" si="58"/>
        <v/>
      </c>
      <c r="U218" s="174" t="str">
        <f t="shared" si="59"/>
        <v/>
      </c>
      <c r="V218" s="174" t="str">
        <f t="shared" si="60"/>
        <v/>
      </c>
      <c r="W218" s="174" t="str">
        <f>_xlfn.IFNA(VLOOKUP(T:T,Logframe!$B:$G,6,FALSE),"")</f>
        <v/>
      </c>
      <c r="X218" s="174" t="str">
        <f>_xlfn.IFNA(VLOOKUP(U:U,Logframe!$B:$G,6,FALSE),"")</f>
        <v/>
      </c>
      <c r="Y218" s="174" t="str">
        <f>_xlfn.IFNA(VLOOKUP(V:V,Logframe!$B:$G,6,FALSE),"")</f>
        <v/>
      </c>
      <c r="Z218">
        <v>214</v>
      </c>
      <c r="AD218" t="str">
        <f t="shared" si="61"/>
        <v/>
      </c>
      <c r="AE218" t="str">
        <f t="shared" si="61"/>
        <v/>
      </c>
      <c r="AF218" t="str">
        <f t="shared" si="56"/>
        <v/>
      </c>
    </row>
    <row r="219" spans="1:32" x14ac:dyDescent="0.35">
      <c r="A219">
        <f>INDEX(Logframe!F:F,223,1)</f>
        <v>0</v>
      </c>
      <c r="B219" s="110">
        <v>2.42</v>
      </c>
      <c r="C219" s="321">
        <f>INDEX(Logframe!B:B,223,1)</f>
        <v>0</v>
      </c>
      <c r="D219" t="str">
        <f t="shared" si="53"/>
        <v/>
      </c>
      <c r="E219" t="str">
        <f t="shared" si="54"/>
        <v/>
      </c>
      <c r="F219" t="str">
        <f t="shared" si="47"/>
        <v/>
      </c>
      <c r="G219" t="str">
        <f t="shared" si="55"/>
        <v/>
      </c>
      <c r="H219" t="str">
        <f t="shared" si="48"/>
        <v/>
      </c>
      <c r="I219" s="157" t="str">
        <f t="shared" si="49"/>
        <v/>
      </c>
      <c r="J219" s="157"/>
      <c r="K219" s="157" t="str">
        <f t="shared" si="50"/>
        <v/>
      </c>
      <c r="L219" s="157" t="str">
        <f t="shared" si="51"/>
        <v/>
      </c>
      <c r="M219" s="157"/>
      <c r="N219" s="157" t="str">
        <f t="shared" si="52"/>
        <v/>
      </c>
      <c r="O219" s="174" t="str">
        <f>Table13[[#This Row],[Combined List]]</f>
        <v/>
      </c>
      <c r="P219" s="157">
        <v>215</v>
      </c>
      <c r="Q219" s="174" t="str">
        <f t="shared" si="57"/>
        <v/>
      </c>
      <c r="R219" s="174" t="str">
        <f t="shared" si="57"/>
        <v/>
      </c>
      <c r="S219" s="174" t="str">
        <f t="shared" si="57"/>
        <v/>
      </c>
      <c r="T219" s="174" t="str">
        <f t="shared" si="58"/>
        <v/>
      </c>
      <c r="U219" s="174" t="str">
        <f t="shared" si="59"/>
        <v/>
      </c>
      <c r="V219" s="174" t="str">
        <f t="shared" si="60"/>
        <v/>
      </c>
      <c r="W219" s="174" t="str">
        <f>_xlfn.IFNA(VLOOKUP(T:T,Logframe!$B:$G,6,FALSE),"")</f>
        <v/>
      </c>
      <c r="X219" s="174" t="str">
        <f>_xlfn.IFNA(VLOOKUP(U:U,Logframe!$B:$G,6,FALSE),"")</f>
        <v/>
      </c>
      <c r="Y219" s="174" t="str">
        <f>_xlfn.IFNA(VLOOKUP(V:V,Logframe!$B:$G,6,FALSE),"")</f>
        <v/>
      </c>
      <c r="Z219">
        <v>215</v>
      </c>
      <c r="AD219" t="str">
        <f t="shared" si="61"/>
        <v/>
      </c>
      <c r="AE219" t="str">
        <f t="shared" si="61"/>
        <v/>
      </c>
      <c r="AF219" t="str">
        <f t="shared" si="56"/>
        <v/>
      </c>
    </row>
    <row r="220" spans="1:32" x14ac:dyDescent="0.35">
      <c r="A220">
        <f>INDEX(Logframe!F:F,224,1)</f>
        <v>0</v>
      </c>
      <c r="B220" s="110">
        <v>2.4300000000000002</v>
      </c>
      <c r="C220" s="321">
        <f>INDEX(Logframe!B:B,224,1)</f>
        <v>0</v>
      </c>
      <c r="D220" t="str">
        <f t="shared" si="53"/>
        <v/>
      </c>
      <c r="E220" t="str">
        <f t="shared" si="54"/>
        <v/>
      </c>
      <c r="F220" t="str">
        <f t="shared" si="47"/>
        <v/>
      </c>
      <c r="G220" t="str">
        <f t="shared" si="55"/>
        <v/>
      </c>
      <c r="H220" t="str">
        <f t="shared" si="48"/>
        <v/>
      </c>
      <c r="I220" s="157" t="str">
        <f t="shared" si="49"/>
        <v/>
      </c>
      <c r="J220" s="157"/>
      <c r="K220" s="157" t="str">
        <f t="shared" si="50"/>
        <v/>
      </c>
      <c r="L220" s="157" t="str">
        <f t="shared" si="51"/>
        <v/>
      </c>
      <c r="M220" s="157"/>
      <c r="N220" s="157" t="str">
        <f t="shared" si="52"/>
        <v/>
      </c>
      <c r="O220" s="174" t="str">
        <f>Table13[[#This Row],[Combined List]]</f>
        <v/>
      </c>
      <c r="P220" s="157">
        <v>216</v>
      </c>
      <c r="Q220" s="174" t="str">
        <f t="shared" si="57"/>
        <v/>
      </c>
      <c r="R220" s="174" t="str">
        <f t="shared" si="57"/>
        <v/>
      </c>
      <c r="S220" s="174" t="str">
        <f t="shared" si="57"/>
        <v/>
      </c>
      <c r="T220" s="174" t="str">
        <f t="shared" si="58"/>
        <v/>
      </c>
      <c r="U220" s="174" t="str">
        <f t="shared" si="59"/>
        <v/>
      </c>
      <c r="V220" s="174" t="str">
        <f t="shared" si="60"/>
        <v/>
      </c>
      <c r="W220" s="174" t="str">
        <f>_xlfn.IFNA(VLOOKUP(T:T,Logframe!$B:$G,6,FALSE),"")</f>
        <v/>
      </c>
      <c r="X220" s="174" t="str">
        <f>_xlfn.IFNA(VLOOKUP(U:U,Logframe!$B:$G,6,FALSE),"")</f>
        <v/>
      </c>
      <c r="Y220" s="174" t="str">
        <f>_xlfn.IFNA(VLOOKUP(V:V,Logframe!$B:$G,6,FALSE),"")</f>
        <v/>
      </c>
      <c r="Z220">
        <v>216</v>
      </c>
      <c r="AD220" t="str">
        <f t="shared" si="61"/>
        <v/>
      </c>
      <c r="AE220" t="str">
        <f t="shared" si="61"/>
        <v/>
      </c>
      <c r="AF220" t="str">
        <f t="shared" si="56"/>
        <v/>
      </c>
    </row>
    <row r="221" spans="1:32" x14ac:dyDescent="0.35">
      <c r="A221">
        <f>INDEX(Logframe!F:F,225,1)</f>
        <v>0</v>
      </c>
      <c r="B221" s="110">
        <v>2.44</v>
      </c>
      <c r="C221" s="321">
        <f>INDEX(Logframe!B:B,225,1)</f>
        <v>0</v>
      </c>
      <c r="D221" t="str">
        <f t="shared" si="53"/>
        <v/>
      </c>
      <c r="E221" t="str">
        <f t="shared" si="54"/>
        <v/>
      </c>
      <c r="F221" t="str">
        <f t="shared" si="47"/>
        <v/>
      </c>
      <c r="G221" t="str">
        <f t="shared" si="55"/>
        <v/>
      </c>
      <c r="H221" t="str">
        <f t="shared" si="48"/>
        <v/>
      </c>
      <c r="I221" s="157" t="str">
        <f t="shared" si="49"/>
        <v/>
      </c>
      <c r="J221" s="157"/>
      <c r="K221" s="157" t="str">
        <f t="shared" si="50"/>
        <v/>
      </c>
      <c r="L221" s="157" t="str">
        <f t="shared" si="51"/>
        <v/>
      </c>
      <c r="M221" s="157"/>
      <c r="N221" s="157" t="str">
        <f t="shared" si="52"/>
        <v/>
      </c>
      <c r="O221" s="174" t="str">
        <f>Table13[[#This Row],[Combined List]]</f>
        <v/>
      </c>
      <c r="P221" s="157">
        <v>217</v>
      </c>
      <c r="Q221" s="174" t="str">
        <f t="shared" si="57"/>
        <v/>
      </c>
      <c r="R221" s="174" t="str">
        <f t="shared" si="57"/>
        <v/>
      </c>
      <c r="S221" s="174" t="str">
        <f t="shared" si="57"/>
        <v/>
      </c>
      <c r="T221" s="174" t="str">
        <f t="shared" si="58"/>
        <v/>
      </c>
      <c r="U221" s="174" t="str">
        <f t="shared" si="59"/>
        <v/>
      </c>
      <c r="V221" s="174" t="str">
        <f t="shared" si="60"/>
        <v/>
      </c>
      <c r="W221" s="174" t="str">
        <f>_xlfn.IFNA(VLOOKUP(T:T,Logframe!$B:$G,6,FALSE),"")</f>
        <v/>
      </c>
      <c r="X221" s="174" t="str">
        <f>_xlfn.IFNA(VLOOKUP(U:U,Logframe!$B:$G,6,FALSE),"")</f>
        <v/>
      </c>
      <c r="Y221" s="174" t="str">
        <f>_xlfn.IFNA(VLOOKUP(V:V,Logframe!$B:$G,6,FALSE),"")</f>
        <v/>
      </c>
      <c r="Z221">
        <v>217</v>
      </c>
      <c r="AD221" t="str">
        <f t="shared" si="61"/>
        <v/>
      </c>
      <c r="AE221" t="str">
        <f t="shared" si="61"/>
        <v/>
      </c>
      <c r="AF221" t="str">
        <f t="shared" si="56"/>
        <v/>
      </c>
    </row>
    <row r="222" spans="1:32" x14ac:dyDescent="0.35">
      <c r="A222">
        <f>INDEX(Logframe!F:F,226,1)</f>
        <v>0</v>
      </c>
      <c r="B222" s="110">
        <v>2.4500000000000002</v>
      </c>
      <c r="C222" s="321">
        <f>INDEX(Logframe!B:B,226,1)</f>
        <v>0</v>
      </c>
      <c r="D222" t="str">
        <f t="shared" si="53"/>
        <v/>
      </c>
      <c r="E222" t="str">
        <f t="shared" si="54"/>
        <v/>
      </c>
      <c r="F222" t="str">
        <f t="shared" si="47"/>
        <v/>
      </c>
      <c r="G222" t="str">
        <f t="shared" si="55"/>
        <v/>
      </c>
      <c r="H222" t="str">
        <f t="shared" si="48"/>
        <v/>
      </c>
      <c r="I222" s="157" t="str">
        <f t="shared" si="49"/>
        <v/>
      </c>
      <c r="J222" s="157"/>
      <c r="K222" s="157" t="str">
        <f t="shared" si="50"/>
        <v/>
      </c>
      <c r="L222" s="157" t="str">
        <f t="shared" si="51"/>
        <v/>
      </c>
      <c r="M222" s="157"/>
      <c r="N222" s="157" t="str">
        <f t="shared" si="52"/>
        <v/>
      </c>
      <c r="O222" s="174" t="str">
        <f>Table13[[#This Row],[Combined List]]</f>
        <v/>
      </c>
      <c r="P222" s="157">
        <v>218</v>
      </c>
      <c r="Q222" s="174" t="str">
        <f t="shared" si="57"/>
        <v/>
      </c>
      <c r="R222" s="174" t="str">
        <f t="shared" si="57"/>
        <v/>
      </c>
      <c r="S222" s="174" t="str">
        <f t="shared" si="57"/>
        <v/>
      </c>
      <c r="T222" s="174" t="str">
        <f t="shared" si="58"/>
        <v/>
      </c>
      <c r="U222" s="174" t="str">
        <f t="shared" si="59"/>
        <v/>
      </c>
      <c r="V222" s="174" t="str">
        <f t="shared" si="60"/>
        <v/>
      </c>
      <c r="W222" s="174" t="str">
        <f>_xlfn.IFNA(VLOOKUP(T:T,Logframe!$B:$G,6,FALSE),"")</f>
        <v/>
      </c>
      <c r="X222" s="174" t="str">
        <f>_xlfn.IFNA(VLOOKUP(U:U,Logframe!$B:$G,6,FALSE),"")</f>
        <v/>
      </c>
      <c r="Y222" s="174" t="str">
        <f>_xlfn.IFNA(VLOOKUP(V:V,Logframe!$B:$G,6,FALSE),"")</f>
        <v/>
      </c>
      <c r="Z222">
        <v>218</v>
      </c>
      <c r="AD222" t="str">
        <f t="shared" si="61"/>
        <v/>
      </c>
      <c r="AE222" t="str">
        <f t="shared" si="61"/>
        <v/>
      </c>
      <c r="AF222" t="str">
        <f t="shared" si="56"/>
        <v/>
      </c>
    </row>
    <row r="223" spans="1:32" x14ac:dyDescent="0.35">
      <c r="A223">
        <f>INDEX(Logframe!F:F,227,1)</f>
        <v>0</v>
      </c>
      <c r="B223" s="110">
        <v>2.46</v>
      </c>
      <c r="C223" s="321">
        <f>INDEX(Logframe!B:B,227,1)</f>
        <v>0</v>
      </c>
      <c r="D223" t="str">
        <f t="shared" si="53"/>
        <v/>
      </c>
      <c r="E223" t="str">
        <f t="shared" si="54"/>
        <v/>
      </c>
      <c r="F223" t="str">
        <f t="shared" si="47"/>
        <v/>
      </c>
      <c r="G223" t="str">
        <f t="shared" si="55"/>
        <v/>
      </c>
      <c r="H223" t="str">
        <f t="shared" si="48"/>
        <v/>
      </c>
      <c r="I223" s="157" t="str">
        <f t="shared" si="49"/>
        <v/>
      </c>
      <c r="J223" s="157"/>
      <c r="K223" s="157" t="str">
        <f t="shared" si="50"/>
        <v/>
      </c>
      <c r="L223" s="157" t="str">
        <f t="shared" si="51"/>
        <v/>
      </c>
      <c r="M223" s="157"/>
      <c r="N223" s="157" t="str">
        <f t="shared" si="52"/>
        <v/>
      </c>
      <c r="O223" s="174" t="str">
        <f>Table13[[#This Row],[Combined List]]</f>
        <v/>
      </c>
      <c r="P223" s="157">
        <v>219</v>
      </c>
      <c r="Q223" s="174" t="str">
        <f t="shared" si="57"/>
        <v/>
      </c>
      <c r="R223" s="174" t="str">
        <f t="shared" si="57"/>
        <v/>
      </c>
      <c r="S223" s="174" t="str">
        <f t="shared" si="57"/>
        <v/>
      </c>
      <c r="T223" s="174" t="str">
        <f t="shared" si="58"/>
        <v/>
      </c>
      <c r="U223" s="174" t="str">
        <f t="shared" si="59"/>
        <v/>
      </c>
      <c r="V223" s="174" t="str">
        <f t="shared" si="60"/>
        <v/>
      </c>
      <c r="W223" s="174" t="str">
        <f>_xlfn.IFNA(VLOOKUP(T:T,Logframe!$B:$G,6,FALSE),"")</f>
        <v/>
      </c>
      <c r="X223" s="174" t="str">
        <f>_xlfn.IFNA(VLOOKUP(U:U,Logframe!$B:$G,6,FALSE),"")</f>
        <v/>
      </c>
      <c r="Y223" s="174" t="str">
        <f>_xlfn.IFNA(VLOOKUP(V:V,Logframe!$B:$G,6,FALSE),"")</f>
        <v/>
      </c>
      <c r="Z223">
        <v>219</v>
      </c>
      <c r="AD223" t="str">
        <f t="shared" si="61"/>
        <v/>
      </c>
      <c r="AE223" t="str">
        <f t="shared" si="61"/>
        <v/>
      </c>
      <c r="AF223" t="str">
        <f t="shared" si="56"/>
        <v/>
      </c>
    </row>
    <row r="224" spans="1:32" x14ac:dyDescent="0.35">
      <c r="A224">
        <f>INDEX(Logframe!F:F,228,1)</f>
        <v>0</v>
      </c>
      <c r="B224" s="110">
        <v>2.4700000000000002</v>
      </c>
      <c r="C224" s="321">
        <f>INDEX(Logframe!B:B,228,1)</f>
        <v>0</v>
      </c>
      <c r="D224" t="str">
        <f t="shared" si="53"/>
        <v/>
      </c>
      <c r="E224" t="str">
        <f t="shared" si="54"/>
        <v/>
      </c>
      <c r="F224" t="str">
        <f t="shared" si="47"/>
        <v/>
      </c>
      <c r="G224" t="str">
        <f t="shared" si="55"/>
        <v/>
      </c>
      <c r="H224" t="str">
        <f t="shared" si="48"/>
        <v/>
      </c>
      <c r="I224" s="157" t="str">
        <f t="shared" si="49"/>
        <v/>
      </c>
      <c r="J224" s="157"/>
      <c r="K224" s="157" t="str">
        <f t="shared" si="50"/>
        <v/>
      </c>
      <c r="L224" s="157" t="str">
        <f t="shared" si="51"/>
        <v/>
      </c>
      <c r="M224" s="157"/>
      <c r="N224" s="157" t="str">
        <f t="shared" si="52"/>
        <v/>
      </c>
      <c r="O224" s="174" t="str">
        <f>Table13[[#This Row],[Combined List]]</f>
        <v/>
      </c>
      <c r="P224" s="157">
        <v>220</v>
      </c>
      <c r="Q224" s="174" t="str">
        <f t="shared" si="57"/>
        <v/>
      </c>
      <c r="R224" s="174" t="str">
        <f t="shared" si="57"/>
        <v/>
      </c>
      <c r="S224" s="174" t="str">
        <f t="shared" si="57"/>
        <v/>
      </c>
      <c r="T224" s="174" t="str">
        <f t="shared" si="58"/>
        <v/>
      </c>
      <c r="U224" s="174" t="str">
        <f t="shared" si="59"/>
        <v/>
      </c>
      <c r="V224" s="174" t="str">
        <f t="shared" si="60"/>
        <v/>
      </c>
      <c r="W224" s="174" t="str">
        <f>_xlfn.IFNA(VLOOKUP(T:T,Logframe!$B:$G,6,FALSE),"")</f>
        <v/>
      </c>
      <c r="X224" s="174" t="str">
        <f>_xlfn.IFNA(VLOOKUP(U:U,Logframe!$B:$G,6,FALSE),"")</f>
        <v/>
      </c>
      <c r="Y224" s="174" t="str">
        <f>_xlfn.IFNA(VLOOKUP(V:V,Logframe!$B:$G,6,FALSE),"")</f>
        <v/>
      </c>
      <c r="Z224">
        <v>220</v>
      </c>
      <c r="AD224" t="str">
        <f t="shared" si="61"/>
        <v/>
      </c>
      <c r="AE224" t="str">
        <f t="shared" si="61"/>
        <v/>
      </c>
      <c r="AF224" t="str">
        <f t="shared" si="56"/>
        <v/>
      </c>
    </row>
    <row r="225" spans="1:32" x14ac:dyDescent="0.35">
      <c r="A225">
        <f>INDEX(Logframe!F:F,229,1)</f>
        <v>0</v>
      </c>
      <c r="B225" s="110">
        <v>2.48</v>
      </c>
      <c r="C225" s="321">
        <f>INDEX(Logframe!B:B,229,1)</f>
        <v>0</v>
      </c>
      <c r="D225" t="str">
        <f t="shared" si="53"/>
        <v/>
      </c>
      <c r="E225" t="str">
        <f t="shared" si="54"/>
        <v/>
      </c>
      <c r="F225" t="str">
        <f t="shared" si="47"/>
        <v/>
      </c>
      <c r="G225" t="str">
        <f t="shared" si="55"/>
        <v/>
      </c>
      <c r="H225" t="str">
        <f t="shared" si="48"/>
        <v/>
      </c>
      <c r="I225" s="157" t="str">
        <f t="shared" si="49"/>
        <v/>
      </c>
      <c r="J225" s="157"/>
      <c r="K225" s="157" t="str">
        <f t="shared" si="50"/>
        <v/>
      </c>
      <c r="L225" s="157" t="str">
        <f t="shared" si="51"/>
        <v/>
      </c>
      <c r="M225" s="157"/>
      <c r="N225" s="157" t="str">
        <f t="shared" si="52"/>
        <v/>
      </c>
      <c r="O225" s="174" t="str">
        <f>Table13[[#This Row],[Combined List]]</f>
        <v/>
      </c>
      <c r="P225" s="157">
        <v>221</v>
      </c>
      <c r="Q225" s="174" t="str">
        <f t="shared" si="57"/>
        <v/>
      </c>
      <c r="R225" s="174" t="str">
        <f t="shared" si="57"/>
        <v/>
      </c>
      <c r="S225" s="174" t="str">
        <f t="shared" si="57"/>
        <v/>
      </c>
      <c r="T225" s="174" t="str">
        <f t="shared" si="58"/>
        <v/>
      </c>
      <c r="U225" s="174" t="str">
        <f t="shared" si="59"/>
        <v/>
      </c>
      <c r="V225" s="174" t="str">
        <f t="shared" si="60"/>
        <v/>
      </c>
      <c r="W225" s="174" t="str">
        <f>_xlfn.IFNA(VLOOKUP(T:T,Logframe!$B:$G,6,FALSE),"")</f>
        <v/>
      </c>
      <c r="X225" s="174" t="str">
        <f>_xlfn.IFNA(VLOOKUP(U:U,Logframe!$B:$G,6,FALSE),"")</f>
        <v/>
      </c>
      <c r="Y225" s="174" t="str">
        <f>_xlfn.IFNA(VLOOKUP(V:V,Logframe!$B:$G,6,FALSE),"")</f>
        <v/>
      </c>
      <c r="Z225">
        <v>221</v>
      </c>
      <c r="AD225" t="str">
        <f t="shared" si="61"/>
        <v/>
      </c>
      <c r="AE225" t="str">
        <f t="shared" si="61"/>
        <v/>
      </c>
      <c r="AF225" t="str">
        <f t="shared" si="56"/>
        <v/>
      </c>
    </row>
    <row r="226" spans="1:32" x14ac:dyDescent="0.35">
      <c r="A226">
        <f>INDEX(Logframe!F:F,230,1)</f>
        <v>0</v>
      </c>
      <c r="B226" s="110">
        <v>2.4900000000000002</v>
      </c>
      <c r="C226" s="321">
        <f>INDEX(Logframe!B:B,230,1)</f>
        <v>0</v>
      </c>
      <c r="D226" t="str">
        <f t="shared" si="53"/>
        <v/>
      </c>
      <c r="E226" t="str">
        <f t="shared" si="54"/>
        <v/>
      </c>
      <c r="F226" t="str">
        <f t="shared" si="47"/>
        <v/>
      </c>
      <c r="G226" t="str">
        <f t="shared" si="55"/>
        <v/>
      </c>
      <c r="H226" t="str">
        <f t="shared" si="48"/>
        <v/>
      </c>
      <c r="I226" s="157" t="str">
        <f t="shared" si="49"/>
        <v/>
      </c>
      <c r="J226" s="157"/>
      <c r="K226" s="157" t="str">
        <f t="shared" si="50"/>
        <v/>
      </c>
      <c r="L226" s="157" t="str">
        <f t="shared" si="51"/>
        <v/>
      </c>
      <c r="M226" s="157"/>
      <c r="N226" s="157" t="str">
        <f t="shared" si="52"/>
        <v/>
      </c>
      <c r="O226" s="174" t="str">
        <f>Table13[[#This Row],[Combined List]]</f>
        <v/>
      </c>
      <c r="P226" s="157">
        <v>222</v>
      </c>
      <c r="Q226" s="174" t="str">
        <f t="shared" si="57"/>
        <v/>
      </c>
      <c r="R226" s="174" t="str">
        <f t="shared" si="57"/>
        <v/>
      </c>
      <c r="S226" s="174" t="str">
        <f t="shared" si="57"/>
        <v/>
      </c>
      <c r="T226" s="174" t="str">
        <f t="shared" si="58"/>
        <v/>
      </c>
      <c r="U226" s="174" t="str">
        <f t="shared" si="59"/>
        <v/>
      </c>
      <c r="V226" s="174" t="str">
        <f t="shared" si="60"/>
        <v/>
      </c>
      <c r="W226" s="174" t="str">
        <f>_xlfn.IFNA(VLOOKUP(T:T,Logframe!$B:$G,6,FALSE),"")</f>
        <v/>
      </c>
      <c r="X226" s="174" t="str">
        <f>_xlfn.IFNA(VLOOKUP(U:U,Logframe!$B:$G,6,FALSE),"")</f>
        <v/>
      </c>
      <c r="Y226" s="174" t="str">
        <f>_xlfn.IFNA(VLOOKUP(V:V,Logframe!$B:$G,6,FALSE),"")</f>
        <v/>
      </c>
      <c r="Z226">
        <v>222</v>
      </c>
      <c r="AD226" t="str">
        <f t="shared" si="61"/>
        <v/>
      </c>
      <c r="AE226" t="str">
        <f t="shared" si="61"/>
        <v/>
      </c>
      <c r="AF226" t="str">
        <f t="shared" si="56"/>
        <v/>
      </c>
    </row>
    <row r="227" spans="1:32" x14ac:dyDescent="0.35">
      <c r="A227">
        <f>INDEX(Logframe!F:F,231,1)</f>
        <v>0</v>
      </c>
      <c r="B227" s="110">
        <v>2.5099999999999998</v>
      </c>
      <c r="C227" s="321">
        <f>INDEX(Logframe!B:B,231,1)</f>
        <v>0</v>
      </c>
      <c r="D227" t="str">
        <f t="shared" si="53"/>
        <v/>
      </c>
      <c r="E227" t="str">
        <f t="shared" si="54"/>
        <v/>
      </c>
      <c r="F227" t="str">
        <f t="shared" si="47"/>
        <v/>
      </c>
      <c r="G227" t="str">
        <f t="shared" si="55"/>
        <v/>
      </c>
      <c r="H227" t="str">
        <f t="shared" si="48"/>
        <v/>
      </c>
      <c r="I227" s="157" t="str">
        <f t="shared" si="49"/>
        <v/>
      </c>
      <c r="J227" s="157"/>
      <c r="K227" s="157" t="str">
        <f t="shared" si="50"/>
        <v/>
      </c>
      <c r="L227" s="157" t="str">
        <f t="shared" si="51"/>
        <v/>
      </c>
      <c r="M227" s="157"/>
      <c r="N227" s="157" t="str">
        <f t="shared" si="52"/>
        <v/>
      </c>
      <c r="O227" s="174" t="str">
        <f>Table13[[#This Row],[Combined List]]</f>
        <v/>
      </c>
      <c r="P227" s="157">
        <v>223</v>
      </c>
      <c r="Q227" s="174" t="str">
        <f t="shared" si="57"/>
        <v/>
      </c>
      <c r="R227" s="174" t="str">
        <f t="shared" si="57"/>
        <v/>
      </c>
      <c r="S227" s="174" t="str">
        <f t="shared" si="57"/>
        <v/>
      </c>
      <c r="T227" s="174" t="str">
        <f t="shared" si="58"/>
        <v/>
      </c>
      <c r="U227" s="174" t="str">
        <f t="shared" si="59"/>
        <v/>
      </c>
      <c r="V227" s="174" t="str">
        <f t="shared" si="60"/>
        <v/>
      </c>
      <c r="W227" s="174" t="str">
        <f>_xlfn.IFNA(VLOOKUP(T:T,Logframe!$B:$G,6,FALSE),"")</f>
        <v/>
      </c>
      <c r="X227" s="174" t="str">
        <f>_xlfn.IFNA(VLOOKUP(U:U,Logframe!$B:$G,6,FALSE),"")</f>
        <v/>
      </c>
      <c r="Y227" s="174" t="str">
        <f>_xlfn.IFNA(VLOOKUP(V:V,Logframe!$B:$G,6,FALSE),"")</f>
        <v/>
      </c>
      <c r="Z227">
        <v>223</v>
      </c>
      <c r="AD227" t="str">
        <f t="shared" si="61"/>
        <v/>
      </c>
      <c r="AE227" t="str">
        <f t="shared" si="61"/>
        <v/>
      </c>
      <c r="AF227" t="str">
        <f t="shared" si="56"/>
        <v/>
      </c>
    </row>
    <row r="228" spans="1:32" x14ac:dyDescent="0.35">
      <c r="A228">
        <f>INDEX(Logframe!F:F,231,1)</f>
        <v>0</v>
      </c>
      <c r="B228" s="110">
        <v>2.52</v>
      </c>
      <c r="C228" s="321">
        <f>INDEX(Logframe!B:B,231,1)</f>
        <v>0</v>
      </c>
      <c r="D228" t="str">
        <f t="shared" si="53"/>
        <v/>
      </c>
      <c r="E228" t="str">
        <f t="shared" si="54"/>
        <v/>
      </c>
      <c r="F228" t="str">
        <f t="shared" si="47"/>
        <v/>
      </c>
      <c r="G228" t="str">
        <f t="shared" si="55"/>
        <v/>
      </c>
      <c r="H228" t="str">
        <f t="shared" si="48"/>
        <v/>
      </c>
      <c r="I228" s="157" t="str">
        <f t="shared" si="49"/>
        <v/>
      </c>
      <c r="J228" s="157"/>
      <c r="K228" s="157" t="str">
        <f t="shared" si="50"/>
        <v/>
      </c>
      <c r="L228" s="157" t="str">
        <f t="shared" si="51"/>
        <v/>
      </c>
      <c r="M228" s="157"/>
      <c r="N228" s="157" t="str">
        <f t="shared" si="52"/>
        <v/>
      </c>
      <c r="O228" s="174" t="str">
        <f>Table13[[#This Row],[Combined List]]</f>
        <v/>
      </c>
      <c r="P228" s="157">
        <v>224</v>
      </c>
      <c r="Q228" s="174" t="str">
        <f t="shared" si="57"/>
        <v/>
      </c>
      <c r="R228" s="174" t="str">
        <f t="shared" si="57"/>
        <v/>
      </c>
      <c r="S228" s="174" t="str">
        <f t="shared" si="57"/>
        <v/>
      </c>
      <c r="T228" s="174" t="str">
        <f t="shared" si="58"/>
        <v/>
      </c>
      <c r="U228" s="174" t="str">
        <f t="shared" si="59"/>
        <v/>
      </c>
      <c r="V228" s="174" t="str">
        <f t="shared" si="60"/>
        <v/>
      </c>
      <c r="W228" s="174" t="str">
        <f>_xlfn.IFNA(VLOOKUP(T:T,Logframe!$B:$G,6,FALSE),"")</f>
        <v/>
      </c>
      <c r="X228" s="174" t="str">
        <f>_xlfn.IFNA(VLOOKUP(U:U,Logframe!$B:$G,6,FALSE),"")</f>
        <v/>
      </c>
      <c r="Y228" s="174" t="str">
        <f>_xlfn.IFNA(VLOOKUP(V:V,Logframe!$B:$G,6,FALSE),"")</f>
        <v/>
      </c>
      <c r="Z228">
        <v>224</v>
      </c>
      <c r="AD228" t="str">
        <f t="shared" si="61"/>
        <v/>
      </c>
      <c r="AE228" t="str">
        <f t="shared" si="61"/>
        <v/>
      </c>
      <c r="AF228" t="str">
        <f t="shared" si="56"/>
        <v/>
      </c>
    </row>
  </sheetData>
  <sheetProtection selectLockedCells="1" selectUnlockedCells="1"/>
  <pageMargins left="0.7" right="0.7" top="0.75" bottom="0.75" header="0.3" footer="0.3"/>
  <drawing r:id="rId4"/>
  <legacyDrawing r:id="rId5"/>
  <tableParts count="2">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X729"/>
  <sheetViews>
    <sheetView topLeftCell="L658" zoomScale="112" zoomScaleNormal="112" workbookViewId="0">
      <selection activeCell="M672" sqref="M672"/>
    </sheetView>
  </sheetViews>
  <sheetFormatPr defaultRowHeight="14.5" x14ac:dyDescent="0.35"/>
  <cols>
    <col min="1" max="6" width="11.7265625" style="258" customWidth="1"/>
    <col min="7" max="7" width="49.7265625" style="257" customWidth="1"/>
    <col min="8" max="8" width="15.453125" customWidth="1"/>
    <col min="9" max="10" width="12.1796875" style="256" customWidth="1"/>
    <col min="13" max="13" width="73.1796875" style="710" customWidth="1"/>
    <col min="14" max="14" width="11" customWidth="1"/>
    <col min="24" max="24" width="26.1796875" customWidth="1"/>
  </cols>
  <sheetData>
    <row r="1" spans="1:24" x14ac:dyDescent="0.35">
      <c r="A1" s="257"/>
      <c r="B1" s="257"/>
      <c r="C1" s="257"/>
      <c r="D1" s="257"/>
      <c r="E1" s="257"/>
      <c r="F1" s="257"/>
      <c r="V1" s="872"/>
      <c r="X1" s="3" t="s">
        <v>520</v>
      </c>
    </row>
    <row r="2" spans="1:24" ht="15" customHeight="1" x14ac:dyDescent="0.35">
      <c r="I2" s="679"/>
      <c r="J2" s="679"/>
      <c r="V2" s="872" t="s">
        <v>2</v>
      </c>
      <c r="X2" s="853" t="s">
        <v>521</v>
      </c>
    </row>
    <row r="3" spans="1:24" x14ac:dyDescent="0.35">
      <c r="I3" s="469"/>
      <c r="J3" s="469"/>
      <c r="Q3" s="3" t="s">
        <v>522</v>
      </c>
      <c r="R3" s="3" t="s">
        <v>523</v>
      </c>
      <c r="V3" s="872" t="s">
        <v>4</v>
      </c>
      <c r="X3" s="853" t="s">
        <v>207</v>
      </c>
    </row>
    <row r="4" spans="1:24" ht="29.5" thickBot="1" x14ac:dyDescent="0.4">
      <c r="A4" s="672"/>
      <c r="D4" s="672"/>
      <c r="E4" s="672"/>
      <c r="F4" s="672"/>
      <c r="H4" s="257"/>
      <c r="I4" s="463"/>
      <c r="J4" s="254"/>
      <c r="L4" t="s">
        <v>524</v>
      </c>
      <c r="M4" s="710" t="s">
        <v>525</v>
      </c>
      <c r="O4" t="s">
        <v>2</v>
      </c>
      <c r="Q4" t="str">
        <f t="shared" ref="Q4:Q67" si="0">CONCATENATE(O:O,P:P)</f>
        <v>MTO</v>
      </c>
      <c r="R4" t="str">
        <f t="shared" ref="R4:R67" si="1">IF(Q:Q="MTOSTO","Choose Outcome",Q:Q)</f>
        <v>MTO</v>
      </c>
      <c r="V4" s="872" t="s">
        <v>129</v>
      </c>
      <c r="X4" s="853" t="s">
        <v>526</v>
      </c>
    </row>
    <row r="5" spans="1:24" ht="15" customHeight="1" thickBot="1" x14ac:dyDescent="0.4">
      <c r="A5" s="123" t="s">
        <v>527</v>
      </c>
      <c r="B5" s="670" t="s">
        <v>528</v>
      </c>
      <c r="C5" s="648" t="s">
        <v>529</v>
      </c>
      <c r="D5" s="648" t="s">
        <v>530</v>
      </c>
      <c r="E5" s="648" t="s">
        <v>531</v>
      </c>
      <c r="F5" s="123" t="s">
        <v>527</v>
      </c>
      <c r="G5" s="671" t="s">
        <v>532</v>
      </c>
      <c r="I5" s="467"/>
      <c r="J5" s="467"/>
      <c r="L5" s="3" t="s">
        <v>533</v>
      </c>
      <c r="M5" s="710" t="s">
        <v>534</v>
      </c>
      <c r="O5" t="s">
        <v>2</v>
      </c>
      <c r="P5" t="s">
        <v>4</v>
      </c>
      <c r="Q5" t="str">
        <f t="shared" si="0"/>
        <v>MTOSTO</v>
      </c>
      <c r="R5" t="str">
        <f t="shared" si="1"/>
        <v>Choose Outcome</v>
      </c>
      <c r="V5" s="872" t="s">
        <v>132</v>
      </c>
      <c r="X5" s="853" t="s">
        <v>535</v>
      </c>
    </row>
    <row r="6" spans="1:24" ht="29" x14ac:dyDescent="0.35">
      <c r="A6" s="472" t="s">
        <v>327</v>
      </c>
      <c r="B6" s="329" t="s">
        <v>536</v>
      </c>
      <c r="C6" s="498" t="s">
        <v>327</v>
      </c>
      <c r="D6" s="498" t="s">
        <v>327</v>
      </c>
      <c r="E6" s="472" t="s">
        <v>327</v>
      </c>
      <c r="F6" s="472" t="s">
        <v>327</v>
      </c>
      <c r="G6" s="458" t="s">
        <v>537</v>
      </c>
      <c r="H6" s="677" t="s">
        <v>440</v>
      </c>
      <c r="I6" s="467"/>
      <c r="J6" s="467"/>
      <c r="L6" s="3" t="s">
        <v>538</v>
      </c>
      <c r="M6" s="710" t="s">
        <v>539</v>
      </c>
      <c r="O6" t="s">
        <v>2</v>
      </c>
      <c r="P6" t="s">
        <v>4</v>
      </c>
      <c r="Q6" t="str">
        <f t="shared" si="0"/>
        <v>MTOSTO</v>
      </c>
      <c r="R6" t="str">
        <f t="shared" si="1"/>
        <v>Choose Outcome</v>
      </c>
      <c r="V6" s="872" t="s">
        <v>20</v>
      </c>
      <c r="X6" s="853" t="s">
        <v>540</v>
      </c>
    </row>
    <row r="7" spans="1:24" x14ac:dyDescent="0.35">
      <c r="A7" s="914" t="s">
        <v>283</v>
      </c>
      <c r="B7" s="614" t="s">
        <v>541</v>
      </c>
      <c r="C7" s="284" t="s">
        <v>283</v>
      </c>
      <c r="D7" s="284" t="s">
        <v>283</v>
      </c>
      <c r="E7" s="914" t="s">
        <v>283</v>
      </c>
      <c r="F7" s="914" t="s">
        <v>283</v>
      </c>
      <c r="G7" s="111" t="s">
        <v>542</v>
      </c>
      <c r="H7" s="677" t="s">
        <v>440</v>
      </c>
      <c r="I7" s="467"/>
      <c r="J7" s="467"/>
      <c r="L7" t="s">
        <v>543</v>
      </c>
      <c r="M7" s="710" t="s">
        <v>544</v>
      </c>
      <c r="O7" t="s">
        <v>2</v>
      </c>
      <c r="Q7" t="str">
        <f t="shared" si="0"/>
        <v>MTO</v>
      </c>
      <c r="R7" t="str">
        <f t="shared" si="1"/>
        <v>MTO</v>
      </c>
      <c r="X7" s="853" t="s">
        <v>545</v>
      </c>
    </row>
    <row r="8" spans="1:24" x14ac:dyDescent="0.35">
      <c r="A8" s="914" t="s">
        <v>546</v>
      </c>
      <c r="B8" s="614" t="s">
        <v>547</v>
      </c>
      <c r="C8" s="284" t="s">
        <v>546</v>
      </c>
      <c r="D8" s="284" t="s">
        <v>546</v>
      </c>
      <c r="E8" s="914" t="s">
        <v>546</v>
      </c>
      <c r="F8" s="914" t="s">
        <v>546</v>
      </c>
      <c r="G8" s="111" t="s">
        <v>548</v>
      </c>
      <c r="H8" s="677" t="s">
        <v>440</v>
      </c>
      <c r="I8" s="467"/>
      <c r="J8" s="467"/>
      <c r="L8" t="s">
        <v>274</v>
      </c>
      <c r="M8" s="710" t="s">
        <v>549</v>
      </c>
      <c r="O8" t="s">
        <v>2</v>
      </c>
      <c r="Q8" t="str">
        <f t="shared" si="0"/>
        <v>MTO</v>
      </c>
      <c r="R8" t="str">
        <f t="shared" si="1"/>
        <v>MTO</v>
      </c>
      <c r="X8" s="853" t="s">
        <v>550</v>
      </c>
    </row>
    <row r="9" spans="1:24" x14ac:dyDescent="0.35">
      <c r="A9" s="914" t="s">
        <v>551</v>
      </c>
      <c r="B9" s="614" t="s">
        <v>552</v>
      </c>
      <c r="C9" s="284" t="s">
        <v>551</v>
      </c>
      <c r="D9" s="284" t="s">
        <v>551</v>
      </c>
      <c r="E9" s="914" t="s">
        <v>551</v>
      </c>
      <c r="F9" s="914" t="s">
        <v>551</v>
      </c>
      <c r="G9" s="111" t="s">
        <v>553</v>
      </c>
      <c r="H9" s="677" t="s">
        <v>440</v>
      </c>
      <c r="I9" s="467"/>
      <c r="J9" s="467"/>
      <c r="L9" t="s">
        <v>554</v>
      </c>
      <c r="M9" s="710" t="s">
        <v>555</v>
      </c>
      <c r="P9" t="s">
        <v>4</v>
      </c>
      <c r="Q9" t="str">
        <f t="shared" si="0"/>
        <v>STO</v>
      </c>
      <c r="R9" t="str">
        <f t="shared" si="1"/>
        <v>STO</v>
      </c>
      <c r="X9" s="853" t="s">
        <v>556</v>
      </c>
    </row>
    <row r="10" spans="1:24" x14ac:dyDescent="0.35">
      <c r="A10" s="914" t="s">
        <v>557</v>
      </c>
      <c r="B10" s="614" t="s">
        <v>558</v>
      </c>
      <c r="C10" s="284" t="s">
        <v>557</v>
      </c>
      <c r="D10" s="284" t="s">
        <v>557</v>
      </c>
      <c r="E10" s="914" t="s">
        <v>557</v>
      </c>
      <c r="F10" s="914" t="s">
        <v>557</v>
      </c>
      <c r="G10" s="111" t="s">
        <v>559</v>
      </c>
      <c r="H10" s="677" t="s">
        <v>440</v>
      </c>
      <c r="I10" s="467"/>
      <c r="J10" s="467"/>
      <c r="L10" t="s">
        <v>560</v>
      </c>
      <c r="M10" s="710" t="s">
        <v>561</v>
      </c>
      <c r="P10" t="s">
        <v>4</v>
      </c>
      <c r="Q10" t="str">
        <f t="shared" si="0"/>
        <v>STO</v>
      </c>
      <c r="R10" t="str">
        <f t="shared" si="1"/>
        <v>STO</v>
      </c>
      <c r="X10" s="853" t="s">
        <v>127</v>
      </c>
    </row>
    <row r="11" spans="1:24" x14ac:dyDescent="0.35">
      <c r="A11" s="914" t="s">
        <v>562</v>
      </c>
      <c r="B11" s="614" t="s">
        <v>563</v>
      </c>
      <c r="C11" s="284" t="s">
        <v>562</v>
      </c>
      <c r="D11" s="284" t="s">
        <v>562</v>
      </c>
      <c r="E11" s="914" t="s">
        <v>562</v>
      </c>
      <c r="F11" s="914" t="s">
        <v>562</v>
      </c>
      <c r="G11" s="111" t="s">
        <v>564</v>
      </c>
      <c r="H11" s="677" t="s">
        <v>440</v>
      </c>
      <c r="I11" s="467"/>
      <c r="J11" s="467"/>
      <c r="L11" t="s">
        <v>565</v>
      </c>
      <c r="M11" s="710" t="s">
        <v>566</v>
      </c>
      <c r="P11" t="s">
        <v>4</v>
      </c>
      <c r="Q11" t="str">
        <f t="shared" si="0"/>
        <v>STO</v>
      </c>
      <c r="R11" t="str">
        <f t="shared" si="1"/>
        <v>STO</v>
      </c>
      <c r="X11" s="853" t="s">
        <v>567</v>
      </c>
    </row>
    <row r="12" spans="1:24" x14ac:dyDescent="0.35">
      <c r="A12" s="914" t="s">
        <v>568</v>
      </c>
      <c r="B12" s="614" t="s">
        <v>569</v>
      </c>
      <c r="C12" s="284" t="s">
        <v>568</v>
      </c>
      <c r="D12" s="284" t="s">
        <v>568</v>
      </c>
      <c r="E12" s="914" t="s">
        <v>568</v>
      </c>
      <c r="F12" s="914" t="s">
        <v>568</v>
      </c>
      <c r="G12" s="111" t="s">
        <v>570</v>
      </c>
      <c r="H12" s="677" t="s">
        <v>440</v>
      </c>
      <c r="I12" s="467"/>
      <c r="J12" s="467"/>
      <c r="L12" t="s">
        <v>571</v>
      </c>
      <c r="M12" s="710" t="s">
        <v>572</v>
      </c>
      <c r="P12" t="s">
        <v>4</v>
      </c>
      <c r="Q12" t="str">
        <f t="shared" si="0"/>
        <v>STO</v>
      </c>
      <c r="R12" t="str">
        <f t="shared" si="1"/>
        <v>STO</v>
      </c>
      <c r="X12" s="853" t="s">
        <v>573</v>
      </c>
    </row>
    <row r="13" spans="1:24" x14ac:dyDescent="0.35">
      <c r="A13" s="914" t="s">
        <v>287</v>
      </c>
      <c r="B13" s="614" t="s">
        <v>574</v>
      </c>
      <c r="C13" s="284" t="s">
        <v>287</v>
      </c>
      <c r="D13" s="284" t="s">
        <v>287</v>
      </c>
      <c r="E13" s="914" t="s">
        <v>287</v>
      </c>
      <c r="F13" s="914" t="s">
        <v>287</v>
      </c>
      <c r="G13" s="111" t="s">
        <v>575</v>
      </c>
      <c r="H13" s="677" t="s">
        <v>440</v>
      </c>
      <c r="I13" s="467"/>
      <c r="J13" s="467"/>
      <c r="L13" t="s">
        <v>576</v>
      </c>
      <c r="M13" s="710" t="s">
        <v>577</v>
      </c>
      <c r="P13" t="s">
        <v>4</v>
      </c>
      <c r="Q13" t="str">
        <f t="shared" si="0"/>
        <v>STO</v>
      </c>
      <c r="R13" t="str">
        <f t="shared" si="1"/>
        <v>STO</v>
      </c>
      <c r="X13" s="853" t="s">
        <v>578</v>
      </c>
    </row>
    <row r="14" spans="1:24" x14ac:dyDescent="0.35">
      <c r="A14" s="914" t="s">
        <v>319</v>
      </c>
      <c r="B14" s="614" t="s">
        <v>579</v>
      </c>
      <c r="C14" s="284" t="s">
        <v>319</v>
      </c>
      <c r="D14" s="284" t="s">
        <v>319</v>
      </c>
      <c r="E14" s="914" t="s">
        <v>319</v>
      </c>
      <c r="F14" s="914" t="s">
        <v>319</v>
      </c>
      <c r="G14" s="111" t="s">
        <v>580</v>
      </c>
      <c r="H14" s="677" t="s">
        <v>440</v>
      </c>
      <c r="I14" s="467"/>
      <c r="J14" s="467"/>
      <c r="L14" t="s">
        <v>581</v>
      </c>
      <c r="M14" s="710" t="s">
        <v>582</v>
      </c>
      <c r="P14" t="s">
        <v>4</v>
      </c>
      <c r="Q14" t="str">
        <f t="shared" si="0"/>
        <v>STO</v>
      </c>
      <c r="R14" t="str">
        <f t="shared" si="1"/>
        <v>STO</v>
      </c>
      <c r="X14" s="853" t="s">
        <v>583</v>
      </c>
    </row>
    <row r="15" spans="1:24" x14ac:dyDescent="0.35">
      <c r="A15" s="914" t="s">
        <v>584</v>
      </c>
      <c r="B15" s="607" t="s">
        <v>585</v>
      </c>
      <c r="C15" s="284" t="s">
        <v>584</v>
      </c>
      <c r="D15" s="284" t="s">
        <v>584</v>
      </c>
      <c r="E15" s="914" t="s">
        <v>584</v>
      </c>
      <c r="F15" s="914" t="s">
        <v>584</v>
      </c>
      <c r="G15" s="111" t="s">
        <v>586</v>
      </c>
      <c r="H15" s="677" t="s">
        <v>440</v>
      </c>
      <c r="I15" s="467"/>
      <c r="J15" s="467"/>
      <c r="L15" t="s">
        <v>279</v>
      </c>
      <c r="M15" s="710" t="s">
        <v>587</v>
      </c>
      <c r="P15" t="s">
        <v>4</v>
      </c>
      <c r="Q15" t="str">
        <f t="shared" si="0"/>
        <v>STO</v>
      </c>
      <c r="R15" t="str">
        <f t="shared" si="1"/>
        <v>STO</v>
      </c>
      <c r="X15" s="853" t="s">
        <v>588</v>
      </c>
    </row>
    <row r="16" spans="1:24" x14ac:dyDescent="0.35">
      <c r="A16" s="914" t="s">
        <v>589</v>
      </c>
      <c r="B16" s="614" t="s">
        <v>590</v>
      </c>
      <c r="C16" s="284" t="s">
        <v>589</v>
      </c>
      <c r="D16" s="284" t="s">
        <v>589</v>
      </c>
      <c r="E16" s="914" t="s">
        <v>589</v>
      </c>
      <c r="F16" s="914" t="s">
        <v>589</v>
      </c>
      <c r="G16" s="537" t="s">
        <v>591</v>
      </c>
      <c r="H16" s="677" t="s">
        <v>440</v>
      </c>
      <c r="I16" s="467"/>
      <c r="J16" s="467"/>
      <c r="L16" t="s">
        <v>592</v>
      </c>
      <c r="M16" s="710" t="s">
        <v>593</v>
      </c>
      <c r="P16" t="s">
        <v>4</v>
      </c>
      <c r="Q16" t="str">
        <f t="shared" si="0"/>
        <v>STO</v>
      </c>
      <c r="R16" t="str">
        <f t="shared" si="1"/>
        <v>STO</v>
      </c>
      <c r="X16" s="853" t="s">
        <v>594</v>
      </c>
    </row>
    <row r="17" spans="1:24" ht="29" x14ac:dyDescent="0.35">
      <c r="A17" s="914" t="s">
        <v>595</v>
      </c>
      <c r="B17" s="20" t="s">
        <v>596</v>
      </c>
      <c r="C17" s="284" t="s">
        <v>595</v>
      </c>
      <c r="D17" s="284" t="s">
        <v>595</v>
      </c>
      <c r="E17" s="914" t="s">
        <v>595</v>
      </c>
      <c r="F17" s="914" t="s">
        <v>595</v>
      </c>
      <c r="G17" s="717" t="s">
        <v>597</v>
      </c>
      <c r="H17" s="677" t="s">
        <v>440</v>
      </c>
      <c r="I17" s="260"/>
      <c r="J17" s="260"/>
      <c r="L17" t="s">
        <v>598</v>
      </c>
      <c r="M17" s="710" t="s">
        <v>599</v>
      </c>
      <c r="P17" t="s">
        <v>4</v>
      </c>
      <c r="Q17" t="str">
        <f t="shared" si="0"/>
        <v>STO</v>
      </c>
      <c r="R17" t="str">
        <f t="shared" si="1"/>
        <v>STO</v>
      </c>
      <c r="X17" s="853" t="s">
        <v>600</v>
      </c>
    </row>
    <row r="18" spans="1:24" x14ac:dyDescent="0.35">
      <c r="A18" s="914" t="s">
        <v>601</v>
      </c>
      <c r="B18" s="614" t="s">
        <v>602</v>
      </c>
      <c r="C18" s="284" t="s">
        <v>601</v>
      </c>
      <c r="D18" s="284" t="s">
        <v>601</v>
      </c>
      <c r="E18" s="914" t="s">
        <v>601</v>
      </c>
      <c r="F18" s="914" t="s">
        <v>601</v>
      </c>
      <c r="G18" s="111" t="s">
        <v>603</v>
      </c>
      <c r="H18" s="677" t="s">
        <v>440</v>
      </c>
      <c r="I18" s="254"/>
      <c r="J18" s="254"/>
      <c r="L18" t="s">
        <v>604</v>
      </c>
      <c r="M18" s="710" t="s">
        <v>605</v>
      </c>
      <c r="P18" t="s">
        <v>4</v>
      </c>
      <c r="Q18" t="str">
        <f t="shared" si="0"/>
        <v>STO</v>
      </c>
      <c r="R18" t="str">
        <f t="shared" si="1"/>
        <v>STO</v>
      </c>
      <c r="X18" s="853" t="s">
        <v>606</v>
      </c>
    </row>
    <row r="19" spans="1:24" x14ac:dyDescent="0.35">
      <c r="A19" s="395" t="s">
        <v>607</v>
      </c>
      <c r="B19" s="755"/>
      <c r="C19" s="601"/>
      <c r="D19" s="601"/>
      <c r="E19" s="915"/>
      <c r="F19" s="395" t="s">
        <v>607</v>
      </c>
      <c r="G19" s="756" t="s">
        <v>608</v>
      </c>
      <c r="H19" s="677"/>
      <c r="I19" s="254"/>
      <c r="J19" s="254"/>
      <c r="L19" t="s">
        <v>609</v>
      </c>
      <c r="M19" s="710" t="s">
        <v>610</v>
      </c>
      <c r="P19" t="s">
        <v>4</v>
      </c>
      <c r="Q19" t="str">
        <f t="shared" si="0"/>
        <v>STO</v>
      </c>
      <c r="R19" t="str">
        <f t="shared" si="1"/>
        <v>STO</v>
      </c>
      <c r="X19" s="853" t="s">
        <v>611</v>
      </c>
    </row>
    <row r="20" spans="1:24" ht="29.5" thickBot="1" x14ac:dyDescent="0.4">
      <c r="A20" s="395" t="s">
        <v>612</v>
      </c>
      <c r="B20" s="755"/>
      <c r="C20" s="601"/>
      <c r="D20" s="601"/>
      <c r="E20" s="915"/>
      <c r="F20" s="395" t="s">
        <v>612</v>
      </c>
      <c r="G20" s="756" t="s">
        <v>613</v>
      </c>
      <c r="H20" s="677" t="s">
        <v>440</v>
      </c>
      <c r="I20" s="254"/>
      <c r="J20" s="254"/>
      <c r="L20" t="s">
        <v>614</v>
      </c>
      <c r="M20" s="710" t="s">
        <v>615</v>
      </c>
      <c r="P20" t="s">
        <v>4</v>
      </c>
      <c r="Q20" t="str">
        <f t="shared" si="0"/>
        <v>STO</v>
      </c>
      <c r="R20" t="str">
        <f t="shared" si="1"/>
        <v>STO</v>
      </c>
    </row>
    <row r="21" spans="1:24" ht="29" x14ac:dyDescent="0.35">
      <c r="A21" s="461" t="s">
        <v>616</v>
      </c>
      <c r="B21" s="499" t="s">
        <v>617</v>
      </c>
      <c r="C21" s="500" t="s">
        <v>607</v>
      </c>
      <c r="D21" s="500" t="s">
        <v>607</v>
      </c>
      <c r="E21" s="544" t="s">
        <v>607</v>
      </c>
      <c r="F21" s="461" t="s">
        <v>616</v>
      </c>
      <c r="G21" s="718" t="s">
        <v>618</v>
      </c>
      <c r="I21" s="254"/>
      <c r="J21" s="254"/>
      <c r="L21" t="s">
        <v>619</v>
      </c>
      <c r="M21" s="710" t="s">
        <v>620</v>
      </c>
      <c r="P21" t="s">
        <v>4</v>
      </c>
      <c r="Q21" t="str">
        <f t="shared" si="0"/>
        <v>STO</v>
      </c>
      <c r="R21" t="str">
        <f t="shared" si="1"/>
        <v>STO</v>
      </c>
    </row>
    <row r="22" spans="1:24" x14ac:dyDescent="0.35">
      <c r="A22" s="390" t="s">
        <v>621</v>
      </c>
      <c r="B22" s="97" t="s">
        <v>622</v>
      </c>
      <c r="C22" s="501" t="s">
        <v>623</v>
      </c>
      <c r="D22" s="501" t="s">
        <v>623</v>
      </c>
      <c r="E22" s="916" t="s">
        <v>623</v>
      </c>
      <c r="F22" s="390" t="s">
        <v>621</v>
      </c>
      <c r="G22" s="719" t="s">
        <v>624</v>
      </c>
      <c r="I22" s="254"/>
      <c r="J22" s="254"/>
      <c r="L22" t="s">
        <v>625</v>
      </c>
      <c r="M22" s="710" t="s">
        <v>626</v>
      </c>
      <c r="N22" t="s">
        <v>20</v>
      </c>
      <c r="O22" t="s">
        <v>20</v>
      </c>
      <c r="Q22" t="str">
        <f t="shared" si="0"/>
        <v>Impact</v>
      </c>
      <c r="R22" t="str">
        <f t="shared" si="1"/>
        <v>Impact</v>
      </c>
    </row>
    <row r="23" spans="1:24" ht="29" x14ac:dyDescent="0.35">
      <c r="A23" s="390" t="s">
        <v>627</v>
      </c>
      <c r="B23" s="93" t="s">
        <v>628</v>
      </c>
      <c r="C23" s="502" t="s">
        <v>629</v>
      </c>
      <c r="D23" s="502" t="s">
        <v>629</v>
      </c>
      <c r="E23" s="917" t="s">
        <v>629</v>
      </c>
      <c r="F23" s="390" t="s">
        <v>627</v>
      </c>
      <c r="G23" s="631" t="s">
        <v>630</v>
      </c>
      <c r="I23" s="254"/>
      <c r="J23" s="254"/>
      <c r="L23" t="s">
        <v>631</v>
      </c>
      <c r="M23" s="710" t="s">
        <v>632</v>
      </c>
      <c r="O23" t="s">
        <v>2</v>
      </c>
      <c r="Q23" t="str">
        <f t="shared" si="0"/>
        <v>MTO</v>
      </c>
      <c r="R23" t="str">
        <f t="shared" si="1"/>
        <v>MTO</v>
      </c>
    </row>
    <row r="24" spans="1:24" ht="29" x14ac:dyDescent="0.35">
      <c r="A24" s="390" t="s">
        <v>633</v>
      </c>
      <c r="B24" s="93" t="s">
        <v>634</v>
      </c>
      <c r="C24" s="502" t="s">
        <v>635</v>
      </c>
      <c r="D24" s="502" t="s">
        <v>635</v>
      </c>
      <c r="E24" s="917" t="s">
        <v>635</v>
      </c>
      <c r="F24" s="390" t="s">
        <v>633</v>
      </c>
      <c r="G24" s="631" t="s">
        <v>636</v>
      </c>
      <c r="I24" s="254"/>
      <c r="J24" s="254"/>
      <c r="L24" t="s">
        <v>637</v>
      </c>
      <c r="M24" s="710" t="s">
        <v>638</v>
      </c>
      <c r="O24" t="s">
        <v>2</v>
      </c>
      <c r="Q24" t="str">
        <f t="shared" si="0"/>
        <v>MTO</v>
      </c>
      <c r="R24" t="str">
        <f t="shared" si="1"/>
        <v>MTO</v>
      </c>
    </row>
    <row r="25" spans="1:24" ht="29" x14ac:dyDescent="0.35">
      <c r="A25" s="390" t="s">
        <v>639</v>
      </c>
      <c r="B25" s="21" t="s">
        <v>617</v>
      </c>
      <c r="C25" s="503" t="s">
        <v>640</v>
      </c>
      <c r="D25" s="503" t="s">
        <v>640</v>
      </c>
      <c r="E25" s="918" t="s">
        <v>640</v>
      </c>
      <c r="F25" s="390" t="s">
        <v>639</v>
      </c>
      <c r="G25" s="919" t="s">
        <v>641</v>
      </c>
      <c r="I25" s="254"/>
      <c r="J25" s="254"/>
      <c r="L25" t="s">
        <v>642</v>
      </c>
      <c r="M25" s="710" t="s">
        <v>643</v>
      </c>
      <c r="N25" t="s">
        <v>20</v>
      </c>
      <c r="O25" t="s">
        <v>20</v>
      </c>
      <c r="Q25" t="str">
        <f t="shared" si="0"/>
        <v>Impact</v>
      </c>
      <c r="R25" t="str">
        <f t="shared" si="1"/>
        <v>Impact</v>
      </c>
    </row>
    <row r="26" spans="1:24" ht="44" thickBot="1" x14ac:dyDescent="0.4">
      <c r="A26" s="392" t="s">
        <v>644</v>
      </c>
      <c r="B26" s="88" t="s">
        <v>645</v>
      </c>
      <c r="C26" s="504" t="s">
        <v>646</v>
      </c>
      <c r="D26" s="504" t="s">
        <v>646</v>
      </c>
      <c r="E26" s="920" t="s">
        <v>646</v>
      </c>
      <c r="F26" s="392" t="s">
        <v>644</v>
      </c>
      <c r="G26" s="720" t="s">
        <v>647</v>
      </c>
      <c r="I26" s="254"/>
      <c r="J26" s="254"/>
      <c r="L26" t="s">
        <v>648</v>
      </c>
      <c r="M26" s="710" t="s">
        <v>649</v>
      </c>
      <c r="P26" t="s">
        <v>4</v>
      </c>
      <c r="Q26" t="str">
        <f t="shared" si="0"/>
        <v>STO</v>
      </c>
      <c r="R26" t="str">
        <f t="shared" si="1"/>
        <v>STO</v>
      </c>
    </row>
    <row r="27" spans="1:24" ht="43.5" x14ac:dyDescent="0.35">
      <c r="A27" s="754" t="s">
        <v>650</v>
      </c>
      <c r="B27" s="470" t="s">
        <v>651</v>
      </c>
      <c r="C27" s="498" t="s">
        <v>332</v>
      </c>
      <c r="D27" s="498" t="s">
        <v>332</v>
      </c>
      <c r="E27" s="472" t="s">
        <v>332</v>
      </c>
      <c r="F27" s="754" t="s">
        <v>650</v>
      </c>
      <c r="G27" s="458" t="s">
        <v>652</v>
      </c>
      <c r="I27" s="254"/>
      <c r="J27" s="254"/>
      <c r="L27" t="s">
        <v>653</v>
      </c>
      <c r="M27" s="710" t="s">
        <v>654</v>
      </c>
      <c r="P27" t="s">
        <v>4</v>
      </c>
      <c r="Q27" t="str">
        <f t="shared" si="0"/>
        <v>STO</v>
      </c>
      <c r="R27" t="str">
        <f t="shared" si="1"/>
        <v>STO</v>
      </c>
    </row>
    <row r="28" spans="1:24" ht="29" x14ac:dyDescent="0.35">
      <c r="A28" s="390" t="s">
        <v>655</v>
      </c>
      <c r="B28" s="614" t="s">
        <v>656</v>
      </c>
      <c r="C28" s="284" t="s">
        <v>657</v>
      </c>
      <c r="D28" s="284" t="s">
        <v>657</v>
      </c>
      <c r="E28" s="914" t="s">
        <v>657</v>
      </c>
      <c r="F28" s="390" t="s">
        <v>655</v>
      </c>
      <c r="G28" s="111" t="s">
        <v>658</v>
      </c>
      <c r="I28" s="254"/>
      <c r="J28" s="254"/>
      <c r="L28" t="s">
        <v>659</v>
      </c>
      <c r="M28" s="710" t="s">
        <v>660</v>
      </c>
      <c r="P28" t="s">
        <v>4</v>
      </c>
      <c r="Q28" t="str">
        <f t="shared" si="0"/>
        <v>STO</v>
      </c>
      <c r="R28" t="str">
        <f t="shared" si="1"/>
        <v>STO</v>
      </c>
    </row>
    <row r="29" spans="1:24" ht="174" x14ac:dyDescent="0.35">
      <c r="A29" s="390" t="s">
        <v>661</v>
      </c>
      <c r="B29" s="614" t="s">
        <v>662</v>
      </c>
      <c r="C29" s="284" t="s">
        <v>663</v>
      </c>
      <c r="D29" s="284" t="s">
        <v>663</v>
      </c>
      <c r="E29" s="914" t="s">
        <v>663</v>
      </c>
      <c r="F29" s="390" t="s">
        <v>661</v>
      </c>
      <c r="G29" s="111" t="s">
        <v>664</v>
      </c>
      <c r="I29" s="254"/>
      <c r="J29" s="254"/>
      <c r="L29" t="s">
        <v>665</v>
      </c>
      <c r="M29" s="710" t="s">
        <v>666</v>
      </c>
      <c r="P29" t="s">
        <v>4</v>
      </c>
      <c r="Q29" t="str">
        <f t="shared" si="0"/>
        <v>STO</v>
      </c>
      <c r="R29" t="str">
        <f t="shared" si="1"/>
        <v>STO</v>
      </c>
    </row>
    <row r="30" spans="1:24" x14ac:dyDescent="0.35">
      <c r="A30" s="390" t="s">
        <v>667</v>
      </c>
      <c r="B30" s="614" t="s">
        <v>668</v>
      </c>
      <c r="C30" s="284" t="s">
        <v>669</v>
      </c>
      <c r="D30" s="284" t="s">
        <v>669</v>
      </c>
      <c r="E30" s="914" t="s">
        <v>669</v>
      </c>
      <c r="F30" s="390" t="s">
        <v>667</v>
      </c>
      <c r="G30" s="111" t="s">
        <v>670</v>
      </c>
      <c r="I30" s="254"/>
      <c r="J30" s="254"/>
      <c r="L30" t="s">
        <v>671</v>
      </c>
      <c r="M30" s="710" t="s">
        <v>672</v>
      </c>
      <c r="P30" t="s">
        <v>4</v>
      </c>
      <c r="Q30" t="str">
        <f t="shared" si="0"/>
        <v>STO</v>
      </c>
      <c r="R30" t="str">
        <f t="shared" si="1"/>
        <v>STO</v>
      </c>
    </row>
    <row r="31" spans="1:24" ht="29" x14ac:dyDescent="0.35">
      <c r="A31" s="390" t="s">
        <v>673</v>
      </c>
      <c r="B31" s="89" t="s">
        <v>674</v>
      </c>
      <c r="C31" s="284" t="s">
        <v>675</v>
      </c>
      <c r="D31" s="284" t="s">
        <v>675</v>
      </c>
      <c r="E31" s="914" t="s">
        <v>675</v>
      </c>
      <c r="F31" s="390" t="s">
        <v>673</v>
      </c>
      <c r="G31" s="111" t="s">
        <v>676</v>
      </c>
      <c r="I31" s="254"/>
      <c r="J31" s="465"/>
      <c r="L31" t="s">
        <v>677</v>
      </c>
      <c r="M31" s="710" t="s">
        <v>678</v>
      </c>
      <c r="P31" t="s">
        <v>4</v>
      </c>
      <c r="Q31" t="str">
        <f t="shared" si="0"/>
        <v>STO</v>
      </c>
      <c r="R31" t="str">
        <f t="shared" si="1"/>
        <v>STO</v>
      </c>
    </row>
    <row r="32" spans="1:24" ht="29" x14ac:dyDescent="0.35">
      <c r="A32" s="390" t="s">
        <v>679</v>
      </c>
      <c r="B32" s="89" t="s">
        <v>680</v>
      </c>
      <c r="C32" s="284" t="s">
        <v>681</v>
      </c>
      <c r="D32" s="284" t="s">
        <v>681</v>
      </c>
      <c r="E32" s="914" t="s">
        <v>681</v>
      </c>
      <c r="F32" s="390" t="s">
        <v>679</v>
      </c>
      <c r="G32" s="111" t="s">
        <v>682</v>
      </c>
      <c r="I32" s="254"/>
      <c r="J32" s="254"/>
      <c r="L32" t="s">
        <v>683</v>
      </c>
      <c r="M32" s="710" t="s">
        <v>684</v>
      </c>
      <c r="P32" t="s">
        <v>4</v>
      </c>
      <c r="Q32" t="str">
        <f t="shared" si="0"/>
        <v>STO</v>
      </c>
      <c r="R32" t="str">
        <f t="shared" si="1"/>
        <v>STO</v>
      </c>
    </row>
    <row r="33" spans="1:18" x14ac:dyDescent="0.35">
      <c r="A33" s="390" t="s">
        <v>685</v>
      </c>
      <c r="B33" s="89" t="s">
        <v>686</v>
      </c>
      <c r="C33" s="284" t="s">
        <v>687</v>
      </c>
      <c r="D33" s="284" t="s">
        <v>687</v>
      </c>
      <c r="E33" s="914" t="s">
        <v>687</v>
      </c>
      <c r="F33" s="390" t="s">
        <v>685</v>
      </c>
      <c r="G33" s="111" t="s">
        <v>688</v>
      </c>
      <c r="I33" s="465"/>
      <c r="J33" s="464"/>
      <c r="L33" t="s">
        <v>689</v>
      </c>
      <c r="M33" s="710" t="s">
        <v>690</v>
      </c>
      <c r="P33" t="s">
        <v>4</v>
      </c>
      <c r="Q33" t="str">
        <f t="shared" si="0"/>
        <v>STO</v>
      </c>
      <c r="R33" t="str">
        <f t="shared" si="1"/>
        <v>STO</v>
      </c>
    </row>
    <row r="34" spans="1:18" ht="15" thickBot="1" x14ac:dyDescent="0.4">
      <c r="A34" s="392" t="s">
        <v>691</v>
      </c>
      <c r="B34" s="90" t="s">
        <v>692</v>
      </c>
      <c r="C34" s="284" t="s">
        <v>311</v>
      </c>
      <c r="D34" s="284" t="s">
        <v>311</v>
      </c>
      <c r="E34" s="914" t="s">
        <v>311</v>
      </c>
      <c r="F34" s="392" t="s">
        <v>691</v>
      </c>
      <c r="G34" s="626" t="s">
        <v>693</v>
      </c>
      <c r="I34" s="254"/>
      <c r="L34" t="s">
        <v>694</v>
      </c>
      <c r="M34" s="710" t="s">
        <v>695</v>
      </c>
      <c r="P34" t="s">
        <v>4</v>
      </c>
      <c r="Q34" t="str">
        <f t="shared" si="0"/>
        <v>STO</v>
      </c>
      <c r="R34" t="str">
        <f t="shared" si="1"/>
        <v>STO</v>
      </c>
    </row>
    <row r="35" spans="1:18" ht="116" x14ac:dyDescent="0.35">
      <c r="A35" s="754" t="s">
        <v>696</v>
      </c>
      <c r="B35" s="505" t="s">
        <v>617</v>
      </c>
      <c r="C35" s="498" t="s">
        <v>333</v>
      </c>
      <c r="D35" s="498" t="s">
        <v>333</v>
      </c>
      <c r="E35" s="472" t="s">
        <v>333</v>
      </c>
      <c r="F35" s="754" t="s">
        <v>696</v>
      </c>
      <c r="G35" s="458" t="s">
        <v>697</v>
      </c>
      <c r="H35" s="3" t="s">
        <v>698</v>
      </c>
      <c r="I35" s="467"/>
      <c r="J35" s="258"/>
      <c r="L35" t="s">
        <v>699</v>
      </c>
      <c r="M35" s="710" t="s">
        <v>700</v>
      </c>
      <c r="P35" t="s">
        <v>4</v>
      </c>
      <c r="Q35" t="str">
        <f t="shared" si="0"/>
        <v>STO</v>
      </c>
      <c r="R35" t="str">
        <f t="shared" si="1"/>
        <v>STO</v>
      </c>
    </row>
    <row r="36" spans="1:18" ht="101.5" x14ac:dyDescent="0.35">
      <c r="A36" s="390" t="s">
        <v>701</v>
      </c>
      <c r="B36" s="506"/>
      <c r="C36" s="284" t="s">
        <v>702</v>
      </c>
      <c r="D36" s="284" t="s">
        <v>702</v>
      </c>
      <c r="E36" s="914" t="s">
        <v>702</v>
      </c>
      <c r="F36" s="390" t="s">
        <v>701</v>
      </c>
      <c r="G36" s="878" t="s">
        <v>703</v>
      </c>
      <c r="H36" s="3" t="s">
        <v>698</v>
      </c>
      <c r="J36" s="260"/>
      <c r="L36" t="s">
        <v>704</v>
      </c>
      <c r="M36" s="710" t="s">
        <v>705</v>
      </c>
      <c r="P36" t="s">
        <v>4</v>
      </c>
      <c r="Q36" t="str">
        <f t="shared" si="0"/>
        <v>STO</v>
      </c>
      <c r="R36" t="str">
        <f t="shared" si="1"/>
        <v>STO</v>
      </c>
    </row>
    <row r="37" spans="1:18" x14ac:dyDescent="0.35">
      <c r="A37" s="390" t="s">
        <v>706</v>
      </c>
      <c r="B37" s="506"/>
      <c r="C37" s="284" t="s">
        <v>707</v>
      </c>
      <c r="D37" s="284" t="s">
        <v>707</v>
      </c>
      <c r="E37" s="914" t="s">
        <v>707</v>
      </c>
      <c r="F37" s="390" t="s">
        <v>706</v>
      </c>
      <c r="G37" s="878" t="s">
        <v>708</v>
      </c>
      <c r="H37" s="3" t="s">
        <v>698</v>
      </c>
      <c r="I37" s="258"/>
      <c r="J37" s="467"/>
      <c r="L37" t="s">
        <v>709</v>
      </c>
      <c r="M37" s="710" t="s">
        <v>710</v>
      </c>
      <c r="P37" t="s">
        <v>4</v>
      </c>
      <c r="Q37" t="str">
        <f t="shared" si="0"/>
        <v>STO</v>
      </c>
      <c r="R37" t="str">
        <f t="shared" si="1"/>
        <v>STO</v>
      </c>
    </row>
    <row r="38" spans="1:18" ht="29" x14ac:dyDescent="0.35">
      <c r="A38" s="390" t="s">
        <v>711</v>
      </c>
      <c r="B38" s="506"/>
      <c r="C38" s="284" t="s">
        <v>712</v>
      </c>
      <c r="D38" s="284" t="s">
        <v>712</v>
      </c>
      <c r="E38" s="914" t="s">
        <v>712</v>
      </c>
      <c r="F38" s="390" t="s">
        <v>711</v>
      </c>
      <c r="G38" s="878" t="s">
        <v>713</v>
      </c>
      <c r="H38" s="3" t="s">
        <v>698</v>
      </c>
      <c r="I38" s="465"/>
      <c r="J38" s="467"/>
      <c r="L38" t="s">
        <v>714</v>
      </c>
      <c r="M38" s="710" t="s">
        <v>715</v>
      </c>
      <c r="P38" t="s">
        <v>4</v>
      </c>
      <c r="Q38" t="str">
        <f t="shared" si="0"/>
        <v>STO</v>
      </c>
      <c r="R38" t="str">
        <f t="shared" si="1"/>
        <v>STO</v>
      </c>
    </row>
    <row r="39" spans="1:18" ht="87" x14ac:dyDescent="0.35">
      <c r="A39" s="390" t="s">
        <v>716</v>
      </c>
      <c r="B39" s="506"/>
      <c r="C39" s="284" t="s">
        <v>717</v>
      </c>
      <c r="D39" s="284" t="s">
        <v>717</v>
      </c>
      <c r="E39" s="914" t="s">
        <v>717</v>
      </c>
      <c r="F39" s="390" t="s">
        <v>716</v>
      </c>
      <c r="G39" s="878" t="s">
        <v>718</v>
      </c>
      <c r="H39" s="3" t="s">
        <v>698</v>
      </c>
      <c r="I39" s="467"/>
      <c r="J39" s="467"/>
      <c r="L39" t="s">
        <v>719</v>
      </c>
      <c r="M39" s="710" t="s">
        <v>720</v>
      </c>
      <c r="P39" t="s">
        <v>4</v>
      </c>
      <c r="Q39" t="str">
        <f t="shared" si="0"/>
        <v>STO</v>
      </c>
      <c r="R39" t="str">
        <f t="shared" si="1"/>
        <v>STO</v>
      </c>
    </row>
    <row r="40" spans="1:18" ht="43.5" x14ac:dyDescent="0.35">
      <c r="A40" s="390" t="s">
        <v>721</v>
      </c>
      <c r="B40" s="506"/>
      <c r="C40" s="284" t="s">
        <v>722</v>
      </c>
      <c r="D40" s="284" t="s">
        <v>722</v>
      </c>
      <c r="E40" s="914" t="s">
        <v>722</v>
      </c>
      <c r="F40" s="390" t="s">
        <v>721</v>
      </c>
      <c r="G40" s="878" t="s">
        <v>723</v>
      </c>
      <c r="H40" s="3" t="s">
        <v>698</v>
      </c>
      <c r="I40" s="467"/>
      <c r="J40" s="467"/>
      <c r="L40" t="s">
        <v>724</v>
      </c>
      <c r="M40" s="710" t="s">
        <v>725</v>
      </c>
      <c r="P40" t="s">
        <v>4</v>
      </c>
      <c r="Q40" t="str">
        <f t="shared" si="0"/>
        <v>STO</v>
      </c>
      <c r="R40" t="str">
        <f t="shared" si="1"/>
        <v>STO</v>
      </c>
    </row>
    <row r="41" spans="1:18" ht="29" x14ac:dyDescent="0.35">
      <c r="A41" s="390" t="s">
        <v>726</v>
      </c>
      <c r="B41" s="506"/>
      <c r="C41" s="284" t="s">
        <v>727</v>
      </c>
      <c r="D41" s="284" t="s">
        <v>727</v>
      </c>
      <c r="E41" s="914" t="s">
        <v>727</v>
      </c>
      <c r="F41" s="390" t="s">
        <v>726</v>
      </c>
      <c r="G41" s="878" t="s">
        <v>728</v>
      </c>
      <c r="H41" s="3" t="s">
        <v>698</v>
      </c>
      <c r="I41" s="467"/>
      <c r="J41" s="467"/>
      <c r="L41" t="s">
        <v>729</v>
      </c>
      <c r="M41" s="710" t="s">
        <v>730</v>
      </c>
      <c r="P41" t="s">
        <v>4</v>
      </c>
      <c r="Q41" t="str">
        <f t="shared" si="0"/>
        <v>STO</v>
      </c>
      <c r="R41" t="str">
        <f t="shared" si="1"/>
        <v>STO</v>
      </c>
    </row>
    <row r="42" spans="1:18" ht="44" thickBot="1" x14ac:dyDescent="0.4">
      <c r="A42" s="392" t="s">
        <v>731</v>
      </c>
      <c r="B42" s="507"/>
      <c r="C42" s="504" t="s">
        <v>313</v>
      </c>
      <c r="D42" s="504" t="s">
        <v>313</v>
      </c>
      <c r="E42" s="920" t="s">
        <v>313</v>
      </c>
      <c r="F42" s="392" t="s">
        <v>731</v>
      </c>
      <c r="G42" s="921" t="s">
        <v>732</v>
      </c>
      <c r="H42" s="3" t="s">
        <v>698</v>
      </c>
      <c r="I42" s="467"/>
      <c r="J42" s="467"/>
      <c r="L42" t="s">
        <v>733</v>
      </c>
      <c r="M42" s="710" t="s">
        <v>734</v>
      </c>
      <c r="P42" t="s">
        <v>4</v>
      </c>
      <c r="Q42" t="str">
        <f t="shared" si="0"/>
        <v>STO</v>
      </c>
      <c r="R42" t="str">
        <f t="shared" si="1"/>
        <v>STO</v>
      </c>
    </row>
    <row r="43" spans="1:18" ht="29" x14ac:dyDescent="0.35">
      <c r="A43" s="914" t="s">
        <v>735</v>
      </c>
      <c r="B43" s="96" t="s">
        <v>736</v>
      </c>
      <c r="C43" s="615" t="s">
        <v>735</v>
      </c>
      <c r="D43" s="284" t="s">
        <v>735</v>
      </c>
      <c r="E43" s="914" t="s">
        <v>735</v>
      </c>
      <c r="F43" s="914" t="s">
        <v>735</v>
      </c>
      <c r="G43" s="721" t="s">
        <v>737</v>
      </c>
      <c r="I43" s="467"/>
      <c r="J43" s="467"/>
      <c r="L43" t="s">
        <v>738</v>
      </c>
      <c r="M43" s="710" t="s">
        <v>739</v>
      </c>
      <c r="P43" t="s">
        <v>4</v>
      </c>
      <c r="Q43" t="str">
        <f t="shared" si="0"/>
        <v>STO</v>
      </c>
      <c r="R43" t="str">
        <f t="shared" si="1"/>
        <v>STO</v>
      </c>
    </row>
    <row r="44" spans="1:18" ht="29" x14ac:dyDescent="0.35">
      <c r="A44" s="914" t="s">
        <v>740</v>
      </c>
      <c r="B44" s="93" t="s">
        <v>741</v>
      </c>
      <c r="C44" s="284" t="s">
        <v>740</v>
      </c>
      <c r="D44" s="284" t="s">
        <v>740</v>
      </c>
      <c r="E44" s="914" t="s">
        <v>740</v>
      </c>
      <c r="F44" s="914" t="s">
        <v>740</v>
      </c>
      <c r="G44" s="111" t="s">
        <v>742</v>
      </c>
      <c r="H44" s="677" t="s">
        <v>440</v>
      </c>
      <c r="I44" s="467"/>
      <c r="J44" s="254"/>
      <c r="L44" t="s">
        <v>743</v>
      </c>
      <c r="M44" s="710" t="s">
        <v>744</v>
      </c>
      <c r="P44" t="s">
        <v>4</v>
      </c>
      <c r="Q44" t="str">
        <f t="shared" si="0"/>
        <v>STO</v>
      </c>
      <c r="R44" t="str">
        <f t="shared" si="1"/>
        <v>STO</v>
      </c>
    </row>
    <row r="45" spans="1:18" ht="58" x14ac:dyDescent="0.35">
      <c r="A45" s="914" t="s">
        <v>745</v>
      </c>
      <c r="B45" s="93" t="s">
        <v>746</v>
      </c>
      <c r="C45" s="284" t="s">
        <v>745</v>
      </c>
      <c r="D45" s="284" t="s">
        <v>745</v>
      </c>
      <c r="E45" s="914" t="s">
        <v>745</v>
      </c>
      <c r="F45" s="914" t="s">
        <v>745</v>
      </c>
      <c r="G45" s="631" t="s">
        <v>747</v>
      </c>
      <c r="I45" s="467"/>
      <c r="J45" s="254"/>
      <c r="L45" t="s">
        <v>748</v>
      </c>
      <c r="M45" s="710" t="s">
        <v>749</v>
      </c>
      <c r="P45" t="s">
        <v>4</v>
      </c>
      <c r="Q45" t="str">
        <f t="shared" si="0"/>
        <v>STO</v>
      </c>
      <c r="R45" t="str">
        <f t="shared" si="1"/>
        <v>STO</v>
      </c>
    </row>
    <row r="46" spans="1:18" ht="29.5" thickBot="1" x14ac:dyDescent="0.4">
      <c r="A46" s="914" t="s">
        <v>304</v>
      </c>
      <c r="B46" s="88" t="s">
        <v>750</v>
      </c>
      <c r="C46" s="504" t="s">
        <v>304</v>
      </c>
      <c r="D46" s="284" t="s">
        <v>304</v>
      </c>
      <c r="E46" s="914" t="s">
        <v>304</v>
      </c>
      <c r="F46" s="914" t="s">
        <v>304</v>
      </c>
      <c r="G46" s="720" t="s">
        <v>751</v>
      </c>
      <c r="I46" s="254"/>
      <c r="J46" s="254"/>
      <c r="L46" t="s">
        <v>752</v>
      </c>
      <c r="M46" s="710" t="s">
        <v>753</v>
      </c>
      <c r="P46" t="s">
        <v>4</v>
      </c>
      <c r="Q46" t="str">
        <f t="shared" si="0"/>
        <v>STO</v>
      </c>
      <c r="R46" t="str">
        <f t="shared" si="1"/>
        <v>STO</v>
      </c>
    </row>
    <row r="47" spans="1:18" ht="43.5" x14ac:dyDescent="0.35">
      <c r="A47" s="713" t="s">
        <v>328</v>
      </c>
      <c r="B47" s="393" t="s">
        <v>754</v>
      </c>
      <c r="C47" s="616" t="s">
        <v>328</v>
      </c>
      <c r="D47" s="616" t="s">
        <v>328</v>
      </c>
      <c r="E47" s="713" t="s">
        <v>328</v>
      </c>
      <c r="F47" s="713" t="s">
        <v>328</v>
      </c>
      <c r="G47" s="124" t="s">
        <v>755</v>
      </c>
      <c r="H47" s="677" t="s">
        <v>440</v>
      </c>
      <c r="I47" s="254"/>
      <c r="J47" s="254"/>
      <c r="L47" t="s">
        <v>756</v>
      </c>
      <c r="M47" s="710" t="s">
        <v>757</v>
      </c>
      <c r="P47" t="s">
        <v>4</v>
      </c>
      <c r="Q47" t="str">
        <f t="shared" si="0"/>
        <v>STO</v>
      </c>
      <c r="R47" t="str">
        <f t="shared" si="1"/>
        <v>STO</v>
      </c>
    </row>
    <row r="48" spans="1:18" ht="145" x14ac:dyDescent="0.35">
      <c r="A48" s="915" t="s">
        <v>758</v>
      </c>
      <c r="B48" s="394" t="s">
        <v>759</v>
      </c>
      <c r="C48" s="601" t="s">
        <v>758</v>
      </c>
      <c r="D48" s="601" t="s">
        <v>758</v>
      </c>
      <c r="E48" s="915" t="s">
        <v>758</v>
      </c>
      <c r="F48" s="915" t="s">
        <v>758</v>
      </c>
      <c r="G48" s="722" t="s">
        <v>760</v>
      </c>
      <c r="H48" s="677" t="s">
        <v>440</v>
      </c>
      <c r="I48" s="254"/>
      <c r="J48" s="254"/>
      <c r="L48" t="s">
        <v>761</v>
      </c>
      <c r="M48" s="710" t="s">
        <v>762</v>
      </c>
      <c r="P48" t="s">
        <v>4</v>
      </c>
      <c r="Q48" t="str">
        <f t="shared" si="0"/>
        <v>STO</v>
      </c>
      <c r="R48" t="str">
        <f t="shared" si="1"/>
        <v>STO</v>
      </c>
    </row>
    <row r="49" spans="1:18" ht="29" x14ac:dyDescent="0.35">
      <c r="A49" s="914" t="s">
        <v>763</v>
      </c>
      <c r="B49" s="617" t="s">
        <v>764</v>
      </c>
      <c r="C49" s="284" t="s">
        <v>763</v>
      </c>
      <c r="D49" s="284" t="s">
        <v>763</v>
      </c>
      <c r="E49" s="914" t="s">
        <v>763</v>
      </c>
      <c r="F49" s="914" t="s">
        <v>763</v>
      </c>
      <c r="G49" s="118" t="s">
        <v>765</v>
      </c>
      <c r="H49" s="677" t="s">
        <v>440</v>
      </c>
      <c r="I49" s="254"/>
      <c r="J49" s="254"/>
      <c r="L49" t="s">
        <v>766</v>
      </c>
      <c r="M49" s="710" t="s">
        <v>767</v>
      </c>
      <c r="P49" t="s">
        <v>4</v>
      </c>
      <c r="Q49" t="str">
        <f t="shared" si="0"/>
        <v>STO</v>
      </c>
      <c r="R49" t="str">
        <f t="shared" si="1"/>
        <v>STO</v>
      </c>
    </row>
    <row r="50" spans="1:18" x14ac:dyDescent="0.35">
      <c r="A50" s="915" t="s">
        <v>768</v>
      </c>
      <c r="B50" s="19" t="s">
        <v>769</v>
      </c>
      <c r="C50" s="601" t="s">
        <v>768</v>
      </c>
      <c r="D50" s="601" t="s">
        <v>768</v>
      </c>
      <c r="E50" s="915" t="s">
        <v>768</v>
      </c>
      <c r="F50" s="915" t="s">
        <v>768</v>
      </c>
      <c r="G50" s="627" t="s">
        <v>770</v>
      </c>
      <c r="H50" s="677" t="s">
        <v>440</v>
      </c>
      <c r="I50" s="254"/>
      <c r="J50" s="254"/>
      <c r="L50" t="s">
        <v>771</v>
      </c>
      <c r="M50" s="710" t="s">
        <v>772</v>
      </c>
      <c r="P50" t="s">
        <v>4</v>
      </c>
      <c r="Q50" t="str">
        <f t="shared" si="0"/>
        <v>STO</v>
      </c>
      <c r="R50" t="str">
        <f t="shared" si="1"/>
        <v>STO</v>
      </c>
    </row>
    <row r="51" spans="1:18" ht="29" x14ac:dyDescent="0.35">
      <c r="A51" s="915" t="s">
        <v>773</v>
      </c>
      <c r="B51" s="19" t="s">
        <v>774</v>
      </c>
      <c r="C51" s="601" t="s">
        <v>773</v>
      </c>
      <c r="D51" s="601" t="s">
        <v>773</v>
      </c>
      <c r="E51" s="915" t="s">
        <v>773</v>
      </c>
      <c r="F51" s="915" t="s">
        <v>773</v>
      </c>
      <c r="G51" s="627" t="s">
        <v>775</v>
      </c>
      <c r="H51" s="677" t="s">
        <v>440</v>
      </c>
      <c r="I51" s="254"/>
      <c r="J51" s="254"/>
      <c r="L51" t="s">
        <v>776</v>
      </c>
      <c r="M51" s="710" t="s">
        <v>777</v>
      </c>
      <c r="P51" t="s">
        <v>4</v>
      </c>
      <c r="Q51" t="str">
        <f t="shared" si="0"/>
        <v>STO</v>
      </c>
      <c r="R51" t="str">
        <f t="shared" si="1"/>
        <v>STO</v>
      </c>
    </row>
    <row r="52" spans="1:18" ht="43.5" x14ac:dyDescent="0.35">
      <c r="A52" s="915" t="s">
        <v>778</v>
      </c>
      <c r="B52" s="19" t="s">
        <v>779</v>
      </c>
      <c r="C52" s="601" t="s">
        <v>778</v>
      </c>
      <c r="D52" s="601" t="s">
        <v>778</v>
      </c>
      <c r="E52" s="915" t="s">
        <v>778</v>
      </c>
      <c r="F52" s="915" t="s">
        <v>778</v>
      </c>
      <c r="G52" s="858" t="s">
        <v>780</v>
      </c>
      <c r="H52" s="677" t="s">
        <v>440</v>
      </c>
      <c r="I52" s="254"/>
      <c r="J52" s="254"/>
      <c r="L52" t="s">
        <v>781</v>
      </c>
      <c r="M52" s="710" t="s">
        <v>782</v>
      </c>
      <c r="P52" s="3" t="s">
        <v>4</v>
      </c>
      <c r="Q52" t="str">
        <f t="shared" si="0"/>
        <v>STO</v>
      </c>
      <c r="R52" t="str">
        <f t="shared" si="1"/>
        <v>STO</v>
      </c>
    </row>
    <row r="53" spans="1:18" x14ac:dyDescent="0.35">
      <c r="A53" s="915" t="s">
        <v>783</v>
      </c>
      <c r="B53" s="19" t="s">
        <v>784</v>
      </c>
      <c r="C53" s="601" t="s">
        <v>783</v>
      </c>
      <c r="D53" s="601" t="s">
        <v>783</v>
      </c>
      <c r="E53" s="915" t="s">
        <v>783</v>
      </c>
      <c r="F53" s="915" t="s">
        <v>783</v>
      </c>
      <c r="G53" s="858" t="s">
        <v>785</v>
      </c>
      <c r="H53" s="677" t="s">
        <v>440</v>
      </c>
      <c r="I53" s="254"/>
      <c r="J53" s="254"/>
      <c r="L53" t="s">
        <v>786</v>
      </c>
      <c r="M53" s="711" t="s">
        <v>787</v>
      </c>
      <c r="P53" s="3" t="s">
        <v>4</v>
      </c>
      <c r="Q53" t="str">
        <f t="shared" si="0"/>
        <v>STO</v>
      </c>
      <c r="R53" t="str">
        <f t="shared" si="1"/>
        <v>STO</v>
      </c>
    </row>
    <row r="54" spans="1:18" ht="15" thickBot="1" x14ac:dyDescent="0.4">
      <c r="A54" s="915" t="s">
        <v>290</v>
      </c>
      <c r="B54" s="394" t="s">
        <v>788</v>
      </c>
      <c r="C54" s="601" t="s">
        <v>290</v>
      </c>
      <c r="D54" s="601" t="s">
        <v>290</v>
      </c>
      <c r="E54" s="915" t="s">
        <v>290</v>
      </c>
      <c r="F54" s="915" t="s">
        <v>290</v>
      </c>
      <c r="G54" s="722" t="s">
        <v>789</v>
      </c>
      <c r="H54" s="677" t="s">
        <v>440</v>
      </c>
      <c r="I54" s="254"/>
      <c r="J54" s="254"/>
      <c r="L54" t="s">
        <v>790</v>
      </c>
      <c r="M54" s="710" t="s">
        <v>791</v>
      </c>
      <c r="P54" t="s">
        <v>4</v>
      </c>
      <c r="Q54" t="str">
        <f t="shared" si="0"/>
        <v>STO</v>
      </c>
      <c r="R54" t="str">
        <f t="shared" si="1"/>
        <v>STO</v>
      </c>
    </row>
    <row r="55" spans="1:18" x14ac:dyDescent="0.35">
      <c r="A55" s="643" t="s">
        <v>330</v>
      </c>
      <c r="B55" s="92" t="s">
        <v>792</v>
      </c>
      <c r="C55" s="618" t="s">
        <v>330</v>
      </c>
      <c r="D55" s="618" t="s">
        <v>330</v>
      </c>
      <c r="E55" s="643" t="s">
        <v>330</v>
      </c>
      <c r="F55" s="643" t="s">
        <v>330</v>
      </c>
      <c r="G55" s="112" t="s">
        <v>793</v>
      </c>
      <c r="I55" s="254"/>
      <c r="J55" s="254"/>
      <c r="L55" t="s">
        <v>794</v>
      </c>
      <c r="M55" s="710" t="s">
        <v>795</v>
      </c>
      <c r="O55" t="s">
        <v>2</v>
      </c>
      <c r="Q55" t="str">
        <f t="shared" si="0"/>
        <v>MTO</v>
      </c>
      <c r="R55" t="str">
        <f t="shared" si="1"/>
        <v>MTO</v>
      </c>
    </row>
    <row r="56" spans="1:18" ht="29" x14ac:dyDescent="0.35">
      <c r="A56" s="914" t="s">
        <v>293</v>
      </c>
      <c r="B56" s="93" t="s">
        <v>796</v>
      </c>
      <c r="C56" s="284" t="s">
        <v>293</v>
      </c>
      <c r="D56" s="284" t="s">
        <v>293</v>
      </c>
      <c r="E56" s="914" t="s">
        <v>293</v>
      </c>
      <c r="F56" s="914" t="s">
        <v>293</v>
      </c>
      <c r="G56" s="118" t="s">
        <v>797</v>
      </c>
      <c r="I56" s="254"/>
      <c r="J56" s="254"/>
      <c r="L56" t="s">
        <v>794</v>
      </c>
      <c r="M56" s="710" t="s">
        <v>798</v>
      </c>
      <c r="P56" t="s">
        <v>4</v>
      </c>
      <c r="Q56" t="str">
        <f t="shared" si="0"/>
        <v>STO</v>
      </c>
      <c r="R56" t="str">
        <f t="shared" si="1"/>
        <v>STO</v>
      </c>
    </row>
    <row r="57" spans="1:18" x14ac:dyDescent="0.35">
      <c r="A57" s="914" t="s">
        <v>799</v>
      </c>
      <c r="B57" s="93" t="s">
        <v>800</v>
      </c>
      <c r="C57" s="284" t="s">
        <v>799</v>
      </c>
      <c r="D57" s="284" t="s">
        <v>799</v>
      </c>
      <c r="E57" s="914" t="s">
        <v>799</v>
      </c>
      <c r="F57" s="914" t="s">
        <v>799</v>
      </c>
      <c r="G57" s="118" t="s">
        <v>801</v>
      </c>
      <c r="I57" s="254"/>
      <c r="J57" s="465"/>
      <c r="L57" t="s">
        <v>802</v>
      </c>
      <c r="M57" s="710" t="s">
        <v>803</v>
      </c>
      <c r="P57" t="s">
        <v>4</v>
      </c>
      <c r="Q57" t="str">
        <f t="shared" si="0"/>
        <v>STO</v>
      </c>
      <c r="R57" t="str">
        <f t="shared" si="1"/>
        <v>STO</v>
      </c>
    </row>
    <row r="58" spans="1:18" ht="130.5" x14ac:dyDescent="0.35">
      <c r="A58" s="914" t="s">
        <v>300</v>
      </c>
      <c r="B58" s="93" t="s">
        <v>804</v>
      </c>
      <c r="C58" s="284" t="s">
        <v>300</v>
      </c>
      <c r="D58" s="284" t="s">
        <v>300</v>
      </c>
      <c r="E58" s="914" t="s">
        <v>300</v>
      </c>
      <c r="F58" s="914" t="s">
        <v>300</v>
      </c>
      <c r="G58" s="111" t="s">
        <v>805</v>
      </c>
      <c r="I58" s="254"/>
      <c r="J58" s="464"/>
      <c r="L58" t="s">
        <v>806</v>
      </c>
      <c r="M58" s="710" t="s">
        <v>807</v>
      </c>
      <c r="P58" t="s">
        <v>4</v>
      </c>
      <c r="Q58" t="str">
        <f t="shared" si="0"/>
        <v>STO</v>
      </c>
      <c r="R58" t="str">
        <f t="shared" si="1"/>
        <v>STO</v>
      </c>
    </row>
    <row r="59" spans="1:18" x14ac:dyDescent="0.35">
      <c r="A59" s="914" t="s">
        <v>297</v>
      </c>
      <c r="B59" s="602" t="s">
        <v>808</v>
      </c>
      <c r="C59" s="284" t="s">
        <v>297</v>
      </c>
      <c r="D59" s="284" t="s">
        <v>297</v>
      </c>
      <c r="E59" s="914" t="s">
        <v>297</v>
      </c>
      <c r="F59" s="914" t="s">
        <v>297</v>
      </c>
      <c r="G59" s="111" t="s">
        <v>809</v>
      </c>
      <c r="I59" s="465"/>
      <c r="J59" s="464"/>
      <c r="L59" t="s">
        <v>810</v>
      </c>
      <c r="M59" s="710" t="s">
        <v>811</v>
      </c>
      <c r="O59" t="s">
        <v>2</v>
      </c>
      <c r="Q59" t="str">
        <f t="shared" si="0"/>
        <v>MTO</v>
      </c>
      <c r="R59" t="str">
        <f t="shared" si="1"/>
        <v>MTO</v>
      </c>
    </row>
    <row r="60" spans="1:18" ht="29" x14ac:dyDescent="0.35">
      <c r="A60" s="914" t="s">
        <v>812</v>
      </c>
      <c r="B60" s="619" t="s">
        <v>813</v>
      </c>
      <c r="C60" s="284" t="s">
        <v>812</v>
      </c>
      <c r="D60" s="284" t="s">
        <v>812</v>
      </c>
      <c r="E60" s="914" t="s">
        <v>812</v>
      </c>
      <c r="F60" s="914" t="s">
        <v>812</v>
      </c>
      <c r="G60" s="111" t="s">
        <v>814</v>
      </c>
      <c r="I60" s="464"/>
      <c r="J60" s="464"/>
      <c r="L60" t="s">
        <v>815</v>
      </c>
      <c r="M60" s="710" t="s">
        <v>816</v>
      </c>
      <c r="P60" t="s">
        <v>4</v>
      </c>
      <c r="Q60" t="str">
        <f t="shared" si="0"/>
        <v>STO</v>
      </c>
      <c r="R60" t="str">
        <f t="shared" si="1"/>
        <v>STO</v>
      </c>
    </row>
    <row r="61" spans="1:18" x14ac:dyDescent="0.35">
      <c r="A61" s="914" t="s">
        <v>817</v>
      </c>
      <c r="B61" s="602" t="s">
        <v>818</v>
      </c>
      <c r="C61" s="284" t="s">
        <v>817</v>
      </c>
      <c r="D61" s="284" t="s">
        <v>817</v>
      </c>
      <c r="E61" s="914" t="s">
        <v>817</v>
      </c>
      <c r="F61" s="914" t="s">
        <v>817</v>
      </c>
      <c r="G61" s="111" t="s">
        <v>819</v>
      </c>
      <c r="I61" s="464"/>
      <c r="J61" s="464"/>
      <c r="L61" t="s">
        <v>820</v>
      </c>
      <c r="M61" s="710" t="s">
        <v>821</v>
      </c>
      <c r="P61" t="s">
        <v>4</v>
      </c>
      <c r="Q61" t="str">
        <f t="shared" si="0"/>
        <v>STO</v>
      </c>
      <c r="R61" t="str">
        <f t="shared" si="1"/>
        <v>STO</v>
      </c>
    </row>
    <row r="62" spans="1:18" x14ac:dyDescent="0.35">
      <c r="A62" s="914" t="s">
        <v>822</v>
      </c>
      <c r="B62" s="602" t="s">
        <v>823</v>
      </c>
      <c r="C62" s="284" t="s">
        <v>822</v>
      </c>
      <c r="D62" s="284" t="s">
        <v>822</v>
      </c>
      <c r="E62" s="914" t="s">
        <v>822</v>
      </c>
      <c r="F62" s="914" t="s">
        <v>822</v>
      </c>
      <c r="G62" s="111" t="s">
        <v>824</v>
      </c>
      <c r="I62" s="464"/>
      <c r="J62" s="464"/>
      <c r="L62" t="s">
        <v>825</v>
      </c>
      <c r="M62" s="710" t="s">
        <v>826</v>
      </c>
      <c r="P62" t="s">
        <v>4</v>
      </c>
      <c r="Q62" t="str">
        <f t="shared" si="0"/>
        <v>STO</v>
      </c>
      <c r="R62" t="str">
        <f t="shared" si="1"/>
        <v>STO</v>
      </c>
    </row>
    <row r="63" spans="1:18" ht="29" x14ac:dyDescent="0.35">
      <c r="A63" s="914" t="s">
        <v>827</v>
      </c>
      <c r="B63" s="602" t="s">
        <v>828</v>
      </c>
      <c r="C63" s="284" t="s">
        <v>827</v>
      </c>
      <c r="D63" s="284" t="s">
        <v>827</v>
      </c>
      <c r="E63" s="914" t="s">
        <v>827</v>
      </c>
      <c r="F63" s="914" t="s">
        <v>827</v>
      </c>
      <c r="G63" s="118" t="s">
        <v>829</v>
      </c>
      <c r="I63" s="464"/>
      <c r="J63" s="464"/>
      <c r="L63" t="s">
        <v>830</v>
      </c>
      <c r="M63" s="710" t="s">
        <v>831</v>
      </c>
      <c r="P63" t="s">
        <v>4</v>
      </c>
      <c r="Q63" t="str">
        <f t="shared" si="0"/>
        <v>STO</v>
      </c>
      <c r="R63" t="str">
        <f t="shared" si="1"/>
        <v>STO</v>
      </c>
    </row>
    <row r="64" spans="1:18" x14ac:dyDescent="0.35">
      <c r="A64" s="914" t="s">
        <v>832</v>
      </c>
      <c r="B64" s="602" t="s">
        <v>833</v>
      </c>
      <c r="C64" s="284" t="s">
        <v>832</v>
      </c>
      <c r="D64" s="284" t="s">
        <v>832</v>
      </c>
      <c r="E64" s="914" t="s">
        <v>832</v>
      </c>
      <c r="F64" s="914" t="s">
        <v>832</v>
      </c>
      <c r="G64" s="111" t="s">
        <v>834</v>
      </c>
      <c r="I64" s="464"/>
      <c r="J64" s="464"/>
      <c r="L64" t="s">
        <v>835</v>
      </c>
      <c r="M64" s="710" t="s">
        <v>836</v>
      </c>
      <c r="P64" t="s">
        <v>4</v>
      </c>
      <c r="Q64" t="str">
        <f t="shared" si="0"/>
        <v>STO</v>
      </c>
      <c r="R64" t="str">
        <f t="shared" si="1"/>
        <v>STO</v>
      </c>
    </row>
    <row r="65" spans="1:18" ht="29" x14ac:dyDescent="0.35">
      <c r="A65" s="914" t="s">
        <v>837</v>
      </c>
      <c r="B65" s="19" t="s">
        <v>838</v>
      </c>
      <c r="C65" s="284" t="s">
        <v>837</v>
      </c>
      <c r="D65" s="284" t="s">
        <v>837</v>
      </c>
      <c r="E65" s="914" t="s">
        <v>837</v>
      </c>
      <c r="F65" s="914" t="s">
        <v>837</v>
      </c>
      <c r="G65" s="858" t="s">
        <v>839</v>
      </c>
      <c r="I65" s="464"/>
      <c r="J65" s="464"/>
      <c r="L65" t="s">
        <v>642</v>
      </c>
      <c r="M65" s="710" t="s">
        <v>840</v>
      </c>
      <c r="N65" t="s">
        <v>20</v>
      </c>
      <c r="O65" t="s">
        <v>2</v>
      </c>
      <c r="P65" t="s">
        <v>20</v>
      </c>
      <c r="Q65" t="str">
        <f t="shared" si="0"/>
        <v>MTOImpact</v>
      </c>
      <c r="R65" t="str">
        <f t="shared" si="1"/>
        <v>MTOImpact</v>
      </c>
    </row>
    <row r="66" spans="1:18" ht="29" x14ac:dyDescent="0.35">
      <c r="A66" s="914" t="s">
        <v>841</v>
      </c>
      <c r="B66" s="620" t="s">
        <v>842</v>
      </c>
      <c r="C66" s="284" t="s">
        <v>841</v>
      </c>
      <c r="D66" s="284" t="s">
        <v>841</v>
      </c>
      <c r="E66" s="914" t="s">
        <v>841</v>
      </c>
      <c r="F66" s="914" t="s">
        <v>841</v>
      </c>
      <c r="G66" s="537" t="s">
        <v>843</v>
      </c>
      <c r="I66" s="464"/>
      <c r="J66" s="464"/>
      <c r="L66" t="s">
        <v>844</v>
      </c>
      <c r="M66" s="710" t="s">
        <v>845</v>
      </c>
      <c r="O66" t="s">
        <v>2</v>
      </c>
      <c r="Q66" t="str">
        <f t="shared" si="0"/>
        <v>MTO</v>
      </c>
      <c r="R66" t="str">
        <f t="shared" si="1"/>
        <v>MTO</v>
      </c>
    </row>
    <row r="67" spans="1:18" ht="29.5" thickBot="1" x14ac:dyDescent="0.4">
      <c r="A67" s="920" t="s">
        <v>846</v>
      </c>
      <c r="B67" s="607" t="s">
        <v>847</v>
      </c>
      <c r="C67" s="504" t="s">
        <v>846</v>
      </c>
      <c r="D67" s="504" t="s">
        <v>846</v>
      </c>
      <c r="E67" s="920" t="s">
        <v>846</v>
      </c>
      <c r="F67" s="920" t="s">
        <v>846</v>
      </c>
      <c r="G67" s="538" t="s">
        <v>848</v>
      </c>
      <c r="I67" s="464"/>
      <c r="J67" s="464"/>
      <c r="L67" t="s">
        <v>849</v>
      </c>
      <c r="M67" s="710" t="s">
        <v>850</v>
      </c>
      <c r="O67" t="s">
        <v>2</v>
      </c>
      <c r="P67" t="s">
        <v>4</v>
      </c>
      <c r="Q67" t="str">
        <f t="shared" si="0"/>
        <v>MTOSTO</v>
      </c>
      <c r="R67" t="str">
        <f t="shared" si="1"/>
        <v>Choose Outcome</v>
      </c>
    </row>
    <row r="68" spans="1:18" ht="43.5" x14ac:dyDescent="0.35">
      <c r="A68" s="544" t="s">
        <v>331</v>
      </c>
      <c r="B68" s="279" t="s">
        <v>851</v>
      </c>
      <c r="C68" s="500" t="s">
        <v>331</v>
      </c>
      <c r="D68" s="500" t="s">
        <v>331</v>
      </c>
      <c r="E68" s="544" t="s">
        <v>331</v>
      </c>
      <c r="F68" s="544" t="s">
        <v>331</v>
      </c>
      <c r="G68" s="723" t="s">
        <v>852</v>
      </c>
      <c r="H68" s="314" t="s">
        <v>853</v>
      </c>
      <c r="I68" s="464"/>
      <c r="J68" s="464"/>
      <c r="L68" t="s">
        <v>854</v>
      </c>
      <c r="M68" s="710" t="s">
        <v>855</v>
      </c>
      <c r="O68" t="s">
        <v>2</v>
      </c>
      <c r="P68" t="s">
        <v>4</v>
      </c>
      <c r="Q68" t="str">
        <f t="shared" ref="Q68:Q131" si="2">CONCATENATE(O:O,P:P)</f>
        <v>MTOSTO</v>
      </c>
      <c r="R68" t="str">
        <f t="shared" ref="R68:R131" si="3">IF(Q:Q="MTOSTO","Choose Outcome",Q:Q)</f>
        <v>Choose Outcome</v>
      </c>
    </row>
    <row r="69" spans="1:18" x14ac:dyDescent="0.35">
      <c r="A69" s="914" t="s">
        <v>295</v>
      </c>
      <c r="B69" s="19" t="s">
        <v>617</v>
      </c>
      <c r="C69" s="284" t="s">
        <v>295</v>
      </c>
      <c r="D69" s="284" t="s">
        <v>295</v>
      </c>
      <c r="E69" s="914" t="s">
        <v>295</v>
      </c>
      <c r="F69" s="914" t="s">
        <v>295</v>
      </c>
      <c r="G69" s="922" t="s">
        <v>856</v>
      </c>
      <c r="H69" s="314" t="s">
        <v>698</v>
      </c>
      <c r="I69" s="464"/>
      <c r="J69" s="464"/>
      <c r="L69" t="s">
        <v>857</v>
      </c>
      <c r="M69" s="710" t="s">
        <v>858</v>
      </c>
      <c r="O69" t="s">
        <v>2</v>
      </c>
      <c r="Q69" t="str">
        <f t="shared" si="2"/>
        <v>MTO</v>
      </c>
      <c r="R69" t="str">
        <f t="shared" si="3"/>
        <v>MTO</v>
      </c>
    </row>
    <row r="70" spans="1:18" ht="29" x14ac:dyDescent="0.35">
      <c r="A70" s="914" t="s">
        <v>859</v>
      </c>
      <c r="B70" s="19" t="s">
        <v>617</v>
      </c>
      <c r="C70" s="284" t="s">
        <v>859</v>
      </c>
      <c r="D70" s="284" t="s">
        <v>859</v>
      </c>
      <c r="E70" s="914" t="s">
        <v>859</v>
      </c>
      <c r="F70" s="914" t="s">
        <v>859</v>
      </c>
      <c r="G70" s="922" t="s">
        <v>860</v>
      </c>
      <c r="H70" s="314" t="s">
        <v>698</v>
      </c>
      <c r="I70" s="464"/>
      <c r="J70" s="254"/>
      <c r="L70" t="s">
        <v>861</v>
      </c>
      <c r="M70" s="710" t="s">
        <v>862</v>
      </c>
      <c r="O70" t="s">
        <v>2</v>
      </c>
      <c r="Q70" t="str">
        <f t="shared" si="2"/>
        <v>MTO</v>
      </c>
      <c r="R70" t="str">
        <f t="shared" si="3"/>
        <v>MTO</v>
      </c>
    </row>
    <row r="71" spans="1:18" x14ac:dyDescent="0.35">
      <c r="A71" s="914" t="s">
        <v>301</v>
      </c>
      <c r="B71" s="19" t="s">
        <v>617</v>
      </c>
      <c r="C71" s="284" t="s">
        <v>301</v>
      </c>
      <c r="D71" s="284" t="s">
        <v>301</v>
      </c>
      <c r="E71" s="914" t="s">
        <v>301</v>
      </c>
      <c r="F71" s="914" t="s">
        <v>301</v>
      </c>
      <c r="G71" s="922" t="s">
        <v>863</v>
      </c>
      <c r="H71" s="314" t="s">
        <v>853</v>
      </c>
      <c r="I71" s="464"/>
      <c r="J71" s="254"/>
      <c r="L71" t="s">
        <v>864</v>
      </c>
      <c r="M71" s="710" t="s">
        <v>865</v>
      </c>
      <c r="O71" t="s">
        <v>2</v>
      </c>
      <c r="Q71" t="str">
        <f t="shared" si="2"/>
        <v>MTO</v>
      </c>
      <c r="R71" t="str">
        <f t="shared" si="3"/>
        <v>MTO</v>
      </c>
    </row>
    <row r="72" spans="1:18" x14ac:dyDescent="0.35">
      <c r="A72" s="914" t="s">
        <v>298</v>
      </c>
      <c r="B72" s="19" t="s">
        <v>617</v>
      </c>
      <c r="C72" s="284" t="s">
        <v>298</v>
      </c>
      <c r="D72" s="284" t="s">
        <v>298</v>
      </c>
      <c r="E72" s="914" t="s">
        <v>298</v>
      </c>
      <c r="F72" s="914" t="s">
        <v>298</v>
      </c>
      <c r="G72" s="922" t="s">
        <v>866</v>
      </c>
      <c r="H72" s="314" t="s">
        <v>853</v>
      </c>
      <c r="I72" s="254"/>
      <c r="J72" s="254"/>
      <c r="L72" t="s">
        <v>867</v>
      </c>
      <c r="M72" s="710" t="s">
        <v>868</v>
      </c>
      <c r="O72" t="s">
        <v>2</v>
      </c>
      <c r="Q72" t="str">
        <f t="shared" si="2"/>
        <v>MTO</v>
      </c>
      <c r="R72" t="str">
        <f t="shared" si="3"/>
        <v>MTO</v>
      </c>
    </row>
    <row r="73" spans="1:18" x14ac:dyDescent="0.35">
      <c r="A73" s="914" t="s">
        <v>869</v>
      </c>
      <c r="B73" s="19" t="s">
        <v>617</v>
      </c>
      <c r="C73" s="284" t="s">
        <v>869</v>
      </c>
      <c r="D73" s="284" t="s">
        <v>869</v>
      </c>
      <c r="E73" s="914" t="s">
        <v>869</v>
      </c>
      <c r="F73" s="914" t="s">
        <v>869</v>
      </c>
      <c r="G73" s="922" t="s">
        <v>870</v>
      </c>
      <c r="H73" s="314" t="s">
        <v>853</v>
      </c>
      <c r="I73" s="254"/>
      <c r="J73" s="254"/>
      <c r="L73" t="s">
        <v>871</v>
      </c>
      <c r="M73" s="710" t="s">
        <v>872</v>
      </c>
      <c r="O73" t="s">
        <v>2</v>
      </c>
      <c r="Q73" t="str">
        <f t="shared" si="2"/>
        <v>MTO</v>
      </c>
      <c r="R73" t="str">
        <f t="shared" si="3"/>
        <v>MTO</v>
      </c>
    </row>
    <row r="74" spans="1:18" x14ac:dyDescent="0.35">
      <c r="A74" s="914" t="s">
        <v>873</v>
      </c>
      <c r="B74" s="19" t="s">
        <v>617</v>
      </c>
      <c r="C74" s="284" t="s">
        <v>873</v>
      </c>
      <c r="D74" s="284" t="s">
        <v>873</v>
      </c>
      <c r="E74" s="914" t="s">
        <v>873</v>
      </c>
      <c r="F74" s="914" t="s">
        <v>873</v>
      </c>
      <c r="G74" s="922" t="s">
        <v>874</v>
      </c>
      <c r="H74" s="314" t="s">
        <v>698</v>
      </c>
      <c r="I74" s="254"/>
      <c r="J74" s="254"/>
      <c r="L74" t="s">
        <v>875</v>
      </c>
      <c r="M74" s="710" t="s">
        <v>876</v>
      </c>
      <c r="O74" t="s">
        <v>2</v>
      </c>
      <c r="Q74" t="str">
        <f t="shared" si="2"/>
        <v>MTO</v>
      </c>
      <c r="R74" t="str">
        <f t="shared" si="3"/>
        <v>MTO</v>
      </c>
    </row>
    <row r="75" spans="1:18" ht="29" x14ac:dyDescent="0.35">
      <c r="A75" s="914" t="s">
        <v>877</v>
      </c>
      <c r="B75" s="19" t="s">
        <v>617</v>
      </c>
      <c r="C75" s="284" t="s">
        <v>877</v>
      </c>
      <c r="D75" s="284" t="s">
        <v>877</v>
      </c>
      <c r="E75" s="914" t="s">
        <v>877</v>
      </c>
      <c r="F75" s="914" t="s">
        <v>877</v>
      </c>
      <c r="G75" s="922" t="s">
        <v>878</v>
      </c>
      <c r="H75" s="314" t="s">
        <v>698</v>
      </c>
      <c r="I75" s="254"/>
      <c r="J75" s="254"/>
      <c r="L75" t="s">
        <v>879</v>
      </c>
      <c r="M75" s="710" t="s">
        <v>880</v>
      </c>
      <c r="O75" t="s">
        <v>2</v>
      </c>
      <c r="Q75" t="str">
        <f t="shared" si="2"/>
        <v>MTO</v>
      </c>
      <c r="R75" t="str">
        <f t="shared" si="3"/>
        <v>MTO</v>
      </c>
    </row>
    <row r="76" spans="1:18" ht="29" x14ac:dyDescent="0.35">
      <c r="A76" s="914" t="s">
        <v>881</v>
      </c>
      <c r="B76" s="19" t="s">
        <v>617</v>
      </c>
      <c r="C76" s="284" t="s">
        <v>881</v>
      </c>
      <c r="D76" s="284" t="s">
        <v>881</v>
      </c>
      <c r="E76" s="914" t="s">
        <v>881</v>
      </c>
      <c r="F76" s="914" t="s">
        <v>881</v>
      </c>
      <c r="G76" s="922" t="s">
        <v>882</v>
      </c>
      <c r="H76" s="314" t="s">
        <v>698</v>
      </c>
      <c r="I76" s="254"/>
      <c r="J76" s="254"/>
      <c r="L76" t="s">
        <v>883</v>
      </c>
      <c r="M76" s="710" t="s">
        <v>884</v>
      </c>
      <c r="O76" t="s">
        <v>2</v>
      </c>
      <c r="Q76" t="str">
        <f t="shared" si="2"/>
        <v>MTO</v>
      </c>
      <c r="R76" t="str">
        <f t="shared" si="3"/>
        <v>MTO</v>
      </c>
    </row>
    <row r="77" spans="1:18" x14ac:dyDescent="0.35">
      <c r="A77" s="914" t="s">
        <v>885</v>
      </c>
      <c r="B77" s="19" t="s">
        <v>617</v>
      </c>
      <c r="C77" s="284" t="s">
        <v>885</v>
      </c>
      <c r="D77" s="284" t="s">
        <v>885</v>
      </c>
      <c r="E77" s="914" t="s">
        <v>885</v>
      </c>
      <c r="F77" s="914" t="s">
        <v>885</v>
      </c>
      <c r="G77" s="922" t="s">
        <v>886</v>
      </c>
      <c r="H77" s="314" t="s">
        <v>698</v>
      </c>
      <c r="I77" s="254"/>
      <c r="J77" s="254"/>
      <c r="L77" t="s">
        <v>887</v>
      </c>
      <c r="M77" s="710" t="s">
        <v>888</v>
      </c>
      <c r="O77" t="s">
        <v>2</v>
      </c>
      <c r="Q77" t="str">
        <f t="shared" si="2"/>
        <v>MTO</v>
      </c>
      <c r="R77" t="str">
        <f t="shared" si="3"/>
        <v>MTO</v>
      </c>
    </row>
    <row r="78" spans="1:18" ht="58" x14ac:dyDescent="0.35">
      <c r="A78" s="914" t="s">
        <v>889</v>
      </c>
      <c r="B78" s="19" t="s">
        <v>617</v>
      </c>
      <c r="C78" s="284" t="s">
        <v>889</v>
      </c>
      <c r="D78" s="284" t="s">
        <v>889</v>
      </c>
      <c r="E78" s="914" t="s">
        <v>889</v>
      </c>
      <c r="F78" s="914" t="s">
        <v>889</v>
      </c>
      <c r="G78" s="922" t="s">
        <v>890</v>
      </c>
      <c r="H78" s="314" t="s">
        <v>853</v>
      </c>
      <c r="I78" s="254"/>
      <c r="J78" s="254"/>
      <c r="L78" t="s">
        <v>891</v>
      </c>
      <c r="M78" s="710" t="s">
        <v>892</v>
      </c>
      <c r="O78" t="s">
        <v>2</v>
      </c>
      <c r="Q78" t="str">
        <f t="shared" si="2"/>
        <v>MTO</v>
      </c>
      <c r="R78" t="str">
        <f t="shared" si="3"/>
        <v>MTO</v>
      </c>
    </row>
    <row r="79" spans="1:18" ht="43.5" x14ac:dyDescent="0.35">
      <c r="A79" s="914" t="s">
        <v>893</v>
      </c>
      <c r="B79" s="19" t="s">
        <v>617</v>
      </c>
      <c r="C79" s="284" t="s">
        <v>893</v>
      </c>
      <c r="D79" s="284" t="s">
        <v>893</v>
      </c>
      <c r="E79" s="914" t="s">
        <v>893</v>
      </c>
      <c r="F79" s="914" t="s">
        <v>893</v>
      </c>
      <c r="G79" s="922" t="s">
        <v>894</v>
      </c>
      <c r="H79" s="635" t="s">
        <v>853</v>
      </c>
      <c r="I79" s="254"/>
      <c r="J79" s="254"/>
      <c r="L79" t="s">
        <v>895</v>
      </c>
      <c r="M79" s="710" t="s">
        <v>896</v>
      </c>
      <c r="O79" t="s">
        <v>2</v>
      </c>
      <c r="Q79" t="str">
        <f t="shared" si="2"/>
        <v>MTO</v>
      </c>
      <c r="R79" t="str">
        <f t="shared" si="3"/>
        <v>MTO</v>
      </c>
    </row>
    <row r="80" spans="1:18" ht="29.5" thickBot="1" x14ac:dyDescent="0.4">
      <c r="A80" s="920" t="s">
        <v>897</v>
      </c>
      <c r="B80" s="103" t="s">
        <v>617</v>
      </c>
      <c r="C80" s="504" t="s">
        <v>897</v>
      </c>
      <c r="D80" s="504" t="s">
        <v>897</v>
      </c>
      <c r="E80" s="920" t="s">
        <v>897</v>
      </c>
      <c r="F80" s="920" t="s">
        <v>897</v>
      </c>
      <c r="G80" s="923" t="s">
        <v>898</v>
      </c>
      <c r="H80" s="635" t="s">
        <v>853</v>
      </c>
      <c r="I80" s="254"/>
      <c r="J80" s="678"/>
      <c r="L80" t="s">
        <v>899</v>
      </c>
      <c r="M80" s="710" t="s">
        <v>900</v>
      </c>
      <c r="O80" t="s">
        <v>2</v>
      </c>
      <c r="Q80" t="str">
        <f t="shared" si="2"/>
        <v>MTO</v>
      </c>
      <c r="R80" t="str">
        <f t="shared" si="3"/>
        <v>MTO</v>
      </c>
    </row>
    <row r="81" spans="1:18" ht="43.5" x14ac:dyDescent="0.35">
      <c r="A81" s="472" t="s">
        <v>901</v>
      </c>
      <c r="B81" s="329" t="s">
        <v>902</v>
      </c>
      <c r="C81" s="500" t="s">
        <v>901</v>
      </c>
      <c r="D81" s="498" t="s">
        <v>901</v>
      </c>
      <c r="E81" s="472" t="s">
        <v>901</v>
      </c>
      <c r="F81" s="472" t="s">
        <v>901</v>
      </c>
      <c r="G81" s="458" t="s">
        <v>903</v>
      </c>
      <c r="I81" s="254"/>
      <c r="L81" t="s">
        <v>904</v>
      </c>
      <c r="M81" s="710" t="s">
        <v>905</v>
      </c>
      <c r="O81" t="s">
        <v>2</v>
      </c>
      <c r="Q81" t="str">
        <f t="shared" si="2"/>
        <v>MTO</v>
      </c>
      <c r="R81" t="str">
        <f t="shared" si="3"/>
        <v>MTO</v>
      </c>
    </row>
    <row r="82" spans="1:18" ht="29" x14ac:dyDescent="0.35">
      <c r="A82" s="915" t="s">
        <v>906</v>
      </c>
      <c r="B82" s="93" t="s">
        <v>907</v>
      </c>
      <c r="C82" s="601" t="s">
        <v>906</v>
      </c>
      <c r="D82" s="601" t="s">
        <v>906</v>
      </c>
      <c r="E82" s="915" t="s">
        <v>906</v>
      </c>
      <c r="F82" s="915" t="s">
        <v>906</v>
      </c>
      <c r="G82" s="111" t="s">
        <v>908</v>
      </c>
      <c r="I82" s="678"/>
      <c r="L82" t="s">
        <v>909</v>
      </c>
      <c r="M82" s="710" t="s">
        <v>910</v>
      </c>
      <c r="O82" t="s">
        <v>2</v>
      </c>
      <c r="Q82" t="str">
        <f t="shared" si="2"/>
        <v>MTO</v>
      </c>
      <c r="R82" t="str">
        <f t="shared" si="3"/>
        <v>MTO</v>
      </c>
    </row>
    <row r="83" spans="1:18" ht="58" x14ac:dyDescent="0.35">
      <c r="A83" s="914" t="s">
        <v>911</v>
      </c>
      <c r="B83" s="93" t="s">
        <v>912</v>
      </c>
      <c r="C83" s="284" t="s">
        <v>911</v>
      </c>
      <c r="D83" s="284" t="s">
        <v>911</v>
      </c>
      <c r="E83" s="914" t="s">
        <v>911</v>
      </c>
      <c r="F83" s="914" t="s">
        <v>911</v>
      </c>
      <c r="G83" s="111" t="s">
        <v>913</v>
      </c>
      <c r="L83" t="s">
        <v>914</v>
      </c>
      <c r="M83" s="710" t="s">
        <v>915</v>
      </c>
      <c r="O83" t="s">
        <v>2</v>
      </c>
      <c r="Q83" t="str">
        <f t="shared" si="2"/>
        <v>MTO</v>
      </c>
      <c r="R83" t="str">
        <f t="shared" si="3"/>
        <v>MTO</v>
      </c>
    </row>
    <row r="84" spans="1:18" ht="29" x14ac:dyDescent="0.35">
      <c r="A84" s="914" t="s">
        <v>916</v>
      </c>
      <c r="B84" s="93" t="s">
        <v>917</v>
      </c>
      <c r="C84" s="284" t="s">
        <v>916</v>
      </c>
      <c r="D84" s="284" t="s">
        <v>916</v>
      </c>
      <c r="E84" s="914" t="s">
        <v>916</v>
      </c>
      <c r="F84" s="914" t="s">
        <v>916</v>
      </c>
      <c r="G84" s="111" t="s">
        <v>918</v>
      </c>
      <c r="L84" t="s">
        <v>919</v>
      </c>
      <c r="M84" s="710" t="s">
        <v>920</v>
      </c>
      <c r="O84" t="s">
        <v>2</v>
      </c>
      <c r="Q84" t="str">
        <f t="shared" si="2"/>
        <v>MTO</v>
      </c>
      <c r="R84" t="str">
        <f t="shared" si="3"/>
        <v>MTO</v>
      </c>
    </row>
    <row r="85" spans="1:18" ht="29" x14ac:dyDescent="0.35">
      <c r="A85" s="924" t="s">
        <v>921</v>
      </c>
      <c r="B85" s="93" t="s">
        <v>922</v>
      </c>
      <c r="C85" s="284" t="s">
        <v>921</v>
      </c>
      <c r="D85" s="508" t="s">
        <v>921</v>
      </c>
      <c r="E85" s="924" t="s">
        <v>921</v>
      </c>
      <c r="F85" s="924" t="s">
        <v>921</v>
      </c>
      <c r="G85" s="642" t="s">
        <v>923</v>
      </c>
      <c r="J85" s="465"/>
      <c r="L85" t="s">
        <v>924</v>
      </c>
      <c r="M85" s="710" t="s">
        <v>925</v>
      </c>
      <c r="P85" t="s">
        <v>4</v>
      </c>
      <c r="Q85" t="str">
        <f t="shared" si="2"/>
        <v>STO</v>
      </c>
      <c r="R85" t="str">
        <f t="shared" si="3"/>
        <v>STO</v>
      </c>
    </row>
    <row r="86" spans="1:18" x14ac:dyDescent="0.35">
      <c r="A86" s="914" t="s">
        <v>926</v>
      </c>
      <c r="B86" s="93" t="s">
        <v>927</v>
      </c>
      <c r="C86" s="284" t="s">
        <v>926</v>
      </c>
      <c r="D86" s="284" t="s">
        <v>926</v>
      </c>
      <c r="E86" s="914" t="s">
        <v>926</v>
      </c>
      <c r="F86" s="914" t="s">
        <v>926</v>
      </c>
      <c r="G86" s="111" t="s">
        <v>928</v>
      </c>
      <c r="J86" s="464"/>
      <c r="L86" t="s">
        <v>929</v>
      </c>
      <c r="M86" s="710" t="s">
        <v>930</v>
      </c>
      <c r="O86" t="s">
        <v>2</v>
      </c>
      <c r="Q86" t="str">
        <f t="shared" si="2"/>
        <v>MTO</v>
      </c>
      <c r="R86" t="str">
        <f t="shared" si="3"/>
        <v>MTO</v>
      </c>
    </row>
    <row r="87" spans="1:18" ht="43.5" x14ac:dyDescent="0.35">
      <c r="A87" s="914" t="s">
        <v>931</v>
      </c>
      <c r="B87" s="602" t="s">
        <v>932</v>
      </c>
      <c r="C87" s="284" t="s">
        <v>931</v>
      </c>
      <c r="D87" s="284" t="s">
        <v>931</v>
      </c>
      <c r="E87" s="914" t="s">
        <v>931</v>
      </c>
      <c r="F87" s="914" t="s">
        <v>931</v>
      </c>
      <c r="G87" s="111" t="s">
        <v>933</v>
      </c>
      <c r="I87" s="465"/>
      <c r="J87" s="464"/>
      <c r="L87" t="s">
        <v>934</v>
      </c>
      <c r="M87" s="710" t="s">
        <v>935</v>
      </c>
      <c r="O87" t="s">
        <v>2</v>
      </c>
      <c r="Q87" t="str">
        <f t="shared" si="2"/>
        <v>MTO</v>
      </c>
      <c r="R87" t="str">
        <f t="shared" si="3"/>
        <v>MTO</v>
      </c>
    </row>
    <row r="88" spans="1:18" x14ac:dyDescent="0.35">
      <c r="A88" s="925" t="s">
        <v>936</v>
      </c>
      <c r="B88" s="603" t="s">
        <v>937</v>
      </c>
      <c r="C88" s="284" t="s">
        <v>936</v>
      </c>
      <c r="D88" s="611" t="s">
        <v>936</v>
      </c>
      <c r="E88" s="925" t="s">
        <v>936</v>
      </c>
      <c r="F88" s="925" t="s">
        <v>936</v>
      </c>
      <c r="G88" s="628" t="s">
        <v>938</v>
      </c>
      <c r="I88" s="464"/>
      <c r="J88" s="464"/>
      <c r="L88" t="s">
        <v>939</v>
      </c>
      <c r="M88" s="710" t="s">
        <v>940</v>
      </c>
      <c r="O88" t="s">
        <v>2</v>
      </c>
      <c r="Q88" t="str">
        <f t="shared" si="2"/>
        <v>MTO</v>
      </c>
      <c r="R88" t="str">
        <f t="shared" si="3"/>
        <v>MTO</v>
      </c>
    </row>
    <row r="89" spans="1:18" ht="43.5" x14ac:dyDescent="0.35">
      <c r="A89" s="924" t="s">
        <v>941</v>
      </c>
      <c r="B89" s="93" t="s">
        <v>942</v>
      </c>
      <c r="C89" s="284" t="s">
        <v>941</v>
      </c>
      <c r="D89" s="508" t="s">
        <v>941</v>
      </c>
      <c r="E89" s="924" t="s">
        <v>941</v>
      </c>
      <c r="F89" s="924" t="s">
        <v>941</v>
      </c>
      <c r="G89" s="642" t="s">
        <v>943</v>
      </c>
      <c r="I89" s="464"/>
      <c r="J89" s="464"/>
      <c r="L89" t="s">
        <v>944</v>
      </c>
      <c r="M89" s="710" t="s">
        <v>945</v>
      </c>
      <c r="O89" t="s">
        <v>2</v>
      </c>
      <c r="Q89" t="str">
        <f t="shared" si="2"/>
        <v>MTO</v>
      </c>
      <c r="R89" t="str">
        <f t="shared" si="3"/>
        <v>MTO</v>
      </c>
    </row>
    <row r="90" spans="1:18" ht="29" x14ac:dyDescent="0.35">
      <c r="A90" s="914" t="s">
        <v>946</v>
      </c>
      <c r="B90" s="93" t="s">
        <v>947</v>
      </c>
      <c r="C90" s="284" t="s">
        <v>946</v>
      </c>
      <c r="D90" s="284" t="s">
        <v>946</v>
      </c>
      <c r="E90" s="914" t="s">
        <v>946</v>
      </c>
      <c r="F90" s="914" t="s">
        <v>946</v>
      </c>
      <c r="G90" s="111" t="s">
        <v>948</v>
      </c>
      <c r="I90" s="464"/>
      <c r="J90" s="464"/>
      <c r="L90" t="s">
        <v>949</v>
      </c>
      <c r="M90" s="710" t="s">
        <v>950</v>
      </c>
      <c r="P90" t="s">
        <v>4</v>
      </c>
      <c r="Q90" t="str">
        <f t="shared" si="2"/>
        <v>STO</v>
      </c>
      <c r="R90" t="str">
        <f t="shared" si="3"/>
        <v>STO</v>
      </c>
    </row>
    <row r="91" spans="1:18" ht="29" x14ac:dyDescent="0.35">
      <c r="A91" s="914" t="s">
        <v>951</v>
      </c>
      <c r="B91" s="93" t="s">
        <v>952</v>
      </c>
      <c r="C91" s="284" t="s">
        <v>951</v>
      </c>
      <c r="D91" s="284" t="s">
        <v>951</v>
      </c>
      <c r="E91" s="914" t="s">
        <v>951</v>
      </c>
      <c r="F91" s="914" t="s">
        <v>951</v>
      </c>
      <c r="G91" s="111" t="s">
        <v>953</v>
      </c>
      <c r="I91" s="464"/>
      <c r="J91" s="464"/>
      <c r="L91" t="s">
        <v>954</v>
      </c>
      <c r="M91" s="710" t="s">
        <v>955</v>
      </c>
      <c r="P91" t="s">
        <v>4</v>
      </c>
      <c r="Q91" t="str">
        <f t="shared" si="2"/>
        <v>STO</v>
      </c>
      <c r="R91" t="str">
        <f t="shared" si="3"/>
        <v>STO</v>
      </c>
    </row>
    <row r="92" spans="1:18" ht="29.5" thickBot="1" x14ac:dyDescent="0.4">
      <c r="A92" s="920" t="s">
        <v>956</v>
      </c>
      <c r="B92" s="396" t="s">
        <v>932</v>
      </c>
      <c r="C92" s="510" t="s">
        <v>956</v>
      </c>
      <c r="D92" s="504" t="s">
        <v>956</v>
      </c>
      <c r="E92" s="920" t="s">
        <v>956</v>
      </c>
      <c r="F92" s="920" t="s">
        <v>956</v>
      </c>
      <c r="G92" s="724" t="s">
        <v>957</v>
      </c>
      <c r="I92" s="464"/>
      <c r="J92" s="464"/>
      <c r="L92" t="s">
        <v>958</v>
      </c>
      <c r="M92" s="710" t="s">
        <v>959</v>
      </c>
      <c r="O92" t="s">
        <v>2</v>
      </c>
      <c r="Q92" t="str">
        <f t="shared" si="2"/>
        <v>MTO</v>
      </c>
      <c r="R92" t="str">
        <f t="shared" si="3"/>
        <v>MTO</v>
      </c>
    </row>
    <row r="93" spans="1:18" ht="46.5" x14ac:dyDescent="0.35">
      <c r="A93" s="691" t="s">
        <v>388</v>
      </c>
      <c r="B93" s="604" t="s">
        <v>617</v>
      </c>
      <c r="C93" s="582" t="s">
        <v>388</v>
      </c>
      <c r="D93" s="621" t="s">
        <v>388</v>
      </c>
      <c r="E93" s="691" t="s">
        <v>388</v>
      </c>
      <c r="F93" s="691" t="s">
        <v>388</v>
      </c>
      <c r="G93" s="402" t="s">
        <v>960</v>
      </c>
      <c r="H93" t="s">
        <v>853</v>
      </c>
      <c r="I93" s="464"/>
      <c r="J93" s="464"/>
      <c r="L93" t="s">
        <v>961</v>
      </c>
      <c r="M93" s="710" t="s">
        <v>962</v>
      </c>
      <c r="P93" t="s">
        <v>4</v>
      </c>
      <c r="Q93" t="str">
        <f t="shared" si="2"/>
        <v>STO</v>
      </c>
      <c r="R93" t="str">
        <f t="shared" si="3"/>
        <v>STO</v>
      </c>
    </row>
    <row r="94" spans="1:18" x14ac:dyDescent="0.35">
      <c r="A94" s="914" t="s">
        <v>385</v>
      </c>
      <c r="B94" s="93" t="s">
        <v>617</v>
      </c>
      <c r="C94" s="284" t="s">
        <v>385</v>
      </c>
      <c r="D94" s="284" t="s">
        <v>385</v>
      </c>
      <c r="E94" s="914" t="s">
        <v>385</v>
      </c>
      <c r="F94" s="914" t="s">
        <v>385</v>
      </c>
      <c r="G94" s="111" t="s">
        <v>963</v>
      </c>
      <c r="H94" t="s">
        <v>853</v>
      </c>
      <c r="I94" s="464"/>
      <c r="J94" s="464"/>
      <c r="L94" t="s">
        <v>964</v>
      </c>
      <c r="M94" s="710" t="s">
        <v>965</v>
      </c>
      <c r="P94" t="s">
        <v>4</v>
      </c>
      <c r="Q94" t="str">
        <f t="shared" si="2"/>
        <v>STO</v>
      </c>
      <c r="R94" t="str">
        <f t="shared" si="3"/>
        <v>STO</v>
      </c>
    </row>
    <row r="95" spans="1:18" ht="29" x14ac:dyDescent="0.35">
      <c r="A95" s="914" t="s">
        <v>966</v>
      </c>
      <c r="B95" s="93" t="s">
        <v>617</v>
      </c>
      <c r="C95" s="284" t="s">
        <v>966</v>
      </c>
      <c r="D95" s="284" t="s">
        <v>966</v>
      </c>
      <c r="E95" s="914" t="s">
        <v>966</v>
      </c>
      <c r="F95" s="914" t="s">
        <v>966</v>
      </c>
      <c r="G95" s="111" t="s">
        <v>967</v>
      </c>
      <c r="H95" t="s">
        <v>853</v>
      </c>
      <c r="I95" s="464"/>
      <c r="J95" s="464"/>
      <c r="L95" t="s">
        <v>968</v>
      </c>
      <c r="M95" s="710" t="s">
        <v>969</v>
      </c>
      <c r="P95" t="s">
        <v>4</v>
      </c>
      <c r="Q95" t="str">
        <f t="shared" si="2"/>
        <v>STO</v>
      </c>
      <c r="R95" t="str">
        <f t="shared" si="3"/>
        <v>STO</v>
      </c>
    </row>
    <row r="96" spans="1:18" ht="29" x14ac:dyDescent="0.35">
      <c r="A96" s="914" t="s">
        <v>970</v>
      </c>
      <c r="B96" s="93" t="s">
        <v>617</v>
      </c>
      <c r="C96" s="284" t="s">
        <v>970</v>
      </c>
      <c r="D96" s="284" t="s">
        <v>970</v>
      </c>
      <c r="E96" s="914" t="s">
        <v>970</v>
      </c>
      <c r="F96" s="914" t="s">
        <v>970</v>
      </c>
      <c r="G96" s="111" t="s">
        <v>971</v>
      </c>
      <c r="H96" t="s">
        <v>853</v>
      </c>
      <c r="I96" s="464"/>
      <c r="J96" s="464"/>
      <c r="L96" t="s">
        <v>972</v>
      </c>
      <c r="M96" s="710" t="s">
        <v>973</v>
      </c>
      <c r="P96" t="s">
        <v>4</v>
      </c>
      <c r="Q96" t="str">
        <f t="shared" si="2"/>
        <v>STO</v>
      </c>
      <c r="R96" t="str">
        <f t="shared" si="3"/>
        <v>STO</v>
      </c>
    </row>
    <row r="97" spans="1:18" ht="29" x14ac:dyDescent="0.35">
      <c r="A97" s="914" t="s">
        <v>387</v>
      </c>
      <c r="B97" s="93" t="s">
        <v>617</v>
      </c>
      <c r="C97" s="284" t="s">
        <v>387</v>
      </c>
      <c r="D97" s="284" t="s">
        <v>387</v>
      </c>
      <c r="E97" s="914" t="s">
        <v>387</v>
      </c>
      <c r="F97" s="914" t="s">
        <v>387</v>
      </c>
      <c r="G97" s="111" t="s">
        <v>974</v>
      </c>
      <c r="H97" t="s">
        <v>853</v>
      </c>
      <c r="I97" s="464"/>
      <c r="J97" s="464"/>
      <c r="L97" t="s">
        <v>975</v>
      </c>
      <c r="M97" s="710" t="s">
        <v>976</v>
      </c>
      <c r="P97" t="s">
        <v>4</v>
      </c>
      <c r="Q97" t="str">
        <f t="shared" si="2"/>
        <v>STO</v>
      </c>
      <c r="R97" t="str">
        <f t="shared" si="3"/>
        <v>STO</v>
      </c>
    </row>
    <row r="98" spans="1:18" x14ac:dyDescent="0.35">
      <c r="A98" s="914" t="s">
        <v>977</v>
      </c>
      <c r="B98" s="93" t="s">
        <v>617</v>
      </c>
      <c r="C98" s="284" t="s">
        <v>977</v>
      </c>
      <c r="D98" s="284" t="s">
        <v>977</v>
      </c>
      <c r="E98" s="914" t="s">
        <v>977</v>
      </c>
      <c r="F98" s="914" t="s">
        <v>977</v>
      </c>
      <c r="G98" s="111" t="s">
        <v>978</v>
      </c>
      <c r="H98" t="s">
        <v>698</v>
      </c>
      <c r="I98" s="464"/>
      <c r="J98" s="464"/>
      <c r="L98" t="s">
        <v>979</v>
      </c>
      <c r="M98" s="710" t="s">
        <v>980</v>
      </c>
      <c r="P98" t="s">
        <v>4</v>
      </c>
      <c r="Q98" t="str">
        <f t="shared" si="2"/>
        <v>STO</v>
      </c>
      <c r="R98" t="str">
        <f t="shared" si="3"/>
        <v>STO</v>
      </c>
    </row>
    <row r="99" spans="1:18" ht="29" x14ac:dyDescent="0.35">
      <c r="A99" s="914" t="s">
        <v>981</v>
      </c>
      <c r="B99" s="93" t="s">
        <v>617</v>
      </c>
      <c r="C99" s="284" t="s">
        <v>981</v>
      </c>
      <c r="D99" s="284" t="s">
        <v>981</v>
      </c>
      <c r="E99" s="914" t="s">
        <v>981</v>
      </c>
      <c r="F99" s="914" t="s">
        <v>981</v>
      </c>
      <c r="G99" s="111" t="s">
        <v>982</v>
      </c>
      <c r="H99" t="s">
        <v>698</v>
      </c>
      <c r="I99" s="464"/>
      <c r="L99" t="s">
        <v>983</v>
      </c>
      <c r="M99" s="710" t="s">
        <v>984</v>
      </c>
      <c r="P99" t="s">
        <v>4</v>
      </c>
      <c r="Q99" t="str">
        <f t="shared" si="2"/>
        <v>STO</v>
      </c>
      <c r="R99" t="str">
        <f t="shared" si="3"/>
        <v>STO</v>
      </c>
    </row>
    <row r="100" spans="1:18" ht="29" x14ac:dyDescent="0.35">
      <c r="A100" s="914" t="s">
        <v>985</v>
      </c>
      <c r="B100" s="93" t="s">
        <v>617</v>
      </c>
      <c r="C100" s="284" t="s">
        <v>985</v>
      </c>
      <c r="D100" s="284" t="s">
        <v>985</v>
      </c>
      <c r="E100" s="914" t="s">
        <v>985</v>
      </c>
      <c r="F100" s="914" t="s">
        <v>985</v>
      </c>
      <c r="G100" s="111" t="s">
        <v>986</v>
      </c>
      <c r="H100" t="s">
        <v>853</v>
      </c>
      <c r="I100" s="464"/>
      <c r="L100" t="s">
        <v>987</v>
      </c>
      <c r="M100" s="710" t="s">
        <v>988</v>
      </c>
      <c r="P100" t="s">
        <v>4</v>
      </c>
      <c r="Q100" t="str">
        <f t="shared" si="2"/>
        <v>STO</v>
      </c>
      <c r="R100" t="str">
        <f t="shared" si="3"/>
        <v>STO</v>
      </c>
    </row>
    <row r="101" spans="1:18" ht="43.5" x14ac:dyDescent="0.35">
      <c r="A101" s="924" t="s">
        <v>386</v>
      </c>
      <c r="B101" s="93" t="s">
        <v>617</v>
      </c>
      <c r="C101" s="284" t="s">
        <v>386</v>
      </c>
      <c r="D101" s="508" t="s">
        <v>386</v>
      </c>
      <c r="E101" s="924" t="s">
        <v>386</v>
      </c>
      <c r="F101" s="924" t="s">
        <v>386</v>
      </c>
      <c r="G101" s="538" t="s">
        <v>989</v>
      </c>
      <c r="H101" t="s">
        <v>853</v>
      </c>
      <c r="L101" t="s">
        <v>990</v>
      </c>
      <c r="M101" s="710" t="s">
        <v>991</v>
      </c>
      <c r="P101" t="s">
        <v>4</v>
      </c>
      <c r="Q101" t="str">
        <f t="shared" si="2"/>
        <v>STO</v>
      </c>
      <c r="R101" t="str">
        <f t="shared" si="3"/>
        <v>STO</v>
      </c>
    </row>
    <row r="102" spans="1:18" ht="29" x14ac:dyDescent="0.35">
      <c r="A102" s="926" t="s">
        <v>992</v>
      </c>
      <c r="B102" s="93" t="s">
        <v>617</v>
      </c>
      <c r="C102" s="605" t="s">
        <v>992</v>
      </c>
      <c r="D102" s="622" t="s">
        <v>992</v>
      </c>
      <c r="E102" s="926" t="s">
        <v>992</v>
      </c>
      <c r="F102" s="926" t="s">
        <v>992</v>
      </c>
      <c r="G102" s="725" t="s">
        <v>993</v>
      </c>
      <c r="H102" t="s">
        <v>853</v>
      </c>
      <c r="J102" s="465"/>
      <c r="L102" t="s">
        <v>994</v>
      </c>
      <c r="M102" s="710" t="s">
        <v>995</v>
      </c>
      <c r="P102" t="s">
        <v>4</v>
      </c>
      <c r="Q102" t="str">
        <f t="shared" si="2"/>
        <v>STO</v>
      </c>
      <c r="R102" t="str">
        <f t="shared" si="3"/>
        <v>STO</v>
      </c>
    </row>
    <row r="103" spans="1:18" ht="29" x14ac:dyDescent="0.35">
      <c r="A103" s="927" t="s">
        <v>996</v>
      </c>
      <c r="B103" s="93" t="s">
        <v>617</v>
      </c>
      <c r="C103" s="605" t="s">
        <v>996</v>
      </c>
      <c r="D103" s="623" t="s">
        <v>996</v>
      </c>
      <c r="E103" s="927" t="s">
        <v>996</v>
      </c>
      <c r="F103" s="927" t="s">
        <v>996</v>
      </c>
      <c r="G103" s="111" t="s">
        <v>997</v>
      </c>
      <c r="H103" t="s">
        <v>853</v>
      </c>
      <c r="J103" s="464"/>
      <c r="L103" t="s">
        <v>998</v>
      </c>
      <c r="M103" s="710" t="s">
        <v>999</v>
      </c>
      <c r="P103" t="s">
        <v>4</v>
      </c>
      <c r="Q103" t="str">
        <f t="shared" si="2"/>
        <v>STO</v>
      </c>
      <c r="R103" t="str">
        <f t="shared" si="3"/>
        <v>STO</v>
      </c>
    </row>
    <row r="104" spans="1:18" ht="44" thickBot="1" x14ac:dyDescent="0.4">
      <c r="A104" s="928" t="s">
        <v>1000</v>
      </c>
      <c r="B104" s="93" t="s">
        <v>617</v>
      </c>
      <c r="C104" s="605" t="s">
        <v>1000</v>
      </c>
      <c r="D104" s="624" t="s">
        <v>1000</v>
      </c>
      <c r="E104" s="928" t="s">
        <v>1000</v>
      </c>
      <c r="F104" s="928" t="s">
        <v>1000</v>
      </c>
      <c r="G104" s="726" t="s">
        <v>1001</v>
      </c>
      <c r="H104" t="s">
        <v>853</v>
      </c>
      <c r="I104" s="465"/>
      <c r="J104" s="464"/>
      <c r="L104" t="s">
        <v>1002</v>
      </c>
      <c r="M104" s="710" t="s">
        <v>1003</v>
      </c>
      <c r="P104" t="s">
        <v>4</v>
      </c>
      <c r="Q104" t="str">
        <f t="shared" si="2"/>
        <v>STO</v>
      </c>
      <c r="R104" t="str">
        <f t="shared" si="3"/>
        <v>STO</v>
      </c>
    </row>
    <row r="105" spans="1:18" x14ac:dyDescent="0.35">
      <c r="A105" s="530" t="s">
        <v>1004</v>
      </c>
      <c r="B105" s="92" t="s">
        <v>1005</v>
      </c>
      <c r="C105" s="606" t="s">
        <v>1004</v>
      </c>
      <c r="D105" s="606" t="s">
        <v>1004</v>
      </c>
      <c r="E105" s="530" t="s">
        <v>1004</v>
      </c>
      <c r="F105" s="530" t="s">
        <v>1004</v>
      </c>
      <c r="G105" s="113" t="s">
        <v>1006</v>
      </c>
      <c r="I105" s="464"/>
      <c r="J105" s="463"/>
      <c r="L105" t="s">
        <v>1007</v>
      </c>
      <c r="M105" s="710" t="s">
        <v>1008</v>
      </c>
      <c r="P105" t="s">
        <v>4</v>
      </c>
      <c r="Q105" t="str">
        <f t="shared" si="2"/>
        <v>STO</v>
      </c>
      <c r="R105" t="str">
        <f t="shared" si="3"/>
        <v>STO</v>
      </c>
    </row>
    <row r="106" spans="1:18" ht="29" x14ac:dyDescent="0.35">
      <c r="A106" s="924" t="s">
        <v>1009</v>
      </c>
      <c r="B106" s="93" t="s">
        <v>1010</v>
      </c>
      <c r="C106" s="508" t="s">
        <v>1009</v>
      </c>
      <c r="D106" s="508" t="s">
        <v>1009</v>
      </c>
      <c r="E106" s="924" t="s">
        <v>1009</v>
      </c>
      <c r="F106" s="924" t="s">
        <v>1009</v>
      </c>
      <c r="G106" s="642" t="s">
        <v>1011</v>
      </c>
      <c r="I106" s="464"/>
      <c r="J106" s="467"/>
      <c r="L106" t="s">
        <v>1012</v>
      </c>
      <c r="M106" s="710" t="s">
        <v>1013</v>
      </c>
      <c r="P106" t="s">
        <v>4</v>
      </c>
      <c r="Q106" t="str">
        <f t="shared" si="2"/>
        <v>STO</v>
      </c>
      <c r="R106" t="str">
        <f t="shared" si="3"/>
        <v>STO</v>
      </c>
    </row>
    <row r="107" spans="1:18" ht="29" x14ac:dyDescent="0.35">
      <c r="A107" s="924" t="s">
        <v>1014</v>
      </c>
      <c r="B107" s="93" t="s">
        <v>1015</v>
      </c>
      <c r="C107" s="508" t="s">
        <v>1014</v>
      </c>
      <c r="D107" s="508" t="s">
        <v>1014</v>
      </c>
      <c r="E107" s="924" t="s">
        <v>1014</v>
      </c>
      <c r="F107" s="924" t="s">
        <v>1014</v>
      </c>
      <c r="G107" s="642" t="s">
        <v>1016</v>
      </c>
      <c r="I107" s="463"/>
      <c r="J107" s="467"/>
      <c r="L107" s="3" t="s">
        <v>1017</v>
      </c>
      <c r="M107" s="710" t="s">
        <v>1018</v>
      </c>
      <c r="O107" t="s">
        <v>2</v>
      </c>
      <c r="P107" t="s">
        <v>4</v>
      </c>
      <c r="Q107" t="str">
        <f t="shared" si="2"/>
        <v>MTOSTO</v>
      </c>
      <c r="R107" t="str">
        <f t="shared" si="3"/>
        <v>Choose Outcome</v>
      </c>
    </row>
    <row r="108" spans="1:18" x14ac:dyDescent="0.35">
      <c r="A108" s="924" t="s">
        <v>1019</v>
      </c>
      <c r="B108" s="607" t="s">
        <v>1020</v>
      </c>
      <c r="C108" s="508" t="s">
        <v>1019</v>
      </c>
      <c r="D108" s="508" t="s">
        <v>1019</v>
      </c>
      <c r="E108" s="924" t="s">
        <v>1019</v>
      </c>
      <c r="F108" s="924" t="s">
        <v>1019</v>
      </c>
      <c r="G108" s="642" t="s">
        <v>1021</v>
      </c>
      <c r="I108" s="467"/>
      <c r="J108" s="467"/>
      <c r="L108" s="3" t="s">
        <v>1022</v>
      </c>
      <c r="M108" s="710" t="s">
        <v>1023</v>
      </c>
      <c r="O108" t="s">
        <v>2</v>
      </c>
      <c r="P108" t="s">
        <v>4</v>
      </c>
      <c r="Q108" t="str">
        <f t="shared" si="2"/>
        <v>MTOSTO</v>
      </c>
      <c r="R108" t="str">
        <f t="shared" si="3"/>
        <v>Choose Outcome</v>
      </c>
    </row>
    <row r="109" spans="1:18" ht="29.5" thickBot="1" x14ac:dyDescent="0.4">
      <c r="A109" s="920" t="s">
        <v>1024</v>
      </c>
      <c r="B109" s="608" t="s">
        <v>1025</v>
      </c>
      <c r="C109" s="504" t="s">
        <v>1024</v>
      </c>
      <c r="D109" s="504" t="s">
        <v>1024</v>
      </c>
      <c r="E109" s="920" t="s">
        <v>1024</v>
      </c>
      <c r="F109" s="920" t="s">
        <v>1024</v>
      </c>
      <c r="G109" s="626" t="s">
        <v>1026</v>
      </c>
      <c r="I109" s="467"/>
      <c r="J109" s="467"/>
      <c r="L109" s="3" t="s">
        <v>1027</v>
      </c>
      <c r="M109" s="710" t="s">
        <v>1028</v>
      </c>
      <c r="O109" t="s">
        <v>2</v>
      </c>
      <c r="Q109" t="str">
        <f t="shared" si="2"/>
        <v>MTO</v>
      </c>
      <c r="R109" t="str">
        <f t="shared" si="3"/>
        <v>MTO</v>
      </c>
    </row>
    <row r="110" spans="1:18" ht="29" x14ac:dyDescent="0.35">
      <c r="A110" s="714" t="s">
        <v>1029</v>
      </c>
      <c r="B110" s="609" t="s">
        <v>617</v>
      </c>
      <c r="C110" s="610" t="s">
        <v>1029</v>
      </c>
      <c r="D110" s="610" t="s">
        <v>1029</v>
      </c>
      <c r="E110" s="544" t="s">
        <v>1029</v>
      </c>
      <c r="F110" s="544" t="s">
        <v>1029</v>
      </c>
      <c r="G110" s="122" t="s">
        <v>1030</v>
      </c>
      <c r="H110" t="s">
        <v>853</v>
      </c>
      <c r="I110" s="467"/>
      <c r="J110" s="467"/>
      <c r="L110" s="3" t="s">
        <v>335</v>
      </c>
      <c r="M110" s="710" t="s">
        <v>1031</v>
      </c>
      <c r="O110" t="s">
        <v>2</v>
      </c>
      <c r="P110" t="s">
        <v>4</v>
      </c>
      <c r="Q110" t="str">
        <f t="shared" si="2"/>
        <v>MTOSTO</v>
      </c>
      <c r="R110" t="str">
        <f t="shared" si="3"/>
        <v>Choose Outcome</v>
      </c>
    </row>
    <row r="111" spans="1:18" ht="29" x14ac:dyDescent="0.35">
      <c r="A111" s="914" t="s">
        <v>1032</v>
      </c>
      <c r="B111" s="97" t="s">
        <v>617</v>
      </c>
      <c r="C111" s="601" t="s">
        <v>1032</v>
      </c>
      <c r="D111" s="284" t="s">
        <v>1032</v>
      </c>
      <c r="E111" s="914" t="s">
        <v>1032</v>
      </c>
      <c r="F111" s="914" t="s">
        <v>1032</v>
      </c>
      <c r="G111" s="519" t="s">
        <v>1033</v>
      </c>
      <c r="H111" t="s">
        <v>698</v>
      </c>
      <c r="I111" s="467"/>
      <c r="J111" s="467"/>
      <c r="L111" s="3" t="s">
        <v>538</v>
      </c>
      <c r="M111" s="710" t="s">
        <v>539</v>
      </c>
      <c r="O111" t="s">
        <v>2</v>
      </c>
      <c r="P111" t="s">
        <v>4</v>
      </c>
      <c r="Q111" t="str">
        <f t="shared" si="2"/>
        <v>MTOSTO</v>
      </c>
      <c r="R111" t="str">
        <f t="shared" si="3"/>
        <v>Choose Outcome</v>
      </c>
    </row>
    <row r="112" spans="1:18" ht="43.5" x14ac:dyDescent="0.35">
      <c r="A112" s="914" t="s">
        <v>1034</v>
      </c>
      <c r="B112" s="93" t="s">
        <v>617</v>
      </c>
      <c r="C112" s="601" t="s">
        <v>1034</v>
      </c>
      <c r="D112" s="284" t="s">
        <v>1034</v>
      </c>
      <c r="E112" s="914" t="s">
        <v>1034</v>
      </c>
      <c r="F112" s="914" t="s">
        <v>1034</v>
      </c>
      <c r="G112" s="520" t="s">
        <v>1035</v>
      </c>
      <c r="H112" t="s">
        <v>698</v>
      </c>
      <c r="I112" s="467"/>
      <c r="J112" s="254"/>
      <c r="L112" s="3" t="s">
        <v>1036</v>
      </c>
      <c r="M112" s="710" t="s">
        <v>1037</v>
      </c>
      <c r="O112" t="s">
        <v>2</v>
      </c>
      <c r="P112" t="s">
        <v>4</v>
      </c>
      <c r="Q112" t="str">
        <f t="shared" si="2"/>
        <v>MTOSTO</v>
      </c>
      <c r="R112" t="str">
        <f t="shared" si="3"/>
        <v>Choose Outcome</v>
      </c>
    </row>
    <row r="113" spans="1:18" ht="43.5" x14ac:dyDescent="0.35">
      <c r="A113" s="914" t="s">
        <v>1038</v>
      </c>
      <c r="B113" s="93" t="s">
        <v>617</v>
      </c>
      <c r="C113" s="601" t="s">
        <v>1038</v>
      </c>
      <c r="D113" s="284" t="s">
        <v>1038</v>
      </c>
      <c r="E113" s="914" t="s">
        <v>1038</v>
      </c>
      <c r="F113" s="914" t="s">
        <v>1038</v>
      </c>
      <c r="G113" s="520" t="s">
        <v>1039</v>
      </c>
      <c r="H113" t="s">
        <v>853</v>
      </c>
      <c r="I113" s="467"/>
      <c r="L113" t="s">
        <v>1040</v>
      </c>
      <c r="M113" s="710" t="s">
        <v>1041</v>
      </c>
      <c r="O113" t="s">
        <v>2</v>
      </c>
      <c r="Q113" t="str">
        <f t="shared" si="2"/>
        <v>MTO</v>
      </c>
      <c r="R113" t="str">
        <f t="shared" si="3"/>
        <v>MTO</v>
      </c>
    </row>
    <row r="114" spans="1:18" ht="44" thickBot="1" x14ac:dyDescent="0.4">
      <c r="A114" s="912" t="s">
        <v>1042</v>
      </c>
      <c r="B114" s="93" t="s">
        <v>617</v>
      </c>
      <c r="C114" s="601" t="s">
        <v>1042</v>
      </c>
      <c r="D114" s="625" t="s">
        <v>1042</v>
      </c>
      <c r="E114" s="920" t="s">
        <v>1042</v>
      </c>
      <c r="F114" s="920" t="s">
        <v>1042</v>
      </c>
      <c r="G114" s="404" t="s">
        <v>1043</v>
      </c>
      <c r="H114" t="s">
        <v>1044</v>
      </c>
      <c r="I114" s="254"/>
      <c r="L114" t="s">
        <v>1045</v>
      </c>
      <c r="M114" s="710" t="s">
        <v>1046</v>
      </c>
      <c r="O114" t="s">
        <v>2</v>
      </c>
      <c r="Q114" t="str">
        <f t="shared" si="2"/>
        <v>MTO</v>
      </c>
      <c r="R114" t="str">
        <f t="shared" si="3"/>
        <v>MTO</v>
      </c>
    </row>
    <row r="115" spans="1:18" ht="29" x14ac:dyDescent="0.35">
      <c r="A115" s="544" t="s">
        <v>1047</v>
      </c>
      <c r="B115" s="92" t="s">
        <v>1048</v>
      </c>
      <c r="C115" s="500" t="s">
        <v>1047</v>
      </c>
      <c r="D115" s="544" t="s">
        <v>1047</v>
      </c>
      <c r="E115" s="544" t="s">
        <v>1047</v>
      </c>
      <c r="F115" s="544" t="s">
        <v>1047</v>
      </c>
      <c r="G115" s="113" t="s">
        <v>1049</v>
      </c>
      <c r="L115" t="s">
        <v>1050</v>
      </c>
      <c r="M115" s="710" t="s">
        <v>1051</v>
      </c>
      <c r="O115" t="s">
        <v>2</v>
      </c>
      <c r="P115" t="s">
        <v>4</v>
      </c>
      <c r="Q115" t="str">
        <f t="shared" si="2"/>
        <v>MTOSTO</v>
      </c>
      <c r="R115" t="str">
        <f t="shared" si="3"/>
        <v>Choose Outcome</v>
      </c>
    </row>
    <row r="116" spans="1:18" ht="29" x14ac:dyDescent="0.35">
      <c r="A116" s="914" t="s">
        <v>1052</v>
      </c>
      <c r="B116" s="93" t="s">
        <v>1053</v>
      </c>
      <c r="C116" s="284" t="s">
        <v>1052</v>
      </c>
      <c r="D116" s="914" t="s">
        <v>1052</v>
      </c>
      <c r="E116" s="914" t="s">
        <v>1052</v>
      </c>
      <c r="F116" s="914" t="s">
        <v>1052</v>
      </c>
      <c r="G116" s="111" t="s">
        <v>1054</v>
      </c>
      <c r="J116" s="254"/>
      <c r="L116" t="s">
        <v>1055</v>
      </c>
      <c r="M116" s="710" t="s">
        <v>1056</v>
      </c>
      <c r="P116" t="s">
        <v>4</v>
      </c>
      <c r="Q116" t="str">
        <f t="shared" si="2"/>
        <v>STO</v>
      </c>
      <c r="R116" t="str">
        <f t="shared" si="3"/>
        <v>STO</v>
      </c>
    </row>
    <row r="117" spans="1:18" ht="29.5" thickBot="1" x14ac:dyDescent="0.4">
      <c r="A117" s="924" t="s">
        <v>1057</v>
      </c>
      <c r="B117" s="88" t="s">
        <v>1058</v>
      </c>
      <c r="C117" s="284" t="s">
        <v>1057</v>
      </c>
      <c r="D117" s="924" t="s">
        <v>1057</v>
      </c>
      <c r="E117" s="924" t="s">
        <v>1057</v>
      </c>
      <c r="F117" s="924" t="s">
        <v>1057</v>
      </c>
      <c r="G117" s="626" t="s">
        <v>1059</v>
      </c>
      <c r="J117" s="465"/>
      <c r="L117" t="s">
        <v>1060</v>
      </c>
      <c r="M117" s="710" t="s">
        <v>1061</v>
      </c>
      <c r="P117" t="s">
        <v>4</v>
      </c>
      <c r="Q117" t="str">
        <f t="shared" si="2"/>
        <v>STO</v>
      </c>
      <c r="R117" t="str">
        <f t="shared" si="3"/>
        <v>STO</v>
      </c>
    </row>
    <row r="118" spans="1:18" ht="29" x14ac:dyDescent="0.35">
      <c r="A118" s="924" t="s">
        <v>1062</v>
      </c>
      <c r="B118" s="396"/>
      <c r="C118" s="501"/>
      <c r="D118" s="403" t="s">
        <v>1062</v>
      </c>
      <c r="E118" s="924" t="s">
        <v>1062</v>
      </c>
      <c r="F118" s="924" t="s">
        <v>1062</v>
      </c>
      <c r="G118" s="724" t="s">
        <v>1063</v>
      </c>
      <c r="I118" s="254"/>
      <c r="J118" s="464"/>
      <c r="L118" t="s">
        <v>1064</v>
      </c>
      <c r="M118" s="710" t="s">
        <v>1065</v>
      </c>
      <c r="P118" t="s">
        <v>4</v>
      </c>
      <c r="Q118" t="str">
        <f t="shared" si="2"/>
        <v>STO</v>
      </c>
      <c r="R118" t="str">
        <f t="shared" si="3"/>
        <v>STO</v>
      </c>
    </row>
    <row r="119" spans="1:18" ht="44" thickBot="1" x14ac:dyDescent="0.4">
      <c r="A119" s="924" t="s">
        <v>1066</v>
      </c>
      <c r="B119" s="396"/>
      <c r="C119" s="501"/>
      <c r="D119" s="403" t="s">
        <v>1066</v>
      </c>
      <c r="E119" s="924" t="s">
        <v>1066</v>
      </c>
      <c r="F119" s="924" t="s">
        <v>1066</v>
      </c>
      <c r="G119" s="724" t="s">
        <v>1067</v>
      </c>
      <c r="I119" s="465"/>
      <c r="J119" s="464"/>
      <c r="L119" t="s">
        <v>1068</v>
      </c>
      <c r="M119" s="710" t="s">
        <v>1069</v>
      </c>
      <c r="P119" t="s">
        <v>4</v>
      </c>
      <c r="Q119" t="str">
        <f t="shared" si="2"/>
        <v>STO</v>
      </c>
      <c r="R119" t="str">
        <f t="shared" si="3"/>
        <v>STO</v>
      </c>
    </row>
    <row r="120" spans="1:18" ht="29" x14ac:dyDescent="0.35">
      <c r="A120" s="530" t="s">
        <v>396</v>
      </c>
      <c r="B120" s="92" t="s">
        <v>617</v>
      </c>
      <c r="C120" s="606" t="s">
        <v>396</v>
      </c>
      <c r="D120" s="530" t="s">
        <v>396</v>
      </c>
      <c r="E120" s="530" t="s">
        <v>396</v>
      </c>
      <c r="F120" s="530" t="s">
        <v>396</v>
      </c>
      <c r="G120" s="113" t="s">
        <v>397</v>
      </c>
      <c r="H120" t="s">
        <v>853</v>
      </c>
      <c r="I120" s="464"/>
      <c r="J120" s="464"/>
      <c r="L120" t="s">
        <v>631</v>
      </c>
      <c r="M120" s="710" t="s">
        <v>632</v>
      </c>
      <c r="O120" t="s">
        <v>2</v>
      </c>
      <c r="Q120" t="str">
        <f t="shared" si="2"/>
        <v>MTO</v>
      </c>
      <c r="R120" t="str">
        <f t="shared" si="3"/>
        <v>MTO</v>
      </c>
    </row>
    <row r="121" spans="1:18" ht="29" x14ac:dyDescent="0.35">
      <c r="A121" s="915" t="s">
        <v>390</v>
      </c>
      <c r="B121" s="97" t="s">
        <v>617</v>
      </c>
      <c r="C121" s="601" t="s">
        <v>390</v>
      </c>
      <c r="D121" s="915" t="s">
        <v>390</v>
      </c>
      <c r="E121" s="915" t="s">
        <v>390</v>
      </c>
      <c r="F121" s="915" t="s">
        <v>390</v>
      </c>
      <c r="G121" s="399" t="s">
        <v>391</v>
      </c>
      <c r="H121" t="s">
        <v>698</v>
      </c>
      <c r="I121" s="464"/>
      <c r="J121" s="464"/>
      <c r="L121" t="s">
        <v>1070</v>
      </c>
      <c r="M121" s="710" t="s">
        <v>1071</v>
      </c>
      <c r="O121" t="s">
        <v>2</v>
      </c>
      <c r="Q121" t="str">
        <f t="shared" si="2"/>
        <v>MTO</v>
      </c>
      <c r="R121" t="str">
        <f t="shared" si="3"/>
        <v>MTO</v>
      </c>
    </row>
    <row r="122" spans="1:18" ht="29" x14ac:dyDescent="0.35">
      <c r="A122" s="914" t="s">
        <v>392</v>
      </c>
      <c r="B122" s="93" t="s">
        <v>617</v>
      </c>
      <c r="C122" s="284" t="s">
        <v>392</v>
      </c>
      <c r="D122" s="914" t="s">
        <v>392</v>
      </c>
      <c r="E122" s="914" t="s">
        <v>392</v>
      </c>
      <c r="F122" s="914" t="s">
        <v>392</v>
      </c>
      <c r="G122" s="627" t="s">
        <v>1072</v>
      </c>
      <c r="H122" t="s">
        <v>1044</v>
      </c>
      <c r="I122" s="464"/>
      <c r="L122" t="s">
        <v>1073</v>
      </c>
      <c r="M122" s="710" t="s">
        <v>1074</v>
      </c>
      <c r="O122" t="s">
        <v>2</v>
      </c>
      <c r="Q122" t="str">
        <f t="shared" si="2"/>
        <v>MTO</v>
      </c>
      <c r="R122" t="str">
        <f t="shared" si="3"/>
        <v>MTO</v>
      </c>
    </row>
    <row r="123" spans="1:18" ht="43.5" x14ac:dyDescent="0.35">
      <c r="A123" s="914" t="s">
        <v>1075</v>
      </c>
      <c r="B123" s="93"/>
      <c r="C123" s="284"/>
      <c r="D123" s="390" t="s">
        <v>1075</v>
      </c>
      <c r="E123" s="914" t="s">
        <v>1075</v>
      </c>
      <c r="F123" s="914" t="s">
        <v>1075</v>
      </c>
      <c r="G123" s="627" t="s">
        <v>1076</v>
      </c>
      <c r="H123" t="s">
        <v>698</v>
      </c>
      <c r="I123" s="464"/>
      <c r="L123" t="s">
        <v>1077</v>
      </c>
      <c r="M123" s="710" t="s">
        <v>1078</v>
      </c>
      <c r="O123" t="s">
        <v>2</v>
      </c>
      <c r="Q123" t="str">
        <f t="shared" si="2"/>
        <v>MTO</v>
      </c>
      <c r="R123" t="str">
        <f t="shared" si="3"/>
        <v>MTO</v>
      </c>
    </row>
    <row r="124" spans="1:18" ht="29.5" thickBot="1" x14ac:dyDescent="0.4">
      <c r="A124" s="925" t="s">
        <v>1079</v>
      </c>
      <c r="B124" s="396"/>
      <c r="C124" s="611"/>
      <c r="D124" s="512" t="s">
        <v>1079</v>
      </c>
      <c r="E124" s="925" t="s">
        <v>1079</v>
      </c>
      <c r="F124" s="925" t="s">
        <v>1079</v>
      </c>
      <c r="G124" s="628" t="s">
        <v>1080</v>
      </c>
      <c r="H124" t="s">
        <v>1044</v>
      </c>
      <c r="L124" t="s">
        <v>1081</v>
      </c>
      <c r="M124" s="710" t="s">
        <v>1082</v>
      </c>
      <c r="P124" t="s">
        <v>4</v>
      </c>
      <c r="Q124" t="str">
        <f t="shared" si="2"/>
        <v>STO</v>
      </c>
      <c r="R124" t="str">
        <f t="shared" si="3"/>
        <v>STO</v>
      </c>
    </row>
    <row r="125" spans="1:18" ht="29" x14ac:dyDescent="0.35">
      <c r="A125" s="544" t="s">
        <v>408</v>
      </c>
      <c r="B125" s="92" t="s">
        <v>407</v>
      </c>
      <c r="C125" s="500" t="s">
        <v>408</v>
      </c>
      <c r="D125" s="544" t="s">
        <v>408</v>
      </c>
      <c r="E125" s="544" t="s">
        <v>408</v>
      </c>
      <c r="F125" s="544" t="s">
        <v>408</v>
      </c>
      <c r="G125" s="113" t="s">
        <v>409</v>
      </c>
      <c r="H125" s="673" t="s">
        <v>1044</v>
      </c>
      <c r="L125" t="s">
        <v>1083</v>
      </c>
      <c r="M125" s="710" t="s">
        <v>1084</v>
      </c>
      <c r="P125" t="s">
        <v>4</v>
      </c>
      <c r="Q125" t="str">
        <f t="shared" si="2"/>
        <v>STO</v>
      </c>
      <c r="R125" t="str">
        <f t="shared" si="3"/>
        <v>STO</v>
      </c>
    </row>
    <row r="126" spans="1:18" ht="43.5" x14ac:dyDescent="0.35">
      <c r="A126" s="915" t="s">
        <v>1085</v>
      </c>
      <c r="B126" s="97" t="s">
        <v>1086</v>
      </c>
      <c r="C126" s="284" t="s">
        <v>1085</v>
      </c>
      <c r="D126" s="915" t="s">
        <v>1085</v>
      </c>
      <c r="E126" s="915" t="s">
        <v>1085</v>
      </c>
      <c r="F126" s="915" t="s">
        <v>1085</v>
      </c>
      <c r="G126" s="537" t="s">
        <v>1087</v>
      </c>
      <c r="H126" s="673" t="s">
        <v>1044</v>
      </c>
      <c r="L126" t="s">
        <v>1088</v>
      </c>
      <c r="M126" s="710" t="s">
        <v>1089</v>
      </c>
      <c r="P126" t="s">
        <v>4</v>
      </c>
      <c r="Q126" t="str">
        <f t="shared" si="2"/>
        <v>STO</v>
      </c>
      <c r="R126" t="str">
        <f t="shared" si="3"/>
        <v>STO</v>
      </c>
    </row>
    <row r="127" spans="1:18" ht="29" x14ac:dyDescent="0.35">
      <c r="A127" s="914" t="s">
        <v>400</v>
      </c>
      <c r="B127" s="602" t="s">
        <v>399</v>
      </c>
      <c r="C127" s="284" t="s">
        <v>400</v>
      </c>
      <c r="D127" s="914" t="s">
        <v>400</v>
      </c>
      <c r="E127" s="914" t="s">
        <v>400</v>
      </c>
      <c r="F127" s="914" t="s">
        <v>400</v>
      </c>
      <c r="G127" s="111" t="s">
        <v>401</v>
      </c>
      <c r="H127" s="673" t="s">
        <v>1044</v>
      </c>
      <c r="L127" t="s">
        <v>1090</v>
      </c>
      <c r="M127" s="710" t="s">
        <v>1091</v>
      </c>
      <c r="O127" t="s">
        <v>2</v>
      </c>
      <c r="Q127" t="str">
        <f t="shared" si="2"/>
        <v>MTO</v>
      </c>
      <c r="R127" t="str">
        <f t="shared" si="3"/>
        <v>MTO</v>
      </c>
    </row>
    <row r="128" spans="1:18" ht="29" x14ac:dyDescent="0.35">
      <c r="A128" s="914" t="s">
        <v>404</v>
      </c>
      <c r="B128" s="93" t="s">
        <v>403</v>
      </c>
      <c r="C128" s="284" t="s">
        <v>404</v>
      </c>
      <c r="D128" s="914" t="s">
        <v>404</v>
      </c>
      <c r="E128" s="914" t="s">
        <v>404</v>
      </c>
      <c r="F128" s="914" t="s">
        <v>404</v>
      </c>
      <c r="G128" s="111" t="s">
        <v>1092</v>
      </c>
      <c r="H128" s="673" t="s">
        <v>1044</v>
      </c>
      <c r="L128" t="s">
        <v>1093</v>
      </c>
      <c r="M128" s="710" t="s">
        <v>1094</v>
      </c>
      <c r="O128" t="s">
        <v>2</v>
      </c>
      <c r="Q128" t="str">
        <f t="shared" si="2"/>
        <v>MTO</v>
      </c>
      <c r="R128" t="str">
        <f t="shared" si="3"/>
        <v>MTO</v>
      </c>
    </row>
    <row r="129" spans="1:18" ht="29" x14ac:dyDescent="0.35">
      <c r="A129" s="914" t="s">
        <v>1095</v>
      </c>
      <c r="B129" s="93" t="s">
        <v>1096</v>
      </c>
      <c r="C129" s="284" t="s">
        <v>1095</v>
      </c>
      <c r="D129" s="914" t="s">
        <v>1095</v>
      </c>
      <c r="E129" s="914" t="s">
        <v>1095</v>
      </c>
      <c r="F129" s="914" t="s">
        <v>1095</v>
      </c>
      <c r="G129" s="111" t="s">
        <v>1097</v>
      </c>
      <c r="H129" s="673" t="s">
        <v>1044</v>
      </c>
      <c r="J129" s="464"/>
      <c r="L129" t="s">
        <v>1098</v>
      </c>
      <c r="M129" s="710" t="s">
        <v>1099</v>
      </c>
      <c r="O129" t="s">
        <v>2</v>
      </c>
      <c r="Q129" t="str">
        <f t="shared" si="2"/>
        <v>MTO</v>
      </c>
      <c r="R129" t="str">
        <f t="shared" si="3"/>
        <v>MTO</v>
      </c>
    </row>
    <row r="130" spans="1:18" ht="29" x14ac:dyDescent="0.35">
      <c r="A130" s="914" t="s">
        <v>1100</v>
      </c>
      <c r="B130" s="93" t="s">
        <v>1101</v>
      </c>
      <c r="C130" s="284" t="s">
        <v>1100</v>
      </c>
      <c r="D130" s="914" t="s">
        <v>1100</v>
      </c>
      <c r="E130" s="914" t="s">
        <v>1100</v>
      </c>
      <c r="F130" s="914" t="s">
        <v>1100</v>
      </c>
      <c r="G130" s="627" t="s">
        <v>1102</v>
      </c>
      <c r="H130" s="673" t="s">
        <v>1044</v>
      </c>
      <c r="J130" s="468"/>
      <c r="L130" t="s">
        <v>1103</v>
      </c>
      <c r="M130" s="710" t="s">
        <v>1104</v>
      </c>
      <c r="P130" t="s">
        <v>4</v>
      </c>
      <c r="Q130" t="str">
        <f t="shared" si="2"/>
        <v>STO</v>
      </c>
      <c r="R130" t="str">
        <f t="shared" si="3"/>
        <v>STO</v>
      </c>
    </row>
    <row r="131" spans="1:18" ht="29.5" thickBot="1" x14ac:dyDescent="0.4">
      <c r="A131" s="924" t="s">
        <v>1105</v>
      </c>
      <c r="B131" s="88" t="s">
        <v>1106</v>
      </c>
      <c r="C131" s="284" t="s">
        <v>1105</v>
      </c>
      <c r="D131" s="924" t="s">
        <v>1105</v>
      </c>
      <c r="E131" s="924" t="s">
        <v>1105</v>
      </c>
      <c r="F131" s="924" t="s">
        <v>1105</v>
      </c>
      <c r="G131" s="626" t="s">
        <v>1107</v>
      </c>
      <c r="H131" s="673" t="s">
        <v>1044</v>
      </c>
      <c r="I131" s="464"/>
      <c r="J131" s="466"/>
      <c r="L131" t="s">
        <v>1108</v>
      </c>
      <c r="M131" s="710" t="s">
        <v>1109</v>
      </c>
      <c r="P131" t="s">
        <v>4</v>
      </c>
      <c r="Q131" t="str">
        <f t="shared" si="2"/>
        <v>STO</v>
      </c>
      <c r="R131" t="str">
        <f t="shared" si="3"/>
        <v>STO</v>
      </c>
    </row>
    <row r="132" spans="1:18" ht="29" x14ac:dyDescent="0.35">
      <c r="A132" s="544" t="s">
        <v>1110</v>
      </c>
      <c r="B132" s="92" t="s">
        <v>1111</v>
      </c>
      <c r="C132" s="500" t="s">
        <v>1110</v>
      </c>
      <c r="D132" s="544" t="s">
        <v>1110</v>
      </c>
      <c r="E132" s="544" t="s">
        <v>1110</v>
      </c>
      <c r="F132" s="544" t="s">
        <v>1110</v>
      </c>
      <c r="G132" s="112" t="s">
        <v>1112</v>
      </c>
      <c r="I132" s="468"/>
      <c r="J132" s="466"/>
      <c r="L132" t="s">
        <v>1113</v>
      </c>
      <c r="M132" s="710" t="s">
        <v>1114</v>
      </c>
      <c r="P132" t="s">
        <v>4</v>
      </c>
      <c r="Q132" t="str">
        <f t="shared" ref="Q132:Q195" si="4">CONCATENATE(O:O,P:P)</f>
        <v>STO</v>
      </c>
      <c r="R132" t="str">
        <f t="shared" ref="R132:R195" si="5">IF(Q:Q="MTOSTO","Choose Outcome",Q:Q)</f>
        <v>STO</v>
      </c>
    </row>
    <row r="133" spans="1:18" ht="43.5" x14ac:dyDescent="0.35">
      <c r="A133" s="914" t="s">
        <v>1115</v>
      </c>
      <c r="B133" s="93" t="s">
        <v>1116</v>
      </c>
      <c r="C133" s="284" t="s">
        <v>1115</v>
      </c>
      <c r="D133" s="914" t="s">
        <v>1115</v>
      </c>
      <c r="E133" s="914" t="s">
        <v>1115</v>
      </c>
      <c r="F133" s="914" t="s">
        <v>1115</v>
      </c>
      <c r="G133" s="111" t="s">
        <v>1117</v>
      </c>
      <c r="I133" s="466"/>
      <c r="J133" s="466"/>
      <c r="L133" t="s">
        <v>1118</v>
      </c>
      <c r="M133" s="710" t="s">
        <v>1119</v>
      </c>
      <c r="P133" t="s">
        <v>4</v>
      </c>
      <c r="Q133" t="str">
        <f t="shared" si="4"/>
        <v>STO</v>
      </c>
      <c r="R133" t="str">
        <f t="shared" si="5"/>
        <v>STO</v>
      </c>
    </row>
    <row r="134" spans="1:18" ht="29" x14ac:dyDescent="0.35">
      <c r="A134" s="914" t="s">
        <v>1120</v>
      </c>
      <c r="B134" s="93" t="s">
        <v>1121</v>
      </c>
      <c r="C134" s="284" t="s">
        <v>1120</v>
      </c>
      <c r="D134" s="914" t="s">
        <v>1120</v>
      </c>
      <c r="E134" s="914" t="s">
        <v>1120</v>
      </c>
      <c r="F134" s="914" t="s">
        <v>1120</v>
      </c>
      <c r="G134" s="111" t="s">
        <v>1122</v>
      </c>
      <c r="I134" s="466"/>
      <c r="J134" s="466"/>
      <c r="L134" t="s">
        <v>1123</v>
      </c>
      <c r="M134" s="710" t="s">
        <v>1124</v>
      </c>
      <c r="P134" t="s">
        <v>4</v>
      </c>
      <c r="Q134" t="str">
        <f t="shared" si="4"/>
        <v>STO</v>
      </c>
      <c r="R134" t="str">
        <f t="shared" si="5"/>
        <v>STO</v>
      </c>
    </row>
    <row r="135" spans="1:18" ht="29" x14ac:dyDescent="0.35">
      <c r="A135" s="914" t="s">
        <v>1125</v>
      </c>
      <c r="B135" s="93" t="s">
        <v>1126</v>
      </c>
      <c r="C135" s="284" t="s">
        <v>1125</v>
      </c>
      <c r="D135" s="914" t="s">
        <v>1125</v>
      </c>
      <c r="E135" s="914" t="s">
        <v>1125</v>
      </c>
      <c r="F135" s="914" t="s">
        <v>1125</v>
      </c>
      <c r="G135" s="111" t="s">
        <v>1127</v>
      </c>
      <c r="I135" s="466"/>
      <c r="J135" s="466"/>
      <c r="L135" t="s">
        <v>1128</v>
      </c>
      <c r="M135" s="710" t="s">
        <v>1129</v>
      </c>
      <c r="P135" t="s">
        <v>4</v>
      </c>
      <c r="Q135" t="str">
        <f t="shared" si="4"/>
        <v>STO</v>
      </c>
      <c r="R135" t="str">
        <f t="shared" si="5"/>
        <v>STO</v>
      </c>
    </row>
    <row r="136" spans="1:18" ht="29.5" thickBot="1" x14ac:dyDescent="0.4">
      <c r="A136" s="925" t="s">
        <v>1130</v>
      </c>
      <c r="B136" s="603" t="s">
        <v>1131</v>
      </c>
      <c r="C136" s="284" t="s">
        <v>1130</v>
      </c>
      <c r="D136" s="925" t="s">
        <v>1130</v>
      </c>
      <c r="E136" s="925" t="s">
        <v>1130</v>
      </c>
      <c r="F136" s="925" t="s">
        <v>1130</v>
      </c>
      <c r="G136" s="628" t="s">
        <v>1132</v>
      </c>
      <c r="I136" s="466"/>
      <c r="J136" s="466"/>
      <c r="L136" t="s">
        <v>1133</v>
      </c>
      <c r="M136" s="710" t="s">
        <v>1134</v>
      </c>
      <c r="O136" t="s">
        <v>2</v>
      </c>
      <c r="Q136" t="str">
        <f t="shared" si="4"/>
        <v>MTO</v>
      </c>
      <c r="R136" t="str">
        <f t="shared" si="5"/>
        <v>MTO</v>
      </c>
    </row>
    <row r="137" spans="1:18" ht="29" x14ac:dyDescent="0.35">
      <c r="A137" s="544" t="s">
        <v>1135</v>
      </c>
      <c r="B137" s="92" t="s">
        <v>617</v>
      </c>
      <c r="C137" s="500" t="s">
        <v>1135</v>
      </c>
      <c r="D137" s="544" t="s">
        <v>1135</v>
      </c>
      <c r="E137" s="544" t="s">
        <v>1135</v>
      </c>
      <c r="F137" s="544" t="s">
        <v>1135</v>
      </c>
      <c r="G137" s="113" t="s">
        <v>1136</v>
      </c>
      <c r="H137" t="s">
        <v>853</v>
      </c>
      <c r="I137" s="466"/>
      <c r="J137" s="274"/>
      <c r="L137" t="s">
        <v>1137</v>
      </c>
      <c r="M137" s="710" t="s">
        <v>1138</v>
      </c>
      <c r="P137" t="s">
        <v>4</v>
      </c>
      <c r="Q137" t="str">
        <f t="shared" si="4"/>
        <v>STO</v>
      </c>
      <c r="R137" t="str">
        <f t="shared" si="5"/>
        <v>STO</v>
      </c>
    </row>
    <row r="138" spans="1:18" x14ac:dyDescent="0.35">
      <c r="A138" s="914" t="s">
        <v>1139</v>
      </c>
      <c r="B138" s="93" t="s">
        <v>617</v>
      </c>
      <c r="C138" s="284" t="s">
        <v>1139</v>
      </c>
      <c r="D138" s="914" t="s">
        <v>1139</v>
      </c>
      <c r="E138" s="914" t="s">
        <v>1139</v>
      </c>
      <c r="F138" s="914" t="s">
        <v>1139</v>
      </c>
      <c r="G138" s="111" t="s">
        <v>1140</v>
      </c>
      <c r="H138" t="s">
        <v>698</v>
      </c>
      <c r="I138" s="466"/>
      <c r="J138" s="274"/>
      <c r="L138" t="s">
        <v>1141</v>
      </c>
      <c r="M138" s="710" t="s">
        <v>1142</v>
      </c>
      <c r="O138" t="s">
        <v>2</v>
      </c>
      <c r="Q138" t="str">
        <f t="shared" si="4"/>
        <v>MTO</v>
      </c>
      <c r="R138" t="str">
        <f t="shared" si="5"/>
        <v>MTO</v>
      </c>
    </row>
    <row r="139" spans="1:18" ht="29" x14ac:dyDescent="0.35">
      <c r="A139" s="914" t="s">
        <v>1143</v>
      </c>
      <c r="B139" s="93" t="s">
        <v>617</v>
      </c>
      <c r="C139" s="284" t="s">
        <v>1143</v>
      </c>
      <c r="D139" s="914" t="s">
        <v>1143</v>
      </c>
      <c r="E139" s="914" t="s">
        <v>1143</v>
      </c>
      <c r="F139" s="914" t="s">
        <v>1143</v>
      </c>
      <c r="G139" s="111" t="s">
        <v>1144</v>
      </c>
      <c r="H139" t="s">
        <v>698</v>
      </c>
      <c r="I139" s="466"/>
      <c r="J139" s="275"/>
      <c r="L139" t="s">
        <v>1145</v>
      </c>
      <c r="M139" s="710" t="s">
        <v>1146</v>
      </c>
      <c r="O139" t="s">
        <v>2</v>
      </c>
      <c r="Q139" t="str">
        <f t="shared" si="4"/>
        <v>MTO</v>
      </c>
      <c r="R139" t="str">
        <f t="shared" si="5"/>
        <v>MTO</v>
      </c>
    </row>
    <row r="140" spans="1:18" ht="29" x14ac:dyDescent="0.35">
      <c r="A140" s="914" t="s">
        <v>1147</v>
      </c>
      <c r="B140" s="93" t="s">
        <v>617</v>
      </c>
      <c r="C140" s="284" t="s">
        <v>1147</v>
      </c>
      <c r="D140" s="914" t="s">
        <v>1147</v>
      </c>
      <c r="E140" s="914" t="s">
        <v>1147</v>
      </c>
      <c r="F140" s="914" t="s">
        <v>1147</v>
      </c>
      <c r="G140" s="111" t="s">
        <v>1148</v>
      </c>
      <c r="H140" t="s">
        <v>853</v>
      </c>
      <c r="I140" s="466"/>
      <c r="J140" s="274"/>
      <c r="L140" t="s">
        <v>1149</v>
      </c>
      <c r="M140" s="710" t="s">
        <v>1150</v>
      </c>
      <c r="O140" t="s">
        <v>2</v>
      </c>
      <c r="Q140" t="str">
        <f t="shared" si="4"/>
        <v>MTO</v>
      </c>
      <c r="R140" t="str">
        <f t="shared" si="5"/>
        <v>MTO</v>
      </c>
    </row>
    <row r="141" spans="1:18" ht="58.5" thickBot="1" x14ac:dyDescent="0.4">
      <c r="A141" s="924" t="s">
        <v>1151</v>
      </c>
      <c r="B141" s="93" t="s">
        <v>617</v>
      </c>
      <c r="C141" s="284" t="s">
        <v>1151</v>
      </c>
      <c r="D141" s="924" t="s">
        <v>1151</v>
      </c>
      <c r="E141" s="924" t="s">
        <v>1151</v>
      </c>
      <c r="F141" s="924" t="s">
        <v>1151</v>
      </c>
      <c r="G141" s="629" t="s">
        <v>1152</v>
      </c>
      <c r="H141" t="s">
        <v>853</v>
      </c>
      <c r="I141" s="275"/>
      <c r="J141" s="275"/>
      <c r="L141" t="s">
        <v>1153</v>
      </c>
      <c r="M141" s="710" t="s">
        <v>1154</v>
      </c>
      <c r="O141" t="s">
        <v>2</v>
      </c>
      <c r="Q141" t="str">
        <f t="shared" si="4"/>
        <v>MTO</v>
      </c>
      <c r="R141" t="str">
        <f t="shared" si="5"/>
        <v>MTO</v>
      </c>
    </row>
    <row r="142" spans="1:18" ht="29" x14ac:dyDescent="0.35">
      <c r="A142" s="929" t="s">
        <v>1155</v>
      </c>
      <c r="B142" s="96" t="s">
        <v>1156</v>
      </c>
      <c r="C142" s="588" t="s">
        <v>1155</v>
      </c>
      <c r="D142" s="929" t="s">
        <v>1155</v>
      </c>
      <c r="E142" s="929" t="s">
        <v>1155</v>
      </c>
      <c r="F142" s="929" t="s">
        <v>1155</v>
      </c>
      <c r="G142" s="630" t="s">
        <v>1157</v>
      </c>
      <c r="I142" s="468"/>
      <c r="J142" s="466"/>
      <c r="L142" t="s">
        <v>1158</v>
      </c>
      <c r="M142" s="710" t="s">
        <v>1159</v>
      </c>
      <c r="O142" t="s">
        <v>2</v>
      </c>
      <c r="Q142" t="str">
        <f t="shared" si="4"/>
        <v>MTO</v>
      </c>
      <c r="R142" t="str">
        <f t="shared" si="5"/>
        <v>MTO</v>
      </c>
    </row>
    <row r="143" spans="1:18" ht="29" x14ac:dyDescent="0.35">
      <c r="A143" s="912" t="s">
        <v>1160</v>
      </c>
      <c r="B143" s="93" t="s">
        <v>617</v>
      </c>
      <c r="C143" s="601" t="s">
        <v>1160</v>
      </c>
      <c r="D143" s="601" t="s">
        <v>1161</v>
      </c>
      <c r="E143" s="601" t="s">
        <v>1162</v>
      </c>
      <c r="F143" s="601" t="s">
        <v>1162</v>
      </c>
      <c r="G143" s="404" t="s">
        <v>1163</v>
      </c>
      <c r="H143" s="314" t="s">
        <v>853</v>
      </c>
      <c r="I143" s="466"/>
      <c r="J143" s="466"/>
      <c r="L143" t="s">
        <v>1164</v>
      </c>
      <c r="M143" s="710" t="s">
        <v>1165</v>
      </c>
      <c r="O143" t="s">
        <v>2</v>
      </c>
      <c r="Q143" t="str">
        <f t="shared" si="4"/>
        <v>MTO</v>
      </c>
      <c r="R143" t="str">
        <f t="shared" si="5"/>
        <v>MTO</v>
      </c>
    </row>
    <row r="144" spans="1:18" ht="29" x14ac:dyDescent="0.35">
      <c r="A144" s="914" t="s">
        <v>1166</v>
      </c>
      <c r="B144" s="602" t="s">
        <v>1167</v>
      </c>
      <c r="C144" s="284" t="s">
        <v>1166</v>
      </c>
      <c r="D144" s="914" t="s">
        <v>1166</v>
      </c>
      <c r="E144" s="914" t="s">
        <v>1166</v>
      </c>
      <c r="F144" s="914" t="s">
        <v>1166</v>
      </c>
      <c r="G144" s="631" t="s">
        <v>1168</v>
      </c>
      <c r="I144" s="466"/>
      <c r="J144" s="466"/>
      <c r="L144" t="s">
        <v>1169</v>
      </c>
      <c r="M144" s="710" t="s">
        <v>1170</v>
      </c>
      <c r="P144" t="s">
        <v>4</v>
      </c>
      <c r="Q144" t="str">
        <f t="shared" si="4"/>
        <v>STO</v>
      </c>
      <c r="R144" t="str">
        <f t="shared" si="5"/>
        <v>STO</v>
      </c>
    </row>
    <row r="145" spans="1:18" ht="29" x14ac:dyDescent="0.35">
      <c r="A145" s="914" t="s">
        <v>1171</v>
      </c>
      <c r="B145" s="602" t="s">
        <v>1172</v>
      </c>
      <c r="C145" s="284" t="s">
        <v>1171</v>
      </c>
      <c r="D145" s="914" t="s">
        <v>1171</v>
      </c>
      <c r="E145" s="914" t="s">
        <v>1171</v>
      </c>
      <c r="F145" s="914" t="s">
        <v>1171</v>
      </c>
      <c r="G145" s="632" t="s">
        <v>1173</v>
      </c>
      <c r="I145" s="466"/>
      <c r="J145" s="466"/>
      <c r="L145" t="s">
        <v>1174</v>
      </c>
      <c r="M145" s="710" t="s">
        <v>1175</v>
      </c>
      <c r="P145" t="s">
        <v>4</v>
      </c>
      <c r="Q145" t="str">
        <f t="shared" si="4"/>
        <v>STO</v>
      </c>
      <c r="R145" t="str">
        <f t="shared" si="5"/>
        <v>STO</v>
      </c>
    </row>
    <row r="146" spans="1:18" ht="43.5" x14ac:dyDescent="0.35">
      <c r="A146" s="914" t="s">
        <v>1176</v>
      </c>
      <c r="B146" s="602" t="s">
        <v>1177</v>
      </c>
      <c r="C146" s="284" t="s">
        <v>1176</v>
      </c>
      <c r="D146" s="914" t="s">
        <v>1176</v>
      </c>
      <c r="E146" s="914" t="s">
        <v>1176</v>
      </c>
      <c r="F146" s="914" t="s">
        <v>1176</v>
      </c>
      <c r="G146" s="632" t="s">
        <v>1178</v>
      </c>
      <c r="I146" s="466"/>
      <c r="J146" s="466"/>
      <c r="L146" t="s">
        <v>1179</v>
      </c>
      <c r="M146" s="710" t="s">
        <v>1180</v>
      </c>
      <c r="P146" t="s">
        <v>4</v>
      </c>
      <c r="Q146" t="str">
        <f t="shared" si="4"/>
        <v>STO</v>
      </c>
      <c r="R146" t="str">
        <f t="shared" si="5"/>
        <v>STO</v>
      </c>
    </row>
    <row r="147" spans="1:18" ht="29.5" thickBot="1" x14ac:dyDescent="0.4">
      <c r="A147" s="924" t="s">
        <v>1181</v>
      </c>
      <c r="B147" s="608" t="s">
        <v>1182</v>
      </c>
      <c r="C147" s="284" t="s">
        <v>1181</v>
      </c>
      <c r="D147" s="924" t="s">
        <v>1181</v>
      </c>
      <c r="E147" s="924" t="s">
        <v>1181</v>
      </c>
      <c r="F147" s="924" t="s">
        <v>1181</v>
      </c>
      <c r="G147" s="633" t="s">
        <v>1183</v>
      </c>
      <c r="I147" s="466"/>
      <c r="J147" s="466"/>
      <c r="L147" t="s">
        <v>1184</v>
      </c>
      <c r="M147" s="710" t="s">
        <v>1185</v>
      </c>
      <c r="P147" t="s">
        <v>4</v>
      </c>
      <c r="Q147" t="str">
        <f t="shared" si="4"/>
        <v>STO</v>
      </c>
      <c r="R147" t="str">
        <f t="shared" si="5"/>
        <v>STO</v>
      </c>
    </row>
    <row r="148" spans="1:18" ht="29" x14ac:dyDescent="0.35">
      <c r="A148" s="930" t="s">
        <v>1186</v>
      </c>
      <c r="B148" s="612" t="s">
        <v>1187</v>
      </c>
      <c r="C148" s="588" t="s">
        <v>1186</v>
      </c>
      <c r="D148" s="930" t="s">
        <v>1186</v>
      </c>
      <c r="E148" s="930" t="s">
        <v>1186</v>
      </c>
      <c r="F148" s="930" t="s">
        <v>1186</v>
      </c>
      <c r="G148" s="634" t="s">
        <v>1188</v>
      </c>
      <c r="I148" s="466"/>
      <c r="J148" s="466"/>
      <c r="L148" t="s">
        <v>1189</v>
      </c>
      <c r="M148" s="710" t="s">
        <v>1190</v>
      </c>
      <c r="O148" t="s">
        <v>2</v>
      </c>
      <c r="Q148" t="str">
        <f t="shared" si="4"/>
        <v>MTO</v>
      </c>
      <c r="R148" t="str">
        <f t="shared" si="5"/>
        <v>MTO</v>
      </c>
    </row>
    <row r="149" spans="1:18" ht="29" x14ac:dyDescent="0.35">
      <c r="A149" s="914" t="s">
        <v>1191</v>
      </c>
      <c r="B149" s="93" t="s">
        <v>617</v>
      </c>
      <c r="C149" s="284" t="s">
        <v>1191</v>
      </c>
      <c r="D149" s="914" t="s">
        <v>1191</v>
      </c>
      <c r="E149" s="914" t="s">
        <v>1191</v>
      </c>
      <c r="F149" s="914" t="s">
        <v>1191</v>
      </c>
      <c r="G149" s="878" t="s">
        <v>1192</v>
      </c>
      <c r="H149" s="314" t="s">
        <v>853</v>
      </c>
      <c r="I149" s="466"/>
      <c r="J149" s="466"/>
      <c r="L149" t="s">
        <v>1193</v>
      </c>
      <c r="M149" s="710" t="s">
        <v>1194</v>
      </c>
      <c r="P149" t="s">
        <v>4</v>
      </c>
      <c r="Q149" t="str">
        <f t="shared" si="4"/>
        <v>STO</v>
      </c>
      <c r="R149" t="str">
        <f t="shared" si="5"/>
        <v>STO</v>
      </c>
    </row>
    <row r="150" spans="1:18" ht="29" x14ac:dyDescent="0.35">
      <c r="A150" s="914" t="s">
        <v>1195</v>
      </c>
      <c r="B150" s="93" t="s">
        <v>1196</v>
      </c>
      <c r="C150" s="284" t="s">
        <v>1195</v>
      </c>
      <c r="D150" s="914" t="s">
        <v>1195</v>
      </c>
      <c r="E150" s="914" t="s">
        <v>1195</v>
      </c>
      <c r="F150" s="914" t="s">
        <v>1195</v>
      </c>
      <c r="G150" s="111" t="s">
        <v>1197</v>
      </c>
      <c r="I150" s="466"/>
      <c r="J150" s="274"/>
      <c r="L150" t="s">
        <v>1198</v>
      </c>
      <c r="M150" s="710" t="s">
        <v>1199</v>
      </c>
      <c r="P150" t="s">
        <v>4</v>
      </c>
      <c r="Q150" t="str">
        <f t="shared" si="4"/>
        <v>STO</v>
      </c>
      <c r="R150" t="str">
        <f t="shared" si="5"/>
        <v>STO</v>
      </c>
    </row>
    <row r="151" spans="1:18" ht="15" thickBot="1" x14ac:dyDescent="0.4">
      <c r="A151" s="931" t="s">
        <v>1200</v>
      </c>
      <c r="B151" s="509" t="s">
        <v>617</v>
      </c>
      <c r="C151" s="504" t="s">
        <v>1200</v>
      </c>
      <c r="D151" s="931" t="s">
        <v>1200</v>
      </c>
      <c r="E151" s="931" t="s">
        <v>1200</v>
      </c>
      <c r="F151" s="931" t="s">
        <v>1200</v>
      </c>
      <c r="G151" s="932" t="s">
        <v>1201</v>
      </c>
      <c r="H151" s="314" t="s">
        <v>853</v>
      </c>
      <c r="I151" s="466"/>
      <c r="J151" s="275"/>
      <c r="L151" t="s">
        <v>1202</v>
      </c>
      <c r="M151" s="710" t="s">
        <v>1203</v>
      </c>
      <c r="P151" t="s">
        <v>4</v>
      </c>
      <c r="Q151" t="str">
        <f t="shared" si="4"/>
        <v>STO</v>
      </c>
      <c r="R151" t="str">
        <f t="shared" si="5"/>
        <v>STO</v>
      </c>
    </row>
    <row r="152" spans="1:18" ht="43.5" x14ac:dyDescent="0.35">
      <c r="A152" s="458" t="s">
        <v>358</v>
      </c>
      <c r="B152" s="331" t="s">
        <v>357</v>
      </c>
      <c r="C152" s="572" t="s">
        <v>358</v>
      </c>
      <c r="D152" s="458" t="s">
        <v>358</v>
      </c>
      <c r="E152" s="458" t="s">
        <v>358</v>
      </c>
      <c r="F152" s="458" t="s">
        <v>358</v>
      </c>
      <c r="G152" s="458" t="s">
        <v>1204</v>
      </c>
      <c r="H152" s="518" t="s">
        <v>440</v>
      </c>
      <c r="I152" s="274"/>
      <c r="J152" s="468"/>
      <c r="L152" t="s">
        <v>1205</v>
      </c>
      <c r="M152" s="710" t="s">
        <v>1206</v>
      </c>
      <c r="P152" t="s">
        <v>4</v>
      </c>
      <c r="Q152" t="str">
        <f t="shared" si="4"/>
        <v>STO</v>
      </c>
      <c r="R152" t="str">
        <f t="shared" si="5"/>
        <v>STO</v>
      </c>
    </row>
    <row r="153" spans="1:18" ht="43.5" x14ac:dyDescent="0.35">
      <c r="A153" s="933" t="s">
        <v>1207</v>
      </c>
      <c r="B153" s="98" t="s">
        <v>1208</v>
      </c>
      <c r="C153" s="613" t="s">
        <v>1207</v>
      </c>
      <c r="D153" s="933" t="s">
        <v>1207</v>
      </c>
      <c r="E153" s="933" t="s">
        <v>1207</v>
      </c>
      <c r="F153" s="933" t="s">
        <v>1207</v>
      </c>
      <c r="G153" s="878" t="s">
        <v>1209</v>
      </c>
      <c r="H153" s="314" t="s">
        <v>440</v>
      </c>
      <c r="I153" s="275"/>
      <c r="J153" s="466"/>
      <c r="L153" t="s">
        <v>1210</v>
      </c>
      <c r="M153" s="710" t="s">
        <v>1211</v>
      </c>
      <c r="P153" t="s">
        <v>4</v>
      </c>
      <c r="Q153" t="str">
        <f t="shared" si="4"/>
        <v>STO</v>
      </c>
      <c r="R153" t="str">
        <f t="shared" si="5"/>
        <v>STO</v>
      </c>
    </row>
    <row r="154" spans="1:18" ht="43.5" x14ac:dyDescent="0.35">
      <c r="A154" s="933" t="s">
        <v>1212</v>
      </c>
      <c r="B154" s="98" t="s">
        <v>1213</v>
      </c>
      <c r="C154" s="613" t="s">
        <v>1212</v>
      </c>
      <c r="D154" s="933" t="s">
        <v>1212</v>
      </c>
      <c r="E154" s="933" t="s">
        <v>1212</v>
      </c>
      <c r="F154" s="933" t="s">
        <v>1212</v>
      </c>
      <c r="G154" s="878" t="s">
        <v>1214</v>
      </c>
      <c r="H154" s="314" t="s">
        <v>440</v>
      </c>
      <c r="I154" s="468"/>
      <c r="J154" s="466"/>
      <c r="L154" t="s">
        <v>1215</v>
      </c>
      <c r="M154" s="710" t="s">
        <v>1216</v>
      </c>
      <c r="O154" t="s">
        <v>2</v>
      </c>
      <c r="Q154" t="str">
        <f t="shared" si="4"/>
        <v>MTO</v>
      </c>
      <c r="R154" t="str">
        <f t="shared" si="5"/>
        <v>MTO</v>
      </c>
    </row>
    <row r="155" spans="1:18" ht="43.5" x14ac:dyDescent="0.35">
      <c r="A155" s="933" t="s">
        <v>350</v>
      </c>
      <c r="B155" s="98" t="s">
        <v>349</v>
      </c>
      <c r="C155" s="613" t="s">
        <v>350</v>
      </c>
      <c r="D155" s="933" t="s">
        <v>350</v>
      </c>
      <c r="E155" s="933" t="s">
        <v>350</v>
      </c>
      <c r="F155" s="933" t="s">
        <v>350</v>
      </c>
      <c r="G155" s="878" t="s">
        <v>1217</v>
      </c>
      <c r="H155" s="314" t="s">
        <v>440</v>
      </c>
      <c r="I155" s="466"/>
      <c r="J155" s="468"/>
      <c r="L155" t="s">
        <v>1218</v>
      </c>
      <c r="M155" s="710" t="s">
        <v>1219</v>
      </c>
      <c r="O155" t="s">
        <v>2</v>
      </c>
      <c r="Q155" t="str">
        <f t="shared" si="4"/>
        <v>MTO</v>
      </c>
      <c r="R155" t="str">
        <f t="shared" si="5"/>
        <v>MTO</v>
      </c>
    </row>
    <row r="156" spans="1:18" ht="43.5" x14ac:dyDescent="0.35">
      <c r="A156" s="933" t="s">
        <v>1220</v>
      </c>
      <c r="B156" s="98" t="s">
        <v>1221</v>
      </c>
      <c r="C156" s="613" t="s">
        <v>1220</v>
      </c>
      <c r="D156" s="933" t="s">
        <v>1220</v>
      </c>
      <c r="E156" s="933" t="s">
        <v>1220</v>
      </c>
      <c r="F156" s="933" t="s">
        <v>1220</v>
      </c>
      <c r="G156" s="878" t="s">
        <v>1222</v>
      </c>
      <c r="H156" s="314" t="s">
        <v>440</v>
      </c>
      <c r="I156" s="466"/>
      <c r="J156" s="466"/>
      <c r="L156" t="s">
        <v>1223</v>
      </c>
      <c r="M156" s="710" t="s">
        <v>1224</v>
      </c>
      <c r="O156" t="s">
        <v>2</v>
      </c>
      <c r="Q156" t="str">
        <f t="shared" si="4"/>
        <v>MTO</v>
      </c>
      <c r="R156" t="str">
        <f t="shared" si="5"/>
        <v>MTO</v>
      </c>
    </row>
    <row r="157" spans="1:18" ht="58" x14ac:dyDescent="0.35">
      <c r="A157" s="933" t="s">
        <v>353</v>
      </c>
      <c r="B157" s="566" t="s">
        <v>352</v>
      </c>
      <c r="C157" s="613" t="s">
        <v>353</v>
      </c>
      <c r="D157" s="933" t="s">
        <v>353</v>
      </c>
      <c r="E157" s="933" t="s">
        <v>353</v>
      </c>
      <c r="F157" s="933" t="s">
        <v>353</v>
      </c>
      <c r="G157" s="878" t="s">
        <v>354</v>
      </c>
      <c r="H157" s="314" t="s">
        <v>440</v>
      </c>
      <c r="I157" s="468"/>
      <c r="J157" s="466"/>
      <c r="L157" t="s">
        <v>1225</v>
      </c>
      <c r="M157" s="710" t="s">
        <v>1226</v>
      </c>
      <c r="O157" t="s">
        <v>2</v>
      </c>
      <c r="Q157" t="str">
        <f t="shared" si="4"/>
        <v>MTO</v>
      </c>
      <c r="R157" t="str">
        <f t="shared" si="5"/>
        <v>MTO</v>
      </c>
    </row>
    <row r="158" spans="1:18" ht="43.5" x14ac:dyDescent="0.35">
      <c r="A158" s="933" t="s">
        <v>1227</v>
      </c>
      <c r="B158" s="566" t="s">
        <v>1228</v>
      </c>
      <c r="C158" s="613" t="s">
        <v>1227</v>
      </c>
      <c r="D158" s="933" t="s">
        <v>1227</v>
      </c>
      <c r="E158" s="933" t="s">
        <v>1227</v>
      </c>
      <c r="F158" s="933" t="s">
        <v>1227</v>
      </c>
      <c r="G158" s="878" t="s">
        <v>1229</v>
      </c>
      <c r="H158" s="314" t="s">
        <v>440</v>
      </c>
      <c r="I158" s="466"/>
      <c r="J158" s="466"/>
      <c r="L158" t="s">
        <v>1230</v>
      </c>
      <c r="M158" s="710" t="s">
        <v>1231</v>
      </c>
      <c r="P158" t="s">
        <v>4</v>
      </c>
      <c r="Q158" t="str">
        <f t="shared" si="4"/>
        <v>STO</v>
      </c>
      <c r="R158" t="str">
        <f t="shared" si="5"/>
        <v>STO</v>
      </c>
    </row>
    <row r="159" spans="1:18" ht="29" x14ac:dyDescent="0.35">
      <c r="A159" s="933" t="s">
        <v>1232</v>
      </c>
      <c r="B159" s="98" t="s">
        <v>1233</v>
      </c>
      <c r="C159" s="613" t="s">
        <v>1232</v>
      </c>
      <c r="D159" s="933" t="s">
        <v>1232</v>
      </c>
      <c r="E159" s="933" t="s">
        <v>1232</v>
      </c>
      <c r="F159" s="933" t="s">
        <v>1232</v>
      </c>
      <c r="G159" s="877" t="s">
        <v>1234</v>
      </c>
      <c r="H159" s="314" t="s">
        <v>440</v>
      </c>
      <c r="I159" s="466"/>
      <c r="J159" s="466"/>
      <c r="L159" t="s">
        <v>1235</v>
      </c>
      <c r="M159" s="710" t="s">
        <v>1236</v>
      </c>
      <c r="O159" t="s">
        <v>2</v>
      </c>
      <c r="Q159" t="str">
        <f t="shared" si="4"/>
        <v>MTO</v>
      </c>
      <c r="R159" t="str">
        <f t="shared" si="5"/>
        <v>MTO</v>
      </c>
    </row>
    <row r="160" spans="1:18" ht="43.5" x14ac:dyDescent="0.35">
      <c r="A160" s="934" t="s">
        <v>1237</v>
      </c>
      <c r="B160" s="521"/>
      <c r="C160" s="521" t="s">
        <v>1232</v>
      </c>
      <c r="D160" s="934" t="s">
        <v>1237</v>
      </c>
      <c r="E160" s="934" t="s">
        <v>1237</v>
      </c>
      <c r="F160" s="934" t="s">
        <v>1237</v>
      </c>
      <c r="G160" s="877" t="s">
        <v>1238</v>
      </c>
      <c r="H160" s="314" t="s">
        <v>440</v>
      </c>
      <c r="I160" s="466"/>
      <c r="J160" s="466"/>
      <c r="L160" t="s">
        <v>1239</v>
      </c>
      <c r="M160" s="710" t="s">
        <v>1240</v>
      </c>
      <c r="P160" t="s">
        <v>4</v>
      </c>
      <c r="Q160" t="str">
        <f t="shared" si="4"/>
        <v>STO</v>
      </c>
      <c r="R160" t="str">
        <f t="shared" si="5"/>
        <v>STO</v>
      </c>
    </row>
    <row r="161" spans="1:18" ht="29" x14ac:dyDescent="0.35">
      <c r="A161" s="934" t="s">
        <v>1241</v>
      </c>
      <c r="B161" s="521" t="s">
        <v>1242</v>
      </c>
      <c r="C161" s="521" t="s">
        <v>1237</v>
      </c>
      <c r="D161" s="934" t="s">
        <v>1241</v>
      </c>
      <c r="E161" s="934" t="s">
        <v>1241</v>
      </c>
      <c r="F161" s="934" t="s">
        <v>1241</v>
      </c>
      <c r="G161" s="877" t="s">
        <v>1243</v>
      </c>
      <c r="H161" s="314" t="s">
        <v>440</v>
      </c>
      <c r="I161" s="466"/>
      <c r="J161" s="466"/>
      <c r="L161" t="s">
        <v>1244</v>
      </c>
      <c r="M161" s="710" t="s">
        <v>1245</v>
      </c>
      <c r="O161" t="s">
        <v>2</v>
      </c>
      <c r="Q161" t="str">
        <f t="shared" si="4"/>
        <v>MTO</v>
      </c>
      <c r="R161" t="str">
        <f t="shared" si="5"/>
        <v>MTO</v>
      </c>
    </row>
    <row r="162" spans="1:18" ht="29" x14ac:dyDescent="0.35">
      <c r="A162" s="934" t="s">
        <v>1246</v>
      </c>
      <c r="B162" s="521"/>
      <c r="C162" s="397" t="s">
        <v>617</v>
      </c>
      <c r="D162" s="397" t="s">
        <v>1246</v>
      </c>
      <c r="E162" s="934" t="s">
        <v>1246</v>
      </c>
      <c r="F162" s="934" t="s">
        <v>1246</v>
      </c>
      <c r="G162" s="877" t="s">
        <v>1247</v>
      </c>
      <c r="H162" s="314" t="s">
        <v>440</v>
      </c>
      <c r="I162" s="466"/>
      <c r="J162" s="466"/>
      <c r="L162" t="s">
        <v>1248</v>
      </c>
      <c r="M162" s="710" t="s">
        <v>1249</v>
      </c>
      <c r="P162" t="s">
        <v>4</v>
      </c>
      <c r="Q162" t="str">
        <f t="shared" si="4"/>
        <v>STO</v>
      </c>
      <c r="R162" t="str">
        <f t="shared" si="5"/>
        <v>STO</v>
      </c>
    </row>
    <row r="163" spans="1:18" ht="29" x14ac:dyDescent="0.35">
      <c r="A163" s="934" t="s">
        <v>1250</v>
      </c>
      <c r="B163" s="521"/>
      <c r="C163" s="397" t="s">
        <v>617</v>
      </c>
      <c r="D163" s="397" t="s">
        <v>1250</v>
      </c>
      <c r="E163" s="934" t="s">
        <v>1250</v>
      </c>
      <c r="F163" s="934" t="s">
        <v>1250</v>
      </c>
      <c r="G163" s="877" t="s">
        <v>1251</v>
      </c>
      <c r="H163" s="314" t="s">
        <v>440</v>
      </c>
      <c r="I163" s="466"/>
      <c r="J163" s="466"/>
      <c r="L163" t="s">
        <v>1252</v>
      </c>
      <c r="M163" s="710" t="s">
        <v>1253</v>
      </c>
      <c r="O163" t="s">
        <v>2</v>
      </c>
      <c r="Q163" t="str">
        <f t="shared" si="4"/>
        <v>MTO</v>
      </c>
      <c r="R163" t="str">
        <f t="shared" si="5"/>
        <v>MTO</v>
      </c>
    </row>
    <row r="164" spans="1:18" x14ac:dyDescent="0.35">
      <c r="A164" s="934" t="s">
        <v>1254</v>
      </c>
      <c r="B164" s="521"/>
      <c r="C164" s="397" t="s">
        <v>617</v>
      </c>
      <c r="D164" s="397" t="s">
        <v>1254</v>
      </c>
      <c r="E164" s="934" t="s">
        <v>1254</v>
      </c>
      <c r="F164" s="934" t="s">
        <v>1254</v>
      </c>
      <c r="G164" s="877" t="s">
        <v>1255</v>
      </c>
      <c r="H164" s="314" t="s">
        <v>440</v>
      </c>
      <c r="I164" s="466"/>
      <c r="J164" s="466"/>
      <c r="L164" t="s">
        <v>1256</v>
      </c>
      <c r="M164" s="710" t="s">
        <v>1257</v>
      </c>
      <c r="O164" t="s">
        <v>2</v>
      </c>
      <c r="Q164" t="str">
        <f t="shared" si="4"/>
        <v>MTO</v>
      </c>
      <c r="R164" t="str">
        <f t="shared" si="5"/>
        <v>MTO</v>
      </c>
    </row>
    <row r="165" spans="1:18" x14ac:dyDescent="0.35">
      <c r="A165" s="545" t="s">
        <v>348</v>
      </c>
      <c r="B165" s="405" t="s">
        <v>367</v>
      </c>
      <c r="C165" s="545" t="s">
        <v>348</v>
      </c>
      <c r="D165" s="545" t="s">
        <v>348</v>
      </c>
      <c r="E165" s="545" t="s">
        <v>348</v>
      </c>
      <c r="F165" s="545" t="s">
        <v>348</v>
      </c>
      <c r="G165" s="406" t="s">
        <v>368</v>
      </c>
      <c r="H165" s="314" t="s">
        <v>440</v>
      </c>
      <c r="I165" s="466"/>
      <c r="J165" s="466"/>
      <c r="L165" t="s">
        <v>1258</v>
      </c>
      <c r="M165" s="710" t="s">
        <v>1259</v>
      </c>
      <c r="O165" t="s">
        <v>2</v>
      </c>
      <c r="Q165" t="str">
        <f t="shared" si="4"/>
        <v>MTO</v>
      </c>
      <c r="R165" t="str">
        <f t="shared" si="5"/>
        <v>MTO</v>
      </c>
    </row>
    <row r="166" spans="1:18" ht="29" x14ac:dyDescent="0.35">
      <c r="A166" s="935" t="s">
        <v>360</v>
      </c>
      <c r="B166" s="419" t="s">
        <v>359</v>
      </c>
      <c r="C166" s="934" t="s">
        <v>360</v>
      </c>
      <c r="D166" s="935" t="s">
        <v>360</v>
      </c>
      <c r="E166" s="935" t="s">
        <v>360</v>
      </c>
      <c r="F166" s="935" t="s">
        <v>360</v>
      </c>
      <c r="G166" s="642" t="s">
        <v>361</v>
      </c>
      <c r="H166" s="314" t="s">
        <v>440</v>
      </c>
      <c r="I166" s="466"/>
      <c r="J166" s="466"/>
      <c r="L166" t="s">
        <v>1260</v>
      </c>
      <c r="M166" s="710" t="s">
        <v>1261</v>
      </c>
      <c r="P166" t="s">
        <v>4</v>
      </c>
      <c r="Q166" t="str">
        <f t="shared" si="4"/>
        <v>STO</v>
      </c>
      <c r="R166" t="str">
        <f t="shared" si="5"/>
        <v>STO</v>
      </c>
    </row>
    <row r="167" spans="1:18" ht="29" x14ac:dyDescent="0.35">
      <c r="A167" s="934" t="s">
        <v>1262</v>
      </c>
      <c r="B167" s="99" t="s">
        <v>1263</v>
      </c>
      <c r="C167" s="934" t="s">
        <v>1262</v>
      </c>
      <c r="D167" s="934" t="s">
        <v>1262</v>
      </c>
      <c r="E167" s="934" t="s">
        <v>1262</v>
      </c>
      <c r="F167" s="934" t="s">
        <v>1262</v>
      </c>
      <c r="G167" s="111" t="s">
        <v>1264</v>
      </c>
      <c r="H167" s="314" t="s">
        <v>440</v>
      </c>
      <c r="I167" s="466"/>
      <c r="J167" s="466"/>
      <c r="L167" t="s">
        <v>1265</v>
      </c>
      <c r="M167" s="710" t="s">
        <v>1266</v>
      </c>
      <c r="P167" t="s">
        <v>4</v>
      </c>
      <c r="Q167" t="str">
        <f t="shared" si="4"/>
        <v>STO</v>
      </c>
      <c r="R167" t="str">
        <f t="shared" si="5"/>
        <v>STO</v>
      </c>
    </row>
    <row r="168" spans="1:18" x14ac:dyDescent="0.35">
      <c r="A168" s="934" t="s">
        <v>1267</v>
      </c>
      <c r="B168" s="99" t="s">
        <v>1268</v>
      </c>
      <c r="C168" s="934" t="s">
        <v>1267</v>
      </c>
      <c r="D168" s="934" t="s">
        <v>1267</v>
      </c>
      <c r="E168" s="934" t="s">
        <v>1267</v>
      </c>
      <c r="F168" s="934" t="s">
        <v>1267</v>
      </c>
      <c r="G168" s="111" t="s">
        <v>1269</v>
      </c>
      <c r="H168" s="314" t="s">
        <v>440</v>
      </c>
      <c r="I168" s="466"/>
      <c r="J168" s="466"/>
      <c r="L168" t="s">
        <v>1270</v>
      </c>
      <c r="M168" s="710" t="s">
        <v>1271</v>
      </c>
      <c r="O168" t="s">
        <v>2</v>
      </c>
      <c r="Q168" t="str">
        <f t="shared" si="4"/>
        <v>MTO</v>
      </c>
      <c r="R168" t="str">
        <f t="shared" si="5"/>
        <v>MTO</v>
      </c>
    </row>
    <row r="169" spans="1:18" ht="29" x14ac:dyDescent="0.35">
      <c r="A169" s="934" t="s">
        <v>342</v>
      </c>
      <c r="B169" s="99" t="s">
        <v>362</v>
      </c>
      <c r="C169" s="934" t="s">
        <v>342</v>
      </c>
      <c r="D169" s="934" t="s">
        <v>342</v>
      </c>
      <c r="E169" s="934" t="s">
        <v>342</v>
      </c>
      <c r="F169" s="934" t="s">
        <v>342</v>
      </c>
      <c r="G169" s="111" t="s">
        <v>363</v>
      </c>
      <c r="H169" s="314" t="s">
        <v>440</v>
      </c>
      <c r="I169" s="466"/>
      <c r="J169" s="275"/>
      <c r="L169" t="s">
        <v>1272</v>
      </c>
      <c r="M169" s="710" t="s">
        <v>1273</v>
      </c>
      <c r="P169" t="s">
        <v>4</v>
      </c>
      <c r="Q169" t="str">
        <f t="shared" si="4"/>
        <v>STO</v>
      </c>
      <c r="R169" t="str">
        <f t="shared" si="5"/>
        <v>STO</v>
      </c>
    </row>
    <row r="170" spans="1:18" ht="29" x14ac:dyDescent="0.35">
      <c r="A170" s="934" t="s">
        <v>1274</v>
      </c>
      <c r="B170" s="99" t="s">
        <v>1275</v>
      </c>
      <c r="C170" s="934" t="s">
        <v>1274</v>
      </c>
      <c r="D170" s="934" t="s">
        <v>1274</v>
      </c>
      <c r="E170" s="934" t="s">
        <v>1274</v>
      </c>
      <c r="F170" s="934" t="s">
        <v>1274</v>
      </c>
      <c r="G170" s="111" t="s">
        <v>1276</v>
      </c>
      <c r="H170" s="314" t="s">
        <v>440</v>
      </c>
      <c r="I170" s="466"/>
      <c r="J170" s="275"/>
      <c r="L170" t="s">
        <v>1277</v>
      </c>
      <c r="M170" s="710" t="s">
        <v>1278</v>
      </c>
      <c r="N170" t="s">
        <v>20</v>
      </c>
      <c r="O170" t="s">
        <v>20</v>
      </c>
      <c r="Q170" t="str">
        <f t="shared" si="4"/>
        <v>Impact</v>
      </c>
      <c r="R170" t="str">
        <f t="shared" si="5"/>
        <v>Impact</v>
      </c>
    </row>
    <row r="171" spans="1:18" x14ac:dyDescent="0.35">
      <c r="A171" s="935" t="s">
        <v>1279</v>
      </c>
      <c r="B171" s="99" t="s">
        <v>1280</v>
      </c>
      <c r="C171" s="934" t="s">
        <v>1279</v>
      </c>
      <c r="D171" s="935" t="s">
        <v>1279</v>
      </c>
      <c r="E171" s="935" t="s">
        <v>1279</v>
      </c>
      <c r="F171" s="935" t="s">
        <v>1279</v>
      </c>
      <c r="G171" s="538" t="s">
        <v>1281</v>
      </c>
      <c r="H171" s="314" t="s">
        <v>440</v>
      </c>
      <c r="I171" s="275"/>
      <c r="J171" s="275"/>
      <c r="L171" t="s">
        <v>1282</v>
      </c>
      <c r="M171" s="710" t="s">
        <v>1283</v>
      </c>
      <c r="N171" t="s">
        <v>20</v>
      </c>
      <c r="O171" t="s">
        <v>20</v>
      </c>
      <c r="Q171" t="str">
        <f t="shared" si="4"/>
        <v>Impact</v>
      </c>
      <c r="R171" t="str">
        <f t="shared" si="5"/>
        <v>Impact</v>
      </c>
    </row>
    <row r="172" spans="1:18" ht="29" x14ac:dyDescent="0.35">
      <c r="A172" s="934" t="s">
        <v>1284</v>
      </c>
      <c r="B172" s="98" t="s">
        <v>1285</v>
      </c>
      <c r="C172" s="934" t="s">
        <v>1284</v>
      </c>
      <c r="D172" s="934" t="s">
        <v>1284</v>
      </c>
      <c r="E172" s="934" t="s">
        <v>1284</v>
      </c>
      <c r="F172" s="934" t="s">
        <v>1284</v>
      </c>
      <c r="G172" s="878" t="s">
        <v>1286</v>
      </c>
      <c r="H172" s="314" t="s">
        <v>440</v>
      </c>
      <c r="I172" s="275"/>
      <c r="J172" s="275"/>
      <c r="L172" t="s">
        <v>1287</v>
      </c>
      <c r="M172" s="710" t="s">
        <v>1288</v>
      </c>
      <c r="P172" t="s">
        <v>4</v>
      </c>
      <c r="Q172" t="str">
        <f t="shared" si="4"/>
        <v>STO</v>
      </c>
      <c r="R172" t="str">
        <f t="shared" si="5"/>
        <v>STO</v>
      </c>
    </row>
    <row r="173" spans="1:18" ht="29" x14ac:dyDescent="0.35">
      <c r="A173" s="934" t="s">
        <v>1289</v>
      </c>
      <c r="B173" s="98" t="s">
        <v>1290</v>
      </c>
      <c r="C173" s="934" t="s">
        <v>1289</v>
      </c>
      <c r="D173" s="934" t="s">
        <v>1289</v>
      </c>
      <c r="E173" s="934" t="s">
        <v>1289</v>
      </c>
      <c r="F173" s="934" t="s">
        <v>1289</v>
      </c>
      <c r="G173" s="878" t="s">
        <v>1291</v>
      </c>
      <c r="H173" s="314" t="s">
        <v>440</v>
      </c>
      <c r="I173" s="275"/>
      <c r="J173" s="463"/>
      <c r="L173" t="s">
        <v>1292</v>
      </c>
      <c r="M173" s="710" t="s">
        <v>1293</v>
      </c>
      <c r="P173" t="s">
        <v>4</v>
      </c>
      <c r="Q173" t="str">
        <f t="shared" si="4"/>
        <v>STO</v>
      </c>
      <c r="R173" t="str">
        <f t="shared" si="5"/>
        <v>STO</v>
      </c>
    </row>
    <row r="174" spans="1:18" ht="15" thickBot="1" x14ac:dyDescent="0.4">
      <c r="A174" s="935" t="s">
        <v>365</v>
      </c>
      <c r="B174" s="88" t="s">
        <v>364</v>
      </c>
      <c r="C174" s="936" t="s">
        <v>365</v>
      </c>
      <c r="D174" s="935" t="s">
        <v>365</v>
      </c>
      <c r="E174" s="935" t="s">
        <v>365</v>
      </c>
      <c r="F174" s="935" t="s">
        <v>365</v>
      </c>
      <c r="G174" s="878" t="s">
        <v>366</v>
      </c>
      <c r="H174" s="314" t="s">
        <v>440</v>
      </c>
      <c r="I174" s="275"/>
      <c r="J174" s="254"/>
      <c r="L174" t="s">
        <v>1294</v>
      </c>
      <c r="M174" s="710" t="s">
        <v>1295</v>
      </c>
      <c r="O174" t="s">
        <v>2</v>
      </c>
      <c r="P174" t="s">
        <v>4</v>
      </c>
      <c r="Q174" t="str">
        <f t="shared" si="4"/>
        <v>MTOSTO</v>
      </c>
      <c r="R174" t="str">
        <f t="shared" si="5"/>
        <v>Choose Outcome</v>
      </c>
    </row>
    <row r="175" spans="1:18" ht="29" x14ac:dyDescent="0.35">
      <c r="A175" s="112" t="s">
        <v>1296</v>
      </c>
      <c r="B175" s="407" t="s">
        <v>1297</v>
      </c>
      <c r="C175" s="112" t="s">
        <v>1296</v>
      </c>
      <c r="D175" s="112" t="s">
        <v>1296</v>
      </c>
      <c r="E175" s="112" t="s">
        <v>1296</v>
      </c>
      <c r="F175" s="112" t="s">
        <v>1296</v>
      </c>
      <c r="G175" s="543" t="s">
        <v>1298</v>
      </c>
      <c r="I175" s="463"/>
      <c r="J175" s="254"/>
      <c r="L175" t="s">
        <v>1299</v>
      </c>
      <c r="M175" s="710" t="s">
        <v>1300</v>
      </c>
      <c r="N175" t="s">
        <v>20</v>
      </c>
      <c r="O175" t="s">
        <v>20</v>
      </c>
      <c r="Q175" t="str">
        <f t="shared" si="4"/>
        <v>Impact</v>
      </c>
      <c r="R175" t="str">
        <f t="shared" si="5"/>
        <v>Impact</v>
      </c>
    </row>
    <row r="176" spans="1:18" ht="29.5" thickBot="1" x14ac:dyDescent="0.4">
      <c r="A176" s="937" t="s">
        <v>1301</v>
      </c>
      <c r="B176" s="104" t="s">
        <v>1302</v>
      </c>
      <c r="C176" s="937" t="s">
        <v>1301</v>
      </c>
      <c r="D176" s="937" t="s">
        <v>1301</v>
      </c>
      <c r="E176" s="937" t="s">
        <v>1301</v>
      </c>
      <c r="F176" s="937" t="s">
        <v>1301</v>
      </c>
      <c r="G176" s="938" t="s">
        <v>1303</v>
      </c>
      <c r="I176" s="254"/>
      <c r="J176" s="254"/>
      <c r="L176" t="s">
        <v>1304</v>
      </c>
      <c r="M176" s="710" t="s">
        <v>1305</v>
      </c>
      <c r="O176" t="s">
        <v>2</v>
      </c>
      <c r="Q176" t="str">
        <f t="shared" si="4"/>
        <v>MTO</v>
      </c>
      <c r="R176" t="str">
        <f t="shared" si="5"/>
        <v>MTO</v>
      </c>
    </row>
    <row r="177" spans="1:18" ht="29" x14ac:dyDescent="0.35">
      <c r="A177" s="546" t="s">
        <v>1306</v>
      </c>
      <c r="B177" s="332" t="s">
        <v>1307</v>
      </c>
      <c r="C177" s="546" t="s">
        <v>1306</v>
      </c>
      <c r="D177" s="546" t="s">
        <v>1306</v>
      </c>
      <c r="E177" s="546" t="s">
        <v>1306</v>
      </c>
      <c r="F177" s="546" t="s">
        <v>1306</v>
      </c>
      <c r="G177" s="122" t="s">
        <v>1308</v>
      </c>
      <c r="H177" s="314" t="s">
        <v>440</v>
      </c>
      <c r="I177" s="254"/>
      <c r="J177" s="254"/>
      <c r="L177" t="s">
        <v>1309</v>
      </c>
      <c r="M177" s="710" t="s">
        <v>1310</v>
      </c>
      <c r="O177" t="s">
        <v>2</v>
      </c>
      <c r="Q177" t="str">
        <f t="shared" si="4"/>
        <v>MTO</v>
      </c>
      <c r="R177" t="str">
        <f t="shared" si="5"/>
        <v>MTO</v>
      </c>
    </row>
    <row r="178" spans="1:18" ht="29" x14ac:dyDescent="0.35">
      <c r="A178" s="933" t="s">
        <v>1311</v>
      </c>
      <c r="B178" s="98" t="s">
        <v>1312</v>
      </c>
      <c r="C178" s="933" t="s">
        <v>1311</v>
      </c>
      <c r="D178" s="933" t="s">
        <v>1311</v>
      </c>
      <c r="E178" s="933" t="s">
        <v>1311</v>
      </c>
      <c r="F178" s="933" t="s">
        <v>1311</v>
      </c>
      <c r="G178" s="878" t="s">
        <v>1313</v>
      </c>
      <c r="H178" s="314" t="s">
        <v>440</v>
      </c>
      <c r="I178" s="254"/>
      <c r="J178" s="254"/>
      <c r="L178" t="s">
        <v>1314</v>
      </c>
      <c r="M178" s="710" t="s">
        <v>1315</v>
      </c>
      <c r="P178" t="s">
        <v>4</v>
      </c>
      <c r="Q178" t="str">
        <f t="shared" si="4"/>
        <v>STO</v>
      </c>
      <c r="R178" t="str">
        <f t="shared" si="5"/>
        <v>STO</v>
      </c>
    </row>
    <row r="179" spans="1:18" ht="15" thickBot="1" x14ac:dyDescent="0.4">
      <c r="A179" s="939" t="s">
        <v>1316</v>
      </c>
      <c r="B179" s="398" t="s">
        <v>1317</v>
      </c>
      <c r="C179" s="939" t="s">
        <v>1316</v>
      </c>
      <c r="D179" s="939" t="s">
        <v>1316</v>
      </c>
      <c r="E179" s="939" t="s">
        <v>1316</v>
      </c>
      <c r="F179" s="939" t="s">
        <v>1316</v>
      </c>
      <c r="G179" s="626" t="s">
        <v>1318</v>
      </c>
      <c r="H179" s="314" t="s">
        <v>440</v>
      </c>
      <c r="I179" s="254"/>
      <c r="J179" s="465"/>
      <c r="L179" t="s">
        <v>1319</v>
      </c>
      <c r="M179" s="710" t="s">
        <v>1320</v>
      </c>
      <c r="P179" t="s">
        <v>4</v>
      </c>
      <c r="Q179" t="str">
        <f t="shared" si="4"/>
        <v>STO</v>
      </c>
      <c r="R179" t="str">
        <f t="shared" si="5"/>
        <v>STO</v>
      </c>
    </row>
    <row r="180" spans="1:18" ht="29" x14ac:dyDescent="0.35">
      <c r="A180" s="546" t="s">
        <v>378</v>
      </c>
      <c r="B180" s="332" t="s">
        <v>377</v>
      </c>
      <c r="C180" s="546" t="s">
        <v>378</v>
      </c>
      <c r="D180" s="546" t="s">
        <v>378</v>
      </c>
      <c r="E180" s="546" t="s">
        <v>378</v>
      </c>
      <c r="F180" s="546" t="s">
        <v>378</v>
      </c>
      <c r="G180" s="727" t="s">
        <v>379</v>
      </c>
      <c r="H180" s="314" t="s">
        <v>440</v>
      </c>
      <c r="I180" s="254"/>
      <c r="J180" s="467"/>
      <c r="L180" t="s">
        <v>1321</v>
      </c>
      <c r="M180" s="710" t="s">
        <v>1322</v>
      </c>
      <c r="N180" t="s">
        <v>20</v>
      </c>
      <c r="O180" t="s">
        <v>20</v>
      </c>
      <c r="Q180" t="str">
        <f t="shared" si="4"/>
        <v>Impact</v>
      </c>
      <c r="R180" t="str">
        <f t="shared" si="5"/>
        <v>Impact</v>
      </c>
    </row>
    <row r="181" spans="1:18" x14ac:dyDescent="0.35">
      <c r="A181" s="934" t="s">
        <v>370</v>
      </c>
      <c r="B181" s="98" t="s">
        <v>369</v>
      </c>
      <c r="C181" s="934" t="s">
        <v>370</v>
      </c>
      <c r="D181" s="934" t="s">
        <v>370</v>
      </c>
      <c r="E181" s="934" t="s">
        <v>370</v>
      </c>
      <c r="F181" s="934" t="s">
        <v>370</v>
      </c>
      <c r="G181" s="878" t="s">
        <v>371</v>
      </c>
      <c r="H181" s="314" t="s">
        <v>440</v>
      </c>
      <c r="I181" s="465"/>
      <c r="J181" s="467"/>
      <c r="L181" t="s">
        <v>1323</v>
      </c>
      <c r="M181" s="710" t="s">
        <v>1324</v>
      </c>
      <c r="P181" t="s">
        <v>4</v>
      </c>
      <c r="Q181" t="str">
        <f t="shared" si="4"/>
        <v>STO</v>
      </c>
      <c r="R181" t="str">
        <f t="shared" si="5"/>
        <v>STO</v>
      </c>
    </row>
    <row r="182" spans="1:18" ht="29" x14ac:dyDescent="0.35">
      <c r="A182" s="934" t="s">
        <v>1325</v>
      </c>
      <c r="B182" s="98" t="s">
        <v>1326</v>
      </c>
      <c r="C182" s="934" t="s">
        <v>1325</v>
      </c>
      <c r="D182" s="934" t="s">
        <v>1325</v>
      </c>
      <c r="E182" s="934" t="s">
        <v>1325</v>
      </c>
      <c r="F182" s="934" t="s">
        <v>1325</v>
      </c>
      <c r="G182" s="878" t="s">
        <v>1327</v>
      </c>
      <c r="H182" s="314" t="s">
        <v>440</v>
      </c>
      <c r="I182" s="467"/>
      <c r="J182" s="467"/>
      <c r="L182" t="s">
        <v>1328</v>
      </c>
      <c r="M182" s="710" t="s">
        <v>1329</v>
      </c>
      <c r="O182" t="s">
        <v>2</v>
      </c>
      <c r="Q182" t="str">
        <f t="shared" si="4"/>
        <v>MTO</v>
      </c>
      <c r="R182" t="str">
        <f t="shared" si="5"/>
        <v>MTO</v>
      </c>
    </row>
    <row r="183" spans="1:18" x14ac:dyDescent="0.35">
      <c r="A183" s="934" t="s">
        <v>1330</v>
      </c>
      <c r="B183" s="98" t="s">
        <v>1331</v>
      </c>
      <c r="C183" s="934" t="s">
        <v>1330</v>
      </c>
      <c r="D183" s="934" t="s">
        <v>1330</v>
      </c>
      <c r="E183" s="934" t="s">
        <v>1330</v>
      </c>
      <c r="F183" s="934" t="s">
        <v>1330</v>
      </c>
      <c r="G183" s="878" t="s">
        <v>1332</v>
      </c>
      <c r="H183" s="314" t="s">
        <v>440</v>
      </c>
      <c r="I183" s="467"/>
      <c r="J183" s="467"/>
      <c r="L183" t="s">
        <v>1333</v>
      </c>
      <c r="M183" s="710" t="s">
        <v>1334</v>
      </c>
      <c r="O183" t="s">
        <v>2</v>
      </c>
      <c r="Q183" t="str">
        <f t="shared" si="4"/>
        <v>MTO</v>
      </c>
      <c r="R183" t="str">
        <f t="shared" si="5"/>
        <v>MTO</v>
      </c>
    </row>
    <row r="184" spans="1:18" ht="29" x14ac:dyDescent="0.35">
      <c r="A184" s="934" t="s">
        <v>1335</v>
      </c>
      <c r="B184" s="98" t="s">
        <v>1336</v>
      </c>
      <c r="C184" s="934" t="s">
        <v>1335</v>
      </c>
      <c r="D184" s="934" t="s">
        <v>1335</v>
      </c>
      <c r="E184" s="934" t="s">
        <v>1335</v>
      </c>
      <c r="F184" s="934" t="s">
        <v>1335</v>
      </c>
      <c r="G184" s="878" t="s">
        <v>1337</v>
      </c>
      <c r="H184" s="314" t="s">
        <v>440</v>
      </c>
      <c r="I184" s="467"/>
      <c r="J184" s="467"/>
      <c r="L184" t="s">
        <v>1338</v>
      </c>
      <c r="M184" s="710" t="s">
        <v>1339</v>
      </c>
      <c r="P184" t="s">
        <v>4</v>
      </c>
      <c r="Q184" t="str">
        <f t="shared" si="4"/>
        <v>STO</v>
      </c>
      <c r="R184" t="str">
        <f t="shared" si="5"/>
        <v>STO</v>
      </c>
    </row>
    <row r="185" spans="1:18" x14ac:dyDescent="0.35">
      <c r="A185" s="934" t="s">
        <v>1340</v>
      </c>
      <c r="B185" s="98" t="s">
        <v>1341</v>
      </c>
      <c r="C185" s="934" t="s">
        <v>1340</v>
      </c>
      <c r="D185" s="934" t="s">
        <v>1340</v>
      </c>
      <c r="E185" s="934" t="s">
        <v>1340</v>
      </c>
      <c r="F185" s="934" t="s">
        <v>1340</v>
      </c>
      <c r="G185" s="878" t="s">
        <v>1342</v>
      </c>
      <c r="H185" s="314" t="s">
        <v>440</v>
      </c>
      <c r="I185" s="467"/>
      <c r="J185" s="463"/>
      <c r="L185" t="s">
        <v>1343</v>
      </c>
      <c r="M185" s="710" t="s">
        <v>1344</v>
      </c>
      <c r="P185" t="s">
        <v>4</v>
      </c>
      <c r="Q185" t="str">
        <f t="shared" si="4"/>
        <v>STO</v>
      </c>
      <c r="R185" t="str">
        <f t="shared" si="5"/>
        <v>STO</v>
      </c>
    </row>
    <row r="186" spans="1:18" x14ac:dyDescent="0.35">
      <c r="A186" s="934" t="s">
        <v>1345</v>
      </c>
      <c r="B186" s="98" t="s">
        <v>1346</v>
      </c>
      <c r="C186" s="934" t="s">
        <v>1345</v>
      </c>
      <c r="D186" s="934" t="s">
        <v>1345</v>
      </c>
      <c r="E186" s="934" t="s">
        <v>1345</v>
      </c>
      <c r="F186" s="934" t="s">
        <v>1345</v>
      </c>
      <c r="G186" s="878" t="s">
        <v>1347</v>
      </c>
      <c r="H186" s="314" t="s">
        <v>440</v>
      </c>
      <c r="I186" s="467"/>
      <c r="J186" s="467"/>
      <c r="L186" t="s">
        <v>1348</v>
      </c>
      <c r="M186" s="710" t="s">
        <v>1349</v>
      </c>
      <c r="P186" t="s">
        <v>4</v>
      </c>
      <c r="Q186" t="str">
        <f t="shared" si="4"/>
        <v>STO</v>
      </c>
      <c r="R186" t="str">
        <f t="shared" si="5"/>
        <v>STO</v>
      </c>
    </row>
    <row r="187" spans="1:18" ht="29" x14ac:dyDescent="0.35">
      <c r="A187" s="934" t="s">
        <v>1350</v>
      </c>
      <c r="B187" s="100" t="s">
        <v>1351</v>
      </c>
      <c r="C187" s="934" t="s">
        <v>1350</v>
      </c>
      <c r="D187" s="934" t="s">
        <v>1350</v>
      </c>
      <c r="E187" s="934" t="s">
        <v>1350</v>
      </c>
      <c r="F187" s="934" t="s">
        <v>1350</v>
      </c>
      <c r="G187" s="878" t="s">
        <v>1352</v>
      </c>
      <c r="H187" s="314" t="s">
        <v>440</v>
      </c>
      <c r="I187" s="463"/>
      <c r="J187" s="467"/>
      <c r="L187" t="s">
        <v>1353</v>
      </c>
      <c r="M187" s="710" t="s">
        <v>1354</v>
      </c>
      <c r="P187" t="s">
        <v>4</v>
      </c>
      <c r="Q187" t="str">
        <f t="shared" si="4"/>
        <v>STO</v>
      </c>
      <c r="R187" t="str">
        <f t="shared" si="5"/>
        <v>STO</v>
      </c>
    </row>
    <row r="188" spans="1:18" ht="29" x14ac:dyDescent="0.35">
      <c r="A188" s="935" t="s">
        <v>374</v>
      </c>
      <c r="B188" s="100" t="s">
        <v>373</v>
      </c>
      <c r="C188" s="935" t="s">
        <v>374</v>
      </c>
      <c r="D188" s="935" t="s">
        <v>374</v>
      </c>
      <c r="E188" s="935" t="s">
        <v>374</v>
      </c>
      <c r="F188" s="935" t="s">
        <v>374</v>
      </c>
      <c r="G188" s="902" t="s">
        <v>375</v>
      </c>
      <c r="H188" s="314" t="s">
        <v>440</v>
      </c>
      <c r="I188" s="467"/>
      <c r="J188" s="467"/>
      <c r="L188" t="s">
        <v>1355</v>
      </c>
      <c r="M188" s="710" t="s">
        <v>1356</v>
      </c>
      <c r="P188" t="s">
        <v>4</v>
      </c>
      <c r="Q188" t="str">
        <f t="shared" si="4"/>
        <v>STO</v>
      </c>
      <c r="R188" t="str">
        <f t="shared" si="5"/>
        <v>STO</v>
      </c>
    </row>
    <row r="189" spans="1:18" x14ac:dyDescent="0.35">
      <c r="A189" s="934" t="s">
        <v>346</v>
      </c>
      <c r="B189" s="284" t="s">
        <v>1357</v>
      </c>
      <c r="C189" s="934" t="s">
        <v>346</v>
      </c>
      <c r="D189" s="934" t="s">
        <v>346</v>
      </c>
      <c r="E189" s="934" t="s">
        <v>346</v>
      </c>
      <c r="F189" s="934" t="s">
        <v>346</v>
      </c>
      <c r="G189" s="631" t="s">
        <v>1358</v>
      </c>
      <c r="I189" s="467"/>
      <c r="J189" s="467"/>
      <c r="L189" t="s">
        <v>1359</v>
      </c>
      <c r="M189" s="710" t="s">
        <v>1360</v>
      </c>
      <c r="P189" t="s">
        <v>4</v>
      </c>
      <c r="Q189" t="str">
        <f t="shared" si="4"/>
        <v>STO</v>
      </c>
      <c r="R189" t="str">
        <f t="shared" si="5"/>
        <v>STO</v>
      </c>
    </row>
    <row r="190" spans="1:18" ht="29" x14ac:dyDescent="0.35">
      <c r="A190" s="934" t="s">
        <v>1361</v>
      </c>
      <c r="B190" s="521" t="s">
        <v>1362</v>
      </c>
      <c r="C190" s="934" t="s">
        <v>1361</v>
      </c>
      <c r="D190" s="934" t="s">
        <v>1361</v>
      </c>
      <c r="E190" s="934" t="s">
        <v>1361</v>
      </c>
      <c r="F190" s="934" t="s">
        <v>1361</v>
      </c>
      <c r="G190" s="631" t="s">
        <v>1363</v>
      </c>
      <c r="I190" s="467"/>
      <c r="J190" s="467"/>
      <c r="L190" t="s">
        <v>815</v>
      </c>
      <c r="M190" s="710" t="s">
        <v>816</v>
      </c>
      <c r="P190" t="s">
        <v>4</v>
      </c>
      <c r="Q190" t="str">
        <f t="shared" si="4"/>
        <v>STO</v>
      </c>
      <c r="R190" t="str">
        <f t="shared" si="5"/>
        <v>STO</v>
      </c>
    </row>
    <row r="191" spans="1:18" ht="29" x14ac:dyDescent="0.35">
      <c r="A191" s="934" t="s">
        <v>1364</v>
      </c>
      <c r="B191" s="521" t="s">
        <v>1365</v>
      </c>
      <c r="C191" s="934" t="s">
        <v>1364</v>
      </c>
      <c r="D191" s="934" t="s">
        <v>1364</v>
      </c>
      <c r="E191" s="934" t="s">
        <v>1364</v>
      </c>
      <c r="F191" s="934" t="s">
        <v>1364</v>
      </c>
      <c r="G191" s="631" t="s">
        <v>1366</v>
      </c>
      <c r="I191" s="467"/>
      <c r="J191" s="467"/>
      <c r="L191" t="s">
        <v>1367</v>
      </c>
      <c r="M191" s="710" t="s">
        <v>1368</v>
      </c>
      <c r="O191" t="s">
        <v>2</v>
      </c>
      <c r="Q191" t="str">
        <f t="shared" si="4"/>
        <v>MTO</v>
      </c>
      <c r="R191" t="str">
        <f t="shared" si="5"/>
        <v>MTO</v>
      </c>
    </row>
    <row r="192" spans="1:18" ht="29" x14ac:dyDescent="0.35">
      <c r="A192" s="934" t="s">
        <v>1369</v>
      </c>
      <c r="B192" s="284" t="s">
        <v>1370</v>
      </c>
      <c r="C192" s="934" t="s">
        <v>1369</v>
      </c>
      <c r="D192" s="934" t="s">
        <v>1369</v>
      </c>
      <c r="E192" s="934" t="s">
        <v>1369</v>
      </c>
      <c r="F192" s="934" t="s">
        <v>1369</v>
      </c>
      <c r="G192" s="940" t="s">
        <v>1371</v>
      </c>
      <c r="I192" s="467"/>
      <c r="J192" s="260"/>
      <c r="L192" t="s">
        <v>1372</v>
      </c>
      <c r="M192" s="710" t="s">
        <v>1373</v>
      </c>
      <c r="O192" t="s">
        <v>2</v>
      </c>
      <c r="Q192" t="str">
        <f t="shared" si="4"/>
        <v>MTO</v>
      </c>
      <c r="R192" t="str">
        <f t="shared" si="5"/>
        <v>MTO</v>
      </c>
    </row>
    <row r="193" spans="1:18" ht="29" x14ac:dyDescent="0.35">
      <c r="A193" s="934" t="s">
        <v>1374</v>
      </c>
      <c r="B193" s="284"/>
      <c r="C193" s="397" t="s">
        <v>617</v>
      </c>
      <c r="D193" s="397" t="s">
        <v>1374</v>
      </c>
      <c r="E193" s="934" t="s">
        <v>1374</v>
      </c>
      <c r="F193" s="934" t="s">
        <v>1374</v>
      </c>
      <c r="G193" s="878" t="s">
        <v>1375</v>
      </c>
      <c r="H193" s="314" t="s">
        <v>440</v>
      </c>
      <c r="I193" s="467"/>
      <c r="J193" s="259"/>
      <c r="L193" t="s">
        <v>1376</v>
      </c>
      <c r="M193" s="710" t="s">
        <v>1377</v>
      </c>
      <c r="O193" t="s">
        <v>2</v>
      </c>
      <c r="Q193" t="str">
        <f t="shared" si="4"/>
        <v>MTO</v>
      </c>
      <c r="R193" t="str">
        <f t="shared" si="5"/>
        <v>MTO</v>
      </c>
    </row>
    <row r="194" spans="1:18" ht="29.5" thickBot="1" x14ac:dyDescent="0.4">
      <c r="A194" s="935" t="s">
        <v>1378</v>
      </c>
      <c r="B194" s="508"/>
      <c r="C194" s="408" t="s">
        <v>617</v>
      </c>
      <c r="D194" s="408" t="s">
        <v>1378</v>
      </c>
      <c r="E194" s="935" t="s">
        <v>1378</v>
      </c>
      <c r="F194" s="935" t="s">
        <v>1378</v>
      </c>
      <c r="G194" s="902" t="s">
        <v>1379</v>
      </c>
      <c r="H194" s="314" t="s">
        <v>440</v>
      </c>
      <c r="I194" s="260"/>
      <c r="J194" s="259"/>
      <c r="L194" t="s">
        <v>1380</v>
      </c>
      <c r="M194" s="710" t="s">
        <v>1381</v>
      </c>
      <c r="P194" t="s">
        <v>4</v>
      </c>
      <c r="Q194" t="str">
        <f t="shared" si="4"/>
        <v>STO</v>
      </c>
      <c r="R194" t="str">
        <f t="shared" si="5"/>
        <v>STO</v>
      </c>
    </row>
    <row r="195" spans="1:18" x14ac:dyDescent="0.35">
      <c r="A195" s="544" t="s">
        <v>1382</v>
      </c>
      <c r="B195" s="105" t="s">
        <v>1383</v>
      </c>
      <c r="C195" s="544" t="s">
        <v>1382</v>
      </c>
      <c r="D195" s="544" t="s">
        <v>1382</v>
      </c>
      <c r="E195" s="544" t="s">
        <v>1382</v>
      </c>
      <c r="F195" s="544" t="s">
        <v>1382</v>
      </c>
      <c r="G195" s="525" t="s">
        <v>1384</v>
      </c>
      <c r="I195" s="259"/>
      <c r="J195" s="259"/>
      <c r="L195" t="s">
        <v>1385</v>
      </c>
      <c r="M195" s="710" t="s">
        <v>1386</v>
      </c>
      <c r="N195" t="s">
        <v>20</v>
      </c>
      <c r="O195" t="s">
        <v>20</v>
      </c>
      <c r="Q195" t="str">
        <f t="shared" si="4"/>
        <v>Impact</v>
      </c>
      <c r="R195" t="str">
        <f t="shared" si="5"/>
        <v>Impact</v>
      </c>
    </row>
    <row r="196" spans="1:18" x14ac:dyDescent="0.35">
      <c r="A196" s="914" t="s">
        <v>1387</v>
      </c>
      <c r="B196" s="91" t="s">
        <v>1388</v>
      </c>
      <c r="C196" s="914" t="s">
        <v>1387</v>
      </c>
      <c r="D196" s="914" t="s">
        <v>1387</v>
      </c>
      <c r="E196" s="914" t="s">
        <v>1387</v>
      </c>
      <c r="F196" s="914" t="s">
        <v>1387</v>
      </c>
      <c r="G196" s="728" t="s">
        <v>1389</v>
      </c>
      <c r="I196" s="259"/>
      <c r="J196" s="259"/>
      <c r="L196" t="s">
        <v>1390</v>
      </c>
      <c r="M196" s="710" t="s">
        <v>1391</v>
      </c>
      <c r="O196" t="s">
        <v>2</v>
      </c>
      <c r="Q196" t="str">
        <f t="shared" ref="Q196:Q233" si="6">CONCATENATE(O:O,P:P)</f>
        <v>MTO</v>
      </c>
      <c r="R196" t="str">
        <f t="shared" ref="R196:R233" si="7">IF(Q:Q="MTOSTO","Choose Outcome",Q:Q)</f>
        <v>MTO</v>
      </c>
    </row>
    <row r="197" spans="1:18" x14ac:dyDescent="0.35">
      <c r="A197" s="914" t="s">
        <v>1392</v>
      </c>
      <c r="B197" s="94" t="s">
        <v>1393</v>
      </c>
      <c r="C197" s="914" t="s">
        <v>1392</v>
      </c>
      <c r="D197" s="914" t="s">
        <v>1392</v>
      </c>
      <c r="E197" s="914" t="s">
        <v>1392</v>
      </c>
      <c r="F197" s="914" t="s">
        <v>1392</v>
      </c>
      <c r="G197" s="729" t="s">
        <v>1394</v>
      </c>
      <c r="I197" s="259"/>
      <c r="J197" s="260"/>
      <c r="L197" t="s">
        <v>1395</v>
      </c>
      <c r="M197" s="710" t="s">
        <v>1396</v>
      </c>
      <c r="P197" t="s">
        <v>4</v>
      </c>
      <c r="Q197" t="str">
        <f t="shared" si="6"/>
        <v>STO</v>
      </c>
      <c r="R197" t="str">
        <f t="shared" si="7"/>
        <v>STO</v>
      </c>
    </row>
    <row r="198" spans="1:18" ht="29" x14ac:dyDescent="0.35">
      <c r="A198" s="914" t="s">
        <v>1397</v>
      </c>
      <c r="B198" s="91" t="s">
        <v>1398</v>
      </c>
      <c r="C198" s="914" t="s">
        <v>1397</v>
      </c>
      <c r="D198" s="914" t="s">
        <v>1397</v>
      </c>
      <c r="E198" s="914" t="s">
        <v>1397</v>
      </c>
      <c r="F198" s="914" t="s">
        <v>1397</v>
      </c>
      <c r="G198" s="728" t="s">
        <v>1399</v>
      </c>
      <c r="I198" s="259"/>
      <c r="J198" s="259"/>
      <c r="L198" t="s">
        <v>1400</v>
      </c>
      <c r="M198" s="710" t="s">
        <v>1401</v>
      </c>
      <c r="P198" t="s">
        <v>4</v>
      </c>
      <c r="Q198" t="str">
        <f t="shared" si="6"/>
        <v>STO</v>
      </c>
      <c r="R198" t="str">
        <f t="shared" si="7"/>
        <v>STO</v>
      </c>
    </row>
    <row r="199" spans="1:18" x14ac:dyDescent="0.35">
      <c r="A199" s="914" t="s">
        <v>1402</v>
      </c>
      <c r="B199" s="91" t="s">
        <v>1403</v>
      </c>
      <c r="C199" s="914" t="s">
        <v>1402</v>
      </c>
      <c r="D199" s="914" t="s">
        <v>1402</v>
      </c>
      <c r="E199" s="914" t="s">
        <v>1402</v>
      </c>
      <c r="F199" s="914" t="s">
        <v>1402</v>
      </c>
      <c r="G199" s="728" t="s">
        <v>1404</v>
      </c>
      <c r="I199" s="260"/>
      <c r="J199" s="464"/>
      <c r="L199" t="s">
        <v>1405</v>
      </c>
      <c r="M199" s="710" t="s">
        <v>1406</v>
      </c>
      <c r="O199" t="s">
        <v>2</v>
      </c>
      <c r="Q199" t="str">
        <f t="shared" si="6"/>
        <v>MTO</v>
      </c>
      <c r="R199" t="str">
        <f t="shared" si="7"/>
        <v>MTO</v>
      </c>
    </row>
    <row r="200" spans="1:18" x14ac:dyDescent="0.35">
      <c r="A200" s="914" t="s">
        <v>1407</v>
      </c>
      <c r="B200" s="91" t="s">
        <v>1408</v>
      </c>
      <c r="C200" s="914" t="s">
        <v>1407</v>
      </c>
      <c r="D200" s="914" t="s">
        <v>1407</v>
      </c>
      <c r="E200" s="914" t="s">
        <v>1407</v>
      </c>
      <c r="F200" s="914" t="s">
        <v>1407</v>
      </c>
      <c r="G200" s="729" t="s">
        <v>1409</v>
      </c>
      <c r="I200" s="259"/>
      <c r="J200" s="259"/>
      <c r="L200" t="s">
        <v>1410</v>
      </c>
      <c r="M200" s="710" t="s">
        <v>1411</v>
      </c>
      <c r="O200" t="s">
        <v>2</v>
      </c>
      <c r="Q200" t="str">
        <f t="shared" si="6"/>
        <v>MTO</v>
      </c>
      <c r="R200" t="str">
        <f t="shared" si="7"/>
        <v>MTO</v>
      </c>
    </row>
    <row r="201" spans="1:18" x14ac:dyDescent="0.35">
      <c r="A201" s="914" t="s">
        <v>1412</v>
      </c>
      <c r="B201" s="91"/>
      <c r="C201" s="390"/>
      <c r="D201" s="390" t="s">
        <v>1412</v>
      </c>
      <c r="E201" s="914" t="s">
        <v>1412</v>
      </c>
      <c r="F201" s="914" t="s">
        <v>1412</v>
      </c>
      <c r="G201" s="730" t="s">
        <v>1413</v>
      </c>
      <c r="I201" s="464"/>
      <c r="J201" s="259"/>
      <c r="L201" t="s">
        <v>1414</v>
      </c>
      <c r="M201" s="710" t="s">
        <v>1415</v>
      </c>
      <c r="O201" t="s">
        <v>2</v>
      </c>
      <c r="Q201" t="str">
        <f t="shared" si="6"/>
        <v>MTO</v>
      </c>
      <c r="R201" t="str">
        <f t="shared" si="7"/>
        <v>MTO</v>
      </c>
    </row>
    <row r="202" spans="1:18" x14ac:dyDescent="0.35">
      <c r="A202" s="522" t="s">
        <v>1416</v>
      </c>
      <c r="B202" s="526" t="s">
        <v>617</v>
      </c>
      <c r="C202" s="522" t="s">
        <v>1416</v>
      </c>
      <c r="D202" s="516" t="s">
        <v>1416</v>
      </c>
      <c r="E202" s="522" t="s">
        <v>1416</v>
      </c>
      <c r="F202" s="522" t="s">
        <v>1416</v>
      </c>
      <c r="G202" s="527" t="s">
        <v>1417</v>
      </c>
      <c r="H202" s="635" t="s">
        <v>853</v>
      </c>
      <c r="I202" s="259"/>
      <c r="J202" s="259"/>
      <c r="L202" t="s">
        <v>1418</v>
      </c>
      <c r="M202" s="710" t="s">
        <v>1419</v>
      </c>
      <c r="O202" t="s">
        <v>2</v>
      </c>
      <c r="Q202" t="str">
        <f t="shared" si="6"/>
        <v>MTO</v>
      </c>
      <c r="R202" t="str">
        <f t="shared" si="7"/>
        <v>MTO</v>
      </c>
    </row>
    <row r="203" spans="1:18" x14ac:dyDescent="0.35">
      <c r="A203" s="914" t="s">
        <v>1420</v>
      </c>
      <c r="B203" s="875" t="s">
        <v>617</v>
      </c>
      <c r="C203" s="914" t="s">
        <v>1420</v>
      </c>
      <c r="D203" s="284" t="s">
        <v>1420</v>
      </c>
      <c r="E203" s="914" t="s">
        <v>1420</v>
      </c>
      <c r="F203" s="914" t="s">
        <v>1420</v>
      </c>
      <c r="G203" s="941" t="s">
        <v>1421</v>
      </c>
      <c r="H203" s="635" t="s">
        <v>698</v>
      </c>
      <c r="I203" s="259"/>
      <c r="J203" s="259"/>
      <c r="L203" t="s">
        <v>1422</v>
      </c>
      <c r="M203" s="710" t="s">
        <v>1423</v>
      </c>
      <c r="P203" t="s">
        <v>4</v>
      </c>
      <c r="Q203" t="str">
        <f t="shared" si="6"/>
        <v>STO</v>
      </c>
      <c r="R203" t="str">
        <f t="shared" si="7"/>
        <v>STO</v>
      </c>
    </row>
    <row r="204" spans="1:18" x14ac:dyDescent="0.35">
      <c r="A204" s="914" t="s">
        <v>355</v>
      </c>
      <c r="B204" s="875" t="s">
        <v>617</v>
      </c>
      <c r="C204" s="914" t="s">
        <v>355</v>
      </c>
      <c r="D204" s="284" t="s">
        <v>355</v>
      </c>
      <c r="E204" s="914" t="s">
        <v>355</v>
      </c>
      <c r="F204" s="914" t="s">
        <v>355</v>
      </c>
      <c r="G204" s="887" t="s">
        <v>356</v>
      </c>
      <c r="H204" s="635" t="s">
        <v>440</v>
      </c>
      <c r="I204" s="259"/>
      <c r="J204" s="259"/>
      <c r="L204" t="s">
        <v>1424</v>
      </c>
      <c r="M204" s="710" t="s">
        <v>1425</v>
      </c>
      <c r="O204" t="s">
        <v>2</v>
      </c>
      <c r="Q204" t="str">
        <f t="shared" si="6"/>
        <v>MTO</v>
      </c>
      <c r="R204" t="str">
        <f t="shared" si="7"/>
        <v>MTO</v>
      </c>
    </row>
    <row r="205" spans="1:18" x14ac:dyDescent="0.35">
      <c r="A205" s="914" t="s">
        <v>1426</v>
      </c>
      <c r="B205" s="875" t="s">
        <v>617</v>
      </c>
      <c r="C205" s="914" t="s">
        <v>1426</v>
      </c>
      <c r="D205" s="284" t="s">
        <v>1426</v>
      </c>
      <c r="E205" s="914" t="s">
        <v>1426</v>
      </c>
      <c r="F205" s="914" t="s">
        <v>1426</v>
      </c>
      <c r="G205" s="728" t="s">
        <v>1427</v>
      </c>
      <c r="H205" s="635" t="s">
        <v>698</v>
      </c>
      <c r="I205" s="259"/>
      <c r="J205" s="259"/>
      <c r="L205" t="s">
        <v>1428</v>
      </c>
      <c r="M205" s="710" t="s">
        <v>1429</v>
      </c>
      <c r="O205" t="s">
        <v>2</v>
      </c>
      <c r="Q205" t="str">
        <f t="shared" si="6"/>
        <v>MTO</v>
      </c>
      <c r="R205" t="str">
        <f t="shared" si="7"/>
        <v>MTO</v>
      </c>
    </row>
    <row r="206" spans="1:18" x14ac:dyDescent="0.35">
      <c r="A206" s="914" t="s">
        <v>1430</v>
      </c>
      <c r="B206" s="875" t="s">
        <v>617</v>
      </c>
      <c r="C206" s="914" t="s">
        <v>1430</v>
      </c>
      <c r="D206" s="284" t="s">
        <v>1430</v>
      </c>
      <c r="E206" s="914" t="s">
        <v>1430</v>
      </c>
      <c r="F206" s="914" t="s">
        <v>1430</v>
      </c>
      <c r="G206" s="941" t="s">
        <v>1431</v>
      </c>
      <c r="H206" s="635" t="s">
        <v>698</v>
      </c>
      <c r="I206" s="259"/>
      <c r="J206" s="464"/>
      <c r="L206" t="s">
        <v>1432</v>
      </c>
      <c r="M206" s="710" t="s">
        <v>1433</v>
      </c>
      <c r="O206" t="s">
        <v>2</v>
      </c>
      <c r="Q206" t="str">
        <f t="shared" si="6"/>
        <v>MTO</v>
      </c>
      <c r="R206" t="str">
        <f t="shared" si="7"/>
        <v>MTO</v>
      </c>
    </row>
    <row r="207" spans="1:18" x14ac:dyDescent="0.35">
      <c r="A207" s="914" t="s">
        <v>1434</v>
      </c>
      <c r="B207" s="875" t="s">
        <v>617</v>
      </c>
      <c r="C207" s="914" t="s">
        <v>1434</v>
      </c>
      <c r="D207" s="284" t="s">
        <v>1434</v>
      </c>
      <c r="E207" s="914" t="s">
        <v>1434</v>
      </c>
      <c r="F207" s="914" t="s">
        <v>1434</v>
      </c>
      <c r="G207" s="941" t="s">
        <v>1435</v>
      </c>
      <c r="H207" s="635" t="s">
        <v>440</v>
      </c>
      <c r="I207" s="259"/>
      <c r="J207" s="464"/>
      <c r="L207" t="s">
        <v>1436</v>
      </c>
      <c r="M207" s="710" t="s">
        <v>1437</v>
      </c>
      <c r="O207" t="s">
        <v>2</v>
      </c>
      <c r="Q207" t="str">
        <f t="shared" si="6"/>
        <v>MTO</v>
      </c>
      <c r="R207" t="str">
        <f t="shared" si="7"/>
        <v>MTO</v>
      </c>
    </row>
    <row r="208" spans="1:18" x14ac:dyDescent="0.35">
      <c r="A208" s="914" t="s">
        <v>1438</v>
      </c>
      <c r="B208" s="875"/>
      <c r="C208" s="390" t="s">
        <v>617</v>
      </c>
      <c r="D208" s="390" t="s">
        <v>1438</v>
      </c>
      <c r="E208" s="914" t="s">
        <v>1438</v>
      </c>
      <c r="F208" s="914" t="s">
        <v>1438</v>
      </c>
      <c r="G208" s="941" t="s">
        <v>1439</v>
      </c>
      <c r="H208" s="635" t="s">
        <v>853</v>
      </c>
      <c r="I208" s="464"/>
      <c r="J208" s="464"/>
      <c r="L208" t="s">
        <v>1440</v>
      </c>
      <c r="M208" s="710" t="s">
        <v>1441</v>
      </c>
      <c r="O208" t="s">
        <v>2</v>
      </c>
      <c r="P208" t="s">
        <v>4</v>
      </c>
      <c r="Q208" t="str">
        <f t="shared" si="6"/>
        <v>MTOSTO</v>
      </c>
      <c r="R208" t="str">
        <f t="shared" si="7"/>
        <v>Choose Outcome</v>
      </c>
    </row>
    <row r="209" spans="1:18" x14ac:dyDescent="0.35">
      <c r="A209" s="914" t="s">
        <v>1442</v>
      </c>
      <c r="B209" s="875"/>
      <c r="C209" s="390" t="s">
        <v>617</v>
      </c>
      <c r="D209" s="390" t="s">
        <v>1442</v>
      </c>
      <c r="E209" s="914" t="s">
        <v>1442</v>
      </c>
      <c r="F209" s="914" t="s">
        <v>1442</v>
      </c>
      <c r="G209" s="941" t="s">
        <v>1443</v>
      </c>
      <c r="H209" s="635"/>
      <c r="I209" s="464"/>
      <c r="J209" s="464"/>
      <c r="L209" t="s">
        <v>1444</v>
      </c>
      <c r="M209" s="710" t="s">
        <v>1445</v>
      </c>
      <c r="O209" t="s">
        <v>2</v>
      </c>
      <c r="P209" t="s">
        <v>4</v>
      </c>
      <c r="Q209" t="str">
        <f t="shared" si="6"/>
        <v>MTOSTO</v>
      </c>
      <c r="R209" t="str">
        <f t="shared" si="7"/>
        <v>Choose Outcome</v>
      </c>
    </row>
    <row r="210" spans="1:18" ht="15" thickBot="1" x14ac:dyDescent="0.4">
      <c r="A210" s="920" t="s">
        <v>1446</v>
      </c>
      <c r="B210" s="894"/>
      <c r="C210" s="392" t="s">
        <v>617</v>
      </c>
      <c r="D210" s="392" t="s">
        <v>1446</v>
      </c>
      <c r="E210" s="920" t="s">
        <v>1446</v>
      </c>
      <c r="F210" s="920" t="s">
        <v>1446</v>
      </c>
      <c r="G210" s="942" t="s">
        <v>1447</v>
      </c>
      <c r="H210" s="635" t="s">
        <v>440</v>
      </c>
      <c r="I210" s="464"/>
      <c r="J210" s="464"/>
      <c r="L210" s="691" t="s">
        <v>327</v>
      </c>
      <c r="M210" s="687" t="s">
        <v>537</v>
      </c>
      <c r="N210" s="677" t="s">
        <v>440</v>
      </c>
      <c r="Q210" t="str">
        <f t="shared" si="6"/>
        <v/>
      </c>
      <c r="R210" t="str">
        <f t="shared" si="7"/>
        <v/>
      </c>
    </row>
    <row r="211" spans="1:18" x14ac:dyDescent="0.35">
      <c r="A211" s="528" t="s">
        <v>1448</v>
      </c>
      <c r="B211" s="536" t="s">
        <v>1449</v>
      </c>
      <c r="C211" s="528" t="s">
        <v>1448</v>
      </c>
      <c r="D211" s="528" t="s">
        <v>1448</v>
      </c>
      <c r="E211" s="528" t="s">
        <v>1448</v>
      </c>
      <c r="F211" s="528" t="s">
        <v>1448</v>
      </c>
      <c r="G211" s="116" t="s">
        <v>1450</v>
      </c>
      <c r="H211" s="635" t="s">
        <v>440</v>
      </c>
      <c r="I211" s="464"/>
      <c r="J211" s="464"/>
      <c r="L211" s="912" t="s">
        <v>283</v>
      </c>
      <c r="M211" s="692" t="s">
        <v>542</v>
      </c>
      <c r="N211" s="677" t="s">
        <v>440</v>
      </c>
      <c r="Q211" t="str">
        <f t="shared" si="6"/>
        <v/>
      </c>
      <c r="R211" t="str">
        <f t="shared" si="7"/>
        <v/>
      </c>
    </row>
    <row r="212" spans="1:18" x14ac:dyDescent="0.35">
      <c r="A212" s="914" t="s">
        <v>1451</v>
      </c>
      <c r="B212" s="943" t="s">
        <v>1452</v>
      </c>
      <c r="C212" s="914" t="s">
        <v>1451</v>
      </c>
      <c r="D212" s="914" t="s">
        <v>1451</v>
      </c>
      <c r="E212" s="914" t="s">
        <v>1451</v>
      </c>
      <c r="F212" s="914" t="s">
        <v>1451</v>
      </c>
      <c r="G212" s="118" t="s">
        <v>1453</v>
      </c>
      <c r="H212" s="635" t="s">
        <v>440</v>
      </c>
      <c r="I212" s="464"/>
      <c r="J212" s="464"/>
      <c r="L212" s="912" t="s">
        <v>546</v>
      </c>
      <c r="M212" s="692" t="s">
        <v>548</v>
      </c>
      <c r="N212" s="677" t="s">
        <v>440</v>
      </c>
      <c r="Q212" t="str">
        <f t="shared" si="6"/>
        <v/>
      </c>
      <c r="R212" t="str">
        <f t="shared" si="7"/>
        <v/>
      </c>
    </row>
    <row r="213" spans="1:18" x14ac:dyDescent="0.35">
      <c r="A213" s="914" t="s">
        <v>1454</v>
      </c>
      <c r="B213" s="943" t="s">
        <v>1455</v>
      </c>
      <c r="C213" s="914" t="s">
        <v>1454</v>
      </c>
      <c r="D213" s="914" t="s">
        <v>1454</v>
      </c>
      <c r="E213" s="914" t="s">
        <v>1454</v>
      </c>
      <c r="F213" s="914" t="s">
        <v>1454</v>
      </c>
      <c r="G213" s="118" t="s">
        <v>1456</v>
      </c>
      <c r="H213" s="635" t="s">
        <v>440</v>
      </c>
      <c r="I213" s="464"/>
      <c r="J213" s="464"/>
      <c r="L213" s="912" t="s">
        <v>551</v>
      </c>
      <c r="M213" s="692" t="s">
        <v>553</v>
      </c>
      <c r="N213" s="677" t="s">
        <v>440</v>
      </c>
      <c r="Q213" t="str">
        <f t="shared" si="6"/>
        <v/>
      </c>
      <c r="R213" t="str">
        <f t="shared" si="7"/>
        <v/>
      </c>
    </row>
    <row r="214" spans="1:18" x14ac:dyDescent="0.35">
      <c r="A214" s="914" t="s">
        <v>1457</v>
      </c>
      <c r="B214" s="943" t="s">
        <v>1458</v>
      </c>
      <c r="C214" s="914" t="s">
        <v>1457</v>
      </c>
      <c r="D214" s="914" t="s">
        <v>1457</v>
      </c>
      <c r="E214" s="914" t="s">
        <v>1457</v>
      </c>
      <c r="F214" s="914" t="s">
        <v>1457</v>
      </c>
      <c r="G214" s="118" t="s">
        <v>1459</v>
      </c>
      <c r="H214" s="635" t="s">
        <v>440</v>
      </c>
      <c r="I214" s="464"/>
      <c r="J214" s="464"/>
      <c r="L214" s="912" t="s">
        <v>557</v>
      </c>
      <c r="M214" s="692" t="s">
        <v>559</v>
      </c>
      <c r="N214" s="677" t="s">
        <v>440</v>
      </c>
      <c r="Q214" t="str">
        <f t="shared" si="6"/>
        <v/>
      </c>
      <c r="R214" t="str">
        <f t="shared" si="7"/>
        <v/>
      </c>
    </row>
    <row r="215" spans="1:18" x14ac:dyDescent="0.35">
      <c r="A215" s="914" t="s">
        <v>1460</v>
      </c>
      <c r="B215" s="943" t="s">
        <v>1461</v>
      </c>
      <c r="C215" s="914" t="s">
        <v>1460</v>
      </c>
      <c r="D215" s="914" t="s">
        <v>1460</v>
      </c>
      <c r="E215" s="914" t="s">
        <v>1460</v>
      </c>
      <c r="F215" s="914" t="s">
        <v>1460</v>
      </c>
      <c r="G215" s="118" t="s">
        <v>1462</v>
      </c>
      <c r="H215" s="635" t="s">
        <v>440</v>
      </c>
      <c r="I215" s="464"/>
      <c r="J215" s="464"/>
      <c r="L215" s="912" t="s">
        <v>562</v>
      </c>
      <c r="M215" s="692" t="s">
        <v>564</v>
      </c>
      <c r="N215" s="677" t="s">
        <v>440</v>
      </c>
      <c r="Q215" t="str">
        <f t="shared" si="6"/>
        <v/>
      </c>
      <c r="R215" t="str">
        <f t="shared" si="7"/>
        <v/>
      </c>
    </row>
    <row r="216" spans="1:18" x14ac:dyDescent="0.35">
      <c r="A216" s="914" t="s">
        <v>1463</v>
      </c>
      <c r="B216" s="943" t="s">
        <v>1464</v>
      </c>
      <c r="C216" s="914" t="s">
        <v>1463</v>
      </c>
      <c r="D216" s="914" t="s">
        <v>1463</v>
      </c>
      <c r="E216" s="914" t="s">
        <v>1463</v>
      </c>
      <c r="F216" s="914" t="s">
        <v>1463</v>
      </c>
      <c r="G216" s="118" t="s">
        <v>1465</v>
      </c>
      <c r="H216" s="635" t="s">
        <v>440</v>
      </c>
      <c r="I216" s="464"/>
      <c r="J216" s="464"/>
      <c r="L216" s="912" t="s">
        <v>568</v>
      </c>
      <c r="M216" s="692" t="s">
        <v>570</v>
      </c>
      <c r="N216" s="677" t="s">
        <v>440</v>
      </c>
      <c r="Q216" t="str">
        <f t="shared" si="6"/>
        <v/>
      </c>
      <c r="R216" t="str">
        <f t="shared" si="7"/>
        <v/>
      </c>
    </row>
    <row r="217" spans="1:18" ht="15" thickBot="1" x14ac:dyDescent="0.4">
      <c r="A217" s="920" t="s">
        <v>1466</v>
      </c>
      <c r="B217" s="944" t="s">
        <v>1467</v>
      </c>
      <c r="C217" s="920" t="s">
        <v>1466</v>
      </c>
      <c r="D217" s="920" t="s">
        <v>1466</v>
      </c>
      <c r="E217" s="920" t="s">
        <v>1466</v>
      </c>
      <c r="F217" s="920" t="s">
        <v>1466</v>
      </c>
      <c r="G217" s="541" t="s">
        <v>1468</v>
      </c>
      <c r="H217" s="635" t="s">
        <v>440</v>
      </c>
      <c r="I217" s="464"/>
      <c r="J217" s="464"/>
      <c r="L217" s="912" t="s">
        <v>287</v>
      </c>
      <c r="M217" s="692" t="s">
        <v>575</v>
      </c>
      <c r="N217" s="677" t="s">
        <v>440</v>
      </c>
      <c r="Q217" t="str">
        <f t="shared" si="6"/>
        <v/>
      </c>
      <c r="R217" t="str">
        <f t="shared" si="7"/>
        <v/>
      </c>
    </row>
    <row r="218" spans="1:18" x14ac:dyDescent="0.35">
      <c r="A218" s="530" t="s">
        <v>1469</v>
      </c>
      <c r="B218" s="542" t="s">
        <v>617</v>
      </c>
      <c r="C218" s="530" t="s">
        <v>1469</v>
      </c>
      <c r="D218" s="530" t="s">
        <v>1469</v>
      </c>
      <c r="E218" s="530" t="s">
        <v>1469</v>
      </c>
      <c r="F218" s="530" t="s">
        <v>1469</v>
      </c>
      <c r="G218" s="543" t="s">
        <v>1470</v>
      </c>
      <c r="I218" s="464"/>
      <c r="J218" s="464"/>
      <c r="L218" s="912" t="s">
        <v>319</v>
      </c>
      <c r="M218" s="692" t="s">
        <v>580</v>
      </c>
      <c r="N218" s="677" t="s">
        <v>440</v>
      </c>
      <c r="Q218" t="str">
        <f t="shared" si="6"/>
        <v/>
      </c>
      <c r="R218" t="str">
        <f t="shared" si="7"/>
        <v/>
      </c>
    </row>
    <row r="219" spans="1:18" x14ac:dyDescent="0.35">
      <c r="A219" s="914" t="s">
        <v>1471</v>
      </c>
      <c r="B219" s="945" t="s">
        <v>617</v>
      </c>
      <c r="C219" s="914" t="s">
        <v>1471</v>
      </c>
      <c r="D219" s="914" t="s">
        <v>1471</v>
      </c>
      <c r="E219" s="914" t="s">
        <v>1471</v>
      </c>
      <c r="F219" s="914" t="s">
        <v>1471</v>
      </c>
      <c r="G219" s="940" t="s">
        <v>1472</v>
      </c>
      <c r="I219" s="464"/>
      <c r="J219" s="464"/>
      <c r="L219" s="912" t="s">
        <v>584</v>
      </c>
      <c r="M219" s="692" t="s">
        <v>586</v>
      </c>
      <c r="N219" s="677" t="s">
        <v>440</v>
      </c>
      <c r="Q219" t="str">
        <f t="shared" si="6"/>
        <v/>
      </c>
      <c r="R219" t="str">
        <f t="shared" si="7"/>
        <v/>
      </c>
    </row>
    <row r="220" spans="1:18" x14ac:dyDescent="0.35">
      <c r="A220" s="914" t="s">
        <v>1473</v>
      </c>
      <c r="B220" s="945" t="s">
        <v>617</v>
      </c>
      <c r="C220" s="914" t="s">
        <v>1473</v>
      </c>
      <c r="D220" s="914" t="s">
        <v>1473</v>
      </c>
      <c r="E220" s="914" t="s">
        <v>1473</v>
      </c>
      <c r="F220" s="914" t="s">
        <v>1473</v>
      </c>
      <c r="G220" s="940" t="s">
        <v>1474</v>
      </c>
      <c r="I220" s="464"/>
      <c r="J220" s="464"/>
      <c r="L220" s="912" t="s">
        <v>589</v>
      </c>
      <c r="M220" s="692" t="s">
        <v>591</v>
      </c>
      <c r="N220" s="677" t="s">
        <v>440</v>
      </c>
      <c r="Q220" t="str">
        <f t="shared" si="6"/>
        <v/>
      </c>
      <c r="R220" t="str">
        <f t="shared" si="7"/>
        <v/>
      </c>
    </row>
    <row r="221" spans="1:18" ht="29" x14ac:dyDescent="0.35">
      <c r="A221" s="914" t="s">
        <v>1475</v>
      </c>
      <c r="B221" s="945" t="s">
        <v>617</v>
      </c>
      <c r="C221" s="914" t="s">
        <v>1475</v>
      </c>
      <c r="D221" s="914" t="s">
        <v>1475</v>
      </c>
      <c r="E221" s="914" t="s">
        <v>1475</v>
      </c>
      <c r="F221" s="914" t="s">
        <v>1475</v>
      </c>
      <c r="G221" s="940" t="s">
        <v>1476</v>
      </c>
      <c r="I221" s="464"/>
      <c r="J221" s="464"/>
      <c r="L221" s="912" t="s">
        <v>595</v>
      </c>
      <c r="M221" s="700" t="s">
        <v>597</v>
      </c>
      <c r="N221" s="677" t="s">
        <v>440</v>
      </c>
      <c r="Q221" t="str">
        <f t="shared" si="6"/>
        <v/>
      </c>
      <c r="R221" t="str">
        <f t="shared" si="7"/>
        <v/>
      </c>
    </row>
    <row r="222" spans="1:18" ht="15" thickBot="1" x14ac:dyDescent="0.4">
      <c r="A222" s="920" t="s">
        <v>1477</v>
      </c>
      <c r="B222" s="946" t="s">
        <v>617</v>
      </c>
      <c r="C222" s="920" t="s">
        <v>1477</v>
      </c>
      <c r="D222" s="920" t="s">
        <v>1477</v>
      </c>
      <c r="E222" s="920" t="s">
        <v>1477</v>
      </c>
      <c r="F222" s="920" t="s">
        <v>1477</v>
      </c>
      <c r="G222" s="947" t="s">
        <v>1478</v>
      </c>
      <c r="I222" s="464"/>
      <c r="J222" s="464"/>
      <c r="L222" s="912" t="s">
        <v>601</v>
      </c>
      <c r="M222" s="692" t="s">
        <v>603</v>
      </c>
      <c r="N222" s="677" t="s">
        <v>440</v>
      </c>
      <c r="Q222" t="str">
        <f t="shared" si="6"/>
        <v/>
      </c>
      <c r="R222" t="str">
        <f t="shared" si="7"/>
        <v/>
      </c>
    </row>
    <row r="223" spans="1:18" x14ac:dyDescent="0.35">
      <c r="A223" s="528" t="s">
        <v>1479</v>
      </c>
      <c r="B223" s="330" t="s">
        <v>1480</v>
      </c>
      <c r="C223" s="528" t="s">
        <v>1479</v>
      </c>
      <c r="D223" s="528" t="s">
        <v>1479</v>
      </c>
      <c r="E223" s="528" t="s">
        <v>1479</v>
      </c>
      <c r="F223" s="528" t="s">
        <v>1479</v>
      </c>
      <c r="G223" s="459" t="s">
        <v>1481</v>
      </c>
      <c r="I223" s="464"/>
      <c r="J223" s="464"/>
      <c r="L223" s="693" t="s">
        <v>607</v>
      </c>
      <c r="M223" s="795" t="s">
        <v>608</v>
      </c>
      <c r="N223" s="796"/>
      <c r="Q223" t="str">
        <f t="shared" si="6"/>
        <v/>
      </c>
      <c r="R223" t="str">
        <f t="shared" si="7"/>
        <v/>
      </c>
    </row>
    <row r="224" spans="1:18" x14ac:dyDescent="0.35">
      <c r="A224" s="914" t="s">
        <v>1482</v>
      </c>
      <c r="B224" s="943" t="s">
        <v>617</v>
      </c>
      <c r="C224" s="914" t="s">
        <v>1482</v>
      </c>
      <c r="D224" s="914" t="s">
        <v>1482</v>
      </c>
      <c r="E224" s="914" t="s">
        <v>1482</v>
      </c>
      <c r="F224" s="914" t="s">
        <v>1482</v>
      </c>
      <c r="G224" s="877" t="s">
        <v>1483</v>
      </c>
      <c r="I224" s="464"/>
      <c r="J224" s="464"/>
      <c r="L224" s="693" t="s">
        <v>612</v>
      </c>
      <c r="M224" s="795" t="s">
        <v>613</v>
      </c>
      <c r="N224" s="796" t="s">
        <v>440</v>
      </c>
      <c r="Q224" t="str">
        <f t="shared" si="6"/>
        <v/>
      </c>
      <c r="R224" t="str">
        <f t="shared" si="7"/>
        <v/>
      </c>
    </row>
    <row r="225" spans="1:18" ht="29" x14ac:dyDescent="0.35">
      <c r="A225" s="914" t="s">
        <v>1484</v>
      </c>
      <c r="B225" s="943" t="s">
        <v>617</v>
      </c>
      <c r="C225" s="914" t="s">
        <v>1484</v>
      </c>
      <c r="D225" s="914" t="s">
        <v>1484</v>
      </c>
      <c r="E225" s="914" t="s">
        <v>1484</v>
      </c>
      <c r="F225" s="914" t="s">
        <v>1484</v>
      </c>
      <c r="G225" s="878" t="s">
        <v>1485</v>
      </c>
      <c r="I225" s="464"/>
      <c r="J225" s="464"/>
      <c r="L225" s="699" t="s">
        <v>616</v>
      </c>
      <c r="M225" s="746" t="s">
        <v>618</v>
      </c>
      <c r="N225" s="2"/>
      <c r="Q225" t="str">
        <f t="shared" si="6"/>
        <v/>
      </c>
      <c r="R225" t="str">
        <f t="shared" si="7"/>
        <v/>
      </c>
    </row>
    <row r="226" spans="1:18" ht="29" x14ac:dyDescent="0.35">
      <c r="A226" s="914" t="s">
        <v>1486</v>
      </c>
      <c r="B226" s="943" t="s">
        <v>617</v>
      </c>
      <c r="C226" s="914" t="s">
        <v>1486</v>
      </c>
      <c r="D226" s="914" t="s">
        <v>1486</v>
      </c>
      <c r="E226" s="914" t="s">
        <v>1486</v>
      </c>
      <c r="F226" s="914" t="s">
        <v>1486</v>
      </c>
      <c r="G226" s="878" t="s">
        <v>1487</v>
      </c>
      <c r="I226" s="464"/>
      <c r="J226" s="464"/>
      <c r="L226" s="693" t="s">
        <v>621</v>
      </c>
      <c r="M226" s="695" t="s">
        <v>624</v>
      </c>
      <c r="N226" s="2"/>
      <c r="Q226" t="str">
        <f t="shared" si="6"/>
        <v/>
      </c>
      <c r="R226" t="str">
        <f t="shared" si="7"/>
        <v/>
      </c>
    </row>
    <row r="227" spans="1:18" x14ac:dyDescent="0.35">
      <c r="A227" s="914" t="s">
        <v>1488</v>
      </c>
      <c r="B227" s="943" t="s">
        <v>617</v>
      </c>
      <c r="C227" s="914" t="s">
        <v>1488</v>
      </c>
      <c r="D227" s="914" t="s">
        <v>1488</v>
      </c>
      <c r="E227" s="914" t="s">
        <v>1488</v>
      </c>
      <c r="F227" s="914" t="s">
        <v>1488</v>
      </c>
      <c r="G227" s="878" t="s">
        <v>1489</v>
      </c>
      <c r="I227" s="464"/>
      <c r="J227" s="464"/>
      <c r="L227" s="693" t="s">
        <v>627</v>
      </c>
      <c r="M227" s="695" t="s">
        <v>630</v>
      </c>
      <c r="N227" s="2"/>
      <c r="Q227" t="str">
        <f t="shared" si="6"/>
        <v/>
      </c>
      <c r="R227" t="str">
        <f t="shared" si="7"/>
        <v/>
      </c>
    </row>
    <row r="228" spans="1:18" ht="29" x14ac:dyDescent="0.35">
      <c r="A228" s="914" t="s">
        <v>1490</v>
      </c>
      <c r="B228" s="943" t="s">
        <v>617</v>
      </c>
      <c r="C228" s="914" t="s">
        <v>1490</v>
      </c>
      <c r="D228" s="914" t="s">
        <v>1490</v>
      </c>
      <c r="E228" s="914" t="s">
        <v>1490</v>
      </c>
      <c r="F228" s="914" t="s">
        <v>1490</v>
      </c>
      <c r="G228" s="878" t="s">
        <v>1491</v>
      </c>
      <c r="I228" s="464"/>
      <c r="J228" s="464"/>
      <c r="L228" s="693" t="s">
        <v>633</v>
      </c>
      <c r="M228" s="695" t="s">
        <v>636</v>
      </c>
      <c r="N228" s="2"/>
      <c r="Q228" t="str">
        <f t="shared" si="6"/>
        <v/>
      </c>
      <c r="R228" t="str">
        <f t="shared" si="7"/>
        <v/>
      </c>
    </row>
    <row r="229" spans="1:18" ht="29" x14ac:dyDescent="0.35">
      <c r="A229" s="924" t="s">
        <v>1492</v>
      </c>
      <c r="B229" s="943" t="s">
        <v>617</v>
      </c>
      <c r="C229" s="914" t="s">
        <v>1492</v>
      </c>
      <c r="D229" s="924" t="s">
        <v>1492</v>
      </c>
      <c r="E229" s="924" t="s">
        <v>1492</v>
      </c>
      <c r="F229" s="924" t="s">
        <v>1492</v>
      </c>
      <c r="G229" s="902" t="s">
        <v>1493</v>
      </c>
      <c r="I229" s="464"/>
      <c r="J229" s="464"/>
      <c r="L229" s="693" t="s">
        <v>639</v>
      </c>
      <c r="M229" s="948" t="s">
        <v>641</v>
      </c>
      <c r="N229" s="2"/>
      <c r="Q229" t="str">
        <f t="shared" si="6"/>
        <v/>
      </c>
      <c r="R229" t="str">
        <f t="shared" si="7"/>
        <v/>
      </c>
    </row>
    <row r="230" spans="1:18" ht="29" x14ac:dyDescent="0.35">
      <c r="A230" s="924" t="s">
        <v>1494</v>
      </c>
      <c r="B230" s="943" t="s">
        <v>617</v>
      </c>
      <c r="C230" s="914" t="s">
        <v>1494</v>
      </c>
      <c r="D230" s="924" t="s">
        <v>1494</v>
      </c>
      <c r="E230" s="924" t="s">
        <v>1494</v>
      </c>
      <c r="F230" s="924" t="s">
        <v>1494</v>
      </c>
      <c r="G230" s="902" t="s">
        <v>1495</v>
      </c>
      <c r="I230" s="464"/>
      <c r="J230" s="464"/>
      <c r="L230" s="693" t="s">
        <v>644</v>
      </c>
      <c r="M230" s="695" t="s">
        <v>647</v>
      </c>
      <c r="N230" s="2"/>
      <c r="Q230" t="str">
        <f t="shared" si="6"/>
        <v/>
      </c>
      <c r="R230" t="str">
        <f t="shared" si="7"/>
        <v/>
      </c>
    </row>
    <row r="231" spans="1:18" x14ac:dyDescent="0.35">
      <c r="A231" s="924" t="s">
        <v>1496</v>
      </c>
      <c r="B231" s="943" t="s">
        <v>617</v>
      </c>
      <c r="C231" s="914" t="s">
        <v>1496</v>
      </c>
      <c r="D231" s="924" t="s">
        <v>1496</v>
      </c>
      <c r="E231" s="924" t="s">
        <v>1496</v>
      </c>
      <c r="F231" s="924" t="s">
        <v>1496</v>
      </c>
      <c r="G231" s="902" t="s">
        <v>1497</v>
      </c>
      <c r="I231" s="464"/>
      <c r="J231" s="464"/>
      <c r="L231" s="699" t="s">
        <v>650</v>
      </c>
      <c r="M231" s="687" t="s">
        <v>652</v>
      </c>
      <c r="N231" s="2"/>
      <c r="Q231" t="str">
        <f t="shared" si="6"/>
        <v/>
      </c>
      <c r="R231" t="str">
        <f t="shared" si="7"/>
        <v/>
      </c>
    </row>
    <row r="232" spans="1:18" ht="29" x14ac:dyDescent="0.35">
      <c r="A232" s="924" t="s">
        <v>1498</v>
      </c>
      <c r="B232" s="943" t="s">
        <v>617</v>
      </c>
      <c r="C232" s="914" t="s">
        <v>1498</v>
      </c>
      <c r="D232" s="924" t="s">
        <v>1498</v>
      </c>
      <c r="E232" s="924" t="s">
        <v>1498</v>
      </c>
      <c r="F232" s="924" t="s">
        <v>1498</v>
      </c>
      <c r="G232" s="902" t="s">
        <v>1499</v>
      </c>
      <c r="I232" s="464"/>
      <c r="J232" s="464"/>
      <c r="L232" s="693" t="s">
        <v>655</v>
      </c>
      <c r="M232" s="692" t="s">
        <v>658</v>
      </c>
      <c r="N232" s="2"/>
      <c r="Q232" t="str">
        <f t="shared" si="6"/>
        <v/>
      </c>
      <c r="R232" t="str">
        <f t="shared" si="7"/>
        <v/>
      </c>
    </row>
    <row r="233" spans="1:18" x14ac:dyDescent="0.35">
      <c r="A233" s="914" t="s">
        <v>1500</v>
      </c>
      <c r="B233" s="884" t="s">
        <v>617</v>
      </c>
      <c r="C233" s="914" t="s">
        <v>1500</v>
      </c>
      <c r="D233" s="914" t="s">
        <v>1500</v>
      </c>
      <c r="E233" s="914" t="s">
        <v>1500</v>
      </c>
      <c r="F233" s="914" t="s">
        <v>1500</v>
      </c>
      <c r="G233" s="877" t="s">
        <v>1501</v>
      </c>
      <c r="I233" s="464"/>
      <c r="J233" s="464"/>
      <c r="L233" s="693" t="s">
        <v>661</v>
      </c>
      <c r="M233" s="692" t="s">
        <v>664</v>
      </c>
      <c r="N233" s="2"/>
      <c r="Q233" t="str">
        <f t="shared" si="6"/>
        <v/>
      </c>
      <c r="R233" t="str">
        <f t="shared" si="7"/>
        <v/>
      </c>
    </row>
    <row r="234" spans="1:18" ht="29.5" thickBot="1" x14ac:dyDescent="0.4">
      <c r="A234" s="949" t="s">
        <v>1502</v>
      </c>
      <c r="B234" s="396"/>
      <c r="C234" s="514" t="s">
        <v>617</v>
      </c>
      <c r="D234" s="514" t="s">
        <v>1502</v>
      </c>
      <c r="E234" s="949" t="s">
        <v>1502</v>
      </c>
      <c r="F234" s="949" t="s">
        <v>1502</v>
      </c>
      <c r="G234" s="950" t="s">
        <v>1503</v>
      </c>
      <c r="I234" s="464"/>
      <c r="J234" s="464"/>
      <c r="L234" s="693" t="s">
        <v>667</v>
      </c>
      <c r="M234" s="692" t="s">
        <v>670</v>
      </c>
      <c r="N234" s="2"/>
    </row>
    <row r="235" spans="1:18" x14ac:dyDescent="0.35">
      <c r="A235" s="530" t="s">
        <v>1504</v>
      </c>
      <c r="B235" s="529" t="s">
        <v>617</v>
      </c>
      <c r="C235" s="530" t="s">
        <v>1504</v>
      </c>
      <c r="D235" s="530" t="s">
        <v>1504</v>
      </c>
      <c r="E235" s="530" t="s">
        <v>1504</v>
      </c>
      <c r="F235" s="530" t="s">
        <v>1504</v>
      </c>
      <c r="G235" s="112" t="s">
        <v>1505</v>
      </c>
      <c r="H235" s="635" t="s">
        <v>440</v>
      </c>
      <c r="I235" s="464"/>
      <c r="J235" s="464"/>
      <c r="L235" s="693" t="s">
        <v>673</v>
      </c>
      <c r="M235" s="692" t="s">
        <v>676</v>
      </c>
      <c r="N235" s="2"/>
    </row>
    <row r="236" spans="1:18" ht="29" x14ac:dyDescent="0.35">
      <c r="A236" s="914" t="s">
        <v>1506</v>
      </c>
      <c r="B236" s="943" t="s">
        <v>617</v>
      </c>
      <c r="C236" s="914" t="s">
        <v>1506</v>
      </c>
      <c r="D236" s="914" t="s">
        <v>1506</v>
      </c>
      <c r="E236" s="914" t="s">
        <v>1506</v>
      </c>
      <c r="F236" s="914" t="s">
        <v>1506</v>
      </c>
      <c r="G236" s="878" t="s">
        <v>1507</v>
      </c>
      <c r="H236" s="635" t="s">
        <v>440</v>
      </c>
      <c r="I236" s="464"/>
      <c r="J236" s="464"/>
      <c r="L236" s="693" t="s">
        <v>679</v>
      </c>
      <c r="M236" s="692" t="s">
        <v>682</v>
      </c>
      <c r="N236" s="2"/>
    </row>
    <row r="237" spans="1:18" ht="29" x14ac:dyDescent="0.35">
      <c r="A237" s="914" t="s">
        <v>1508</v>
      </c>
      <c r="B237" s="943" t="s">
        <v>617</v>
      </c>
      <c r="C237" s="914" t="s">
        <v>1508</v>
      </c>
      <c r="D237" s="914" t="s">
        <v>1508</v>
      </c>
      <c r="E237" s="914" t="s">
        <v>1508</v>
      </c>
      <c r="F237" s="914" t="s">
        <v>1508</v>
      </c>
      <c r="G237" s="878" t="s">
        <v>1509</v>
      </c>
      <c r="H237" s="635" t="s">
        <v>440</v>
      </c>
      <c r="I237" s="464"/>
      <c r="J237" s="464"/>
      <c r="L237" s="693" t="s">
        <v>685</v>
      </c>
      <c r="M237" s="692" t="s">
        <v>688</v>
      </c>
      <c r="N237" s="2"/>
    </row>
    <row r="238" spans="1:18" ht="29" x14ac:dyDescent="0.35">
      <c r="A238" s="914" t="s">
        <v>1510</v>
      </c>
      <c r="B238" s="943" t="s">
        <v>617</v>
      </c>
      <c r="C238" s="914" t="s">
        <v>1510</v>
      </c>
      <c r="D238" s="914" t="s">
        <v>1510</v>
      </c>
      <c r="E238" s="914" t="s">
        <v>1510</v>
      </c>
      <c r="F238" s="914" t="s">
        <v>1510</v>
      </c>
      <c r="G238" s="878" t="s">
        <v>1511</v>
      </c>
      <c r="H238" s="635" t="s">
        <v>440</v>
      </c>
      <c r="I238" s="464"/>
      <c r="J238" s="464"/>
      <c r="L238" s="693" t="s">
        <v>691</v>
      </c>
      <c r="M238" s="692" t="s">
        <v>693</v>
      </c>
      <c r="N238" s="2"/>
    </row>
    <row r="239" spans="1:18" ht="29" x14ac:dyDescent="0.35">
      <c r="A239" s="914" t="s">
        <v>1512</v>
      </c>
      <c r="B239" s="943" t="s">
        <v>617</v>
      </c>
      <c r="C239" s="914" t="s">
        <v>1512</v>
      </c>
      <c r="D239" s="914" t="s">
        <v>1512</v>
      </c>
      <c r="E239" s="914" t="s">
        <v>1512</v>
      </c>
      <c r="F239" s="914" t="s">
        <v>1512</v>
      </c>
      <c r="G239" s="878" t="s">
        <v>1513</v>
      </c>
      <c r="H239" s="635" t="s">
        <v>440</v>
      </c>
      <c r="I239" s="464"/>
      <c r="J239" s="464"/>
      <c r="L239" s="699" t="s">
        <v>696</v>
      </c>
      <c r="M239" s="687" t="s">
        <v>697</v>
      </c>
      <c r="N239" s="681" t="s">
        <v>698</v>
      </c>
    </row>
    <row r="240" spans="1:18" ht="29" x14ac:dyDescent="0.35">
      <c r="A240" s="914" t="s">
        <v>1514</v>
      </c>
      <c r="B240" s="943" t="s">
        <v>617</v>
      </c>
      <c r="C240" s="914" t="s">
        <v>1514</v>
      </c>
      <c r="D240" s="914" t="s">
        <v>1514</v>
      </c>
      <c r="E240" s="914" t="s">
        <v>1514</v>
      </c>
      <c r="F240" s="914" t="s">
        <v>1514</v>
      </c>
      <c r="G240" s="878" t="s">
        <v>1515</v>
      </c>
      <c r="H240" s="635" t="s">
        <v>440</v>
      </c>
      <c r="I240" s="464"/>
      <c r="J240" s="464"/>
      <c r="L240" s="693" t="s">
        <v>701</v>
      </c>
      <c r="M240" s="951" t="s">
        <v>703</v>
      </c>
      <c r="N240" s="681" t="s">
        <v>698</v>
      </c>
    </row>
    <row r="241" spans="1:14" ht="29" x14ac:dyDescent="0.35">
      <c r="A241" s="914" t="s">
        <v>1516</v>
      </c>
      <c r="B241" s="943" t="s">
        <v>617</v>
      </c>
      <c r="C241" s="914" t="s">
        <v>1516</v>
      </c>
      <c r="D241" s="914" t="s">
        <v>1516</v>
      </c>
      <c r="E241" s="914" t="s">
        <v>1516</v>
      </c>
      <c r="F241" s="914" t="s">
        <v>1516</v>
      </c>
      <c r="G241" s="878" t="s">
        <v>1517</v>
      </c>
      <c r="H241" s="635" t="s">
        <v>440</v>
      </c>
      <c r="I241" s="464"/>
      <c r="J241" s="464"/>
      <c r="L241" s="693" t="s">
        <v>706</v>
      </c>
      <c r="M241" s="951" t="s">
        <v>708</v>
      </c>
      <c r="N241" s="681" t="s">
        <v>698</v>
      </c>
    </row>
    <row r="242" spans="1:14" ht="29" x14ac:dyDescent="0.35">
      <c r="A242" s="914" t="s">
        <v>1518</v>
      </c>
      <c r="B242" s="943" t="s">
        <v>617</v>
      </c>
      <c r="C242" s="914" t="s">
        <v>1518</v>
      </c>
      <c r="D242" s="914" t="s">
        <v>1518</v>
      </c>
      <c r="E242" s="914" t="s">
        <v>1518</v>
      </c>
      <c r="F242" s="914" t="s">
        <v>1518</v>
      </c>
      <c r="G242" s="878" t="s">
        <v>1519</v>
      </c>
      <c r="H242" s="635" t="s">
        <v>440</v>
      </c>
      <c r="I242" s="464"/>
      <c r="J242" s="464"/>
      <c r="L242" s="693" t="s">
        <v>711</v>
      </c>
      <c r="M242" s="951" t="s">
        <v>713</v>
      </c>
      <c r="N242" s="681" t="s">
        <v>698</v>
      </c>
    </row>
    <row r="243" spans="1:14" ht="29" x14ac:dyDescent="0.35">
      <c r="A243" s="914" t="s">
        <v>1520</v>
      </c>
      <c r="B243" s="943" t="s">
        <v>617</v>
      </c>
      <c r="C243" s="914" t="s">
        <v>1520</v>
      </c>
      <c r="D243" s="914" t="s">
        <v>1520</v>
      </c>
      <c r="E243" s="914" t="s">
        <v>1520</v>
      </c>
      <c r="F243" s="914" t="s">
        <v>1520</v>
      </c>
      <c r="G243" s="878" t="s">
        <v>1521</v>
      </c>
      <c r="H243" s="635" t="s">
        <v>440</v>
      </c>
      <c r="I243" s="464"/>
      <c r="J243" s="464"/>
      <c r="L243" s="693" t="s">
        <v>716</v>
      </c>
      <c r="M243" s="951" t="s">
        <v>718</v>
      </c>
      <c r="N243" s="681" t="s">
        <v>698</v>
      </c>
    </row>
    <row r="244" spans="1:14" ht="29" x14ac:dyDescent="0.35">
      <c r="A244" s="914" t="s">
        <v>1522</v>
      </c>
      <c r="B244" s="943" t="s">
        <v>617</v>
      </c>
      <c r="C244" s="914" t="s">
        <v>1522</v>
      </c>
      <c r="D244" s="914" t="s">
        <v>1522</v>
      </c>
      <c r="E244" s="914" t="s">
        <v>1522</v>
      </c>
      <c r="F244" s="914" t="s">
        <v>1522</v>
      </c>
      <c r="G244" s="878" t="s">
        <v>1523</v>
      </c>
      <c r="H244" s="635" t="s">
        <v>440</v>
      </c>
      <c r="I244" s="464"/>
      <c r="J244" s="464"/>
      <c r="L244" s="693" t="s">
        <v>721</v>
      </c>
      <c r="M244" s="951" t="s">
        <v>723</v>
      </c>
      <c r="N244" s="681" t="s">
        <v>698</v>
      </c>
    </row>
    <row r="245" spans="1:14" ht="29" x14ac:dyDescent="0.35">
      <c r="A245" s="914" t="s">
        <v>1524</v>
      </c>
      <c r="B245" s="943" t="s">
        <v>617</v>
      </c>
      <c r="C245" s="914" t="s">
        <v>1524</v>
      </c>
      <c r="D245" s="914" t="s">
        <v>1524</v>
      </c>
      <c r="E245" s="914" t="s">
        <v>1524</v>
      </c>
      <c r="F245" s="914" t="s">
        <v>1524</v>
      </c>
      <c r="G245" s="878" t="s">
        <v>1525</v>
      </c>
      <c r="H245" s="635" t="s">
        <v>440</v>
      </c>
      <c r="I245" s="464"/>
      <c r="J245" s="464"/>
      <c r="L245" s="693" t="s">
        <v>726</v>
      </c>
      <c r="M245" s="951" t="s">
        <v>728</v>
      </c>
      <c r="N245" s="681" t="s">
        <v>698</v>
      </c>
    </row>
    <row r="246" spans="1:14" ht="29.5" thickBot="1" x14ac:dyDescent="0.4">
      <c r="A246" s="920" t="s">
        <v>1526</v>
      </c>
      <c r="B246" s="280"/>
      <c r="C246" s="391"/>
      <c r="D246" s="392" t="s">
        <v>1526</v>
      </c>
      <c r="E246" s="920" t="s">
        <v>1526</v>
      </c>
      <c r="F246" s="920" t="s">
        <v>1526</v>
      </c>
      <c r="G246" s="921" t="s">
        <v>1527</v>
      </c>
      <c r="H246" s="635" t="s">
        <v>440</v>
      </c>
      <c r="I246" s="464"/>
      <c r="J246" s="464"/>
      <c r="L246" s="693" t="s">
        <v>731</v>
      </c>
      <c r="M246" s="951" t="s">
        <v>732</v>
      </c>
      <c r="N246" s="681" t="s">
        <v>698</v>
      </c>
    </row>
    <row r="247" spans="1:14" x14ac:dyDescent="0.35">
      <c r="A247" s="530" t="s">
        <v>1528</v>
      </c>
      <c r="B247" s="529" t="s">
        <v>617</v>
      </c>
      <c r="C247" s="530" t="s">
        <v>1528</v>
      </c>
      <c r="D247" s="530" t="s">
        <v>1528</v>
      </c>
      <c r="E247" s="530" t="s">
        <v>1528</v>
      </c>
      <c r="F247" s="530" t="s">
        <v>1528</v>
      </c>
      <c r="G247" s="112" t="s">
        <v>1529</v>
      </c>
      <c r="I247" s="464"/>
      <c r="J247" s="464"/>
      <c r="L247" s="912" t="s">
        <v>735</v>
      </c>
      <c r="M247" s="695" t="s">
        <v>737</v>
      </c>
      <c r="N247" s="2"/>
    </row>
    <row r="248" spans="1:14" ht="43.5" x14ac:dyDescent="0.35">
      <c r="A248" s="914" t="s">
        <v>1530</v>
      </c>
      <c r="B248" s="943" t="s">
        <v>617</v>
      </c>
      <c r="C248" s="914" t="s">
        <v>1530</v>
      </c>
      <c r="D248" s="914" t="s">
        <v>1530</v>
      </c>
      <c r="E248" s="914" t="s">
        <v>1530</v>
      </c>
      <c r="F248" s="914" t="s">
        <v>1530</v>
      </c>
      <c r="G248" s="878" t="s">
        <v>1531</v>
      </c>
      <c r="I248" s="464"/>
      <c r="J248" s="464"/>
      <c r="L248" s="912" t="s">
        <v>740</v>
      </c>
      <c r="M248" s="692" t="s">
        <v>742</v>
      </c>
      <c r="N248" s="677" t="s">
        <v>440</v>
      </c>
    </row>
    <row r="249" spans="1:14" ht="29" x14ac:dyDescent="0.35">
      <c r="A249" s="914" t="s">
        <v>1532</v>
      </c>
      <c r="B249" s="943" t="s">
        <v>617</v>
      </c>
      <c r="C249" s="914" t="s">
        <v>1532</v>
      </c>
      <c r="D249" s="914" t="s">
        <v>1532</v>
      </c>
      <c r="E249" s="914" t="s">
        <v>1532</v>
      </c>
      <c r="F249" s="914" t="s">
        <v>1532</v>
      </c>
      <c r="G249" s="878" t="s">
        <v>1533</v>
      </c>
      <c r="I249" s="464"/>
      <c r="J249" s="464"/>
      <c r="L249" s="912" t="s">
        <v>745</v>
      </c>
      <c r="M249" s="695" t="s">
        <v>747</v>
      </c>
      <c r="N249" s="2"/>
    </row>
    <row r="250" spans="1:14" x14ac:dyDescent="0.35">
      <c r="A250" s="915" t="s">
        <v>1534</v>
      </c>
      <c r="B250" s="952" t="s">
        <v>617</v>
      </c>
      <c r="C250" s="915" t="s">
        <v>1534</v>
      </c>
      <c r="D250" s="915" t="s">
        <v>1534</v>
      </c>
      <c r="E250" s="915" t="s">
        <v>1534</v>
      </c>
      <c r="F250" s="915" t="s">
        <v>1534</v>
      </c>
      <c r="G250" s="913" t="s">
        <v>1535</v>
      </c>
      <c r="I250" s="464"/>
      <c r="J250" s="464"/>
      <c r="L250" s="912" t="s">
        <v>304</v>
      </c>
      <c r="M250" s="695" t="s">
        <v>751</v>
      </c>
      <c r="N250" s="2"/>
    </row>
    <row r="251" spans="1:14" ht="29" x14ac:dyDescent="0.35">
      <c r="A251" s="915" t="s">
        <v>1536</v>
      </c>
      <c r="B251" s="943" t="s">
        <v>617</v>
      </c>
      <c r="C251" s="915" t="s">
        <v>1536</v>
      </c>
      <c r="D251" s="915" t="s">
        <v>1536</v>
      </c>
      <c r="E251" s="915" t="s">
        <v>1536</v>
      </c>
      <c r="F251" s="915" t="s">
        <v>1536</v>
      </c>
      <c r="G251" s="878" t="s">
        <v>1537</v>
      </c>
      <c r="I251" s="464"/>
      <c r="J251" s="464"/>
      <c r="L251" s="463" t="s">
        <v>328</v>
      </c>
      <c r="M251" s="702" t="s">
        <v>755</v>
      </c>
      <c r="N251" s="677" t="s">
        <v>440</v>
      </c>
    </row>
    <row r="252" spans="1:14" ht="29" x14ac:dyDescent="0.35">
      <c r="A252" s="915" t="s">
        <v>1538</v>
      </c>
      <c r="B252" s="943" t="s">
        <v>617</v>
      </c>
      <c r="C252" s="915" t="s">
        <v>1538</v>
      </c>
      <c r="D252" s="915" t="s">
        <v>1538</v>
      </c>
      <c r="E252" s="915" t="s">
        <v>1538</v>
      </c>
      <c r="F252" s="915" t="s">
        <v>1538</v>
      </c>
      <c r="G252" s="878" t="s">
        <v>1539</v>
      </c>
      <c r="I252" s="464"/>
      <c r="J252" s="464"/>
      <c r="L252" s="912" t="s">
        <v>758</v>
      </c>
      <c r="M252" s="246" t="s">
        <v>760</v>
      </c>
      <c r="N252" s="677" t="s">
        <v>440</v>
      </c>
    </row>
    <row r="253" spans="1:14" ht="29" x14ac:dyDescent="0.35">
      <c r="A253" s="915" t="s">
        <v>1540</v>
      </c>
      <c r="B253" s="943" t="s">
        <v>617</v>
      </c>
      <c r="C253" s="915" t="s">
        <v>1540</v>
      </c>
      <c r="D253" s="915" t="s">
        <v>1540</v>
      </c>
      <c r="E253" s="915" t="s">
        <v>1540</v>
      </c>
      <c r="F253" s="915" t="s">
        <v>1540</v>
      </c>
      <c r="G253" s="878" t="s">
        <v>1541</v>
      </c>
      <c r="I253" s="464"/>
      <c r="J253" s="464"/>
      <c r="L253" s="912" t="s">
        <v>763</v>
      </c>
      <c r="M253" s="700" t="s">
        <v>765</v>
      </c>
      <c r="N253" s="677" t="s">
        <v>440</v>
      </c>
    </row>
    <row r="254" spans="1:14" ht="29" x14ac:dyDescent="0.35">
      <c r="A254" s="925" t="s">
        <v>1542</v>
      </c>
      <c r="B254" s="943" t="s">
        <v>617</v>
      </c>
      <c r="C254" s="915" t="s">
        <v>1542</v>
      </c>
      <c r="D254" s="925" t="s">
        <v>1542</v>
      </c>
      <c r="E254" s="925" t="s">
        <v>1542</v>
      </c>
      <c r="F254" s="925" t="s">
        <v>1542</v>
      </c>
      <c r="G254" s="902" t="s">
        <v>1543</v>
      </c>
      <c r="I254" s="464"/>
      <c r="J254" s="464"/>
      <c r="L254" s="912" t="s">
        <v>768</v>
      </c>
      <c r="M254" s="690" t="s">
        <v>770</v>
      </c>
      <c r="N254" s="677" t="s">
        <v>440</v>
      </c>
    </row>
    <row r="255" spans="1:14" ht="29" x14ac:dyDescent="0.35">
      <c r="A255" s="925" t="s">
        <v>1544</v>
      </c>
      <c r="B255" s="943" t="s">
        <v>617</v>
      </c>
      <c r="C255" s="915" t="s">
        <v>1544</v>
      </c>
      <c r="D255" s="925" t="s">
        <v>1544</v>
      </c>
      <c r="E255" s="925" t="s">
        <v>1544</v>
      </c>
      <c r="F255" s="925" t="s">
        <v>1544</v>
      </c>
      <c r="G255" s="902" t="s">
        <v>1545</v>
      </c>
      <c r="I255" s="464"/>
      <c r="J255" s="464"/>
      <c r="L255" s="912" t="s">
        <v>773</v>
      </c>
      <c r="M255" s="690" t="s">
        <v>775</v>
      </c>
      <c r="N255" s="677" t="s">
        <v>440</v>
      </c>
    </row>
    <row r="256" spans="1:14" ht="29" x14ac:dyDescent="0.35">
      <c r="A256" s="925" t="s">
        <v>1546</v>
      </c>
      <c r="B256" s="943" t="s">
        <v>617</v>
      </c>
      <c r="C256" s="915" t="s">
        <v>1546</v>
      </c>
      <c r="D256" s="925" t="s">
        <v>1546</v>
      </c>
      <c r="E256" s="925" t="s">
        <v>1546</v>
      </c>
      <c r="F256" s="925" t="s">
        <v>1546</v>
      </c>
      <c r="G256" s="902" t="s">
        <v>1547</v>
      </c>
      <c r="I256" s="464"/>
      <c r="J256" s="464"/>
      <c r="L256" s="912" t="s">
        <v>778</v>
      </c>
      <c r="M256" s="246" t="s">
        <v>780</v>
      </c>
      <c r="N256" s="677" t="s">
        <v>440</v>
      </c>
    </row>
    <row r="257" spans="1:14" ht="29" x14ac:dyDescent="0.35">
      <c r="A257" s="925" t="s">
        <v>1548</v>
      </c>
      <c r="B257" s="943" t="s">
        <v>617</v>
      </c>
      <c r="C257" s="915" t="s">
        <v>1548</v>
      </c>
      <c r="D257" s="925" t="s">
        <v>1548</v>
      </c>
      <c r="E257" s="925" t="s">
        <v>1548</v>
      </c>
      <c r="F257" s="925" t="s">
        <v>1548</v>
      </c>
      <c r="G257" s="902" t="s">
        <v>1549</v>
      </c>
      <c r="I257" s="464"/>
      <c r="J257" s="464"/>
      <c r="L257" s="912" t="s">
        <v>783</v>
      </c>
      <c r="M257" s="246" t="s">
        <v>785</v>
      </c>
      <c r="N257" s="677" t="s">
        <v>440</v>
      </c>
    </row>
    <row r="258" spans="1:14" ht="29" x14ac:dyDescent="0.35">
      <c r="A258" s="914" t="s">
        <v>1550</v>
      </c>
      <c r="B258" s="884" t="s">
        <v>617</v>
      </c>
      <c r="C258" s="914" t="s">
        <v>1550</v>
      </c>
      <c r="D258" s="914" t="s">
        <v>1550</v>
      </c>
      <c r="E258" s="914" t="s">
        <v>1550</v>
      </c>
      <c r="F258" s="914" t="s">
        <v>1550</v>
      </c>
      <c r="G258" s="877" t="s">
        <v>1551</v>
      </c>
      <c r="I258" s="464"/>
      <c r="J258" s="464"/>
      <c r="L258" s="912" t="s">
        <v>290</v>
      </c>
      <c r="M258" s="246" t="s">
        <v>789</v>
      </c>
      <c r="N258" s="677" t="s">
        <v>440</v>
      </c>
    </row>
    <row r="259" spans="1:14" ht="29.5" thickBot="1" x14ac:dyDescent="0.4">
      <c r="A259" s="949" t="s">
        <v>1552</v>
      </c>
      <c r="B259" s="282"/>
      <c r="C259" s="514"/>
      <c r="D259" s="514" t="s">
        <v>1552</v>
      </c>
      <c r="E259" s="949" t="s">
        <v>1552</v>
      </c>
      <c r="F259" s="949" t="s">
        <v>1552</v>
      </c>
      <c r="G259" s="953" t="s">
        <v>1553</v>
      </c>
      <c r="I259" s="464"/>
      <c r="J259" s="464"/>
      <c r="L259" s="709" t="s">
        <v>330</v>
      </c>
      <c r="M259" s="687" t="s">
        <v>793</v>
      </c>
      <c r="N259" s="2"/>
    </row>
    <row r="260" spans="1:14" ht="29" x14ac:dyDescent="0.35">
      <c r="A260" s="530" t="s">
        <v>1554</v>
      </c>
      <c r="B260" s="529" t="s">
        <v>617</v>
      </c>
      <c r="C260" s="530" t="s">
        <v>1554</v>
      </c>
      <c r="D260" s="530" t="s">
        <v>1554</v>
      </c>
      <c r="E260" s="530" t="s">
        <v>1554</v>
      </c>
      <c r="F260" s="530" t="s">
        <v>1554</v>
      </c>
      <c r="G260" s="112" t="s">
        <v>1555</v>
      </c>
      <c r="H260" s="635" t="s">
        <v>440</v>
      </c>
      <c r="I260" s="464"/>
      <c r="J260" s="464"/>
      <c r="L260" s="912" t="s">
        <v>293</v>
      </c>
      <c r="M260" s="700" t="s">
        <v>797</v>
      </c>
      <c r="N260" s="2"/>
    </row>
    <row r="261" spans="1:14" ht="43.5" x14ac:dyDescent="0.35">
      <c r="A261" s="914" t="s">
        <v>1556</v>
      </c>
      <c r="B261" s="943" t="s">
        <v>617</v>
      </c>
      <c r="C261" s="914" t="s">
        <v>1556</v>
      </c>
      <c r="D261" s="914" t="s">
        <v>1556</v>
      </c>
      <c r="E261" s="914" t="s">
        <v>1556</v>
      </c>
      <c r="F261" s="914" t="s">
        <v>1556</v>
      </c>
      <c r="G261" s="878" t="s">
        <v>1557</v>
      </c>
      <c r="H261" s="635" t="s">
        <v>440</v>
      </c>
      <c r="I261" s="464"/>
      <c r="J261" s="464"/>
      <c r="L261" s="912" t="s">
        <v>799</v>
      </c>
      <c r="M261" s="700" t="s">
        <v>801</v>
      </c>
      <c r="N261" s="2"/>
    </row>
    <row r="262" spans="1:14" ht="29" x14ac:dyDescent="0.35">
      <c r="A262" s="914" t="s">
        <v>1558</v>
      </c>
      <c r="B262" s="943" t="s">
        <v>617</v>
      </c>
      <c r="C262" s="914" t="s">
        <v>1558</v>
      </c>
      <c r="D262" s="914" t="s">
        <v>1558</v>
      </c>
      <c r="E262" s="914" t="s">
        <v>1558</v>
      </c>
      <c r="F262" s="914" t="s">
        <v>1558</v>
      </c>
      <c r="G262" s="878" t="s">
        <v>1559</v>
      </c>
      <c r="H262" s="635" t="s">
        <v>440</v>
      </c>
      <c r="I262" s="464"/>
      <c r="J262" s="464"/>
      <c r="L262" s="912" t="s">
        <v>300</v>
      </c>
      <c r="M262" s="692" t="s">
        <v>805</v>
      </c>
      <c r="N262" s="2"/>
    </row>
    <row r="263" spans="1:14" ht="29" x14ac:dyDescent="0.35">
      <c r="A263" s="915" t="s">
        <v>1560</v>
      </c>
      <c r="B263" s="952" t="s">
        <v>617</v>
      </c>
      <c r="C263" s="914" t="s">
        <v>1560</v>
      </c>
      <c r="D263" s="915" t="s">
        <v>1560</v>
      </c>
      <c r="E263" s="915" t="s">
        <v>1560</v>
      </c>
      <c r="F263" s="915" t="s">
        <v>1560</v>
      </c>
      <c r="G263" s="954" t="s">
        <v>1561</v>
      </c>
      <c r="H263" s="635" t="s">
        <v>440</v>
      </c>
      <c r="I263" s="464"/>
      <c r="J263" s="464"/>
      <c r="L263" s="912" t="s">
        <v>297</v>
      </c>
      <c r="M263" s="692" t="s">
        <v>809</v>
      </c>
      <c r="N263" s="2"/>
    </row>
    <row r="264" spans="1:14" ht="30.75" customHeight="1" x14ac:dyDescent="0.35">
      <c r="A264" s="914" t="s">
        <v>1562</v>
      </c>
      <c r="B264" s="943" t="s">
        <v>617</v>
      </c>
      <c r="C264" s="914" t="s">
        <v>1562</v>
      </c>
      <c r="D264" s="914" t="s">
        <v>1562</v>
      </c>
      <c r="E264" s="914" t="s">
        <v>1562</v>
      </c>
      <c r="F264" s="914" t="s">
        <v>1562</v>
      </c>
      <c r="G264" s="878" t="s">
        <v>1563</v>
      </c>
      <c r="H264" s="635" t="s">
        <v>440</v>
      </c>
      <c r="I264" s="464"/>
      <c r="J264" s="464"/>
      <c r="L264" s="912" t="s">
        <v>812</v>
      </c>
      <c r="M264" s="692" t="s">
        <v>814</v>
      </c>
      <c r="N264" s="2"/>
    </row>
    <row r="265" spans="1:14" ht="29" x14ac:dyDescent="0.35">
      <c r="A265" s="914" t="s">
        <v>1564</v>
      </c>
      <c r="B265" s="943" t="s">
        <v>617</v>
      </c>
      <c r="C265" s="914" t="s">
        <v>1564</v>
      </c>
      <c r="D265" s="914" t="s">
        <v>1564</v>
      </c>
      <c r="E265" s="914" t="s">
        <v>1564</v>
      </c>
      <c r="F265" s="914" t="s">
        <v>1564</v>
      </c>
      <c r="G265" s="878" t="s">
        <v>1565</v>
      </c>
      <c r="H265" s="635" t="s">
        <v>440</v>
      </c>
      <c r="I265" s="464"/>
      <c r="J265" s="464"/>
      <c r="L265" s="912" t="s">
        <v>817</v>
      </c>
      <c r="M265" s="692" t="s">
        <v>819</v>
      </c>
      <c r="N265" s="2"/>
    </row>
    <row r="266" spans="1:14" ht="43.5" x14ac:dyDescent="0.35">
      <c r="A266" s="914" t="s">
        <v>1566</v>
      </c>
      <c r="B266" s="943" t="s">
        <v>617</v>
      </c>
      <c r="C266" s="914" t="s">
        <v>1566</v>
      </c>
      <c r="D266" s="914" t="s">
        <v>1566</v>
      </c>
      <c r="E266" s="914" t="s">
        <v>1566</v>
      </c>
      <c r="F266" s="914" t="s">
        <v>1566</v>
      </c>
      <c r="G266" s="878" t="s">
        <v>1567</v>
      </c>
      <c r="H266" s="635" t="s">
        <v>440</v>
      </c>
      <c r="I266" s="464"/>
      <c r="J266" s="464"/>
      <c r="L266" s="912" t="s">
        <v>822</v>
      </c>
      <c r="M266" s="692" t="s">
        <v>824</v>
      </c>
      <c r="N266" s="2"/>
    </row>
    <row r="267" spans="1:14" ht="29" x14ac:dyDescent="0.35">
      <c r="A267" s="914" t="s">
        <v>1568</v>
      </c>
      <c r="B267" s="943" t="s">
        <v>617</v>
      </c>
      <c r="C267" s="914" t="s">
        <v>1568</v>
      </c>
      <c r="D267" s="914" t="s">
        <v>1568</v>
      </c>
      <c r="E267" s="914" t="s">
        <v>1568</v>
      </c>
      <c r="F267" s="914" t="s">
        <v>1568</v>
      </c>
      <c r="G267" s="878" t="s">
        <v>1569</v>
      </c>
      <c r="H267" s="635" t="s">
        <v>440</v>
      </c>
      <c r="I267" s="464"/>
      <c r="J267" s="464"/>
      <c r="L267" s="912" t="s">
        <v>827</v>
      </c>
      <c r="M267" s="700" t="s">
        <v>829</v>
      </c>
      <c r="N267" s="2"/>
    </row>
    <row r="268" spans="1:14" ht="29" x14ac:dyDescent="0.35">
      <c r="A268" s="914" t="s">
        <v>1570</v>
      </c>
      <c r="B268" s="943" t="s">
        <v>617</v>
      </c>
      <c r="C268" s="914" t="s">
        <v>1570</v>
      </c>
      <c r="D268" s="914" t="s">
        <v>1570</v>
      </c>
      <c r="E268" s="914" t="s">
        <v>1570</v>
      </c>
      <c r="F268" s="914" t="s">
        <v>1570</v>
      </c>
      <c r="G268" s="878" t="s">
        <v>1571</v>
      </c>
      <c r="H268" s="635" t="s">
        <v>440</v>
      </c>
      <c r="I268" s="464"/>
      <c r="J268" s="464"/>
      <c r="L268" s="912" t="s">
        <v>832</v>
      </c>
      <c r="M268" s="692" t="s">
        <v>834</v>
      </c>
      <c r="N268" s="2"/>
    </row>
    <row r="269" spans="1:14" ht="29" x14ac:dyDescent="0.35">
      <c r="A269" s="914" t="s">
        <v>1572</v>
      </c>
      <c r="B269" s="943" t="s">
        <v>617</v>
      </c>
      <c r="C269" s="914" t="s">
        <v>1572</v>
      </c>
      <c r="D269" s="914" t="s">
        <v>1572</v>
      </c>
      <c r="E269" s="914" t="s">
        <v>1572</v>
      </c>
      <c r="F269" s="914" t="s">
        <v>1572</v>
      </c>
      <c r="G269" s="878" t="s">
        <v>1573</v>
      </c>
      <c r="H269" s="635" t="s">
        <v>440</v>
      </c>
      <c r="I269" s="464"/>
      <c r="J269" s="464"/>
      <c r="L269" s="912" t="s">
        <v>837</v>
      </c>
      <c r="M269" s="246" t="s">
        <v>839</v>
      </c>
      <c r="N269" s="2"/>
    </row>
    <row r="270" spans="1:14" ht="29" x14ac:dyDescent="0.35">
      <c r="A270" s="914" t="s">
        <v>1574</v>
      </c>
      <c r="B270" s="943" t="s">
        <v>617</v>
      </c>
      <c r="C270" s="914" t="s">
        <v>1574</v>
      </c>
      <c r="D270" s="914" t="s">
        <v>1574</v>
      </c>
      <c r="E270" s="914" t="s">
        <v>1574</v>
      </c>
      <c r="F270" s="914" t="s">
        <v>1574</v>
      </c>
      <c r="G270" s="878" t="s">
        <v>1575</v>
      </c>
      <c r="H270" s="635" t="s">
        <v>440</v>
      </c>
      <c r="I270" s="464"/>
      <c r="J270" s="464"/>
      <c r="L270" s="912" t="s">
        <v>841</v>
      </c>
      <c r="M270" s="692" t="s">
        <v>843</v>
      </c>
      <c r="N270" s="2"/>
    </row>
    <row r="271" spans="1:14" ht="29" x14ac:dyDescent="0.35">
      <c r="A271" s="914" t="s">
        <v>1576</v>
      </c>
      <c r="B271" s="943" t="s">
        <v>617</v>
      </c>
      <c r="C271" s="914" t="s">
        <v>1576</v>
      </c>
      <c r="D271" s="914" t="s">
        <v>1576</v>
      </c>
      <c r="E271" s="914" t="s">
        <v>1576</v>
      </c>
      <c r="F271" s="914" t="s">
        <v>1576</v>
      </c>
      <c r="G271" s="878" t="s">
        <v>1577</v>
      </c>
      <c r="H271" s="635" t="s">
        <v>440</v>
      </c>
      <c r="I271" s="464"/>
      <c r="J271" s="464"/>
      <c r="L271" s="912" t="s">
        <v>846</v>
      </c>
      <c r="M271" s="692" t="s">
        <v>848</v>
      </c>
      <c r="N271" s="2"/>
    </row>
    <row r="272" spans="1:14" ht="29.5" thickBot="1" x14ac:dyDescent="0.4">
      <c r="A272" s="925" t="s">
        <v>1578</v>
      </c>
      <c r="B272" s="636"/>
      <c r="C272" s="512" t="s">
        <v>617</v>
      </c>
      <c r="D272" s="512" t="s">
        <v>1578</v>
      </c>
      <c r="E272" s="925" t="s">
        <v>1578</v>
      </c>
      <c r="F272" s="925" t="s">
        <v>1578</v>
      </c>
      <c r="G272" s="955" t="s">
        <v>1579</v>
      </c>
      <c r="H272" s="635" t="s">
        <v>440</v>
      </c>
      <c r="I272" s="464"/>
      <c r="J272" s="464"/>
      <c r="L272" s="691" t="s">
        <v>331</v>
      </c>
      <c r="M272" s="235" t="s">
        <v>852</v>
      </c>
      <c r="N272" s="518" t="s">
        <v>853</v>
      </c>
    </row>
    <row r="273" spans="1:14" ht="15" thickBot="1" x14ac:dyDescent="0.4">
      <c r="A273" s="532" t="s">
        <v>1580</v>
      </c>
      <c r="B273" s="531" t="s">
        <v>617</v>
      </c>
      <c r="C273" s="532" t="s">
        <v>1580</v>
      </c>
      <c r="D273" s="532" t="s">
        <v>1580</v>
      </c>
      <c r="E273" s="532" t="s">
        <v>1580</v>
      </c>
      <c r="F273" s="532" t="s">
        <v>1580</v>
      </c>
      <c r="G273" s="533" t="s">
        <v>1581</v>
      </c>
      <c r="I273" s="464"/>
      <c r="J273" s="464"/>
      <c r="L273" s="912" t="s">
        <v>295</v>
      </c>
      <c r="M273" s="956" t="s">
        <v>856</v>
      </c>
      <c r="N273" s="518" t="s">
        <v>698</v>
      </c>
    </row>
    <row r="274" spans="1:14" ht="15" thickBot="1" x14ac:dyDescent="0.4">
      <c r="A274" s="532" t="s">
        <v>1582</v>
      </c>
      <c r="B274" s="534" t="s">
        <v>617</v>
      </c>
      <c r="C274" s="532" t="s">
        <v>1582</v>
      </c>
      <c r="D274" s="532" t="s">
        <v>1582</v>
      </c>
      <c r="E274" s="532" t="s">
        <v>1582</v>
      </c>
      <c r="F274" s="532" t="s">
        <v>1582</v>
      </c>
      <c r="G274" s="535" t="s">
        <v>1583</v>
      </c>
      <c r="H274" s="635" t="s">
        <v>440</v>
      </c>
      <c r="I274" s="464"/>
      <c r="J274" s="464"/>
      <c r="L274" s="912" t="s">
        <v>859</v>
      </c>
      <c r="M274" s="956" t="s">
        <v>860</v>
      </c>
      <c r="N274" s="518" t="s">
        <v>698</v>
      </c>
    </row>
    <row r="275" spans="1:14" x14ac:dyDescent="0.35">
      <c r="A275" s="528" t="s">
        <v>1584</v>
      </c>
      <c r="B275" s="536" t="s">
        <v>1585</v>
      </c>
      <c r="C275" s="528" t="s">
        <v>1584</v>
      </c>
      <c r="D275" s="528" t="s">
        <v>1584</v>
      </c>
      <c r="E275" s="528" t="s">
        <v>1584</v>
      </c>
      <c r="F275" s="528" t="s">
        <v>1584</v>
      </c>
      <c r="G275" s="122" t="s">
        <v>1586</v>
      </c>
      <c r="H275" s="635" t="s">
        <v>440</v>
      </c>
      <c r="I275" s="464"/>
      <c r="J275" s="464"/>
      <c r="L275" s="912" t="s">
        <v>301</v>
      </c>
      <c r="M275" s="956" t="s">
        <v>863</v>
      </c>
      <c r="N275" s="518" t="s">
        <v>853</v>
      </c>
    </row>
    <row r="276" spans="1:14" ht="29" x14ac:dyDescent="0.35">
      <c r="A276" s="915" t="s">
        <v>1587</v>
      </c>
      <c r="B276" s="952" t="s">
        <v>1588</v>
      </c>
      <c r="C276" s="914" t="s">
        <v>1587</v>
      </c>
      <c r="D276" s="915" t="s">
        <v>1587</v>
      </c>
      <c r="E276" s="915" t="s">
        <v>1587</v>
      </c>
      <c r="F276" s="915" t="s">
        <v>1587</v>
      </c>
      <c r="G276" s="537" t="s">
        <v>1589</v>
      </c>
      <c r="H276" s="635" t="s">
        <v>440</v>
      </c>
      <c r="I276" s="464"/>
      <c r="J276" s="464"/>
      <c r="L276" s="912" t="s">
        <v>298</v>
      </c>
      <c r="M276" s="956" t="s">
        <v>866</v>
      </c>
      <c r="N276" s="518" t="s">
        <v>853</v>
      </c>
    </row>
    <row r="277" spans="1:14" ht="29" x14ac:dyDescent="0.35">
      <c r="A277" s="914" t="s">
        <v>1590</v>
      </c>
      <c r="B277" s="943" t="s">
        <v>1591</v>
      </c>
      <c r="C277" s="914" t="s">
        <v>1590</v>
      </c>
      <c r="D277" s="914" t="s">
        <v>1590</v>
      </c>
      <c r="E277" s="914" t="s">
        <v>1590</v>
      </c>
      <c r="F277" s="914" t="s">
        <v>1590</v>
      </c>
      <c r="G277" s="111" t="s">
        <v>1592</v>
      </c>
      <c r="H277" s="635" t="s">
        <v>440</v>
      </c>
      <c r="I277" s="464"/>
      <c r="J277" s="464"/>
      <c r="L277" s="912" t="s">
        <v>869</v>
      </c>
      <c r="M277" s="956" t="s">
        <v>870</v>
      </c>
      <c r="N277" s="518" t="s">
        <v>853</v>
      </c>
    </row>
    <row r="278" spans="1:14" ht="29" x14ac:dyDescent="0.35">
      <c r="A278" s="914" t="s">
        <v>1593</v>
      </c>
      <c r="B278" s="943" t="s">
        <v>1594</v>
      </c>
      <c r="C278" s="914" t="s">
        <v>1593</v>
      </c>
      <c r="D278" s="914" t="s">
        <v>1593</v>
      </c>
      <c r="E278" s="914" t="s">
        <v>1593</v>
      </c>
      <c r="F278" s="914" t="s">
        <v>1593</v>
      </c>
      <c r="G278" s="111" t="s">
        <v>1595</v>
      </c>
      <c r="H278" s="635" t="s">
        <v>440</v>
      </c>
      <c r="I278" s="464"/>
      <c r="J278" s="464"/>
      <c r="L278" s="912" t="s">
        <v>873</v>
      </c>
      <c r="M278" s="956" t="s">
        <v>874</v>
      </c>
      <c r="N278" s="518" t="s">
        <v>698</v>
      </c>
    </row>
    <row r="279" spans="1:14" x14ac:dyDescent="0.35">
      <c r="A279" s="914" t="s">
        <v>1596</v>
      </c>
      <c r="B279" s="943" t="s">
        <v>1597</v>
      </c>
      <c r="C279" s="914" t="s">
        <v>1596</v>
      </c>
      <c r="D279" s="914" t="s">
        <v>1596</v>
      </c>
      <c r="E279" s="914" t="s">
        <v>1596</v>
      </c>
      <c r="F279" s="914" t="s">
        <v>1596</v>
      </c>
      <c r="G279" s="111" t="s">
        <v>1598</v>
      </c>
      <c r="H279" s="635" t="s">
        <v>440</v>
      </c>
      <c r="I279" s="464"/>
      <c r="J279" s="285"/>
      <c r="L279" s="912" t="s">
        <v>877</v>
      </c>
      <c r="M279" s="956" t="s">
        <v>878</v>
      </c>
      <c r="N279" s="518" t="s">
        <v>698</v>
      </c>
    </row>
    <row r="280" spans="1:14" x14ac:dyDescent="0.35">
      <c r="A280" s="914" t="s">
        <v>1599</v>
      </c>
      <c r="B280" s="943" t="s">
        <v>1600</v>
      </c>
      <c r="C280" s="914" t="s">
        <v>1599</v>
      </c>
      <c r="D280" s="914" t="s">
        <v>1599</v>
      </c>
      <c r="E280" s="914" t="s">
        <v>1599</v>
      </c>
      <c r="F280" s="914" t="s">
        <v>1599</v>
      </c>
      <c r="G280" s="111" t="s">
        <v>1601</v>
      </c>
      <c r="H280" s="635" t="s">
        <v>440</v>
      </c>
      <c r="I280" s="464"/>
      <c r="J280" s="467"/>
      <c r="L280" s="912" t="s">
        <v>881</v>
      </c>
      <c r="M280" s="956" t="s">
        <v>882</v>
      </c>
      <c r="N280" s="518" t="s">
        <v>698</v>
      </c>
    </row>
    <row r="281" spans="1:14" x14ac:dyDescent="0.35">
      <c r="A281" s="914" t="s">
        <v>1602</v>
      </c>
      <c r="B281" s="943" t="s">
        <v>1603</v>
      </c>
      <c r="C281" s="914" t="s">
        <v>1602</v>
      </c>
      <c r="D281" s="914" t="s">
        <v>1602</v>
      </c>
      <c r="E281" s="914" t="s">
        <v>1602</v>
      </c>
      <c r="F281" s="914" t="s">
        <v>1602</v>
      </c>
      <c r="G281" s="111" t="s">
        <v>1604</v>
      </c>
      <c r="H281" s="635" t="s">
        <v>440</v>
      </c>
      <c r="I281" s="464"/>
      <c r="J281" s="467"/>
      <c r="L281" s="912" t="s">
        <v>885</v>
      </c>
      <c r="M281" s="956" t="s">
        <v>886</v>
      </c>
      <c r="N281" s="518" t="s">
        <v>698</v>
      </c>
    </row>
    <row r="282" spans="1:14" ht="29" x14ac:dyDescent="0.35">
      <c r="A282" s="914" t="s">
        <v>1605</v>
      </c>
      <c r="B282" s="943" t="s">
        <v>1606</v>
      </c>
      <c r="C282" s="914" t="s">
        <v>1605</v>
      </c>
      <c r="D282" s="914" t="s">
        <v>1605</v>
      </c>
      <c r="E282" s="914" t="s">
        <v>1605</v>
      </c>
      <c r="F282" s="914" t="s">
        <v>1605</v>
      </c>
      <c r="G282" s="111" t="s">
        <v>1607</v>
      </c>
      <c r="H282" s="635" t="s">
        <v>440</v>
      </c>
      <c r="I282" s="464"/>
      <c r="J282" s="464"/>
      <c r="L282" s="912" t="s">
        <v>889</v>
      </c>
      <c r="M282" s="956" t="s">
        <v>890</v>
      </c>
      <c r="N282" s="518" t="s">
        <v>853</v>
      </c>
    </row>
    <row r="283" spans="1:14" ht="29" x14ac:dyDescent="0.35">
      <c r="A283" s="914" t="s">
        <v>1608</v>
      </c>
      <c r="B283" s="943" t="s">
        <v>1609</v>
      </c>
      <c r="C283" s="914" t="s">
        <v>1608</v>
      </c>
      <c r="D283" s="914" t="s">
        <v>1608</v>
      </c>
      <c r="E283" s="914" t="s">
        <v>1608</v>
      </c>
      <c r="F283" s="914" t="s">
        <v>1608</v>
      </c>
      <c r="G283" s="111" t="s">
        <v>1610</v>
      </c>
      <c r="H283" s="635" t="s">
        <v>440</v>
      </c>
      <c r="I283" s="464"/>
      <c r="J283" s="464"/>
      <c r="L283" s="912" t="s">
        <v>893</v>
      </c>
      <c r="M283" s="956" t="s">
        <v>894</v>
      </c>
      <c r="N283" s="686" t="s">
        <v>853</v>
      </c>
    </row>
    <row r="284" spans="1:14" x14ac:dyDescent="0.35">
      <c r="A284" s="914" t="s">
        <v>1611</v>
      </c>
      <c r="B284" s="943" t="s">
        <v>1612</v>
      </c>
      <c r="C284" s="914" t="s">
        <v>1611</v>
      </c>
      <c r="D284" s="914" t="s">
        <v>1611</v>
      </c>
      <c r="E284" s="914" t="s">
        <v>1611</v>
      </c>
      <c r="F284" s="914" t="s">
        <v>1611</v>
      </c>
      <c r="G284" s="111" t="s">
        <v>1613</v>
      </c>
      <c r="H284" s="635" t="s">
        <v>440</v>
      </c>
      <c r="I284" s="464"/>
      <c r="J284" s="464"/>
      <c r="L284" s="912" t="s">
        <v>897</v>
      </c>
      <c r="M284" s="956" t="s">
        <v>898</v>
      </c>
      <c r="N284" s="686" t="s">
        <v>853</v>
      </c>
    </row>
    <row r="285" spans="1:14" ht="29" x14ac:dyDescent="0.35">
      <c r="A285" s="914" t="s">
        <v>1614</v>
      </c>
      <c r="B285" s="943" t="s">
        <v>1615</v>
      </c>
      <c r="C285" s="914" t="s">
        <v>1614</v>
      </c>
      <c r="D285" s="914" t="s">
        <v>1614</v>
      </c>
      <c r="E285" s="914" t="s">
        <v>1614</v>
      </c>
      <c r="F285" s="914" t="s">
        <v>1614</v>
      </c>
      <c r="G285" s="111" t="s">
        <v>1616</v>
      </c>
      <c r="H285" s="635" t="s">
        <v>440</v>
      </c>
      <c r="I285" s="464"/>
      <c r="J285" s="464"/>
      <c r="L285" s="691" t="s">
        <v>901</v>
      </c>
      <c r="M285" s="687" t="s">
        <v>903</v>
      </c>
      <c r="N285" s="2"/>
    </row>
    <row r="286" spans="1:14" ht="29" x14ac:dyDescent="0.35">
      <c r="A286" s="914" t="s">
        <v>1617</v>
      </c>
      <c r="B286" s="943" t="s">
        <v>1618</v>
      </c>
      <c r="C286" s="914" t="s">
        <v>1617</v>
      </c>
      <c r="D286" s="914" t="s">
        <v>1617</v>
      </c>
      <c r="E286" s="914" t="s">
        <v>1617</v>
      </c>
      <c r="F286" s="914" t="s">
        <v>1617</v>
      </c>
      <c r="G286" s="111" t="s">
        <v>1619</v>
      </c>
      <c r="H286" s="635" t="s">
        <v>440</v>
      </c>
      <c r="I286" s="464"/>
      <c r="J286" s="464"/>
      <c r="L286" s="912" t="s">
        <v>906</v>
      </c>
      <c r="M286" s="692" t="s">
        <v>908</v>
      </c>
      <c r="N286" s="2"/>
    </row>
    <row r="287" spans="1:14" x14ac:dyDescent="0.35">
      <c r="A287" s="914" t="s">
        <v>1620</v>
      </c>
      <c r="B287" s="943" t="s">
        <v>1621</v>
      </c>
      <c r="C287" s="914" t="s">
        <v>1620</v>
      </c>
      <c r="D287" s="914" t="s">
        <v>1620</v>
      </c>
      <c r="E287" s="914" t="s">
        <v>1620</v>
      </c>
      <c r="F287" s="914" t="s">
        <v>1620</v>
      </c>
      <c r="G287" s="111" t="s">
        <v>1622</v>
      </c>
      <c r="H287" s="635" t="s">
        <v>440</v>
      </c>
      <c r="I287" s="464"/>
      <c r="J287" s="259"/>
      <c r="L287" s="912" t="s">
        <v>911</v>
      </c>
      <c r="M287" s="692" t="s">
        <v>913</v>
      </c>
      <c r="N287" s="2"/>
    </row>
    <row r="288" spans="1:14" ht="29" x14ac:dyDescent="0.35">
      <c r="A288" s="914" t="s">
        <v>1623</v>
      </c>
      <c r="B288" s="943" t="s">
        <v>1624</v>
      </c>
      <c r="C288" s="914" t="s">
        <v>1623</v>
      </c>
      <c r="D288" s="914" t="s">
        <v>1623</v>
      </c>
      <c r="E288" s="914" t="s">
        <v>1623</v>
      </c>
      <c r="F288" s="914" t="s">
        <v>1623</v>
      </c>
      <c r="G288" s="111" t="s">
        <v>1625</v>
      </c>
      <c r="H288" s="635" t="s">
        <v>440</v>
      </c>
      <c r="I288" s="464"/>
      <c r="J288" s="463"/>
      <c r="L288" s="912" t="s">
        <v>916</v>
      </c>
      <c r="M288" s="692" t="s">
        <v>918</v>
      </c>
      <c r="N288" s="2"/>
    </row>
    <row r="289" spans="1:14" ht="15" thickBot="1" x14ac:dyDescent="0.4">
      <c r="A289" s="924" t="s">
        <v>1626</v>
      </c>
      <c r="B289" s="957" t="s">
        <v>1627</v>
      </c>
      <c r="C289" s="914" t="s">
        <v>1626</v>
      </c>
      <c r="D289" s="924" t="s">
        <v>1626</v>
      </c>
      <c r="E289" s="924" t="s">
        <v>1626</v>
      </c>
      <c r="F289" s="924" t="s">
        <v>1626</v>
      </c>
      <c r="G289" s="538" t="s">
        <v>1628</v>
      </c>
      <c r="H289" s="635" t="s">
        <v>440</v>
      </c>
      <c r="I289" s="464"/>
      <c r="J289" s="467"/>
      <c r="L289" s="912" t="s">
        <v>921</v>
      </c>
      <c r="M289" s="690" t="s">
        <v>923</v>
      </c>
      <c r="N289" s="2"/>
    </row>
    <row r="290" spans="1:14" x14ac:dyDescent="0.35">
      <c r="A290" s="539" t="s">
        <v>1629</v>
      </c>
      <c r="B290" s="460" t="s">
        <v>1630</v>
      </c>
      <c r="C290" s="539" t="s">
        <v>1629</v>
      </c>
      <c r="D290" s="539" t="s">
        <v>1629</v>
      </c>
      <c r="E290" s="539" t="s">
        <v>1629</v>
      </c>
      <c r="F290" s="539" t="s">
        <v>1629</v>
      </c>
      <c r="G290" s="540" t="s">
        <v>1631</v>
      </c>
      <c r="I290" s="464"/>
      <c r="J290" s="467"/>
      <c r="L290" s="912" t="s">
        <v>926</v>
      </c>
      <c r="M290" s="692" t="s">
        <v>928</v>
      </c>
      <c r="N290" s="2"/>
    </row>
    <row r="291" spans="1:14" x14ac:dyDescent="0.35">
      <c r="A291" s="914" t="s">
        <v>1632</v>
      </c>
      <c r="B291" s="943" t="s">
        <v>617</v>
      </c>
      <c r="C291" s="914" t="s">
        <v>1632</v>
      </c>
      <c r="D291" s="914" t="s">
        <v>1632</v>
      </c>
      <c r="E291" s="914" t="s">
        <v>1632</v>
      </c>
      <c r="F291" s="914" t="s">
        <v>1632</v>
      </c>
      <c r="G291" s="877" t="s">
        <v>1633</v>
      </c>
      <c r="I291" s="464"/>
      <c r="J291" s="467"/>
      <c r="L291" s="912" t="s">
        <v>931</v>
      </c>
      <c r="M291" s="692" t="s">
        <v>933</v>
      </c>
      <c r="N291" s="2"/>
    </row>
    <row r="292" spans="1:14" ht="29" x14ac:dyDescent="0.35">
      <c r="A292" s="914" t="s">
        <v>1634</v>
      </c>
      <c r="B292" s="943" t="s">
        <v>617</v>
      </c>
      <c r="C292" s="914" t="s">
        <v>1634</v>
      </c>
      <c r="D292" s="914" t="s">
        <v>1634</v>
      </c>
      <c r="E292" s="914" t="s">
        <v>1634</v>
      </c>
      <c r="F292" s="914" t="s">
        <v>1634</v>
      </c>
      <c r="G292" s="878" t="s">
        <v>1635</v>
      </c>
      <c r="I292" s="285"/>
      <c r="J292" s="467"/>
      <c r="L292" s="912" t="s">
        <v>936</v>
      </c>
      <c r="M292" s="690" t="s">
        <v>938</v>
      </c>
      <c r="N292" s="2"/>
    </row>
    <row r="293" spans="1:14" ht="29" x14ac:dyDescent="0.35">
      <c r="A293" s="914" t="s">
        <v>1636</v>
      </c>
      <c r="B293" s="943" t="s">
        <v>617</v>
      </c>
      <c r="C293" s="914" t="s">
        <v>1636</v>
      </c>
      <c r="D293" s="914" t="s">
        <v>1636</v>
      </c>
      <c r="E293" s="914" t="s">
        <v>1636</v>
      </c>
      <c r="F293" s="914" t="s">
        <v>1636</v>
      </c>
      <c r="G293" s="878" t="s">
        <v>1637</v>
      </c>
      <c r="I293" s="467"/>
      <c r="J293" s="467"/>
      <c r="L293" s="912" t="s">
        <v>941</v>
      </c>
      <c r="M293" s="690" t="s">
        <v>943</v>
      </c>
      <c r="N293" s="2"/>
    </row>
    <row r="294" spans="1:14" x14ac:dyDescent="0.35">
      <c r="A294" s="914" t="s">
        <v>1638</v>
      </c>
      <c r="B294" s="943" t="s">
        <v>617</v>
      </c>
      <c r="C294" s="914" t="s">
        <v>1638</v>
      </c>
      <c r="D294" s="914" t="s">
        <v>1638</v>
      </c>
      <c r="E294" s="914" t="s">
        <v>1638</v>
      </c>
      <c r="F294" s="914" t="s">
        <v>1638</v>
      </c>
      <c r="G294" s="878" t="s">
        <v>1639</v>
      </c>
      <c r="I294" s="467"/>
      <c r="J294" s="467"/>
      <c r="L294" s="912" t="s">
        <v>946</v>
      </c>
      <c r="M294" s="692" t="s">
        <v>948</v>
      </c>
      <c r="N294" s="2"/>
    </row>
    <row r="295" spans="1:14" ht="29" x14ac:dyDescent="0.35">
      <c r="A295" s="914" t="s">
        <v>1640</v>
      </c>
      <c r="B295" s="943" t="s">
        <v>617</v>
      </c>
      <c r="C295" s="914" t="s">
        <v>1640</v>
      </c>
      <c r="D295" s="914" t="s">
        <v>1640</v>
      </c>
      <c r="E295" s="914" t="s">
        <v>1640</v>
      </c>
      <c r="F295" s="914" t="s">
        <v>1640</v>
      </c>
      <c r="G295" s="878" t="s">
        <v>1641</v>
      </c>
      <c r="I295" s="464"/>
      <c r="J295" s="467"/>
      <c r="L295" s="912" t="s">
        <v>951</v>
      </c>
      <c r="M295" s="692" t="s">
        <v>953</v>
      </c>
      <c r="N295" s="2"/>
    </row>
    <row r="296" spans="1:14" ht="29" x14ac:dyDescent="0.35">
      <c r="A296" s="924" t="s">
        <v>1642</v>
      </c>
      <c r="B296" s="943" t="s">
        <v>617</v>
      </c>
      <c r="C296" s="914" t="s">
        <v>1642</v>
      </c>
      <c r="D296" s="924" t="s">
        <v>1642</v>
      </c>
      <c r="E296" s="924" t="s">
        <v>1642</v>
      </c>
      <c r="F296" s="924" t="s">
        <v>1642</v>
      </c>
      <c r="G296" s="902" t="s">
        <v>1643</v>
      </c>
      <c r="I296" s="464"/>
      <c r="J296" s="467"/>
      <c r="L296" s="912" t="s">
        <v>956</v>
      </c>
      <c r="M296" s="692" t="s">
        <v>957</v>
      </c>
      <c r="N296" s="2"/>
    </row>
    <row r="297" spans="1:14" ht="31" x14ac:dyDescent="0.35">
      <c r="A297" s="924" t="s">
        <v>1644</v>
      </c>
      <c r="B297" s="943" t="s">
        <v>617</v>
      </c>
      <c r="C297" s="914" t="s">
        <v>1644</v>
      </c>
      <c r="D297" s="924" t="s">
        <v>1644</v>
      </c>
      <c r="E297" s="924" t="s">
        <v>1644</v>
      </c>
      <c r="F297" s="924" t="s">
        <v>1644</v>
      </c>
      <c r="G297" s="902" t="s">
        <v>1645</v>
      </c>
      <c r="I297" s="464"/>
      <c r="J297" s="467"/>
      <c r="L297" s="691" t="s">
        <v>388</v>
      </c>
      <c r="M297" s="688" t="s">
        <v>960</v>
      </c>
      <c r="N297" s="2" t="s">
        <v>853</v>
      </c>
    </row>
    <row r="298" spans="1:14" x14ac:dyDescent="0.35">
      <c r="A298" s="924" t="s">
        <v>1646</v>
      </c>
      <c r="B298" s="943" t="s">
        <v>617</v>
      </c>
      <c r="C298" s="914" t="s">
        <v>1646</v>
      </c>
      <c r="D298" s="924" t="s">
        <v>1646</v>
      </c>
      <c r="E298" s="924" t="s">
        <v>1646</v>
      </c>
      <c r="F298" s="924" t="s">
        <v>1646</v>
      </c>
      <c r="G298" s="902" t="s">
        <v>1647</v>
      </c>
      <c r="I298" s="464"/>
      <c r="J298" s="467"/>
      <c r="L298" s="912" t="s">
        <v>385</v>
      </c>
      <c r="M298" s="692" t="s">
        <v>963</v>
      </c>
      <c r="N298" s="2" t="s">
        <v>853</v>
      </c>
    </row>
    <row r="299" spans="1:14" ht="29" x14ac:dyDescent="0.35">
      <c r="A299" s="924" t="s">
        <v>1648</v>
      </c>
      <c r="B299" s="943" t="s">
        <v>617</v>
      </c>
      <c r="C299" s="914" t="s">
        <v>1648</v>
      </c>
      <c r="D299" s="924" t="s">
        <v>1648</v>
      </c>
      <c r="E299" s="924" t="s">
        <v>1648</v>
      </c>
      <c r="F299" s="924" t="s">
        <v>1648</v>
      </c>
      <c r="G299" s="902" t="s">
        <v>1649</v>
      </c>
      <c r="I299" s="464"/>
      <c r="J299" s="467"/>
      <c r="L299" s="912" t="s">
        <v>966</v>
      </c>
      <c r="M299" s="692" t="s">
        <v>967</v>
      </c>
      <c r="N299" s="2" t="s">
        <v>853</v>
      </c>
    </row>
    <row r="300" spans="1:14" x14ac:dyDescent="0.35">
      <c r="A300" s="914" t="s">
        <v>1650</v>
      </c>
      <c r="B300" s="884" t="s">
        <v>617</v>
      </c>
      <c r="C300" s="914" t="s">
        <v>1650</v>
      </c>
      <c r="D300" s="914" t="s">
        <v>1650</v>
      </c>
      <c r="E300" s="914" t="s">
        <v>1650</v>
      </c>
      <c r="F300" s="914" t="s">
        <v>1650</v>
      </c>
      <c r="G300" s="877" t="s">
        <v>1651</v>
      </c>
      <c r="I300" s="464"/>
      <c r="J300" s="467"/>
      <c r="L300" s="912" t="s">
        <v>970</v>
      </c>
      <c r="M300" s="692" t="s">
        <v>971</v>
      </c>
      <c r="N300" s="2" t="s">
        <v>853</v>
      </c>
    </row>
    <row r="301" spans="1:14" ht="29.5" thickBot="1" x14ac:dyDescent="0.4">
      <c r="A301" s="949" t="s">
        <v>1652</v>
      </c>
      <c r="B301" s="282"/>
      <c r="C301" s="514"/>
      <c r="D301" s="514" t="s">
        <v>1652</v>
      </c>
      <c r="E301" s="949" t="s">
        <v>1652</v>
      </c>
      <c r="F301" s="949" t="s">
        <v>1652</v>
      </c>
      <c r="G301" s="953" t="s">
        <v>1653</v>
      </c>
      <c r="I301" s="465"/>
      <c r="J301" s="467"/>
      <c r="L301" s="912" t="s">
        <v>387</v>
      </c>
      <c r="M301" s="692" t="s">
        <v>974</v>
      </c>
      <c r="N301" s="2" t="s">
        <v>853</v>
      </c>
    </row>
    <row r="302" spans="1:14" x14ac:dyDescent="0.35">
      <c r="A302" s="530" t="s">
        <v>1654</v>
      </c>
      <c r="B302" s="529" t="s">
        <v>617</v>
      </c>
      <c r="C302" s="530" t="s">
        <v>1654</v>
      </c>
      <c r="D302" s="530" t="s">
        <v>1654</v>
      </c>
      <c r="E302" s="530" t="s">
        <v>1654</v>
      </c>
      <c r="F302" s="530" t="s">
        <v>1654</v>
      </c>
      <c r="G302" s="112" t="s">
        <v>1655</v>
      </c>
      <c r="H302" s="635" t="s">
        <v>440</v>
      </c>
      <c r="I302" s="463"/>
      <c r="J302" s="467"/>
      <c r="L302" s="912" t="s">
        <v>977</v>
      </c>
      <c r="M302" s="692" t="s">
        <v>978</v>
      </c>
      <c r="N302" s="2" t="s">
        <v>698</v>
      </c>
    </row>
    <row r="303" spans="1:14" ht="29" x14ac:dyDescent="0.35">
      <c r="A303" s="915" t="s">
        <v>1656</v>
      </c>
      <c r="B303" s="952" t="s">
        <v>617</v>
      </c>
      <c r="C303" s="915" t="s">
        <v>1656</v>
      </c>
      <c r="D303" s="915" t="s">
        <v>1656</v>
      </c>
      <c r="E303" s="915" t="s">
        <v>1656</v>
      </c>
      <c r="F303" s="915" t="s">
        <v>1656</v>
      </c>
      <c r="G303" s="954" t="s">
        <v>1657</v>
      </c>
      <c r="H303" s="635" t="s">
        <v>440</v>
      </c>
      <c r="I303" s="467"/>
      <c r="J303" s="465"/>
      <c r="L303" s="912" t="s">
        <v>981</v>
      </c>
      <c r="M303" s="692" t="s">
        <v>982</v>
      </c>
      <c r="N303" s="2" t="s">
        <v>698</v>
      </c>
    </row>
    <row r="304" spans="1:14" ht="29" x14ac:dyDescent="0.35">
      <c r="A304" s="915" t="s">
        <v>1658</v>
      </c>
      <c r="B304" s="943" t="s">
        <v>617</v>
      </c>
      <c r="C304" s="915" t="s">
        <v>1658</v>
      </c>
      <c r="D304" s="915" t="s">
        <v>1658</v>
      </c>
      <c r="E304" s="915" t="s">
        <v>1658</v>
      </c>
      <c r="F304" s="915" t="s">
        <v>1658</v>
      </c>
      <c r="G304" s="878" t="s">
        <v>1659</v>
      </c>
      <c r="H304" s="635" t="s">
        <v>440</v>
      </c>
      <c r="I304" s="467"/>
      <c r="J304" s="464"/>
      <c r="L304" s="912" t="s">
        <v>985</v>
      </c>
      <c r="M304" s="692" t="s">
        <v>986</v>
      </c>
      <c r="N304" s="2" t="s">
        <v>853</v>
      </c>
    </row>
    <row r="305" spans="1:14" ht="29" x14ac:dyDescent="0.35">
      <c r="A305" s="915" t="s">
        <v>1660</v>
      </c>
      <c r="B305" s="952" t="s">
        <v>617</v>
      </c>
      <c r="C305" s="915" t="s">
        <v>1660</v>
      </c>
      <c r="D305" s="915" t="s">
        <v>1660</v>
      </c>
      <c r="E305" s="915" t="s">
        <v>1660</v>
      </c>
      <c r="F305" s="915" t="s">
        <v>1660</v>
      </c>
      <c r="G305" s="913" t="s">
        <v>1661</v>
      </c>
      <c r="H305" s="635" t="s">
        <v>440</v>
      </c>
      <c r="I305" s="467"/>
      <c r="J305" s="464"/>
      <c r="L305" s="912" t="s">
        <v>386</v>
      </c>
      <c r="M305" s="692" t="s">
        <v>989</v>
      </c>
      <c r="N305" s="2" t="s">
        <v>853</v>
      </c>
    </row>
    <row r="306" spans="1:14" ht="29" x14ac:dyDescent="0.35">
      <c r="A306" s="915" t="s">
        <v>1662</v>
      </c>
      <c r="B306" s="943" t="s">
        <v>617</v>
      </c>
      <c r="C306" s="915" t="s">
        <v>1662</v>
      </c>
      <c r="D306" s="915" t="s">
        <v>1662</v>
      </c>
      <c r="E306" s="915" t="s">
        <v>1662</v>
      </c>
      <c r="F306" s="915" t="s">
        <v>1662</v>
      </c>
      <c r="G306" s="878" t="s">
        <v>1663</v>
      </c>
      <c r="H306" s="635" t="s">
        <v>440</v>
      </c>
      <c r="I306" s="467"/>
      <c r="J306" s="464"/>
      <c r="L306" s="912" t="s">
        <v>992</v>
      </c>
      <c r="M306" s="692" t="s">
        <v>993</v>
      </c>
      <c r="N306" s="2" t="s">
        <v>853</v>
      </c>
    </row>
    <row r="307" spans="1:14" ht="29" x14ac:dyDescent="0.35">
      <c r="A307" s="915" t="s">
        <v>1664</v>
      </c>
      <c r="B307" s="943" t="s">
        <v>617</v>
      </c>
      <c r="C307" s="915" t="s">
        <v>1664</v>
      </c>
      <c r="D307" s="915" t="s">
        <v>1664</v>
      </c>
      <c r="E307" s="915" t="s">
        <v>1664</v>
      </c>
      <c r="F307" s="915" t="s">
        <v>1664</v>
      </c>
      <c r="G307" s="878" t="s">
        <v>1665</v>
      </c>
      <c r="H307" s="635" t="s">
        <v>440</v>
      </c>
      <c r="I307" s="467"/>
      <c r="J307" s="464"/>
      <c r="L307" s="912" t="s">
        <v>996</v>
      </c>
      <c r="M307" s="692" t="s">
        <v>997</v>
      </c>
      <c r="N307" s="2" t="s">
        <v>853</v>
      </c>
    </row>
    <row r="308" spans="1:14" ht="29" x14ac:dyDescent="0.35">
      <c r="A308" s="915" t="s">
        <v>1666</v>
      </c>
      <c r="B308" s="943" t="s">
        <v>617</v>
      </c>
      <c r="C308" s="915" t="s">
        <v>1666</v>
      </c>
      <c r="D308" s="915" t="s">
        <v>1666</v>
      </c>
      <c r="E308" s="915" t="s">
        <v>1666</v>
      </c>
      <c r="F308" s="915" t="s">
        <v>1666</v>
      </c>
      <c r="G308" s="878" t="s">
        <v>1667</v>
      </c>
      <c r="H308" s="635" t="s">
        <v>440</v>
      </c>
      <c r="I308" s="467"/>
      <c r="J308" s="464"/>
      <c r="L308" s="912" t="s">
        <v>1000</v>
      </c>
      <c r="M308" s="692" t="s">
        <v>2205</v>
      </c>
      <c r="N308" s="2" t="s">
        <v>853</v>
      </c>
    </row>
    <row r="309" spans="1:14" ht="29" x14ac:dyDescent="0.35">
      <c r="A309" s="915" t="s">
        <v>1668</v>
      </c>
      <c r="B309" s="943" t="s">
        <v>617</v>
      </c>
      <c r="C309" s="915" t="s">
        <v>1668</v>
      </c>
      <c r="D309" s="915" t="s">
        <v>1668</v>
      </c>
      <c r="E309" s="915" t="s">
        <v>1668</v>
      </c>
      <c r="F309" s="915" t="s">
        <v>1668</v>
      </c>
      <c r="G309" s="902" t="s">
        <v>1669</v>
      </c>
      <c r="H309" s="635" t="s">
        <v>440</v>
      </c>
      <c r="I309" s="467"/>
      <c r="J309" s="254"/>
      <c r="L309" s="691" t="s">
        <v>1004</v>
      </c>
      <c r="M309" s="679" t="s">
        <v>1006</v>
      </c>
      <c r="N309" s="2"/>
    </row>
    <row r="310" spans="1:14" ht="29" x14ac:dyDescent="0.35">
      <c r="A310" s="915" t="s">
        <v>1670</v>
      </c>
      <c r="B310" s="943" t="s">
        <v>617</v>
      </c>
      <c r="C310" s="915" t="s">
        <v>1670</v>
      </c>
      <c r="D310" s="915" t="s">
        <v>1670</v>
      </c>
      <c r="E310" s="915" t="s">
        <v>1670</v>
      </c>
      <c r="F310" s="915" t="s">
        <v>1670</v>
      </c>
      <c r="G310" s="902" t="s">
        <v>1671</v>
      </c>
      <c r="H310" s="635" t="s">
        <v>440</v>
      </c>
      <c r="I310" s="467"/>
      <c r="J310" s="254"/>
      <c r="L310" s="912" t="s">
        <v>1009</v>
      </c>
      <c r="M310" s="690" t="s">
        <v>1011</v>
      </c>
      <c r="N310" s="2"/>
    </row>
    <row r="311" spans="1:14" ht="29" x14ac:dyDescent="0.35">
      <c r="A311" s="915" t="s">
        <v>1672</v>
      </c>
      <c r="B311" s="943" t="s">
        <v>617</v>
      </c>
      <c r="C311" s="915" t="s">
        <v>1672</v>
      </c>
      <c r="D311" s="915" t="s">
        <v>1672</v>
      </c>
      <c r="E311" s="915" t="s">
        <v>1672</v>
      </c>
      <c r="F311" s="915" t="s">
        <v>1672</v>
      </c>
      <c r="G311" s="902" t="s">
        <v>1673</v>
      </c>
      <c r="H311" s="635" t="s">
        <v>440</v>
      </c>
      <c r="I311" s="467"/>
      <c r="J311" s="467"/>
      <c r="L311" s="912" t="s">
        <v>1014</v>
      </c>
      <c r="M311" s="690" t="s">
        <v>1016</v>
      </c>
      <c r="N311" s="2"/>
    </row>
    <row r="312" spans="1:14" ht="29" x14ac:dyDescent="0.35">
      <c r="A312" s="915" t="s">
        <v>1674</v>
      </c>
      <c r="B312" s="943" t="s">
        <v>617</v>
      </c>
      <c r="C312" s="915" t="s">
        <v>1674</v>
      </c>
      <c r="D312" s="915" t="s">
        <v>1674</v>
      </c>
      <c r="E312" s="915" t="s">
        <v>1674</v>
      </c>
      <c r="F312" s="915" t="s">
        <v>1674</v>
      </c>
      <c r="G312" s="878" t="s">
        <v>1675</v>
      </c>
      <c r="H312" s="635" t="s">
        <v>440</v>
      </c>
      <c r="I312" s="467"/>
      <c r="J312" s="467"/>
      <c r="L312" s="912" t="s">
        <v>1019</v>
      </c>
      <c r="M312" s="690" t="s">
        <v>1021</v>
      </c>
      <c r="N312" s="2"/>
    </row>
    <row r="313" spans="1:14" ht="29.5" thickBot="1" x14ac:dyDescent="0.4">
      <c r="A313" s="916" t="s">
        <v>1676</v>
      </c>
      <c r="B313" s="280"/>
      <c r="C313" s="280" t="s">
        <v>617</v>
      </c>
      <c r="D313" s="391" t="s">
        <v>1676</v>
      </c>
      <c r="E313" s="916" t="s">
        <v>1676</v>
      </c>
      <c r="F313" s="916" t="s">
        <v>1676</v>
      </c>
      <c r="G313" s="955" t="s">
        <v>1677</v>
      </c>
      <c r="H313" s="635" t="s">
        <v>440</v>
      </c>
      <c r="I313" s="467"/>
      <c r="J313" s="467"/>
      <c r="L313" s="912" t="s">
        <v>1024</v>
      </c>
      <c r="M313" s="692" t="s">
        <v>1026</v>
      </c>
      <c r="N313" s="2"/>
    </row>
    <row r="314" spans="1:14" ht="29" x14ac:dyDescent="0.35">
      <c r="A314" s="530" t="s">
        <v>1678</v>
      </c>
      <c r="B314" s="529" t="s">
        <v>617</v>
      </c>
      <c r="C314" s="530" t="s">
        <v>1678</v>
      </c>
      <c r="D314" s="530" t="s">
        <v>1678</v>
      </c>
      <c r="E314" s="530" t="s">
        <v>1678</v>
      </c>
      <c r="F314" s="530" t="s">
        <v>1678</v>
      </c>
      <c r="G314" s="124" t="s">
        <v>1679</v>
      </c>
      <c r="I314" s="467"/>
      <c r="J314" s="463"/>
      <c r="L314" s="691" t="s">
        <v>1029</v>
      </c>
      <c r="M314" s="679" t="s">
        <v>1030</v>
      </c>
      <c r="N314" s="2" t="s">
        <v>853</v>
      </c>
    </row>
    <row r="315" spans="1:14" x14ac:dyDescent="0.35">
      <c r="A315" s="916" t="s">
        <v>1680</v>
      </c>
      <c r="B315" s="952" t="s">
        <v>617</v>
      </c>
      <c r="C315" s="916" t="s">
        <v>1680</v>
      </c>
      <c r="D315" s="916" t="s">
        <v>1680</v>
      </c>
      <c r="E315" s="916" t="s">
        <v>1680</v>
      </c>
      <c r="F315" s="916" t="s">
        <v>1680</v>
      </c>
      <c r="G315" s="958" t="s">
        <v>1681</v>
      </c>
      <c r="I315" s="467"/>
      <c r="J315" s="467"/>
      <c r="L315" s="912" t="s">
        <v>1032</v>
      </c>
      <c r="M315" s="690" t="s">
        <v>1033</v>
      </c>
      <c r="N315" s="2" t="s">
        <v>698</v>
      </c>
    </row>
    <row r="316" spans="1:14" ht="29.5" thickBot="1" x14ac:dyDescent="0.4">
      <c r="A316" s="916" t="s">
        <v>1682</v>
      </c>
      <c r="B316" s="959" t="s">
        <v>617</v>
      </c>
      <c r="C316" s="916" t="s">
        <v>1682</v>
      </c>
      <c r="D316" s="916" t="s">
        <v>1682</v>
      </c>
      <c r="E316" s="916" t="s">
        <v>1682</v>
      </c>
      <c r="F316" s="916" t="s">
        <v>1682</v>
      </c>
      <c r="G316" s="960" t="s">
        <v>1683</v>
      </c>
      <c r="I316" s="467"/>
      <c r="J316" s="467"/>
      <c r="L316" s="912" t="s">
        <v>1034</v>
      </c>
      <c r="M316" s="690" t="s">
        <v>1035</v>
      </c>
      <c r="N316" s="2" t="s">
        <v>698</v>
      </c>
    </row>
    <row r="317" spans="1:14" ht="29" x14ac:dyDescent="0.35">
      <c r="A317" s="544" t="s">
        <v>1684</v>
      </c>
      <c r="B317" s="529" t="s">
        <v>617</v>
      </c>
      <c r="C317" s="544" t="s">
        <v>1684</v>
      </c>
      <c r="D317" s="544" t="s">
        <v>1684</v>
      </c>
      <c r="E317" s="544" t="s">
        <v>1684</v>
      </c>
      <c r="F317" s="544" t="s">
        <v>1684</v>
      </c>
      <c r="G317" s="124" t="s">
        <v>1685</v>
      </c>
      <c r="H317" s="635" t="s">
        <v>440</v>
      </c>
      <c r="I317" s="467"/>
      <c r="J317" s="467"/>
      <c r="L317" s="912" t="s">
        <v>1038</v>
      </c>
      <c r="M317" s="690" t="s">
        <v>1039</v>
      </c>
      <c r="N317" s="2" t="s">
        <v>853</v>
      </c>
    </row>
    <row r="318" spans="1:14" ht="29" x14ac:dyDescent="0.35">
      <c r="A318" s="914" t="s">
        <v>1686</v>
      </c>
      <c r="B318" s="943" t="s">
        <v>617</v>
      </c>
      <c r="C318" s="914" t="s">
        <v>1686</v>
      </c>
      <c r="D318" s="914" t="s">
        <v>1686</v>
      </c>
      <c r="E318" s="914" t="s">
        <v>1686</v>
      </c>
      <c r="F318" s="914" t="s">
        <v>1686</v>
      </c>
      <c r="G318" s="958" t="s">
        <v>1687</v>
      </c>
      <c r="H318" s="635" t="s">
        <v>440</v>
      </c>
      <c r="I318" s="465"/>
      <c r="J318" s="467"/>
      <c r="L318" s="912" t="s">
        <v>1042</v>
      </c>
      <c r="M318" s="690" t="s">
        <v>1043</v>
      </c>
      <c r="N318" s="2" t="s">
        <v>1044</v>
      </c>
    </row>
    <row r="319" spans="1:14" ht="29.5" thickBot="1" x14ac:dyDescent="0.4">
      <c r="A319" s="920" t="s">
        <v>1688</v>
      </c>
      <c r="B319" s="944" t="s">
        <v>617</v>
      </c>
      <c r="C319" s="920" t="s">
        <v>1688</v>
      </c>
      <c r="D319" s="920" t="s">
        <v>1688</v>
      </c>
      <c r="E319" s="920" t="s">
        <v>1688</v>
      </c>
      <c r="F319" s="920" t="s">
        <v>1688</v>
      </c>
      <c r="G319" s="960" t="s">
        <v>1689</v>
      </c>
      <c r="H319" s="635" t="s">
        <v>440</v>
      </c>
      <c r="I319" s="464"/>
      <c r="J319" s="276"/>
      <c r="L319" s="691" t="s">
        <v>1047</v>
      </c>
      <c r="M319" s="679" t="s">
        <v>1049</v>
      </c>
      <c r="N319" s="2"/>
    </row>
    <row r="320" spans="1:14" ht="29.5" thickBot="1" x14ac:dyDescent="0.4">
      <c r="A320" s="930" t="s">
        <v>1690</v>
      </c>
      <c r="B320" s="961" t="s">
        <v>617</v>
      </c>
      <c r="C320" s="930" t="s">
        <v>1690</v>
      </c>
      <c r="D320" s="930" t="s">
        <v>1690</v>
      </c>
      <c r="E320" s="930" t="s">
        <v>1690</v>
      </c>
      <c r="F320" s="930" t="s">
        <v>1690</v>
      </c>
      <c r="G320" s="962" t="s">
        <v>1691</v>
      </c>
      <c r="H320" s="635" t="s">
        <v>440</v>
      </c>
      <c r="I320" s="464"/>
      <c r="J320" s="467"/>
      <c r="L320" s="912" t="s">
        <v>1052</v>
      </c>
      <c r="M320" s="692" t="s">
        <v>1054</v>
      </c>
      <c r="N320" s="2"/>
    </row>
    <row r="321" spans="1:14" x14ac:dyDescent="0.35">
      <c r="A321" s="472" t="s">
        <v>381</v>
      </c>
      <c r="B321" s="333" t="s">
        <v>380</v>
      </c>
      <c r="C321" s="472" t="s">
        <v>381</v>
      </c>
      <c r="D321" s="472" t="s">
        <v>381</v>
      </c>
      <c r="E321" s="472" t="s">
        <v>381</v>
      </c>
      <c r="F321" s="472" t="s">
        <v>381</v>
      </c>
      <c r="G321" s="334" t="s">
        <v>1692</v>
      </c>
      <c r="H321" s="635" t="s">
        <v>440</v>
      </c>
      <c r="I321" s="464"/>
      <c r="J321" s="464"/>
      <c r="L321" s="912" t="s">
        <v>1057</v>
      </c>
      <c r="M321" s="692" t="s">
        <v>1059</v>
      </c>
      <c r="N321" s="2"/>
    </row>
    <row r="322" spans="1:14" ht="29" x14ac:dyDescent="0.35">
      <c r="A322" s="914" t="s">
        <v>1693</v>
      </c>
      <c r="B322" s="548" t="s">
        <v>1694</v>
      </c>
      <c r="C322" s="914" t="s">
        <v>1693</v>
      </c>
      <c r="D322" s="914" t="s">
        <v>1693</v>
      </c>
      <c r="E322" s="914" t="s">
        <v>1693</v>
      </c>
      <c r="F322" s="914" t="s">
        <v>1693</v>
      </c>
      <c r="G322" s="118" t="s">
        <v>1695</v>
      </c>
      <c r="H322" s="635" t="s">
        <v>440</v>
      </c>
      <c r="I322" s="465"/>
      <c r="J322" s="464"/>
      <c r="L322" s="912" t="s">
        <v>1062</v>
      </c>
      <c r="M322" s="692" t="s">
        <v>1063</v>
      </c>
      <c r="N322" s="2"/>
    </row>
    <row r="323" spans="1:14" ht="43.5" x14ac:dyDescent="0.35">
      <c r="A323" s="914" t="s">
        <v>1696</v>
      </c>
      <c r="B323" s="548" t="s">
        <v>1697</v>
      </c>
      <c r="C323" s="914" t="s">
        <v>1696</v>
      </c>
      <c r="D323" s="914" t="s">
        <v>1696</v>
      </c>
      <c r="E323" s="914" t="s">
        <v>1696</v>
      </c>
      <c r="F323" s="914" t="s">
        <v>1696</v>
      </c>
      <c r="G323" s="118" t="s">
        <v>1698</v>
      </c>
      <c r="H323" s="635" t="s">
        <v>440</v>
      </c>
      <c r="I323" s="464"/>
      <c r="J323" s="463"/>
      <c r="L323" s="912" t="s">
        <v>1066</v>
      </c>
      <c r="M323" s="692" t="s">
        <v>1067</v>
      </c>
      <c r="N323" s="2"/>
    </row>
    <row r="324" spans="1:14" ht="29.5" thickBot="1" x14ac:dyDescent="0.4">
      <c r="A324" s="920" t="s">
        <v>1699</v>
      </c>
      <c r="B324" s="549" t="s">
        <v>1700</v>
      </c>
      <c r="C324" s="920" t="s">
        <v>1699</v>
      </c>
      <c r="D324" s="920" t="s">
        <v>1699</v>
      </c>
      <c r="E324" s="920" t="s">
        <v>1699</v>
      </c>
      <c r="F324" s="920" t="s">
        <v>1699</v>
      </c>
      <c r="G324" s="119" t="s">
        <v>1701</v>
      </c>
      <c r="H324" s="635" t="s">
        <v>440</v>
      </c>
      <c r="I324" s="254"/>
      <c r="L324" s="691" t="s">
        <v>396</v>
      </c>
      <c r="M324" s="679" t="s">
        <v>397</v>
      </c>
      <c r="N324" s="2" t="s">
        <v>853</v>
      </c>
    </row>
    <row r="325" spans="1:14" ht="29" x14ac:dyDescent="0.35">
      <c r="A325" s="528" t="s">
        <v>1702</v>
      </c>
      <c r="B325" s="101" t="s">
        <v>1703</v>
      </c>
      <c r="C325" s="528" t="s">
        <v>1702</v>
      </c>
      <c r="D325" s="528" t="s">
        <v>1702</v>
      </c>
      <c r="E325" s="528" t="s">
        <v>1702</v>
      </c>
      <c r="F325" s="528" t="s">
        <v>1702</v>
      </c>
      <c r="G325" s="117" t="s">
        <v>1704</v>
      </c>
      <c r="H325" s="635" t="s">
        <v>440</v>
      </c>
      <c r="I325" s="254"/>
      <c r="J325" s="467"/>
      <c r="L325" s="912" t="s">
        <v>390</v>
      </c>
      <c r="M325" s="690" t="s">
        <v>391</v>
      </c>
      <c r="N325" s="2" t="s">
        <v>698</v>
      </c>
    </row>
    <row r="326" spans="1:14" x14ac:dyDescent="0.35">
      <c r="A326" s="914" t="s">
        <v>1705</v>
      </c>
      <c r="B326" s="548" t="s">
        <v>1706</v>
      </c>
      <c r="C326" s="914" t="s">
        <v>1705</v>
      </c>
      <c r="D326" s="914" t="s">
        <v>1705</v>
      </c>
      <c r="E326" s="914" t="s">
        <v>1705</v>
      </c>
      <c r="F326" s="914" t="s">
        <v>1705</v>
      </c>
      <c r="G326" s="118" t="s">
        <v>1707</v>
      </c>
      <c r="H326" s="635" t="s">
        <v>440</v>
      </c>
      <c r="I326" s="467"/>
      <c r="J326" s="467"/>
      <c r="L326" s="912" t="s">
        <v>392</v>
      </c>
      <c r="M326" s="690" t="s">
        <v>1072</v>
      </c>
      <c r="N326" s="2" t="s">
        <v>1044</v>
      </c>
    </row>
    <row r="327" spans="1:14" ht="29" x14ac:dyDescent="0.35">
      <c r="A327" s="914" t="s">
        <v>1708</v>
      </c>
      <c r="B327" s="548" t="s">
        <v>1709</v>
      </c>
      <c r="C327" s="914" t="s">
        <v>1708</v>
      </c>
      <c r="D327" s="914" t="s">
        <v>1708</v>
      </c>
      <c r="E327" s="914" t="s">
        <v>1708</v>
      </c>
      <c r="F327" s="914" t="s">
        <v>1708</v>
      </c>
      <c r="G327" s="118" t="s">
        <v>1710</v>
      </c>
      <c r="H327" s="635" t="s">
        <v>440</v>
      </c>
      <c r="I327" s="467"/>
      <c r="J327" s="464"/>
      <c r="L327" s="912" t="s">
        <v>1075</v>
      </c>
      <c r="M327" s="690" t="s">
        <v>1076</v>
      </c>
      <c r="N327" s="2" t="s">
        <v>698</v>
      </c>
    </row>
    <row r="328" spans="1:14" ht="15" thickBot="1" x14ac:dyDescent="0.4">
      <c r="A328" s="920" t="s">
        <v>1711</v>
      </c>
      <c r="B328" s="550" t="s">
        <v>1712</v>
      </c>
      <c r="C328" s="920" t="s">
        <v>1711</v>
      </c>
      <c r="D328" s="920" t="s">
        <v>1711</v>
      </c>
      <c r="E328" s="920" t="s">
        <v>1711</v>
      </c>
      <c r="F328" s="920" t="s">
        <v>1711</v>
      </c>
      <c r="G328" s="551" t="s">
        <v>1713</v>
      </c>
      <c r="H328" s="635" t="s">
        <v>440</v>
      </c>
      <c r="I328" s="467"/>
      <c r="J328" s="276"/>
      <c r="L328" s="912" t="s">
        <v>1079</v>
      </c>
      <c r="M328" s="690" t="s">
        <v>1080</v>
      </c>
      <c r="N328" s="2" t="s">
        <v>1044</v>
      </c>
    </row>
    <row r="329" spans="1:14" x14ac:dyDescent="0.35">
      <c r="A329" s="552" t="s">
        <v>1714</v>
      </c>
      <c r="B329" s="409" t="s">
        <v>1715</v>
      </c>
      <c r="C329" s="552" t="s">
        <v>1714</v>
      </c>
      <c r="D329" s="552" t="s">
        <v>1714</v>
      </c>
      <c r="E329" s="552" t="s">
        <v>1714</v>
      </c>
      <c r="F329" s="552" t="s">
        <v>1714</v>
      </c>
      <c r="G329" s="553" t="s">
        <v>1716</v>
      </c>
      <c r="I329" s="463"/>
      <c r="J329" s="276"/>
      <c r="L329" s="691" t="s">
        <v>408</v>
      </c>
      <c r="M329" s="679" t="s">
        <v>409</v>
      </c>
      <c r="N329" s="694" t="s">
        <v>1044</v>
      </c>
    </row>
    <row r="330" spans="1:14" ht="15" thickBot="1" x14ac:dyDescent="0.4">
      <c r="A330" s="528" t="s">
        <v>1717</v>
      </c>
      <c r="B330" s="330" t="s">
        <v>617</v>
      </c>
      <c r="C330" s="528" t="s">
        <v>1717</v>
      </c>
      <c r="D330" s="528" t="s">
        <v>1717</v>
      </c>
      <c r="E330" s="528" t="s">
        <v>1717</v>
      </c>
      <c r="F330" s="528" t="s">
        <v>1717</v>
      </c>
      <c r="G330" s="116" t="s">
        <v>1718</v>
      </c>
      <c r="H330" s="635" t="s">
        <v>440</v>
      </c>
      <c r="I330" s="467"/>
      <c r="J330" s="465"/>
      <c r="L330" s="912" t="s">
        <v>1085</v>
      </c>
      <c r="M330" s="692" t="s">
        <v>1087</v>
      </c>
      <c r="N330" s="694" t="s">
        <v>1044</v>
      </c>
    </row>
    <row r="331" spans="1:14" ht="15" thickBot="1" x14ac:dyDescent="0.4">
      <c r="A331" s="555" t="s">
        <v>1719</v>
      </c>
      <c r="B331" s="554" t="s">
        <v>1720</v>
      </c>
      <c r="C331" s="555" t="s">
        <v>1719</v>
      </c>
      <c r="D331" s="555" t="s">
        <v>1719</v>
      </c>
      <c r="E331" s="555" t="s">
        <v>1719</v>
      </c>
      <c r="F331" s="555" t="s">
        <v>1719</v>
      </c>
      <c r="G331" s="412" t="s">
        <v>1721</v>
      </c>
      <c r="I331" s="467"/>
      <c r="J331" s="465"/>
      <c r="L331" s="912" t="s">
        <v>400</v>
      </c>
      <c r="M331" s="692" t="s">
        <v>401</v>
      </c>
      <c r="N331" s="694" t="s">
        <v>1044</v>
      </c>
    </row>
    <row r="332" spans="1:14" ht="29.5" thickBot="1" x14ac:dyDescent="0.4">
      <c r="A332" s="557" t="s">
        <v>1722</v>
      </c>
      <c r="B332" s="556" t="s">
        <v>617</v>
      </c>
      <c r="C332" s="557" t="s">
        <v>1722</v>
      </c>
      <c r="D332" s="557" t="s">
        <v>1722</v>
      </c>
      <c r="E332" s="557" t="s">
        <v>1722</v>
      </c>
      <c r="F332" s="557" t="s">
        <v>1722</v>
      </c>
      <c r="G332" s="558" t="s">
        <v>1723</v>
      </c>
      <c r="H332" s="635" t="s">
        <v>440</v>
      </c>
      <c r="I332" s="467"/>
      <c r="J332" s="465"/>
      <c r="L332" s="912" t="s">
        <v>404</v>
      </c>
      <c r="M332" s="692" t="s">
        <v>1092</v>
      </c>
      <c r="N332" s="694" t="s">
        <v>1044</v>
      </c>
    </row>
    <row r="333" spans="1:14" ht="15" thickBot="1" x14ac:dyDescent="0.4">
      <c r="A333" s="557" t="s">
        <v>1724</v>
      </c>
      <c r="B333" s="556" t="s">
        <v>617</v>
      </c>
      <c r="C333" s="557" t="s">
        <v>1724</v>
      </c>
      <c r="D333" s="557" t="s">
        <v>1724</v>
      </c>
      <c r="E333" s="557" t="s">
        <v>1724</v>
      </c>
      <c r="F333" s="557" t="s">
        <v>1724</v>
      </c>
      <c r="G333" s="558" t="s">
        <v>1725</v>
      </c>
      <c r="I333" s="467"/>
      <c r="J333" s="465"/>
      <c r="L333" s="912" t="s">
        <v>1095</v>
      </c>
      <c r="M333" s="692" t="s">
        <v>1097</v>
      </c>
      <c r="N333" s="694" t="s">
        <v>1044</v>
      </c>
    </row>
    <row r="334" spans="1:14" ht="15" thickBot="1" x14ac:dyDescent="0.4">
      <c r="A334" s="712" t="s">
        <v>1726</v>
      </c>
      <c r="B334" s="556"/>
      <c r="C334" s="458"/>
      <c r="D334" s="515" t="s">
        <v>1726</v>
      </c>
      <c r="E334" s="712" t="s">
        <v>1726</v>
      </c>
      <c r="F334" s="712" t="s">
        <v>1726</v>
      </c>
      <c r="G334" s="558" t="s">
        <v>1727</v>
      </c>
      <c r="H334" s="635" t="s">
        <v>440</v>
      </c>
      <c r="I334" s="467"/>
      <c r="J334" s="465"/>
      <c r="L334" s="912" t="s">
        <v>1100</v>
      </c>
      <c r="M334" s="690" t="s">
        <v>1102</v>
      </c>
      <c r="N334" s="694" t="s">
        <v>1044</v>
      </c>
    </row>
    <row r="335" spans="1:14" ht="29.5" thickBot="1" x14ac:dyDescent="0.4">
      <c r="A335" s="715" t="s">
        <v>1728</v>
      </c>
      <c r="B335" s="102" t="s">
        <v>1729</v>
      </c>
      <c r="C335" s="112" t="s">
        <v>1730</v>
      </c>
      <c r="D335" s="411" t="s">
        <v>1728</v>
      </c>
      <c r="E335" s="715" t="s">
        <v>1728</v>
      </c>
      <c r="F335" s="715" t="s">
        <v>1728</v>
      </c>
      <c r="G335" s="120" t="s">
        <v>1731</v>
      </c>
      <c r="I335" s="467"/>
      <c r="J335" s="465"/>
      <c r="L335" s="912" t="s">
        <v>1105</v>
      </c>
      <c r="M335" s="692" t="s">
        <v>1107</v>
      </c>
      <c r="N335" s="694" t="s">
        <v>1044</v>
      </c>
    </row>
    <row r="336" spans="1:14" ht="44" thickBot="1" x14ac:dyDescent="0.4">
      <c r="A336" s="560" t="s">
        <v>1732</v>
      </c>
      <c r="B336" s="559" t="s">
        <v>617</v>
      </c>
      <c r="C336" s="560" t="s">
        <v>1733</v>
      </c>
      <c r="D336" s="410" t="s">
        <v>1732</v>
      </c>
      <c r="E336" s="560" t="s">
        <v>1732</v>
      </c>
      <c r="F336" s="560" t="s">
        <v>1732</v>
      </c>
      <c r="G336" s="561" t="s">
        <v>1734</v>
      </c>
      <c r="H336" s="635" t="s">
        <v>440</v>
      </c>
      <c r="I336" s="467"/>
      <c r="J336" s="261"/>
      <c r="L336" s="691" t="s">
        <v>1110</v>
      </c>
      <c r="M336" s="687" t="s">
        <v>1112</v>
      </c>
      <c r="N336" s="2"/>
    </row>
    <row r="337" spans="1:14" ht="29" x14ac:dyDescent="0.35">
      <c r="A337" s="963" t="s">
        <v>1735</v>
      </c>
      <c r="B337" s="562" t="s">
        <v>1736</v>
      </c>
      <c r="C337" s="963" t="s">
        <v>1735</v>
      </c>
      <c r="D337" s="963" t="s">
        <v>1735</v>
      </c>
      <c r="E337" s="963" t="s">
        <v>1735</v>
      </c>
      <c r="F337" s="963" t="s">
        <v>1735</v>
      </c>
      <c r="G337" s="121" t="s">
        <v>1737</v>
      </c>
      <c r="H337" s="635" t="s">
        <v>440</v>
      </c>
      <c r="I337" s="464"/>
      <c r="J337" s="263"/>
      <c r="L337" s="912" t="s">
        <v>1115</v>
      </c>
      <c r="M337" s="692" t="s">
        <v>1117</v>
      </c>
      <c r="N337" s="2"/>
    </row>
    <row r="338" spans="1:14" x14ac:dyDescent="0.35">
      <c r="A338" s="916" t="s">
        <v>1738</v>
      </c>
      <c r="B338" s="964" t="s">
        <v>617</v>
      </c>
      <c r="C338" s="916" t="s">
        <v>1738</v>
      </c>
      <c r="D338" s="916" t="s">
        <v>1738</v>
      </c>
      <c r="E338" s="916" t="s">
        <v>1738</v>
      </c>
      <c r="F338" s="916" t="s">
        <v>1738</v>
      </c>
      <c r="G338" s="399" t="s">
        <v>1739</v>
      </c>
      <c r="I338" s="464"/>
      <c r="J338" s="265"/>
      <c r="L338" s="912" t="s">
        <v>1120</v>
      </c>
      <c r="M338" s="692" t="s">
        <v>1122</v>
      </c>
      <c r="N338" s="2"/>
    </row>
    <row r="339" spans="1:14" x14ac:dyDescent="0.35">
      <c r="A339" s="916" t="s">
        <v>1740</v>
      </c>
      <c r="B339" s="548" t="s">
        <v>1741</v>
      </c>
      <c r="C339" s="916" t="s">
        <v>1740</v>
      </c>
      <c r="D339" s="916" t="s">
        <v>1740</v>
      </c>
      <c r="E339" s="916" t="s">
        <v>1740</v>
      </c>
      <c r="F339" s="916" t="s">
        <v>1740</v>
      </c>
      <c r="G339" s="118" t="s">
        <v>1742</v>
      </c>
      <c r="H339" s="635" t="s">
        <v>440</v>
      </c>
      <c r="I339" s="463"/>
      <c r="J339" s="266"/>
      <c r="L339" s="912" t="s">
        <v>1125</v>
      </c>
      <c r="M339" s="692" t="s">
        <v>1127</v>
      </c>
      <c r="N339" s="2"/>
    </row>
    <row r="340" spans="1:14" x14ac:dyDescent="0.35">
      <c r="A340" s="916" t="s">
        <v>1743</v>
      </c>
      <c r="B340" s="875" t="s">
        <v>617</v>
      </c>
      <c r="C340" s="916" t="s">
        <v>1743</v>
      </c>
      <c r="D340" s="916" t="s">
        <v>1743</v>
      </c>
      <c r="E340" s="916" t="s">
        <v>1743</v>
      </c>
      <c r="F340" s="916" t="s">
        <v>1743</v>
      </c>
      <c r="G340" s="118" t="s">
        <v>1744</v>
      </c>
      <c r="I340" s="465"/>
      <c r="J340" s="266"/>
      <c r="L340" s="912" t="s">
        <v>1130</v>
      </c>
      <c r="M340" s="690" t="s">
        <v>1132</v>
      </c>
      <c r="N340" s="2"/>
    </row>
    <row r="341" spans="1:14" ht="29" x14ac:dyDescent="0.35">
      <c r="A341" s="916" t="s">
        <v>1745</v>
      </c>
      <c r="B341" s="875" t="s">
        <v>1746</v>
      </c>
      <c r="C341" s="916" t="s">
        <v>1745</v>
      </c>
      <c r="D341" s="916" t="s">
        <v>1745</v>
      </c>
      <c r="E341" s="916" t="s">
        <v>1745</v>
      </c>
      <c r="F341" s="916" t="s">
        <v>1745</v>
      </c>
      <c r="G341" s="118" t="s">
        <v>1747</v>
      </c>
      <c r="H341" s="635" t="s">
        <v>440</v>
      </c>
      <c r="I341" s="467"/>
      <c r="J341" s="265"/>
      <c r="L341" s="691" t="s">
        <v>1135</v>
      </c>
      <c r="M341" s="679" t="s">
        <v>1136</v>
      </c>
      <c r="N341" s="2" t="s">
        <v>853</v>
      </c>
    </row>
    <row r="342" spans="1:14" ht="15" thickBot="1" x14ac:dyDescent="0.4">
      <c r="A342" s="965" t="s">
        <v>1748</v>
      </c>
      <c r="B342" s="894" t="s">
        <v>1749</v>
      </c>
      <c r="C342" s="965" t="s">
        <v>1748</v>
      </c>
      <c r="D342" s="965" t="s">
        <v>1748</v>
      </c>
      <c r="E342" s="965" t="s">
        <v>1748</v>
      </c>
      <c r="F342" s="965" t="s">
        <v>1748</v>
      </c>
      <c r="G342" s="541" t="s">
        <v>1750</v>
      </c>
      <c r="H342" s="635" t="s">
        <v>440</v>
      </c>
      <c r="I342" s="467"/>
      <c r="J342" s="267"/>
      <c r="L342" s="912" t="s">
        <v>1139</v>
      </c>
      <c r="M342" s="692" t="s">
        <v>1140</v>
      </c>
      <c r="N342" s="2" t="s">
        <v>698</v>
      </c>
    </row>
    <row r="343" spans="1:14" x14ac:dyDescent="0.35">
      <c r="A343" s="715" t="s">
        <v>1751</v>
      </c>
      <c r="B343" s="407" t="s">
        <v>1752</v>
      </c>
      <c r="C343" s="565" t="s">
        <v>1751</v>
      </c>
      <c r="D343" s="565" t="s">
        <v>1751</v>
      </c>
      <c r="E343" s="715" t="s">
        <v>1751</v>
      </c>
      <c r="F343" s="715" t="s">
        <v>1751</v>
      </c>
      <c r="G343" s="113" t="s">
        <v>1753</v>
      </c>
      <c r="I343" s="464"/>
      <c r="J343" s="277"/>
      <c r="L343" s="912" t="s">
        <v>1143</v>
      </c>
      <c r="M343" s="692" t="s">
        <v>1144</v>
      </c>
      <c r="N343" s="2" t="s">
        <v>698</v>
      </c>
    </row>
    <row r="344" spans="1:14" x14ac:dyDescent="0.35">
      <c r="A344" s="966" t="s">
        <v>1754</v>
      </c>
      <c r="B344" s="566" t="s">
        <v>1755</v>
      </c>
      <c r="C344" s="521" t="s">
        <v>1754</v>
      </c>
      <c r="D344" s="567" t="s">
        <v>1754</v>
      </c>
      <c r="E344" s="966" t="s">
        <v>1754</v>
      </c>
      <c r="F344" s="966" t="s">
        <v>1754</v>
      </c>
      <c r="G344" s="399" t="s">
        <v>1756</v>
      </c>
      <c r="I344" s="467"/>
      <c r="J344" s="264"/>
      <c r="L344" s="912" t="s">
        <v>1147</v>
      </c>
      <c r="M344" s="692" t="s">
        <v>1148</v>
      </c>
      <c r="N344" s="2" t="s">
        <v>853</v>
      </c>
    </row>
    <row r="345" spans="1:14" x14ac:dyDescent="0.35">
      <c r="A345" s="934" t="s">
        <v>1757</v>
      </c>
      <c r="B345" s="566" t="s">
        <v>1758</v>
      </c>
      <c r="C345" s="521" t="s">
        <v>1757</v>
      </c>
      <c r="D345" s="521" t="s">
        <v>1757</v>
      </c>
      <c r="E345" s="934" t="s">
        <v>1757</v>
      </c>
      <c r="F345" s="934" t="s">
        <v>1757</v>
      </c>
      <c r="G345" s="627" t="s">
        <v>1759</v>
      </c>
      <c r="I345" s="467"/>
      <c r="J345" s="277"/>
      <c r="L345" s="912" t="s">
        <v>1151</v>
      </c>
      <c r="M345" s="686" t="s">
        <v>1152</v>
      </c>
      <c r="N345" s="2" t="s">
        <v>853</v>
      </c>
    </row>
    <row r="346" spans="1:14" ht="29.5" thickBot="1" x14ac:dyDescent="0.4">
      <c r="A346" s="936" t="s">
        <v>1760</v>
      </c>
      <c r="B346" s="568" t="s">
        <v>1761</v>
      </c>
      <c r="C346" s="569" t="s">
        <v>1760</v>
      </c>
      <c r="D346" s="569" t="s">
        <v>1760</v>
      </c>
      <c r="E346" s="936" t="s">
        <v>1760</v>
      </c>
      <c r="F346" s="936" t="s">
        <v>1760</v>
      </c>
      <c r="G346" s="646" t="s">
        <v>1762</v>
      </c>
      <c r="I346" s="465"/>
      <c r="J346" s="277"/>
      <c r="L346" s="912" t="s">
        <v>1155</v>
      </c>
      <c r="M346" s="692" t="s">
        <v>1157</v>
      </c>
      <c r="N346" s="2"/>
    </row>
    <row r="347" spans="1:14" x14ac:dyDescent="0.35">
      <c r="A347" s="712" t="s">
        <v>1763</v>
      </c>
      <c r="B347" s="407" t="s">
        <v>1752</v>
      </c>
      <c r="C347" s="565" t="s">
        <v>1763</v>
      </c>
      <c r="D347" s="571" t="s">
        <v>1763</v>
      </c>
      <c r="E347" s="712" t="s">
        <v>1763</v>
      </c>
      <c r="F347" s="712" t="s">
        <v>1763</v>
      </c>
      <c r="G347" s="458" t="s">
        <v>1764</v>
      </c>
      <c r="H347" s="314" t="s">
        <v>853</v>
      </c>
      <c r="I347" s="465"/>
      <c r="J347" s="277"/>
      <c r="L347" s="912" t="s">
        <v>1160</v>
      </c>
      <c r="M347" s="690" t="s">
        <v>1163</v>
      </c>
      <c r="N347" s="518" t="s">
        <v>853</v>
      </c>
    </row>
    <row r="348" spans="1:14" x14ac:dyDescent="0.35">
      <c r="A348" s="967" t="s">
        <v>1765</v>
      </c>
      <c r="B348" s="97" t="s">
        <v>617</v>
      </c>
      <c r="C348" s="573" t="s">
        <v>1765</v>
      </c>
      <c r="D348" s="573" t="s">
        <v>1765</v>
      </c>
      <c r="E348" s="967" t="s">
        <v>1765</v>
      </c>
      <c r="F348" s="967" t="s">
        <v>1765</v>
      </c>
      <c r="G348" s="902" t="s">
        <v>1766</v>
      </c>
      <c r="H348" s="3" t="s">
        <v>698</v>
      </c>
      <c r="I348" s="465"/>
      <c r="J348" s="277"/>
      <c r="L348" s="912" t="s">
        <v>1166</v>
      </c>
      <c r="M348" s="695" t="s">
        <v>1168</v>
      </c>
      <c r="N348" s="2"/>
    </row>
    <row r="349" spans="1:14" x14ac:dyDescent="0.35">
      <c r="A349" s="967" t="s">
        <v>1767</v>
      </c>
      <c r="B349" s="97" t="s">
        <v>617</v>
      </c>
      <c r="C349" s="573" t="s">
        <v>1767</v>
      </c>
      <c r="D349" s="573" t="s">
        <v>1767</v>
      </c>
      <c r="E349" s="967" t="s">
        <v>1767</v>
      </c>
      <c r="F349" s="967" t="s">
        <v>1767</v>
      </c>
      <c r="G349" s="902" t="s">
        <v>1768</v>
      </c>
      <c r="H349" s="3" t="s">
        <v>1769</v>
      </c>
      <c r="I349" s="465"/>
      <c r="J349" s="277"/>
      <c r="L349" s="912" t="s">
        <v>1171</v>
      </c>
      <c r="M349" s="696" t="s">
        <v>1173</v>
      </c>
      <c r="N349" s="2"/>
    </row>
    <row r="350" spans="1:14" ht="29.5" thickBot="1" x14ac:dyDescent="0.4">
      <c r="A350" s="939" t="s">
        <v>1770</v>
      </c>
      <c r="B350" s="509" t="s">
        <v>617</v>
      </c>
      <c r="C350" s="574" t="s">
        <v>1770</v>
      </c>
      <c r="D350" s="574" t="s">
        <v>1770</v>
      </c>
      <c r="E350" s="939" t="s">
        <v>1770</v>
      </c>
      <c r="F350" s="939" t="s">
        <v>1770</v>
      </c>
      <c r="G350" s="921" t="s">
        <v>1771</v>
      </c>
      <c r="H350" s="3" t="s">
        <v>1769</v>
      </c>
      <c r="I350" s="465"/>
      <c r="J350" s="277"/>
      <c r="L350" s="912" t="s">
        <v>1176</v>
      </c>
      <c r="M350" s="696" t="s">
        <v>1178</v>
      </c>
      <c r="N350" s="2"/>
    </row>
    <row r="351" spans="1:14" x14ac:dyDescent="0.35">
      <c r="A351" s="472" t="s">
        <v>1772</v>
      </c>
      <c r="B351" s="581" t="s">
        <v>1773</v>
      </c>
      <c r="C351" s="577" t="s">
        <v>1772</v>
      </c>
      <c r="D351" s="498" t="s">
        <v>1772</v>
      </c>
      <c r="E351" s="472" t="s">
        <v>1772</v>
      </c>
      <c r="F351" s="472" t="s">
        <v>1772</v>
      </c>
      <c r="G351" s="653" t="s">
        <v>1774</v>
      </c>
      <c r="I351" s="261"/>
      <c r="J351" s="264"/>
      <c r="L351" s="912" t="s">
        <v>1181</v>
      </c>
      <c r="M351" s="696" t="s">
        <v>1183</v>
      </c>
      <c r="N351" s="2"/>
    </row>
    <row r="352" spans="1:14" ht="15" thickBot="1" x14ac:dyDescent="0.4">
      <c r="A352" s="716" t="s">
        <v>1775</v>
      </c>
      <c r="B352" s="563" t="s">
        <v>617</v>
      </c>
      <c r="C352" s="575" t="s">
        <v>1775</v>
      </c>
      <c r="D352" s="575" t="s">
        <v>1775</v>
      </c>
      <c r="E352" s="716" t="s">
        <v>1775</v>
      </c>
      <c r="F352" s="716" t="s">
        <v>1775</v>
      </c>
      <c r="G352" s="522" t="s">
        <v>1776</v>
      </c>
      <c r="I352" s="262"/>
      <c r="J352" s="266"/>
      <c r="L352" s="912" t="s">
        <v>1186</v>
      </c>
      <c r="M352" s="690" t="s">
        <v>1188</v>
      </c>
      <c r="N352" s="2"/>
    </row>
    <row r="353" spans="1:19" ht="15" thickBot="1" x14ac:dyDescent="0.4">
      <c r="A353" s="532" t="s">
        <v>1777</v>
      </c>
      <c r="B353" s="106" t="s">
        <v>1778</v>
      </c>
      <c r="C353" s="576" t="s">
        <v>1777</v>
      </c>
      <c r="D353" s="576" t="s">
        <v>1777</v>
      </c>
      <c r="E353" s="532" t="s">
        <v>1777</v>
      </c>
      <c r="F353" s="532" t="s">
        <v>1777</v>
      </c>
      <c r="G353" s="731" t="s">
        <v>1779</v>
      </c>
      <c r="I353" s="264"/>
      <c r="J353" s="266"/>
      <c r="L353" s="912" t="s">
        <v>1191</v>
      </c>
      <c r="M353" s="951" t="s">
        <v>1192</v>
      </c>
      <c r="N353" s="518" t="s">
        <v>853</v>
      </c>
    </row>
    <row r="354" spans="1:19" ht="15" thickBot="1" x14ac:dyDescent="0.4">
      <c r="A354" s="532" t="s">
        <v>1780</v>
      </c>
      <c r="B354" s="281" t="s">
        <v>617</v>
      </c>
      <c r="C354" s="576" t="s">
        <v>1780</v>
      </c>
      <c r="D354" s="576" t="s">
        <v>1780</v>
      </c>
      <c r="E354" s="532" t="s">
        <v>1780</v>
      </c>
      <c r="F354" s="532" t="s">
        <v>1780</v>
      </c>
      <c r="G354" s="731" t="s">
        <v>1781</v>
      </c>
      <c r="I354" s="264"/>
      <c r="J354" s="266"/>
      <c r="L354" s="912" t="s">
        <v>1195</v>
      </c>
      <c r="M354" s="1066" t="s">
        <v>2204</v>
      </c>
      <c r="N354" s="2"/>
      <c r="Q354" s="5"/>
    </row>
    <row r="355" spans="1:19" ht="15" thickBot="1" x14ac:dyDescent="0.4">
      <c r="A355" s="472" t="s">
        <v>1782</v>
      </c>
      <c r="B355" s="315" t="s">
        <v>617</v>
      </c>
      <c r="C355" s="577" t="s">
        <v>1782</v>
      </c>
      <c r="D355" s="498" t="s">
        <v>1782</v>
      </c>
      <c r="E355" s="472" t="s">
        <v>1782</v>
      </c>
      <c r="F355" s="472" t="s">
        <v>1782</v>
      </c>
      <c r="G355" s="653" t="s">
        <v>1783</v>
      </c>
      <c r="I355" s="266"/>
      <c r="J355" s="266"/>
      <c r="L355" s="912" t="s">
        <v>1200</v>
      </c>
      <c r="M355" s="951" t="s">
        <v>1201</v>
      </c>
      <c r="N355" s="518" t="s">
        <v>853</v>
      </c>
    </row>
    <row r="356" spans="1:19" ht="29.5" thickBot="1" x14ac:dyDescent="0.4">
      <c r="A356" s="458" t="s">
        <v>1784</v>
      </c>
      <c r="B356" s="331" t="s">
        <v>617</v>
      </c>
      <c r="C356" s="572" t="s">
        <v>1784</v>
      </c>
      <c r="D356" s="572" t="s">
        <v>1784</v>
      </c>
      <c r="E356" s="458" t="s">
        <v>1784</v>
      </c>
      <c r="F356" s="458" t="s">
        <v>1784</v>
      </c>
      <c r="G356" s="648" t="s">
        <v>1785</v>
      </c>
      <c r="I356" s="265"/>
      <c r="J356" s="266"/>
      <c r="L356" s="687" t="s">
        <v>358</v>
      </c>
      <c r="M356" s="458" t="s">
        <v>1204</v>
      </c>
      <c r="N356" s="518" t="s">
        <v>440</v>
      </c>
      <c r="Q356" s="674"/>
      <c r="R356" s="674"/>
      <c r="S356" s="674"/>
    </row>
    <row r="357" spans="1:19" ht="29" x14ac:dyDescent="0.35">
      <c r="A357" s="112" t="s">
        <v>1786</v>
      </c>
      <c r="B357" s="499" t="s">
        <v>617</v>
      </c>
      <c r="C357" s="578" t="s">
        <v>1786</v>
      </c>
      <c r="D357" s="578" t="s">
        <v>1786</v>
      </c>
      <c r="E357" s="112" t="s">
        <v>1786</v>
      </c>
      <c r="F357" s="112" t="s">
        <v>1786</v>
      </c>
      <c r="G357" s="112" t="s">
        <v>1787</v>
      </c>
      <c r="H357" s="314" t="s">
        <v>853</v>
      </c>
      <c r="I357" s="267"/>
      <c r="J357" s="264"/>
      <c r="L357" s="968" t="s">
        <v>1207</v>
      </c>
      <c r="M357" s="951" t="s">
        <v>1209</v>
      </c>
      <c r="N357" s="518" t="s">
        <v>440</v>
      </c>
    </row>
    <row r="358" spans="1:19" s="674" customFormat="1" ht="29.5" thickBot="1" x14ac:dyDescent="0.4">
      <c r="A358" s="969" t="s">
        <v>1788</v>
      </c>
      <c r="B358" s="579" t="s">
        <v>617</v>
      </c>
      <c r="C358" s="580" t="s">
        <v>1788</v>
      </c>
      <c r="D358" s="580" t="s">
        <v>1788</v>
      </c>
      <c r="E358" s="969" t="s">
        <v>1788</v>
      </c>
      <c r="F358" s="969" t="s">
        <v>1788</v>
      </c>
      <c r="G358" s="953" t="s">
        <v>1789</v>
      </c>
      <c r="H358" s="314" t="s">
        <v>853</v>
      </c>
      <c r="I358" s="277"/>
      <c r="J358" s="676"/>
      <c r="K358"/>
      <c r="L358" s="968" t="s">
        <v>1212</v>
      </c>
      <c r="M358" s="951" t="s">
        <v>1214</v>
      </c>
      <c r="N358" s="518" t="s">
        <v>440</v>
      </c>
      <c r="O358"/>
      <c r="P358"/>
      <c r="Q358"/>
      <c r="R358"/>
      <c r="S358"/>
    </row>
    <row r="359" spans="1:19" ht="29" x14ac:dyDescent="0.35">
      <c r="A359" s="472" t="s">
        <v>1790</v>
      </c>
      <c r="B359" s="581" t="s">
        <v>617</v>
      </c>
      <c r="C359" s="577" t="s">
        <v>1790</v>
      </c>
      <c r="D359" s="498" t="s">
        <v>1790</v>
      </c>
      <c r="E359" s="472" t="s">
        <v>1790</v>
      </c>
      <c r="F359" s="472" t="s">
        <v>1790</v>
      </c>
      <c r="G359" s="732" t="s">
        <v>1791</v>
      </c>
      <c r="H359" s="3"/>
      <c r="I359" s="277"/>
      <c r="J359" s="266"/>
      <c r="L359" s="968" t="s">
        <v>350</v>
      </c>
      <c r="M359" s="951" t="s">
        <v>1217</v>
      </c>
      <c r="N359" s="518" t="s">
        <v>440</v>
      </c>
    </row>
    <row r="360" spans="1:19" ht="29" x14ac:dyDescent="0.35">
      <c r="A360" s="390" t="s">
        <v>1792</v>
      </c>
      <c r="B360" s="773"/>
      <c r="C360" s="516"/>
      <c r="D360" s="774"/>
      <c r="E360" s="524"/>
      <c r="F360" s="390" t="s">
        <v>1792</v>
      </c>
      <c r="G360" s="766" t="s">
        <v>1793</v>
      </c>
      <c r="H360" s="3"/>
      <c r="I360" s="277"/>
      <c r="J360" s="266"/>
      <c r="K360" s="674"/>
      <c r="L360" s="968" t="s">
        <v>1220</v>
      </c>
      <c r="M360" s="951" t="s">
        <v>1222</v>
      </c>
      <c r="N360" s="518" t="s">
        <v>440</v>
      </c>
      <c r="O360" s="674"/>
      <c r="P360" s="674"/>
    </row>
    <row r="361" spans="1:19" ht="29" x14ac:dyDescent="0.35">
      <c r="A361" s="390" t="s">
        <v>1794</v>
      </c>
      <c r="B361" s="773"/>
      <c r="C361" s="516"/>
      <c r="D361" s="774"/>
      <c r="E361" s="524"/>
      <c r="F361" s="390" t="s">
        <v>1794</v>
      </c>
      <c r="G361" s="766" t="s">
        <v>1795</v>
      </c>
      <c r="H361" s="3"/>
      <c r="I361" s="277"/>
      <c r="J361" s="266"/>
      <c r="L361" s="968" t="s">
        <v>353</v>
      </c>
      <c r="M361" s="951" t="s">
        <v>354</v>
      </c>
      <c r="N361" s="518" t="s">
        <v>440</v>
      </c>
    </row>
    <row r="362" spans="1:19" ht="29.5" thickBot="1" x14ac:dyDescent="0.4">
      <c r="A362" s="392" t="s">
        <v>1796</v>
      </c>
      <c r="B362" s="776"/>
      <c r="C362" s="777"/>
      <c r="D362" s="778"/>
      <c r="E362" s="775"/>
      <c r="F362" s="392" t="s">
        <v>1796</v>
      </c>
      <c r="G362" s="767" t="s">
        <v>1797</v>
      </c>
      <c r="H362" s="3"/>
      <c r="I362" s="277"/>
      <c r="J362" s="266"/>
      <c r="L362" s="968" t="s">
        <v>1227</v>
      </c>
      <c r="M362" s="951" t="s">
        <v>1229</v>
      </c>
      <c r="N362" s="518" t="s">
        <v>440</v>
      </c>
    </row>
    <row r="363" spans="1:19" ht="15" thickBot="1" x14ac:dyDescent="0.4">
      <c r="A363" s="768" t="s">
        <v>1798</v>
      </c>
      <c r="B363" s="769" t="s">
        <v>617</v>
      </c>
      <c r="C363" s="770" t="s">
        <v>1798</v>
      </c>
      <c r="D363" s="770" t="s">
        <v>1798</v>
      </c>
      <c r="E363" s="768" t="s">
        <v>1798</v>
      </c>
      <c r="F363" s="768" t="s">
        <v>1798</v>
      </c>
      <c r="G363" s="557" t="s">
        <v>1799</v>
      </c>
      <c r="H363" s="3" t="s">
        <v>698</v>
      </c>
      <c r="I363" s="675"/>
      <c r="J363" s="266"/>
      <c r="L363" s="968" t="s">
        <v>1232</v>
      </c>
      <c r="M363" s="1073" t="s">
        <v>1234</v>
      </c>
      <c r="N363" s="518" t="s">
        <v>440</v>
      </c>
      <c r="Q363" s="5"/>
    </row>
    <row r="364" spans="1:19" x14ac:dyDescent="0.35">
      <c r="A364" s="390" t="s">
        <v>1800</v>
      </c>
      <c r="B364" s="779"/>
      <c r="C364" s="774"/>
      <c r="D364" s="774"/>
      <c r="E364" s="524"/>
      <c r="F364" s="390" t="s">
        <v>1800</v>
      </c>
      <c r="G364" s="771" t="s">
        <v>1801</v>
      </c>
      <c r="H364" s="3" t="s">
        <v>698</v>
      </c>
      <c r="I364" s="675"/>
      <c r="J364" s="266"/>
      <c r="L364" s="968" t="s">
        <v>1237</v>
      </c>
      <c r="M364" s="970" t="s">
        <v>1238</v>
      </c>
      <c r="N364" s="518" t="s">
        <v>440</v>
      </c>
    </row>
    <row r="365" spans="1:19" ht="29" x14ac:dyDescent="0.35">
      <c r="A365" s="390" t="s">
        <v>1802</v>
      </c>
      <c r="B365" s="779"/>
      <c r="C365" s="774"/>
      <c r="D365" s="774"/>
      <c r="E365" s="524"/>
      <c r="F365" s="390" t="s">
        <v>1802</v>
      </c>
      <c r="G365" s="766" t="s">
        <v>1803</v>
      </c>
      <c r="H365" s="3" t="s">
        <v>698</v>
      </c>
      <c r="I365" s="675"/>
      <c r="J365" s="266"/>
      <c r="L365" s="968" t="s">
        <v>1241</v>
      </c>
      <c r="M365" s="970" t="s">
        <v>1243</v>
      </c>
      <c r="N365" s="518" t="s">
        <v>440</v>
      </c>
    </row>
    <row r="366" spans="1:19" ht="29.5" thickBot="1" x14ac:dyDescent="0.4">
      <c r="A366" s="392" t="s">
        <v>1804</v>
      </c>
      <c r="B366" s="780"/>
      <c r="C366" s="778"/>
      <c r="D366" s="778"/>
      <c r="E366" s="775"/>
      <c r="F366" s="392" t="s">
        <v>1804</v>
      </c>
      <c r="G366" s="772" t="s">
        <v>1805</v>
      </c>
      <c r="H366" s="3" t="s">
        <v>698</v>
      </c>
      <c r="I366" s="675"/>
      <c r="J366" s="266"/>
      <c r="L366" s="968" t="s">
        <v>1246</v>
      </c>
      <c r="M366" s="970" t="s">
        <v>1247</v>
      </c>
      <c r="N366" s="518" t="s">
        <v>440</v>
      </c>
    </row>
    <row r="367" spans="1:19" x14ac:dyDescent="0.35">
      <c r="A367" s="582" t="s">
        <v>1806</v>
      </c>
      <c r="B367" s="283" t="s">
        <v>1111</v>
      </c>
      <c r="C367" s="582" t="s">
        <v>1806</v>
      </c>
      <c r="D367" s="582" t="s">
        <v>1806</v>
      </c>
      <c r="E367" s="582" t="s">
        <v>1806</v>
      </c>
      <c r="F367" s="654" t="s">
        <v>1806</v>
      </c>
      <c r="G367" s="583" t="s">
        <v>1807</v>
      </c>
      <c r="I367" s="277"/>
      <c r="J367" s="266"/>
      <c r="L367" s="968" t="s">
        <v>1250</v>
      </c>
      <c r="M367" s="970" t="s">
        <v>1251</v>
      </c>
      <c r="N367" s="518" t="s">
        <v>440</v>
      </c>
    </row>
    <row r="368" spans="1:19" x14ac:dyDescent="0.35">
      <c r="A368" s="284" t="s">
        <v>1808</v>
      </c>
      <c r="B368" s="93" t="s">
        <v>1809</v>
      </c>
      <c r="C368" s="284" t="s">
        <v>1808</v>
      </c>
      <c r="D368" s="284" t="s">
        <v>1808</v>
      </c>
      <c r="E368" s="284" t="s">
        <v>1808</v>
      </c>
      <c r="F368" s="914" t="s">
        <v>1808</v>
      </c>
      <c r="G368" s="584" t="s">
        <v>1810</v>
      </c>
      <c r="I368" s="277"/>
      <c r="J368" s="467"/>
      <c r="L368" s="968" t="s">
        <v>1254</v>
      </c>
      <c r="M368" s="970" t="s">
        <v>1255</v>
      </c>
      <c r="N368" s="518" t="s">
        <v>440</v>
      </c>
    </row>
    <row r="369" spans="1:17" x14ac:dyDescent="0.35">
      <c r="A369" s="284" t="s">
        <v>1811</v>
      </c>
      <c r="B369" s="93" t="s">
        <v>1812</v>
      </c>
      <c r="C369" s="284" t="s">
        <v>1811</v>
      </c>
      <c r="D369" s="284" t="s">
        <v>1811</v>
      </c>
      <c r="E369" s="284" t="s">
        <v>1811</v>
      </c>
      <c r="F369" s="914" t="s">
        <v>1811</v>
      </c>
      <c r="G369" s="584" t="s">
        <v>1813</v>
      </c>
      <c r="I369" s="277"/>
      <c r="J369" s="467"/>
      <c r="L369" s="687" t="s">
        <v>348</v>
      </c>
      <c r="M369" s="679" t="s">
        <v>368</v>
      </c>
      <c r="N369" s="518" t="s">
        <v>440</v>
      </c>
    </row>
    <row r="370" spans="1:17" x14ac:dyDescent="0.35">
      <c r="A370" s="284" t="s">
        <v>1814</v>
      </c>
      <c r="B370" s="19" t="s">
        <v>1815</v>
      </c>
      <c r="C370" s="284" t="s">
        <v>1814</v>
      </c>
      <c r="D370" s="284" t="s">
        <v>1814</v>
      </c>
      <c r="E370" s="284" t="s">
        <v>1814</v>
      </c>
      <c r="F370" s="914" t="s">
        <v>1814</v>
      </c>
      <c r="G370" s="585" t="s">
        <v>1816</v>
      </c>
      <c r="I370" s="277"/>
      <c r="J370" s="264"/>
      <c r="L370" s="968" t="s">
        <v>360</v>
      </c>
      <c r="M370" s="690" t="s">
        <v>361</v>
      </c>
      <c r="N370" s="518" t="s">
        <v>440</v>
      </c>
    </row>
    <row r="371" spans="1:17" x14ac:dyDescent="0.35">
      <c r="A371" s="284" t="s">
        <v>1817</v>
      </c>
      <c r="B371" s="93" t="s">
        <v>1818</v>
      </c>
      <c r="C371" s="284" t="s">
        <v>1817</v>
      </c>
      <c r="D371" s="284" t="s">
        <v>1817</v>
      </c>
      <c r="E371" s="284" t="s">
        <v>1817</v>
      </c>
      <c r="F371" s="914" t="s">
        <v>1817</v>
      </c>
      <c r="G371" s="585" t="s">
        <v>1819</v>
      </c>
      <c r="I371" s="264"/>
      <c r="J371" s="464"/>
      <c r="L371" s="968" t="s">
        <v>1262</v>
      </c>
      <c r="M371" s="692" t="s">
        <v>1264</v>
      </c>
      <c r="N371" s="518" t="s">
        <v>440</v>
      </c>
    </row>
    <row r="372" spans="1:17" x14ac:dyDescent="0.35">
      <c r="A372" s="403" t="s">
        <v>1820</v>
      </c>
      <c r="E372" s="403" t="s">
        <v>1820</v>
      </c>
      <c r="F372" s="924" t="s">
        <v>1820</v>
      </c>
      <c r="G372" s="971" t="s">
        <v>1821</v>
      </c>
      <c r="I372" s="266"/>
      <c r="J372" s="469"/>
      <c r="L372" s="968" t="s">
        <v>1267</v>
      </c>
      <c r="M372" s="692" t="s">
        <v>1269</v>
      </c>
      <c r="N372" s="518" t="s">
        <v>440</v>
      </c>
    </row>
    <row r="373" spans="1:17" ht="15" thickBot="1" x14ac:dyDescent="0.4">
      <c r="A373" s="403" t="s">
        <v>1822</v>
      </c>
      <c r="B373" s="20" t="s">
        <v>1823</v>
      </c>
      <c r="C373" s="504" t="s">
        <v>1820</v>
      </c>
      <c r="D373" s="508" t="s">
        <v>1820</v>
      </c>
      <c r="E373" s="403" t="s">
        <v>1822</v>
      </c>
      <c r="F373" s="924" t="s">
        <v>1822</v>
      </c>
      <c r="G373" s="586" t="s">
        <v>1824</v>
      </c>
      <c r="I373" s="266"/>
      <c r="J373" s="469"/>
      <c r="L373" s="968" t="s">
        <v>342</v>
      </c>
      <c r="M373" s="692" t="s">
        <v>363</v>
      </c>
      <c r="N373" s="518" t="s">
        <v>440</v>
      </c>
    </row>
    <row r="374" spans="1:17" x14ac:dyDescent="0.35">
      <c r="A374" s="500" t="s">
        <v>1825</v>
      </c>
      <c r="B374" s="279" t="s">
        <v>617</v>
      </c>
      <c r="C374" s="500" t="s">
        <v>1825</v>
      </c>
      <c r="D374" s="500" t="s">
        <v>1825</v>
      </c>
      <c r="E374" s="500" t="s">
        <v>1825</v>
      </c>
      <c r="F374" s="544" t="s">
        <v>1825</v>
      </c>
      <c r="G374" s="578" t="s">
        <v>1826</v>
      </c>
      <c r="H374" s="314" t="s">
        <v>853</v>
      </c>
      <c r="I374" s="266"/>
      <c r="J374" s="278"/>
      <c r="L374" s="968" t="s">
        <v>1274</v>
      </c>
      <c r="M374" s="692" t="s">
        <v>1276</v>
      </c>
      <c r="N374" s="518" t="s">
        <v>440</v>
      </c>
    </row>
    <row r="375" spans="1:17" x14ac:dyDescent="0.35">
      <c r="A375" s="284" t="s">
        <v>1827</v>
      </c>
      <c r="B375" s="19" t="s">
        <v>617</v>
      </c>
      <c r="C375" s="284" t="s">
        <v>1827</v>
      </c>
      <c r="D375" s="284" t="s">
        <v>1827</v>
      </c>
      <c r="E375" s="284" t="s">
        <v>1827</v>
      </c>
      <c r="F375" s="914" t="s">
        <v>1827</v>
      </c>
      <c r="G375" s="517" t="s">
        <v>1828</v>
      </c>
      <c r="H375" s="3" t="s">
        <v>440</v>
      </c>
      <c r="I375" s="266"/>
      <c r="J375" s="278"/>
      <c r="L375" s="968" t="s">
        <v>1279</v>
      </c>
      <c r="M375" s="692" t="s">
        <v>1281</v>
      </c>
      <c r="N375" s="518" t="s">
        <v>440</v>
      </c>
    </row>
    <row r="376" spans="1:17" x14ac:dyDescent="0.35">
      <c r="A376" s="284" t="s">
        <v>1829</v>
      </c>
      <c r="B376" s="19" t="s">
        <v>617</v>
      </c>
      <c r="C376" s="284" t="s">
        <v>1829</v>
      </c>
      <c r="D376" s="284" t="s">
        <v>1829</v>
      </c>
      <c r="E376" s="284" t="s">
        <v>1829</v>
      </c>
      <c r="F376" s="914" t="s">
        <v>1829</v>
      </c>
      <c r="G376" s="972" t="s">
        <v>1830</v>
      </c>
      <c r="H376" s="3" t="s">
        <v>440</v>
      </c>
      <c r="I376" s="266"/>
      <c r="J376" s="469"/>
      <c r="L376" s="968" t="s">
        <v>1284</v>
      </c>
      <c r="M376" s="951" t="s">
        <v>1286</v>
      </c>
      <c r="N376" s="518" t="s">
        <v>440</v>
      </c>
    </row>
    <row r="377" spans="1:17" x14ac:dyDescent="0.35">
      <c r="A377" s="284" t="s">
        <v>1831</v>
      </c>
      <c r="B377" s="19" t="s">
        <v>617</v>
      </c>
      <c r="C377" s="284" t="s">
        <v>1831</v>
      </c>
      <c r="D377" s="284" t="s">
        <v>1831</v>
      </c>
      <c r="E377" s="284" t="s">
        <v>1831</v>
      </c>
      <c r="F377" s="914" t="s">
        <v>1831</v>
      </c>
      <c r="G377" s="972" t="s">
        <v>1832</v>
      </c>
      <c r="H377" s="3" t="s">
        <v>440</v>
      </c>
      <c r="I377" s="266"/>
      <c r="J377" s="463"/>
      <c r="L377" s="968" t="s">
        <v>1289</v>
      </c>
      <c r="M377" s="951" t="s">
        <v>1291</v>
      </c>
      <c r="N377" s="518" t="s">
        <v>440</v>
      </c>
    </row>
    <row r="378" spans="1:17" x14ac:dyDescent="0.35">
      <c r="A378" s="284" t="s">
        <v>1833</v>
      </c>
      <c r="B378" s="19" t="s">
        <v>617</v>
      </c>
      <c r="C378" s="284" t="s">
        <v>1833</v>
      </c>
      <c r="D378" s="284" t="s">
        <v>1833</v>
      </c>
      <c r="E378" s="284" t="s">
        <v>1833</v>
      </c>
      <c r="F378" s="914" t="s">
        <v>1833</v>
      </c>
      <c r="G378" s="972" t="s">
        <v>1834</v>
      </c>
      <c r="H378" s="3" t="s">
        <v>698</v>
      </c>
      <c r="I378" s="268"/>
      <c r="J378" s="463"/>
      <c r="L378" s="968" t="s">
        <v>365</v>
      </c>
      <c r="M378" s="951" t="s">
        <v>366</v>
      </c>
      <c r="N378" s="518" t="s">
        <v>440</v>
      </c>
    </row>
    <row r="379" spans="1:17" ht="29" x14ac:dyDescent="0.35">
      <c r="A379" s="390" t="s">
        <v>1835</v>
      </c>
      <c r="B379" s="733"/>
      <c r="C379" s="733"/>
      <c r="D379" s="733"/>
      <c r="E379" s="390" t="s">
        <v>1835</v>
      </c>
      <c r="F379" s="914" t="s">
        <v>1835</v>
      </c>
      <c r="G379" s="877" t="s">
        <v>1836</v>
      </c>
      <c r="H379" s="3" t="s">
        <v>698</v>
      </c>
      <c r="I379" s="269"/>
      <c r="J379" s="467"/>
      <c r="L379" s="687" t="s">
        <v>1296</v>
      </c>
      <c r="M379" s="701" t="s">
        <v>1298</v>
      </c>
      <c r="N379" s="2"/>
    </row>
    <row r="380" spans="1:17" ht="15" thickBot="1" x14ac:dyDescent="0.4">
      <c r="A380" s="392" t="s">
        <v>1837</v>
      </c>
      <c r="B380" s="103" t="s">
        <v>617</v>
      </c>
      <c r="C380" s="504" t="s">
        <v>1835</v>
      </c>
      <c r="D380" s="504" t="s">
        <v>1835</v>
      </c>
      <c r="E380" s="392" t="s">
        <v>1837</v>
      </c>
      <c r="F380" s="920" t="s">
        <v>1837</v>
      </c>
      <c r="G380" s="973" t="s">
        <v>1838</v>
      </c>
      <c r="H380" s="314" t="s">
        <v>853</v>
      </c>
      <c r="I380" s="269"/>
      <c r="J380" s="467"/>
      <c r="L380" s="968" t="s">
        <v>1301</v>
      </c>
      <c r="M380" s="948" t="s">
        <v>1303</v>
      </c>
      <c r="N380" s="2"/>
    </row>
    <row r="381" spans="1:17" ht="15" thickBot="1" x14ac:dyDescent="0.4">
      <c r="A381" s="734" t="s">
        <v>1839</v>
      </c>
      <c r="B381" s="974" t="s">
        <v>617</v>
      </c>
      <c r="C381" s="654" t="s">
        <v>1840</v>
      </c>
      <c r="D381" s="654" t="s">
        <v>1840</v>
      </c>
      <c r="E381" s="734" t="s">
        <v>1839</v>
      </c>
      <c r="F381" s="654" t="s">
        <v>1839</v>
      </c>
      <c r="G381" s="298" t="s">
        <v>1841</v>
      </c>
      <c r="I381" s="269"/>
      <c r="J381" s="467"/>
      <c r="L381" s="687" t="s">
        <v>1306</v>
      </c>
      <c r="M381" s="679" t="s">
        <v>1308</v>
      </c>
      <c r="N381" s="518" t="s">
        <v>440</v>
      </c>
    </row>
    <row r="382" spans="1:17" x14ac:dyDescent="0.35">
      <c r="A382" s="461" t="s">
        <v>1842</v>
      </c>
      <c r="B382" s="526" t="s">
        <v>617</v>
      </c>
      <c r="C382" s="654" t="s">
        <v>1843</v>
      </c>
      <c r="D382" s="654" t="s">
        <v>1843</v>
      </c>
      <c r="E382" s="461" t="s">
        <v>1842</v>
      </c>
      <c r="F382" s="472" t="s">
        <v>1842</v>
      </c>
      <c r="G382" s="523" t="s">
        <v>1844</v>
      </c>
      <c r="H382" s="3" t="s">
        <v>440</v>
      </c>
      <c r="I382" s="269"/>
      <c r="J382" s="467"/>
      <c r="L382" s="968" t="s">
        <v>1311</v>
      </c>
      <c r="M382" s="951" t="s">
        <v>1313</v>
      </c>
      <c r="N382" s="518" t="s">
        <v>440</v>
      </c>
    </row>
    <row r="383" spans="1:17" x14ac:dyDescent="0.35">
      <c r="A383" s="734" t="s">
        <v>1845</v>
      </c>
      <c r="B383" s="283" t="s">
        <v>617</v>
      </c>
      <c r="C383" s="582" t="s">
        <v>1839</v>
      </c>
      <c r="D383" s="582" t="s">
        <v>1839</v>
      </c>
      <c r="E383" s="734" t="s">
        <v>1845</v>
      </c>
      <c r="F383" s="654" t="s">
        <v>1845</v>
      </c>
      <c r="G383" s="122" t="s">
        <v>1846</v>
      </c>
      <c r="H383" s="3" t="s">
        <v>698</v>
      </c>
      <c r="I383" s="269"/>
      <c r="J383" s="467"/>
      <c r="L383" s="968" t="s">
        <v>1316</v>
      </c>
      <c r="M383" s="692" t="s">
        <v>1318</v>
      </c>
      <c r="N383" s="518" t="s">
        <v>440</v>
      </c>
    </row>
    <row r="384" spans="1:17" x14ac:dyDescent="0.35">
      <c r="A384" s="395" t="s">
        <v>1847</v>
      </c>
      <c r="B384" s="19" t="s">
        <v>617</v>
      </c>
      <c r="C384" s="284" t="s">
        <v>1848</v>
      </c>
      <c r="D384" s="284" t="s">
        <v>1848</v>
      </c>
      <c r="E384" s="395" t="s">
        <v>1847</v>
      </c>
      <c r="F384" s="915" t="s">
        <v>1847</v>
      </c>
      <c r="G384" s="115" t="s">
        <v>1849</v>
      </c>
      <c r="H384" s="3" t="s">
        <v>698</v>
      </c>
      <c r="I384" s="269"/>
      <c r="J384" s="467"/>
      <c r="L384" s="687" t="s">
        <v>378</v>
      </c>
      <c r="M384" s="747" t="s">
        <v>2208</v>
      </c>
      <c r="N384" s="518" t="s">
        <v>440</v>
      </c>
      <c r="Q384" s="5"/>
    </row>
    <row r="385" spans="1:14" ht="15" thickBot="1" x14ac:dyDescent="0.4">
      <c r="A385" s="392" t="s">
        <v>1850</v>
      </c>
      <c r="B385" s="103" t="s">
        <v>617</v>
      </c>
      <c r="C385" s="504" t="s">
        <v>1851</v>
      </c>
      <c r="D385" s="504" t="s">
        <v>1851</v>
      </c>
      <c r="E385" s="392" t="s">
        <v>1850</v>
      </c>
      <c r="F385" s="920" t="s">
        <v>1850</v>
      </c>
      <c r="G385" s="130" t="s">
        <v>1852</v>
      </c>
      <c r="H385" s="3" t="s">
        <v>698</v>
      </c>
      <c r="I385" s="467"/>
      <c r="J385" s="467"/>
      <c r="L385" s="968" t="s">
        <v>370</v>
      </c>
      <c r="M385" s="951" t="s">
        <v>371</v>
      </c>
      <c r="N385" s="518" t="s">
        <v>440</v>
      </c>
    </row>
    <row r="386" spans="1:14" ht="29" x14ac:dyDescent="0.35">
      <c r="A386" s="544" t="s">
        <v>1853</v>
      </c>
      <c r="B386" s="108" t="s">
        <v>617</v>
      </c>
      <c r="C386" s="498" t="s">
        <v>1842</v>
      </c>
      <c r="D386" s="498" t="s">
        <v>1842</v>
      </c>
      <c r="E386" s="735" t="s">
        <v>1853</v>
      </c>
      <c r="F386" s="544" t="s">
        <v>1853</v>
      </c>
      <c r="G386" s="511" t="s">
        <v>1854</v>
      </c>
      <c r="I386" s="467"/>
      <c r="J386" s="463"/>
      <c r="L386" s="968" t="s">
        <v>1325</v>
      </c>
      <c r="M386" s="951" t="s">
        <v>1327</v>
      </c>
      <c r="N386" s="518" t="s">
        <v>440</v>
      </c>
    </row>
    <row r="387" spans="1:14" ht="44" thickBot="1" x14ac:dyDescent="0.4">
      <c r="A387" s="925" t="s">
        <v>1855</v>
      </c>
      <c r="B387" s="782" t="s">
        <v>1856</v>
      </c>
      <c r="C387" s="508" t="s">
        <v>1857</v>
      </c>
      <c r="D387" s="508" t="s">
        <v>1857</v>
      </c>
      <c r="E387" s="512" t="s">
        <v>1855</v>
      </c>
      <c r="F387" s="925" t="s">
        <v>1855</v>
      </c>
      <c r="G387" s="570" t="s">
        <v>1858</v>
      </c>
      <c r="I387" s="463"/>
      <c r="J387" s="467"/>
      <c r="L387" s="968" t="s">
        <v>1330</v>
      </c>
      <c r="M387" s="951" t="s">
        <v>1332</v>
      </c>
      <c r="N387" s="518" t="s">
        <v>440</v>
      </c>
    </row>
    <row r="388" spans="1:14" ht="29" x14ac:dyDescent="0.35">
      <c r="A388" s="513" t="s">
        <v>1859</v>
      </c>
      <c r="B388" s="783"/>
      <c r="C388" s="284"/>
      <c r="D388" s="284"/>
      <c r="E388" s="390"/>
      <c r="F388" s="390" t="s">
        <v>1859</v>
      </c>
      <c r="G388" s="115" t="s">
        <v>1860</v>
      </c>
      <c r="I388" s="463"/>
      <c r="J388" s="467"/>
      <c r="L388" s="968" t="s">
        <v>1335</v>
      </c>
      <c r="M388" s="951" t="s">
        <v>1337</v>
      </c>
      <c r="N388" s="518" t="s">
        <v>440</v>
      </c>
    </row>
    <row r="389" spans="1:14" x14ac:dyDescent="0.35">
      <c r="A389" s="513" t="s">
        <v>1861</v>
      </c>
      <c r="B389" s="783"/>
      <c r="C389" s="284"/>
      <c r="D389" s="284"/>
      <c r="E389" s="390"/>
      <c r="F389" s="390" t="s">
        <v>1861</v>
      </c>
      <c r="G389" s="115" t="s">
        <v>1862</v>
      </c>
      <c r="I389" s="463"/>
      <c r="J389" s="467"/>
      <c r="L389" s="968" t="s">
        <v>1340</v>
      </c>
      <c r="M389" s="951" t="s">
        <v>1342</v>
      </c>
      <c r="N389" s="518" t="s">
        <v>440</v>
      </c>
    </row>
    <row r="390" spans="1:14" ht="15" thickBot="1" x14ac:dyDescent="0.4">
      <c r="A390" s="513" t="s">
        <v>1863</v>
      </c>
      <c r="B390" s="784"/>
      <c r="C390" s="504"/>
      <c r="D390" s="504"/>
      <c r="E390" s="392"/>
      <c r="F390" s="390" t="s">
        <v>1863</v>
      </c>
      <c r="G390" s="115" t="s">
        <v>1864</v>
      </c>
      <c r="I390" s="463"/>
      <c r="J390" s="467"/>
      <c r="L390" s="968" t="s">
        <v>1345</v>
      </c>
      <c r="M390" s="951" t="s">
        <v>1347</v>
      </c>
      <c r="N390" s="518" t="s">
        <v>440</v>
      </c>
    </row>
    <row r="391" spans="1:14" ht="29.5" thickBot="1" x14ac:dyDescent="0.4">
      <c r="A391" s="737" t="s">
        <v>1865</v>
      </c>
      <c r="B391" s="106" t="s">
        <v>617</v>
      </c>
      <c r="C391" s="576" t="s">
        <v>1845</v>
      </c>
      <c r="D391" s="576" t="s">
        <v>1845</v>
      </c>
      <c r="E391" s="737" t="s">
        <v>1865</v>
      </c>
      <c r="F391" s="532" t="s">
        <v>1865</v>
      </c>
      <c r="G391" s="789" t="s">
        <v>1866</v>
      </c>
      <c r="H391" s="3" t="s">
        <v>440</v>
      </c>
      <c r="I391" s="464"/>
      <c r="J391" s="467"/>
      <c r="L391" s="968" t="s">
        <v>1350</v>
      </c>
      <c r="M391" s="951" t="s">
        <v>1352</v>
      </c>
      <c r="N391" s="518" t="s">
        <v>440</v>
      </c>
    </row>
    <row r="392" spans="1:14" ht="43.5" x14ac:dyDescent="0.35">
      <c r="A392" s="793" t="s">
        <v>1867</v>
      </c>
      <c r="B392" s="794" t="s">
        <v>617</v>
      </c>
      <c r="C392" s="588" t="s">
        <v>1847</v>
      </c>
      <c r="D392" s="588" t="s">
        <v>1847</v>
      </c>
      <c r="E392" s="790" t="s">
        <v>1867</v>
      </c>
      <c r="F392" s="929" t="s">
        <v>1867</v>
      </c>
      <c r="G392" s="589" t="s">
        <v>1868</v>
      </c>
      <c r="H392" s="3" t="s">
        <v>440</v>
      </c>
      <c r="I392" s="469"/>
      <c r="J392" s="467"/>
      <c r="L392" s="968" t="s">
        <v>374</v>
      </c>
      <c r="M392" s="951" t="s">
        <v>375</v>
      </c>
      <c r="N392" s="518" t="s">
        <v>440</v>
      </c>
    </row>
    <row r="393" spans="1:14" ht="43.5" x14ac:dyDescent="0.35">
      <c r="A393" s="395" t="s">
        <v>1800</v>
      </c>
      <c r="B393" s="284"/>
      <c r="C393" s="284"/>
      <c r="D393" s="284"/>
      <c r="E393" s="284"/>
      <c r="F393" s="390" t="s">
        <v>1869</v>
      </c>
      <c r="G393" s="791" t="s">
        <v>1870</v>
      </c>
      <c r="H393" s="3" t="s">
        <v>440</v>
      </c>
      <c r="I393" s="469"/>
      <c r="J393" s="467"/>
      <c r="L393" s="968" t="s">
        <v>346</v>
      </c>
      <c r="M393" s="695" t="s">
        <v>1358</v>
      </c>
      <c r="N393" s="2"/>
    </row>
    <row r="394" spans="1:14" ht="29" x14ac:dyDescent="0.35">
      <c r="A394" s="390" t="s">
        <v>1802</v>
      </c>
      <c r="B394" s="284"/>
      <c r="C394" s="284"/>
      <c r="D394" s="284"/>
      <c r="E394" s="284"/>
      <c r="F394" s="390" t="s">
        <v>1871</v>
      </c>
      <c r="G394" s="791" t="s">
        <v>1872</v>
      </c>
      <c r="H394" s="3" t="s">
        <v>440</v>
      </c>
      <c r="I394" s="469"/>
      <c r="J394" s="467"/>
      <c r="L394" s="968" t="s">
        <v>1361</v>
      </c>
      <c r="M394" s="695" t="s">
        <v>1363</v>
      </c>
      <c r="N394" s="2"/>
    </row>
    <row r="395" spans="1:14" ht="15" thickBot="1" x14ac:dyDescent="0.4">
      <c r="A395" s="392" t="s">
        <v>1804</v>
      </c>
      <c r="B395" s="504"/>
      <c r="C395" s="504"/>
      <c r="D395" s="504"/>
      <c r="E395" s="504"/>
      <c r="F395" s="392" t="s">
        <v>1873</v>
      </c>
      <c r="G395" s="792" t="s">
        <v>1874</v>
      </c>
      <c r="H395" s="3" t="s">
        <v>440</v>
      </c>
      <c r="I395" s="469"/>
      <c r="J395" s="467"/>
      <c r="L395" s="968" t="s">
        <v>1364</v>
      </c>
      <c r="M395" s="695" t="s">
        <v>1366</v>
      </c>
      <c r="N395" s="2"/>
    </row>
    <row r="396" spans="1:14" ht="29.5" thickBot="1" x14ac:dyDescent="0.4">
      <c r="A396" s="591" t="s">
        <v>1875</v>
      </c>
      <c r="B396" s="590" t="s">
        <v>617</v>
      </c>
      <c r="C396" s="591" t="s">
        <v>1875</v>
      </c>
      <c r="D396" s="591" t="s">
        <v>1875</v>
      </c>
      <c r="E396" s="591" t="s">
        <v>1875</v>
      </c>
      <c r="F396" s="975" t="s">
        <v>1875</v>
      </c>
      <c r="G396" s="592" t="s">
        <v>1876</v>
      </c>
      <c r="H396" s="3" t="s">
        <v>440</v>
      </c>
      <c r="I396" s="469"/>
      <c r="J396" s="467"/>
      <c r="L396" s="968" t="s">
        <v>1369</v>
      </c>
      <c r="M396" s="948" t="s">
        <v>1371</v>
      </c>
      <c r="N396" s="2"/>
    </row>
    <row r="397" spans="1:14" ht="29.5" thickBot="1" x14ac:dyDescent="0.4">
      <c r="A397" s="785" t="s">
        <v>1877</v>
      </c>
      <c r="B397" s="786" t="s">
        <v>1878</v>
      </c>
      <c r="C397" s="785" t="s">
        <v>1877</v>
      </c>
      <c r="D397" s="785" t="s">
        <v>1877</v>
      </c>
      <c r="E397" s="785" t="s">
        <v>1877</v>
      </c>
      <c r="F397" s="787" t="s">
        <v>1877</v>
      </c>
      <c r="G397" s="788" t="s">
        <v>1879</v>
      </c>
      <c r="H397" s="3" t="s">
        <v>440</v>
      </c>
      <c r="I397" s="255"/>
      <c r="J397" s="463"/>
      <c r="L397" s="968" t="s">
        <v>1374</v>
      </c>
      <c r="M397" s="951" t="s">
        <v>1375</v>
      </c>
      <c r="N397" s="518" t="s">
        <v>440</v>
      </c>
    </row>
    <row r="398" spans="1:14" x14ac:dyDescent="0.35">
      <c r="A398" s="594" t="s">
        <v>1880</v>
      </c>
      <c r="B398" s="593" t="s">
        <v>1881</v>
      </c>
      <c r="C398" s="594" t="s">
        <v>1880</v>
      </c>
      <c r="D398" s="594" t="s">
        <v>1880</v>
      </c>
      <c r="E398" s="594" t="s">
        <v>1880</v>
      </c>
      <c r="F398" s="662" t="s">
        <v>1880</v>
      </c>
      <c r="G398" s="595" t="s">
        <v>1882</v>
      </c>
      <c r="H398" s="3" t="s">
        <v>440</v>
      </c>
      <c r="I398" s="278"/>
      <c r="L398" s="968" t="s">
        <v>1378</v>
      </c>
      <c r="M398" s="951" t="s">
        <v>1379</v>
      </c>
      <c r="N398" s="518" t="s">
        <v>440</v>
      </c>
    </row>
    <row r="399" spans="1:14" x14ac:dyDescent="0.35">
      <c r="A399" s="284" t="s">
        <v>1883</v>
      </c>
      <c r="B399" s="19" t="s">
        <v>617</v>
      </c>
      <c r="C399" s="284" t="s">
        <v>1883</v>
      </c>
      <c r="D399" s="284" t="s">
        <v>1883</v>
      </c>
      <c r="E399" s="284" t="s">
        <v>1883</v>
      </c>
      <c r="F399" s="914" t="s">
        <v>1883</v>
      </c>
      <c r="G399" s="596" t="s">
        <v>1884</v>
      </c>
      <c r="H399" s="3" t="s">
        <v>440</v>
      </c>
      <c r="I399" s="469"/>
      <c r="L399" s="691" t="s">
        <v>1382</v>
      </c>
      <c r="M399" s="691" t="s">
        <v>1384</v>
      </c>
      <c r="N399" s="2"/>
    </row>
    <row r="400" spans="1:14" ht="15" thickBot="1" x14ac:dyDescent="0.4">
      <c r="A400" s="504" t="s">
        <v>1885</v>
      </c>
      <c r="B400" s="587" t="s">
        <v>1886</v>
      </c>
      <c r="C400" s="504" t="s">
        <v>1885</v>
      </c>
      <c r="D400" s="504" t="s">
        <v>1885</v>
      </c>
      <c r="E400" s="504" t="s">
        <v>1885</v>
      </c>
      <c r="F400" s="920" t="s">
        <v>1885</v>
      </c>
      <c r="G400" s="597" t="s">
        <v>1887</v>
      </c>
      <c r="H400" s="3" t="s">
        <v>440</v>
      </c>
      <c r="I400" s="463"/>
      <c r="J400" s="464"/>
      <c r="L400" s="912" t="s">
        <v>1387</v>
      </c>
      <c r="M400" s="748" t="s">
        <v>1389</v>
      </c>
      <c r="N400" s="2"/>
    </row>
    <row r="401" spans="1:17" ht="15" thickBot="1" x14ac:dyDescent="0.4">
      <c r="A401" s="599" t="s">
        <v>1888</v>
      </c>
      <c r="B401" s="598" t="s">
        <v>1889</v>
      </c>
      <c r="C401" s="599" t="s">
        <v>1888</v>
      </c>
      <c r="D401" s="599" t="s">
        <v>1888</v>
      </c>
      <c r="E401" s="599" t="s">
        <v>1888</v>
      </c>
      <c r="F401" s="781" t="s">
        <v>1888</v>
      </c>
      <c r="G401" s="600" t="s">
        <v>1890</v>
      </c>
      <c r="H401" s="3" t="s">
        <v>440</v>
      </c>
      <c r="I401" s="463"/>
      <c r="J401" s="285"/>
      <c r="L401" s="912" t="s">
        <v>1392</v>
      </c>
      <c r="M401" s="692" t="s">
        <v>1394</v>
      </c>
      <c r="N401" s="2"/>
    </row>
    <row r="402" spans="1:17" x14ac:dyDescent="0.35">
      <c r="A402" s="544" t="s">
        <v>1891</v>
      </c>
      <c r="B402" s="102" t="s">
        <v>1892</v>
      </c>
      <c r="C402" s="544" t="s">
        <v>1891</v>
      </c>
      <c r="D402" s="544" t="s">
        <v>1891</v>
      </c>
      <c r="E402" s="544" t="s">
        <v>1891</v>
      </c>
      <c r="F402" s="544" t="s">
        <v>1891</v>
      </c>
      <c r="G402" s="113" t="s">
        <v>1893</v>
      </c>
      <c r="H402" s="314" t="s">
        <v>853</v>
      </c>
      <c r="I402" s="467"/>
      <c r="J402" s="259"/>
      <c r="L402" s="912" t="s">
        <v>1397</v>
      </c>
      <c r="M402" s="748" t="s">
        <v>1399</v>
      </c>
      <c r="N402" s="2"/>
    </row>
    <row r="403" spans="1:17" x14ac:dyDescent="0.35">
      <c r="A403" s="917" t="s">
        <v>1894</v>
      </c>
      <c r="B403" s="637" t="s">
        <v>1895</v>
      </c>
      <c r="C403" s="914" t="s">
        <v>1894</v>
      </c>
      <c r="D403" s="917" t="s">
        <v>1894</v>
      </c>
      <c r="E403" s="917" t="s">
        <v>1894</v>
      </c>
      <c r="F403" s="917" t="s">
        <v>1894</v>
      </c>
      <c r="G403" s="638" t="s">
        <v>1896</v>
      </c>
      <c r="H403" s="3" t="s">
        <v>440</v>
      </c>
      <c r="I403" s="467"/>
      <c r="J403" s="259"/>
      <c r="L403" s="912" t="s">
        <v>1402</v>
      </c>
      <c r="M403" s="748" t="s">
        <v>1404</v>
      </c>
      <c r="N403" s="2"/>
    </row>
    <row r="404" spans="1:17" x14ac:dyDescent="0.35">
      <c r="A404" s="918" t="s">
        <v>1897</v>
      </c>
      <c r="B404" s="639" t="s">
        <v>1898</v>
      </c>
      <c r="C404" s="914" t="s">
        <v>1897</v>
      </c>
      <c r="D404" s="918" t="s">
        <v>1897</v>
      </c>
      <c r="E404" s="918" t="s">
        <v>1897</v>
      </c>
      <c r="F404" s="918" t="s">
        <v>1897</v>
      </c>
      <c r="G404" s="640" t="s">
        <v>1899</v>
      </c>
      <c r="H404" s="3" t="s">
        <v>440</v>
      </c>
      <c r="I404" s="467"/>
      <c r="J404" s="259"/>
      <c r="L404" s="912" t="s">
        <v>1407</v>
      </c>
      <c r="M404" s="692" t="s">
        <v>1409</v>
      </c>
      <c r="N404" s="2"/>
    </row>
    <row r="405" spans="1:17" x14ac:dyDescent="0.35">
      <c r="A405" s="914" t="s">
        <v>1900</v>
      </c>
      <c r="B405" s="548" t="s">
        <v>1901</v>
      </c>
      <c r="C405" s="914" t="s">
        <v>1900</v>
      </c>
      <c r="D405" s="914" t="s">
        <v>1900</v>
      </c>
      <c r="E405" s="914" t="s">
        <v>1900</v>
      </c>
      <c r="F405" s="914" t="s">
        <v>1900</v>
      </c>
      <c r="G405" s="627" t="s">
        <v>1902</v>
      </c>
      <c r="H405" s="3" t="s">
        <v>440</v>
      </c>
      <c r="I405" s="467"/>
      <c r="J405" s="259"/>
      <c r="L405" s="912" t="s">
        <v>1412</v>
      </c>
      <c r="M405" s="749" t="s">
        <v>1413</v>
      </c>
      <c r="N405" s="2"/>
    </row>
    <row r="406" spans="1:17" x14ac:dyDescent="0.35">
      <c r="A406" s="917" t="s">
        <v>1903</v>
      </c>
      <c r="B406" s="637" t="s">
        <v>1904</v>
      </c>
      <c r="C406" s="914" t="s">
        <v>1903</v>
      </c>
      <c r="D406" s="917" t="s">
        <v>1903</v>
      </c>
      <c r="E406" s="917" t="s">
        <v>1903</v>
      </c>
      <c r="F406" s="917" t="s">
        <v>1903</v>
      </c>
      <c r="G406" s="638" t="s">
        <v>1905</v>
      </c>
      <c r="H406" s="3" t="s">
        <v>440</v>
      </c>
      <c r="I406" s="467"/>
      <c r="J406" s="287"/>
      <c r="L406" s="254" t="s">
        <v>1416</v>
      </c>
      <c r="M406" s="687" t="s">
        <v>1417</v>
      </c>
      <c r="N406" s="686" t="s">
        <v>853</v>
      </c>
    </row>
    <row r="407" spans="1:17" ht="29" x14ac:dyDescent="0.35">
      <c r="A407" s="914" t="s">
        <v>1906</v>
      </c>
      <c r="B407" s="548" t="s">
        <v>1907</v>
      </c>
      <c r="C407" s="914" t="s">
        <v>1906</v>
      </c>
      <c r="D407" s="914" t="s">
        <v>1906</v>
      </c>
      <c r="E407" s="914" t="s">
        <v>1906</v>
      </c>
      <c r="F407" s="914" t="s">
        <v>1906</v>
      </c>
      <c r="G407" s="627" t="s">
        <v>1908</v>
      </c>
      <c r="H407" s="3" t="s">
        <v>440</v>
      </c>
      <c r="I407" s="467"/>
      <c r="J407" s="287"/>
      <c r="L407" s="912" t="s">
        <v>1420</v>
      </c>
      <c r="M407" s="976" t="s">
        <v>1421</v>
      </c>
      <c r="N407" s="686" t="s">
        <v>698</v>
      </c>
    </row>
    <row r="408" spans="1:17" ht="29" x14ac:dyDescent="0.35">
      <c r="A408" s="914" t="s">
        <v>1909</v>
      </c>
      <c r="B408" s="548" t="s">
        <v>1910</v>
      </c>
      <c r="C408" s="914" t="s">
        <v>1909</v>
      </c>
      <c r="D408" s="914" t="s">
        <v>1909</v>
      </c>
      <c r="E408" s="914" t="s">
        <v>1909</v>
      </c>
      <c r="F408" s="914" t="s">
        <v>1909</v>
      </c>
      <c r="G408" s="627" t="s">
        <v>1911</v>
      </c>
      <c r="H408" s="314" t="s">
        <v>853</v>
      </c>
      <c r="I408" s="467"/>
      <c r="J408" s="272"/>
      <c r="L408" s="912" t="s">
        <v>355</v>
      </c>
      <c r="M408" s="951" t="s">
        <v>356</v>
      </c>
      <c r="N408" s="686" t="s">
        <v>440</v>
      </c>
    </row>
    <row r="409" spans="1:17" ht="15" thickBot="1" x14ac:dyDescent="0.4">
      <c r="A409" s="924" t="s">
        <v>1912</v>
      </c>
      <c r="B409" s="641" t="s">
        <v>1913</v>
      </c>
      <c r="C409" s="920" t="s">
        <v>1912</v>
      </c>
      <c r="D409" s="924" t="s">
        <v>1912</v>
      </c>
      <c r="E409" s="924" t="s">
        <v>1912</v>
      </c>
      <c r="F409" s="924" t="s">
        <v>1912</v>
      </c>
      <c r="G409" s="642" t="s">
        <v>1914</v>
      </c>
      <c r="H409" s="3" t="s">
        <v>440</v>
      </c>
      <c r="I409" s="467"/>
      <c r="J409" s="273"/>
      <c r="L409" s="912" t="s">
        <v>1426</v>
      </c>
      <c r="M409" s="1067" t="s">
        <v>2206</v>
      </c>
      <c r="N409" s="686" t="s">
        <v>698</v>
      </c>
      <c r="Q409" s="5"/>
    </row>
    <row r="410" spans="1:17" ht="29" x14ac:dyDescent="0.35">
      <c r="A410" s="644" t="s">
        <v>1915</v>
      </c>
      <c r="B410" s="102" t="s">
        <v>1916</v>
      </c>
      <c r="C410" s="643" t="s">
        <v>1915</v>
      </c>
      <c r="D410" s="644" t="s">
        <v>1915</v>
      </c>
      <c r="E410" s="644" t="s">
        <v>1915</v>
      </c>
      <c r="F410" s="644" t="s">
        <v>1915</v>
      </c>
      <c r="G410" s="125" t="s">
        <v>1917</v>
      </c>
      <c r="H410" s="3" t="s">
        <v>440</v>
      </c>
      <c r="I410" s="467"/>
      <c r="J410" s="273"/>
      <c r="L410" s="912" t="s">
        <v>1430</v>
      </c>
      <c r="M410" s="976" t="s">
        <v>1431</v>
      </c>
      <c r="N410" s="686" t="s">
        <v>698</v>
      </c>
    </row>
    <row r="411" spans="1:17" ht="29" x14ac:dyDescent="0.35">
      <c r="A411" s="917" t="s">
        <v>1918</v>
      </c>
      <c r="B411" s="637" t="s">
        <v>1919</v>
      </c>
      <c r="C411" s="914" t="s">
        <v>1918</v>
      </c>
      <c r="D411" s="917" t="s">
        <v>1918</v>
      </c>
      <c r="E411" s="917" t="s">
        <v>1918</v>
      </c>
      <c r="F411" s="917" t="s">
        <v>1918</v>
      </c>
      <c r="G411" s="977" t="s">
        <v>1920</v>
      </c>
      <c r="H411" s="3" t="s">
        <v>440</v>
      </c>
      <c r="I411" s="467"/>
      <c r="J411" s="273"/>
      <c r="L411" s="912" t="s">
        <v>1434</v>
      </c>
      <c r="M411" s="976" t="s">
        <v>1435</v>
      </c>
      <c r="N411" s="686" t="s">
        <v>440</v>
      </c>
    </row>
    <row r="412" spans="1:17" x14ac:dyDescent="0.35">
      <c r="A412" s="914" t="s">
        <v>1921</v>
      </c>
      <c r="B412" s="548" t="s">
        <v>1922</v>
      </c>
      <c r="C412" s="914" t="s">
        <v>1921</v>
      </c>
      <c r="D412" s="914" t="s">
        <v>1921</v>
      </c>
      <c r="E412" s="914" t="s">
        <v>1921</v>
      </c>
      <c r="F412" s="914" t="s">
        <v>1921</v>
      </c>
      <c r="G412" s="877" t="s">
        <v>1923</v>
      </c>
      <c r="H412" s="3" t="s">
        <v>440</v>
      </c>
      <c r="I412" s="467"/>
      <c r="J412" s="273"/>
      <c r="L412" s="912" t="s">
        <v>1438</v>
      </c>
      <c r="M412" s="976" t="s">
        <v>1439</v>
      </c>
      <c r="N412" s="686" t="s">
        <v>853</v>
      </c>
    </row>
    <row r="413" spans="1:17" ht="29" x14ac:dyDescent="0.35">
      <c r="A413" s="914" t="s">
        <v>1924</v>
      </c>
      <c r="B413" s="548" t="s">
        <v>1907</v>
      </c>
      <c r="C413" s="914" t="s">
        <v>1924</v>
      </c>
      <c r="D413" s="914" t="s">
        <v>1924</v>
      </c>
      <c r="E413" s="914" t="s">
        <v>1924</v>
      </c>
      <c r="F413" s="914" t="s">
        <v>1924</v>
      </c>
      <c r="G413" s="627" t="s">
        <v>1925</v>
      </c>
      <c r="H413" s="3" t="s">
        <v>440</v>
      </c>
      <c r="I413" s="467"/>
      <c r="J413" s="467"/>
      <c r="L413" s="912" t="s">
        <v>1442</v>
      </c>
      <c r="M413" s="976" t="s">
        <v>1443</v>
      </c>
      <c r="N413" s="686"/>
    </row>
    <row r="414" spans="1:17" ht="29" x14ac:dyDescent="0.35">
      <c r="A414" s="914" t="s">
        <v>1926</v>
      </c>
      <c r="B414" s="548" t="s">
        <v>1927</v>
      </c>
      <c r="C414" s="914" t="s">
        <v>1926</v>
      </c>
      <c r="D414" s="914" t="s">
        <v>1926</v>
      </c>
      <c r="E414" s="914" t="s">
        <v>1926</v>
      </c>
      <c r="F414" s="914" t="s">
        <v>1926</v>
      </c>
      <c r="G414" s="627" t="s">
        <v>1928</v>
      </c>
      <c r="H414" s="314" t="s">
        <v>853</v>
      </c>
      <c r="I414" s="463"/>
      <c r="J414" s="464"/>
      <c r="L414" s="912" t="s">
        <v>1446</v>
      </c>
      <c r="M414" s="976" t="s">
        <v>1447</v>
      </c>
      <c r="N414" s="686" t="s">
        <v>440</v>
      </c>
    </row>
    <row r="415" spans="1:17" ht="29.5" thickBot="1" x14ac:dyDescent="0.4">
      <c r="A415" s="920" t="s">
        <v>1929</v>
      </c>
      <c r="B415" s="645" t="s">
        <v>1913</v>
      </c>
      <c r="C415" s="920" t="s">
        <v>1929</v>
      </c>
      <c r="D415" s="920" t="s">
        <v>1929</v>
      </c>
      <c r="E415" s="920" t="s">
        <v>1929</v>
      </c>
      <c r="F415" s="920" t="s">
        <v>1929</v>
      </c>
      <c r="G415" s="646" t="s">
        <v>1930</v>
      </c>
      <c r="H415" s="3" t="s">
        <v>440</v>
      </c>
      <c r="I415" s="467"/>
      <c r="J415" s="467"/>
      <c r="L415" s="691" t="s">
        <v>1448</v>
      </c>
      <c r="M415" s="235" t="s">
        <v>1450</v>
      </c>
      <c r="N415" s="686" t="s">
        <v>440</v>
      </c>
    </row>
    <row r="416" spans="1:17" ht="29" x14ac:dyDescent="0.35">
      <c r="A416" s="544" t="s">
        <v>1931</v>
      </c>
      <c r="B416" s="105" t="s">
        <v>1932</v>
      </c>
      <c r="C416" s="544" t="s">
        <v>1931</v>
      </c>
      <c r="D416" s="544" t="s">
        <v>1931</v>
      </c>
      <c r="E416" s="544" t="s">
        <v>1931</v>
      </c>
      <c r="F416" s="544" t="s">
        <v>1931</v>
      </c>
      <c r="G416" s="113" t="s">
        <v>1933</v>
      </c>
      <c r="H416" s="3" t="s">
        <v>440</v>
      </c>
      <c r="I416" s="467"/>
      <c r="J416" s="285"/>
      <c r="L416" s="912" t="s">
        <v>1451</v>
      </c>
      <c r="M416" s="700" t="s">
        <v>1453</v>
      </c>
      <c r="N416" s="686" t="s">
        <v>440</v>
      </c>
    </row>
    <row r="417" spans="1:14" ht="29" x14ac:dyDescent="0.35">
      <c r="A417" s="914" t="s">
        <v>1934</v>
      </c>
      <c r="B417" s="647" t="s">
        <v>1935</v>
      </c>
      <c r="C417" s="914" t="s">
        <v>1934</v>
      </c>
      <c r="D417" s="914" t="s">
        <v>1934</v>
      </c>
      <c r="E417" s="914" t="s">
        <v>1934</v>
      </c>
      <c r="F417" s="914" t="s">
        <v>1934</v>
      </c>
      <c r="G417" s="877" t="s">
        <v>1936</v>
      </c>
      <c r="H417" s="3" t="s">
        <v>440</v>
      </c>
      <c r="I417" s="270"/>
      <c r="J417" s="273"/>
      <c r="L417" s="912" t="s">
        <v>1454</v>
      </c>
      <c r="M417" s="700" t="s">
        <v>1456</v>
      </c>
      <c r="N417" s="686" t="s">
        <v>440</v>
      </c>
    </row>
    <row r="418" spans="1:14" ht="29" x14ac:dyDescent="0.35">
      <c r="A418" s="914" t="s">
        <v>1937</v>
      </c>
      <c r="B418" s="647" t="s">
        <v>1938</v>
      </c>
      <c r="C418" s="914" t="s">
        <v>1937</v>
      </c>
      <c r="D418" s="914" t="s">
        <v>1937</v>
      </c>
      <c r="E418" s="914" t="s">
        <v>1937</v>
      </c>
      <c r="F418" s="914" t="s">
        <v>1937</v>
      </c>
      <c r="G418" s="877" t="s">
        <v>1939</v>
      </c>
      <c r="H418" s="3" t="s">
        <v>440</v>
      </c>
      <c r="I418" s="271"/>
      <c r="J418" s="285"/>
      <c r="L418" s="912" t="s">
        <v>1457</v>
      </c>
      <c r="M418" s="700" t="s">
        <v>1459</v>
      </c>
      <c r="N418" s="686" t="s">
        <v>440</v>
      </c>
    </row>
    <row r="419" spans="1:14" ht="29" x14ac:dyDescent="0.35">
      <c r="A419" s="914" t="s">
        <v>1940</v>
      </c>
      <c r="B419" s="884" t="s">
        <v>617</v>
      </c>
      <c r="C419" s="914" t="s">
        <v>1940</v>
      </c>
      <c r="D419" s="914" t="s">
        <v>1940</v>
      </c>
      <c r="E419" s="914" t="s">
        <v>1940</v>
      </c>
      <c r="F419" s="914" t="s">
        <v>1940</v>
      </c>
      <c r="G419" s="877" t="s">
        <v>1941</v>
      </c>
      <c r="H419" s="3" t="s">
        <v>440</v>
      </c>
      <c r="I419" s="464"/>
      <c r="J419" s="273"/>
      <c r="L419" s="912" t="s">
        <v>1460</v>
      </c>
      <c r="M419" s="700" t="s">
        <v>1462</v>
      </c>
      <c r="N419" s="686" t="s">
        <v>440</v>
      </c>
    </row>
    <row r="420" spans="1:14" ht="29.5" thickBot="1" x14ac:dyDescent="0.4">
      <c r="A420" s="920" t="s">
        <v>1942</v>
      </c>
      <c r="B420" s="884" t="s">
        <v>617</v>
      </c>
      <c r="C420" s="920" t="s">
        <v>1942</v>
      </c>
      <c r="D420" s="920" t="s">
        <v>1942</v>
      </c>
      <c r="E420" s="920" t="s">
        <v>1942</v>
      </c>
      <c r="F420" s="920" t="s">
        <v>1942</v>
      </c>
      <c r="G420" s="895" t="s">
        <v>1943</v>
      </c>
      <c r="H420" s="3" t="s">
        <v>440</v>
      </c>
      <c r="I420" s="464"/>
      <c r="J420" s="467"/>
      <c r="L420" s="912" t="s">
        <v>1463</v>
      </c>
      <c r="M420" s="700" t="s">
        <v>1465</v>
      </c>
      <c r="N420" s="686" t="s">
        <v>440</v>
      </c>
    </row>
    <row r="421" spans="1:14" x14ac:dyDescent="0.35">
      <c r="A421" s="530" t="s">
        <v>1944</v>
      </c>
      <c r="B421" s="102" t="s">
        <v>617</v>
      </c>
      <c r="C421" s="544" t="s">
        <v>1944</v>
      </c>
      <c r="D421" s="530" t="s">
        <v>1944</v>
      </c>
      <c r="E421" s="530" t="s">
        <v>1944</v>
      </c>
      <c r="F421" s="530" t="s">
        <v>1944</v>
      </c>
      <c r="G421" s="120" t="s">
        <v>1945</v>
      </c>
      <c r="H421" s="3" t="s">
        <v>440</v>
      </c>
      <c r="I421" s="464"/>
      <c r="L421" s="912" t="s">
        <v>1466</v>
      </c>
      <c r="M421" s="700" t="s">
        <v>1468</v>
      </c>
      <c r="N421" s="686" t="s">
        <v>440</v>
      </c>
    </row>
    <row r="422" spans="1:14" x14ac:dyDescent="0.35">
      <c r="A422" s="917" t="s">
        <v>1946</v>
      </c>
      <c r="B422" s="978" t="s">
        <v>617</v>
      </c>
      <c r="C422" s="914" t="s">
        <v>1946</v>
      </c>
      <c r="D422" s="917" t="s">
        <v>1946</v>
      </c>
      <c r="E422" s="917" t="s">
        <v>1946</v>
      </c>
      <c r="F422" s="917" t="s">
        <v>1946</v>
      </c>
      <c r="G422" s="977" t="s">
        <v>1947</v>
      </c>
      <c r="H422" s="3" t="s">
        <v>440</v>
      </c>
      <c r="I422" s="464"/>
      <c r="L422" s="691" t="s">
        <v>1469</v>
      </c>
      <c r="M422" s="701" t="s">
        <v>1470</v>
      </c>
      <c r="N422" s="2"/>
    </row>
    <row r="423" spans="1:14" x14ac:dyDescent="0.35">
      <c r="A423" s="915" t="s">
        <v>1948</v>
      </c>
      <c r="B423" s="979" t="s">
        <v>617</v>
      </c>
      <c r="C423" s="914" t="s">
        <v>1948</v>
      </c>
      <c r="D423" s="915" t="s">
        <v>1948</v>
      </c>
      <c r="E423" s="915" t="s">
        <v>1948</v>
      </c>
      <c r="F423" s="915" t="s">
        <v>1948</v>
      </c>
      <c r="G423" s="913" t="s">
        <v>1949</v>
      </c>
      <c r="H423" s="3" t="s">
        <v>440</v>
      </c>
      <c r="I423" s="287"/>
      <c r="L423" s="912" t="s">
        <v>1471</v>
      </c>
      <c r="M423" s="948" t="s">
        <v>1472</v>
      </c>
      <c r="N423" s="2"/>
    </row>
    <row r="424" spans="1:14" ht="29.5" thickBot="1" x14ac:dyDescent="0.4">
      <c r="A424" s="924" t="s">
        <v>1950</v>
      </c>
      <c r="B424" s="880" t="s">
        <v>617</v>
      </c>
      <c r="C424" s="924" t="s">
        <v>1950</v>
      </c>
      <c r="D424" s="924" t="s">
        <v>1950</v>
      </c>
      <c r="E424" s="924" t="s">
        <v>1950</v>
      </c>
      <c r="F424" s="924" t="s">
        <v>1950</v>
      </c>
      <c r="G424" s="879" t="s">
        <v>1951</v>
      </c>
      <c r="H424" s="3" t="s">
        <v>440</v>
      </c>
      <c r="I424" s="287"/>
      <c r="J424" s="286"/>
      <c r="L424" s="912" t="s">
        <v>1473</v>
      </c>
      <c r="M424" s="948" t="s">
        <v>1474</v>
      </c>
      <c r="N424" s="2"/>
    </row>
    <row r="425" spans="1:14" ht="29" x14ac:dyDescent="0.35">
      <c r="A425" s="472" t="s">
        <v>1952</v>
      </c>
      <c r="B425" s="980" t="s">
        <v>617</v>
      </c>
      <c r="C425" s="472" t="s">
        <v>1952</v>
      </c>
      <c r="D425" s="472" t="s">
        <v>1952</v>
      </c>
      <c r="E425" s="472" t="s">
        <v>1952</v>
      </c>
      <c r="F425" s="472" t="s">
        <v>1952</v>
      </c>
      <c r="G425" s="648" t="s">
        <v>1953</v>
      </c>
      <c r="I425" s="287"/>
      <c r="J425" s="286"/>
      <c r="L425" s="912" t="s">
        <v>1475</v>
      </c>
      <c r="M425" s="948" t="s">
        <v>1476</v>
      </c>
      <c r="N425" s="2"/>
    </row>
    <row r="426" spans="1:14" ht="29" x14ac:dyDescent="0.35">
      <c r="A426" s="524" t="s">
        <v>1954</v>
      </c>
      <c r="B426" s="974" t="s">
        <v>617</v>
      </c>
      <c r="C426" s="524" t="s">
        <v>1954</v>
      </c>
      <c r="D426" s="524" t="s">
        <v>1954</v>
      </c>
      <c r="E426" s="524" t="s">
        <v>1954</v>
      </c>
      <c r="F426" s="524" t="s">
        <v>1954</v>
      </c>
      <c r="G426" s="298" t="s">
        <v>1955</v>
      </c>
      <c r="H426" s="3" t="s">
        <v>440</v>
      </c>
      <c r="I426" s="285"/>
      <c r="J426" s="466"/>
      <c r="L426" s="912" t="s">
        <v>1477</v>
      </c>
      <c r="M426" s="948" t="s">
        <v>1478</v>
      </c>
      <c r="N426" s="2"/>
    </row>
    <row r="427" spans="1:14" x14ac:dyDescent="0.35">
      <c r="A427" s="734" t="s">
        <v>1840</v>
      </c>
      <c r="B427" s="330" t="s">
        <v>617</v>
      </c>
      <c r="C427" s="524" t="s">
        <v>1956</v>
      </c>
      <c r="D427" s="654" t="s">
        <v>1956</v>
      </c>
      <c r="E427" s="734" t="s">
        <v>1840</v>
      </c>
      <c r="F427" s="654" t="s">
        <v>1840</v>
      </c>
      <c r="G427" s="122" t="s">
        <v>1957</v>
      </c>
      <c r="H427" s="3" t="s">
        <v>440</v>
      </c>
      <c r="I427" s="285"/>
      <c r="J427" s="466"/>
      <c r="L427" s="691" t="s">
        <v>1479</v>
      </c>
      <c r="M427" s="687" t="s">
        <v>1481</v>
      </c>
      <c r="N427" s="2"/>
    </row>
    <row r="428" spans="1:14" x14ac:dyDescent="0.35">
      <c r="A428" s="390" t="s">
        <v>1958</v>
      </c>
      <c r="B428" s="875" t="s">
        <v>617</v>
      </c>
      <c r="C428" s="915" t="s">
        <v>1959</v>
      </c>
      <c r="D428" s="915" t="s">
        <v>1959</v>
      </c>
      <c r="E428" s="390" t="s">
        <v>1958</v>
      </c>
      <c r="F428" s="914" t="s">
        <v>1958</v>
      </c>
      <c r="G428" s="877" t="s">
        <v>1960</v>
      </c>
      <c r="H428" s="3" t="s">
        <v>440</v>
      </c>
      <c r="I428" s="285"/>
      <c r="J428" s="466"/>
      <c r="L428" s="912" t="s">
        <v>1482</v>
      </c>
      <c r="M428" s="970" t="s">
        <v>1483</v>
      </c>
      <c r="N428" s="2"/>
    </row>
    <row r="429" spans="1:14" ht="29.5" thickBot="1" x14ac:dyDescent="0.4">
      <c r="A429" s="736" t="s">
        <v>1961</v>
      </c>
      <c r="B429" s="894" t="s">
        <v>617</v>
      </c>
      <c r="C429" s="920" t="s">
        <v>1962</v>
      </c>
      <c r="D429" s="920" t="s">
        <v>1962</v>
      </c>
      <c r="E429" s="736" t="s">
        <v>1961</v>
      </c>
      <c r="F429" s="931" t="s">
        <v>1961</v>
      </c>
      <c r="G429" s="895" t="s">
        <v>1963</v>
      </c>
      <c r="H429" s="3" t="s">
        <v>440</v>
      </c>
      <c r="I429" s="285"/>
      <c r="J429" s="466"/>
      <c r="L429" s="912" t="s">
        <v>1484</v>
      </c>
      <c r="M429" s="951" t="s">
        <v>1485</v>
      </c>
      <c r="N429" s="2"/>
    </row>
    <row r="430" spans="1:14" ht="15" thickBot="1" x14ac:dyDescent="0.4">
      <c r="A430" s="737" t="s">
        <v>1964</v>
      </c>
      <c r="B430" s="107" t="s">
        <v>1965</v>
      </c>
      <c r="C430" s="462" t="s">
        <v>1966</v>
      </c>
      <c r="D430" s="649" t="s">
        <v>1966</v>
      </c>
      <c r="E430" s="737" t="s">
        <v>1964</v>
      </c>
      <c r="F430" s="532" t="s">
        <v>1964</v>
      </c>
      <c r="G430" s="126" t="s">
        <v>1967</v>
      </c>
      <c r="H430" s="3" t="s">
        <v>440</v>
      </c>
      <c r="I430" s="467"/>
      <c r="J430" s="465"/>
      <c r="L430" s="912" t="s">
        <v>1486</v>
      </c>
      <c r="M430" s="951" t="s">
        <v>1487</v>
      </c>
      <c r="N430" s="2"/>
    </row>
    <row r="431" spans="1:14" ht="15" thickBot="1" x14ac:dyDescent="0.4">
      <c r="A431" s="734" t="s">
        <v>1956</v>
      </c>
      <c r="B431" s="652" t="s">
        <v>617</v>
      </c>
      <c r="C431" s="462" t="s">
        <v>1968</v>
      </c>
      <c r="D431" s="649" t="s">
        <v>1968</v>
      </c>
      <c r="E431" s="734" t="s">
        <v>1956</v>
      </c>
      <c r="F431" s="654" t="s">
        <v>1956</v>
      </c>
      <c r="G431" s="126" t="s">
        <v>1969</v>
      </c>
      <c r="H431" s="3" t="s">
        <v>440</v>
      </c>
      <c r="I431" s="464"/>
      <c r="L431" s="912" t="s">
        <v>1488</v>
      </c>
      <c r="M431" s="951" t="s">
        <v>1489</v>
      </c>
      <c r="N431" s="2"/>
    </row>
    <row r="432" spans="1:14" x14ac:dyDescent="0.35">
      <c r="A432" s="981" t="s">
        <v>1970</v>
      </c>
      <c r="B432" s="650" t="s">
        <v>1971</v>
      </c>
      <c r="C432" s="930" t="s">
        <v>1970</v>
      </c>
      <c r="D432" s="981" t="s">
        <v>1970</v>
      </c>
      <c r="E432" s="981" t="s">
        <v>1970</v>
      </c>
      <c r="F432" s="981" t="s">
        <v>1970</v>
      </c>
      <c r="G432" s="651" t="s">
        <v>1972</v>
      </c>
      <c r="I432" s="467"/>
      <c r="L432" s="912" t="s">
        <v>1490</v>
      </c>
      <c r="M432" s="951" t="s">
        <v>1491</v>
      </c>
      <c r="N432" s="2"/>
    </row>
    <row r="433" spans="1:17" x14ac:dyDescent="0.35">
      <c r="A433" s="914" t="s">
        <v>1973</v>
      </c>
      <c r="B433" s="884" t="s">
        <v>617</v>
      </c>
      <c r="C433" s="914" t="s">
        <v>1973</v>
      </c>
      <c r="D433" s="914" t="s">
        <v>1973</v>
      </c>
      <c r="E433" s="914" t="s">
        <v>1973</v>
      </c>
      <c r="F433" s="914" t="s">
        <v>1973</v>
      </c>
      <c r="G433" s="877" t="s">
        <v>1974</v>
      </c>
      <c r="I433" s="285"/>
      <c r="L433" s="912" t="s">
        <v>1492</v>
      </c>
      <c r="M433" s="951" t="s">
        <v>1493</v>
      </c>
      <c r="N433" s="2"/>
    </row>
    <row r="434" spans="1:17" x14ac:dyDescent="0.35">
      <c r="A434" s="914" t="s">
        <v>1975</v>
      </c>
      <c r="B434" s="884" t="s">
        <v>617</v>
      </c>
      <c r="C434" s="914" t="s">
        <v>1975</v>
      </c>
      <c r="D434" s="914" t="s">
        <v>1975</v>
      </c>
      <c r="E434" s="914" t="s">
        <v>1975</v>
      </c>
      <c r="F434" s="914" t="s">
        <v>1975</v>
      </c>
      <c r="G434" s="877" t="s">
        <v>1976</v>
      </c>
      <c r="H434" s="3" t="s">
        <v>440</v>
      </c>
      <c r="I434" s="285"/>
      <c r="L434" s="912" t="s">
        <v>1494</v>
      </c>
      <c r="M434" s="951" t="s">
        <v>1495</v>
      </c>
      <c r="N434" s="2"/>
    </row>
    <row r="435" spans="1:17" x14ac:dyDescent="0.35">
      <c r="A435" s="914" t="s">
        <v>1977</v>
      </c>
      <c r="B435" s="884" t="s">
        <v>617</v>
      </c>
      <c r="C435" s="914" t="s">
        <v>1977</v>
      </c>
      <c r="D435" s="914" t="s">
        <v>1977</v>
      </c>
      <c r="E435" s="914" t="s">
        <v>1977</v>
      </c>
      <c r="F435" s="914" t="s">
        <v>1977</v>
      </c>
      <c r="G435" s="877" t="s">
        <v>1978</v>
      </c>
      <c r="I435" s="285"/>
      <c r="L435" s="912" t="s">
        <v>1496</v>
      </c>
      <c r="M435" s="951" t="s">
        <v>1497</v>
      </c>
      <c r="N435" s="2"/>
    </row>
    <row r="436" spans="1:17" ht="15" thickBot="1" x14ac:dyDescent="0.4">
      <c r="A436" s="920" t="s">
        <v>1979</v>
      </c>
      <c r="B436" s="982" t="s">
        <v>617</v>
      </c>
      <c r="C436" s="920" t="s">
        <v>1979</v>
      </c>
      <c r="D436" s="920" t="s">
        <v>1979</v>
      </c>
      <c r="E436" s="920" t="s">
        <v>1979</v>
      </c>
      <c r="F436" s="920" t="s">
        <v>1979</v>
      </c>
      <c r="G436" s="895" t="s">
        <v>1980</v>
      </c>
      <c r="H436" s="3" t="s">
        <v>440</v>
      </c>
      <c r="I436" s="285"/>
      <c r="L436" s="912" t="s">
        <v>1498</v>
      </c>
      <c r="M436" s="951" t="s">
        <v>1499</v>
      </c>
      <c r="N436" s="2"/>
    </row>
    <row r="437" spans="1:17" x14ac:dyDescent="0.35">
      <c r="A437" s="530" t="s">
        <v>1981</v>
      </c>
      <c r="B437" s="413" t="s">
        <v>1982</v>
      </c>
      <c r="C437" s="530" t="s">
        <v>1981</v>
      </c>
      <c r="D437" s="530" t="s">
        <v>1981</v>
      </c>
      <c r="E437" s="530" t="s">
        <v>1981</v>
      </c>
      <c r="F437" s="530" t="s">
        <v>1981</v>
      </c>
      <c r="G437" s="127" t="s">
        <v>1983</v>
      </c>
      <c r="H437" s="3" t="s">
        <v>440</v>
      </c>
      <c r="I437" s="467"/>
      <c r="L437" s="912" t="s">
        <v>1500</v>
      </c>
      <c r="M437" s="970" t="s">
        <v>1501</v>
      </c>
      <c r="N437" s="2"/>
    </row>
    <row r="438" spans="1:17" ht="29" x14ac:dyDescent="0.35">
      <c r="A438" s="917" t="s">
        <v>1984</v>
      </c>
      <c r="B438" s="647" t="s">
        <v>1985</v>
      </c>
      <c r="C438" s="917" t="s">
        <v>1984</v>
      </c>
      <c r="D438" s="917" t="s">
        <v>1984</v>
      </c>
      <c r="E438" s="917" t="s">
        <v>1984</v>
      </c>
      <c r="F438" s="917" t="s">
        <v>1984</v>
      </c>
      <c r="G438" s="128" t="s">
        <v>1986</v>
      </c>
      <c r="H438" s="3" t="s">
        <v>440</v>
      </c>
      <c r="I438" s="467"/>
      <c r="L438" s="912" t="s">
        <v>1502</v>
      </c>
      <c r="M438" s="970" t="s">
        <v>1503</v>
      </c>
      <c r="N438" s="2"/>
    </row>
    <row r="439" spans="1:17" x14ac:dyDescent="0.35">
      <c r="A439" s="917" t="s">
        <v>1987</v>
      </c>
      <c r="B439" s="647" t="s">
        <v>1988</v>
      </c>
      <c r="C439" s="917" t="s">
        <v>1987</v>
      </c>
      <c r="D439" s="917" t="s">
        <v>1987</v>
      </c>
      <c r="E439" s="917" t="s">
        <v>1987</v>
      </c>
      <c r="F439" s="917" t="s">
        <v>1987</v>
      </c>
      <c r="G439" s="128" t="s">
        <v>1989</v>
      </c>
      <c r="H439" s="3" t="s">
        <v>440</v>
      </c>
      <c r="I439" s="467"/>
      <c r="L439" s="691" t="s">
        <v>1504</v>
      </c>
      <c r="M439" s="687" t="s">
        <v>1505</v>
      </c>
      <c r="N439" s="686" t="s">
        <v>440</v>
      </c>
    </row>
    <row r="440" spans="1:17" ht="15" thickBot="1" x14ac:dyDescent="0.4">
      <c r="A440" s="917" t="s">
        <v>1990</v>
      </c>
      <c r="B440" s="647" t="s">
        <v>1991</v>
      </c>
      <c r="C440" s="917" t="s">
        <v>1990</v>
      </c>
      <c r="D440" s="917" t="s">
        <v>1990</v>
      </c>
      <c r="E440" s="917" t="s">
        <v>1990</v>
      </c>
      <c r="F440" s="917" t="s">
        <v>1990</v>
      </c>
      <c r="G440" s="128" t="s">
        <v>1992</v>
      </c>
      <c r="H440" s="3" t="s">
        <v>440</v>
      </c>
      <c r="I440" s="467"/>
      <c r="L440" s="912" t="s">
        <v>1506</v>
      </c>
      <c r="M440" s="951" t="s">
        <v>1507</v>
      </c>
      <c r="N440" s="686" t="s">
        <v>440</v>
      </c>
    </row>
    <row r="441" spans="1:17" ht="29.5" thickBot="1" x14ac:dyDescent="0.4">
      <c r="A441" s="539" t="s">
        <v>1993</v>
      </c>
      <c r="B441" s="401" t="s">
        <v>1994</v>
      </c>
      <c r="C441" s="539" t="s">
        <v>1993</v>
      </c>
      <c r="D441" s="539" t="s">
        <v>1993</v>
      </c>
      <c r="E441" s="539" t="s">
        <v>1993</v>
      </c>
      <c r="F441" s="539" t="s">
        <v>1993</v>
      </c>
      <c r="G441" s="129" t="s">
        <v>1995</v>
      </c>
      <c r="I441" s="286"/>
      <c r="L441" s="912" t="s">
        <v>1508</v>
      </c>
      <c r="M441" s="951" t="s">
        <v>1509</v>
      </c>
      <c r="N441" s="686" t="s">
        <v>440</v>
      </c>
    </row>
    <row r="442" spans="1:17" ht="29" x14ac:dyDescent="0.35">
      <c r="A442" s="653" t="s">
        <v>1996</v>
      </c>
      <c r="B442" s="315" t="s">
        <v>1997</v>
      </c>
      <c r="C442" s="577" t="s">
        <v>1996</v>
      </c>
      <c r="D442" s="653" t="s">
        <v>1996</v>
      </c>
      <c r="E442" s="653" t="s">
        <v>1996</v>
      </c>
      <c r="F442" s="653" t="s">
        <v>1996</v>
      </c>
      <c r="G442" s="648" t="s">
        <v>1998</v>
      </c>
      <c r="I442" s="286"/>
      <c r="L442" s="912" t="s">
        <v>1510</v>
      </c>
      <c r="M442" s="951" t="s">
        <v>1511</v>
      </c>
      <c r="N442" s="686" t="s">
        <v>440</v>
      </c>
    </row>
    <row r="443" spans="1:17" x14ac:dyDescent="0.35">
      <c r="A443" s="915" t="s">
        <v>1999</v>
      </c>
      <c r="B443" s="109"/>
      <c r="C443" s="395" t="s">
        <v>617</v>
      </c>
      <c r="D443" s="395" t="s">
        <v>1999</v>
      </c>
      <c r="E443" s="915" t="s">
        <v>1999</v>
      </c>
      <c r="F443" s="915" t="s">
        <v>1999</v>
      </c>
      <c r="G443" s="983" t="s">
        <v>2000</v>
      </c>
      <c r="I443" s="466"/>
      <c r="L443" s="912" t="s">
        <v>1512</v>
      </c>
      <c r="M443" s="682" t="s">
        <v>2215</v>
      </c>
      <c r="N443" s="686" t="s">
        <v>440</v>
      </c>
      <c r="Q443" s="7"/>
    </row>
    <row r="444" spans="1:17" ht="29" x14ac:dyDescent="0.35">
      <c r="A444" s="915" t="s">
        <v>2001</v>
      </c>
      <c r="B444" s="471"/>
      <c r="C444" s="395" t="s">
        <v>617</v>
      </c>
      <c r="D444" s="395" t="s">
        <v>2001</v>
      </c>
      <c r="E444" s="915" t="s">
        <v>2001</v>
      </c>
      <c r="F444" s="915" t="s">
        <v>2001</v>
      </c>
      <c r="G444" s="983" t="s">
        <v>2002</v>
      </c>
      <c r="I444" s="466"/>
      <c r="L444" s="912" t="s">
        <v>1514</v>
      </c>
      <c r="M444" s="951" t="s">
        <v>1515</v>
      </c>
      <c r="N444" s="686" t="s">
        <v>440</v>
      </c>
    </row>
    <row r="445" spans="1:17" x14ac:dyDescent="0.35">
      <c r="A445" s="915" t="s">
        <v>2003</v>
      </c>
      <c r="B445" s="471"/>
      <c r="C445" s="395" t="s">
        <v>617</v>
      </c>
      <c r="D445" s="395" t="s">
        <v>2003</v>
      </c>
      <c r="E445" s="915" t="s">
        <v>2003</v>
      </c>
      <c r="F445" s="915" t="s">
        <v>2003</v>
      </c>
      <c r="G445" s="983" t="s">
        <v>2004</v>
      </c>
      <c r="L445" s="912" t="s">
        <v>1516</v>
      </c>
      <c r="M445" s="951" t="s">
        <v>1517</v>
      </c>
      <c r="N445" s="686" t="s">
        <v>440</v>
      </c>
    </row>
    <row r="446" spans="1:17" x14ac:dyDescent="0.35">
      <c r="A446" s="915" t="s">
        <v>2005</v>
      </c>
      <c r="B446" s="471"/>
      <c r="C446" s="395" t="s">
        <v>617</v>
      </c>
      <c r="D446" s="395" t="s">
        <v>2005</v>
      </c>
      <c r="E446" s="915" t="s">
        <v>2005</v>
      </c>
      <c r="F446" s="915" t="s">
        <v>2005</v>
      </c>
      <c r="G446" s="983" t="s">
        <v>2006</v>
      </c>
      <c r="L446" s="912" t="s">
        <v>1518</v>
      </c>
      <c r="M446" s="951" t="s">
        <v>1519</v>
      </c>
      <c r="N446" s="686" t="s">
        <v>440</v>
      </c>
    </row>
    <row r="447" spans="1:17" ht="29.5" thickBot="1" x14ac:dyDescent="0.4">
      <c r="A447" s="920" t="s">
        <v>2007</v>
      </c>
      <c r="B447" s="88" t="s">
        <v>2008</v>
      </c>
      <c r="C447" s="655" t="s">
        <v>2005</v>
      </c>
      <c r="D447" s="392" t="s">
        <v>2007</v>
      </c>
      <c r="E447" s="920" t="s">
        <v>2007</v>
      </c>
      <c r="F447" s="920" t="s">
        <v>2007</v>
      </c>
      <c r="G447" s="895" t="s">
        <v>2009</v>
      </c>
      <c r="L447" s="912" t="s">
        <v>1520</v>
      </c>
      <c r="M447" s="951" t="s">
        <v>1521</v>
      </c>
      <c r="N447" s="686" t="s">
        <v>440</v>
      </c>
    </row>
    <row r="448" spans="1:17" ht="29" x14ac:dyDescent="0.35">
      <c r="A448" s="472" t="s">
        <v>2010</v>
      </c>
      <c r="B448" s="401" t="s">
        <v>2011</v>
      </c>
      <c r="C448" s="472" t="s">
        <v>2010</v>
      </c>
      <c r="D448" s="461" t="s">
        <v>2010</v>
      </c>
      <c r="E448" s="472" t="s">
        <v>2010</v>
      </c>
      <c r="F448" s="472" t="s">
        <v>2010</v>
      </c>
      <c r="G448" s="458" t="s">
        <v>2012</v>
      </c>
      <c r="H448" s="314" t="s">
        <v>853</v>
      </c>
      <c r="L448" s="912" t="s">
        <v>1522</v>
      </c>
      <c r="M448" s="951" t="s">
        <v>1523</v>
      </c>
      <c r="N448" s="686" t="s">
        <v>440</v>
      </c>
    </row>
    <row r="449" spans="1:17" ht="29" x14ac:dyDescent="0.35">
      <c r="A449" s="927" t="s">
        <v>2013</v>
      </c>
      <c r="B449" s="95"/>
      <c r="C449" s="513" t="s">
        <v>617</v>
      </c>
      <c r="D449" s="513" t="s">
        <v>2013</v>
      </c>
      <c r="E449" s="927" t="s">
        <v>2013</v>
      </c>
      <c r="F449" s="927" t="s">
        <v>2013</v>
      </c>
      <c r="G449" s="984" t="s">
        <v>2014</v>
      </c>
      <c r="H449" s="314" t="s">
        <v>853</v>
      </c>
      <c r="L449" s="912" t="s">
        <v>1524</v>
      </c>
      <c r="M449" s="951" t="s">
        <v>1525</v>
      </c>
      <c r="N449" s="686" t="s">
        <v>440</v>
      </c>
    </row>
    <row r="450" spans="1:17" ht="29" x14ac:dyDescent="0.35">
      <c r="A450" s="927" t="s">
        <v>2015</v>
      </c>
      <c r="B450" s="95"/>
      <c r="C450" s="513" t="s">
        <v>617</v>
      </c>
      <c r="D450" s="513" t="s">
        <v>2015</v>
      </c>
      <c r="E450" s="927" t="s">
        <v>2015</v>
      </c>
      <c r="F450" s="927" t="s">
        <v>2015</v>
      </c>
      <c r="G450" s="984" t="s">
        <v>2016</v>
      </c>
      <c r="H450" s="314" t="s">
        <v>853</v>
      </c>
      <c r="L450" s="912" t="s">
        <v>1526</v>
      </c>
      <c r="M450" s="951" t="s">
        <v>1527</v>
      </c>
      <c r="N450" s="686" t="s">
        <v>440</v>
      </c>
    </row>
    <row r="451" spans="1:17" ht="29" x14ac:dyDescent="0.35">
      <c r="A451" s="927" t="s">
        <v>2017</v>
      </c>
      <c r="B451" s="400"/>
      <c r="C451" s="513" t="s">
        <v>617</v>
      </c>
      <c r="D451" s="513" t="s">
        <v>2017</v>
      </c>
      <c r="E451" s="927" t="s">
        <v>2017</v>
      </c>
      <c r="F451" s="927" t="s">
        <v>2017</v>
      </c>
      <c r="G451" s="985" t="s">
        <v>2018</v>
      </c>
      <c r="H451" s="314" t="s">
        <v>853</v>
      </c>
      <c r="L451" s="691" t="s">
        <v>1528</v>
      </c>
      <c r="M451" s="687" t="s">
        <v>1529</v>
      </c>
      <c r="N451" s="2"/>
    </row>
    <row r="452" spans="1:17" ht="29" x14ac:dyDescent="0.35">
      <c r="A452" s="927" t="s">
        <v>2019</v>
      </c>
      <c r="B452" s="656"/>
      <c r="C452" s="513" t="s">
        <v>617</v>
      </c>
      <c r="D452" s="513" t="s">
        <v>2019</v>
      </c>
      <c r="E452" s="927" t="s">
        <v>2019</v>
      </c>
      <c r="F452" s="927" t="s">
        <v>2019</v>
      </c>
      <c r="G452" s="986" t="s">
        <v>2020</v>
      </c>
      <c r="H452" s="314" t="s">
        <v>853</v>
      </c>
      <c r="L452" s="912" t="s">
        <v>1530</v>
      </c>
      <c r="M452" s="951" t="s">
        <v>1531</v>
      </c>
      <c r="N452" s="2"/>
    </row>
    <row r="453" spans="1:17" ht="29.5" thickBot="1" x14ac:dyDescent="0.4">
      <c r="A453" s="987" t="s">
        <v>2021</v>
      </c>
      <c r="B453" s="87" t="s">
        <v>617</v>
      </c>
      <c r="C453" s="657" t="s">
        <v>2019</v>
      </c>
      <c r="D453" s="658" t="s">
        <v>2021</v>
      </c>
      <c r="E453" s="987" t="s">
        <v>2021</v>
      </c>
      <c r="F453" s="987" t="s">
        <v>2021</v>
      </c>
      <c r="G453" s="902" t="s">
        <v>2022</v>
      </c>
      <c r="H453" s="314" t="s">
        <v>853</v>
      </c>
      <c r="L453" s="912" t="s">
        <v>1532</v>
      </c>
      <c r="M453" s="951" t="s">
        <v>1533</v>
      </c>
      <c r="N453" s="2"/>
    </row>
    <row r="454" spans="1:17" x14ac:dyDescent="0.35">
      <c r="A454" s="653" t="s">
        <v>2023</v>
      </c>
      <c r="B454" s="499" t="s">
        <v>1997</v>
      </c>
      <c r="C454" s="662" t="s">
        <v>1996</v>
      </c>
      <c r="D454" s="564" t="s">
        <v>2023</v>
      </c>
      <c r="E454" s="653" t="s">
        <v>2023</v>
      </c>
      <c r="F454" s="653" t="s">
        <v>2023</v>
      </c>
      <c r="G454" s="648" t="s">
        <v>2024</v>
      </c>
      <c r="L454" s="912" t="s">
        <v>1534</v>
      </c>
      <c r="M454" s="970" t="s">
        <v>1535</v>
      </c>
      <c r="N454" s="2"/>
    </row>
    <row r="455" spans="1:17" x14ac:dyDescent="0.35">
      <c r="A455" s="924" t="s">
        <v>2025</v>
      </c>
      <c r="B455" s="95"/>
      <c r="C455" s="395" t="s">
        <v>617</v>
      </c>
      <c r="D455" s="403" t="s">
        <v>2025</v>
      </c>
      <c r="E455" s="924" t="s">
        <v>2025</v>
      </c>
      <c r="F455" s="924" t="s">
        <v>2025</v>
      </c>
      <c r="G455" s="983" t="s">
        <v>2026</v>
      </c>
      <c r="L455" s="912" t="s">
        <v>1536</v>
      </c>
      <c r="M455" s="951" t="s">
        <v>1537</v>
      </c>
      <c r="N455" s="2"/>
    </row>
    <row r="456" spans="1:17" x14ac:dyDescent="0.35">
      <c r="A456" s="924" t="s">
        <v>2027</v>
      </c>
      <c r="B456" s="95"/>
      <c r="C456" s="395" t="s">
        <v>617</v>
      </c>
      <c r="D456" s="403" t="s">
        <v>2027</v>
      </c>
      <c r="E456" s="924" t="s">
        <v>2027</v>
      </c>
      <c r="F456" s="924" t="s">
        <v>2027</v>
      </c>
      <c r="G456" s="983" t="s">
        <v>2028</v>
      </c>
      <c r="L456" s="912" t="s">
        <v>1538</v>
      </c>
      <c r="M456" s="951" t="s">
        <v>1539</v>
      </c>
      <c r="N456" s="2"/>
    </row>
    <row r="457" spans="1:17" x14ac:dyDescent="0.35">
      <c r="A457" s="924" t="s">
        <v>2029</v>
      </c>
      <c r="B457" s="95"/>
      <c r="C457" s="395" t="s">
        <v>617</v>
      </c>
      <c r="D457" s="403" t="s">
        <v>2029</v>
      </c>
      <c r="E457" s="924" t="s">
        <v>2029</v>
      </c>
      <c r="F457" s="924" t="s">
        <v>2029</v>
      </c>
      <c r="G457" s="983" t="s">
        <v>2030</v>
      </c>
      <c r="L457" s="912" t="s">
        <v>1540</v>
      </c>
      <c r="M457" s="951" t="s">
        <v>1541</v>
      </c>
      <c r="N457" s="2"/>
    </row>
    <row r="458" spans="1:17" ht="29" x14ac:dyDescent="0.35">
      <c r="A458" s="924" t="s">
        <v>2031</v>
      </c>
      <c r="B458" s="95"/>
      <c r="C458" s="395" t="s">
        <v>617</v>
      </c>
      <c r="D458" s="403" t="s">
        <v>2031</v>
      </c>
      <c r="E458" s="924" t="s">
        <v>2031</v>
      </c>
      <c r="F458" s="924" t="s">
        <v>2031</v>
      </c>
      <c r="G458" s="983" t="s">
        <v>2032</v>
      </c>
      <c r="L458" s="912" t="s">
        <v>1542</v>
      </c>
      <c r="M458" s="951" t="s">
        <v>1543</v>
      </c>
      <c r="N458" s="2"/>
    </row>
    <row r="459" spans="1:17" x14ac:dyDescent="0.35">
      <c r="A459" s="924" t="s">
        <v>2033</v>
      </c>
      <c r="B459" s="93"/>
      <c r="C459" s="284" t="s">
        <v>1999</v>
      </c>
      <c r="D459" s="403" t="s">
        <v>2033</v>
      </c>
      <c r="E459" s="924" t="s">
        <v>2033</v>
      </c>
      <c r="F459" s="924" t="s">
        <v>2033</v>
      </c>
      <c r="G459" s="878" t="str">
        <f>'[1]E1l- Cash &amp; Voucher activities'!$C$11</f>
        <v xml:space="preserve">$ amount of food vouchers distributed </v>
      </c>
      <c r="L459" s="912" t="s">
        <v>1544</v>
      </c>
      <c r="M459" s="951" t="s">
        <v>1545</v>
      </c>
      <c r="N459" s="2"/>
    </row>
    <row r="460" spans="1:17" ht="29.5" thickBot="1" x14ac:dyDescent="0.4">
      <c r="A460" s="920" t="s">
        <v>2034</v>
      </c>
      <c r="B460" s="88"/>
      <c r="C460" s="504" t="s">
        <v>2001</v>
      </c>
      <c r="D460" s="392" t="s">
        <v>2034</v>
      </c>
      <c r="E460" s="920" t="s">
        <v>2034</v>
      </c>
      <c r="F460" s="920" t="s">
        <v>2034</v>
      </c>
      <c r="G460" s="921" t="s">
        <v>2035</v>
      </c>
      <c r="L460" s="912" t="s">
        <v>1546</v>
      </c>
      <c r="M460" s="951" t="s">
        <v>1547</v>
      </c>
      <c r="N460" s="2"/>
    </row>
    <row r="461" spans="1:17" x14ac:dyDescent="0.35">
      <c r="A461" s="472" t="s">
        <v>2036</v>
      </c>
      <c r="B461" s="401" t="s">
        <v>2011</v>
      </c>
      <c r="C461" s="472" t="s">
        <v>2010</v>
      </c>
      <c r="D461" s="461" t="s">
        <v>2036</v>
      </c>
      <c r="E461" s="472" t="s">
        <v>2036</v>
      </c>
      <c r="F461" s="472" t="s">
        <v>2036</v>
      </c>
      <c r="G461" s="738" t="s">
        <v>2037</v>
      </c>
      <c r="H461" s="314" t="s">
        <v>853</v>
      </c>
      <c r="L461" s="912" t="s">
        <v>1548</v>
      </c>
      <c r="M461" s="951" t="s">
        <v>1549</v>
      </c>
      <c r="N461" s="2"/>
    </row>
    <row r="462" spans="1:17" ht="29" x14ac:dyDescent="0.35">
      <c r="A462" s="914" t="s">
        <v>2038</v>
      </c>
      <c r="B462" s="659"/>
      <c r="C462" s="660" t="s">
        <v>617</v>
      </c>
      <c r="D462" s="390" t="s">
        <v>2038</v>
      </c>
      <c r="E462" s="914" t="s">
        <v>2038</v>
      </c>
      <c r="F462" s="914" t="s">
        <v>2038</v>
      </c>
      <c r="G462" s="988" t="s">
        <v>2039</v>
      </c>
      <c r="H462" s="314" t="s">
        <v>853</v>
      </c>
      <c r="L462" s="912" t="s">
        <v>1550</v>
      </c>
      <c r="M462" s="970" t="s">
        <v>1551</v>
      </c>
      <c r="N462" s="2"/>
    </row>
    <row r="463" spans="1:17" ht="29" x14ac:dyDescent="0.35">
      <c r="A463" s="914" t="s">
        <v>2040</v>
      </c>
      <c r="B463" s="659"/>
      <c r="C463" s="660" t="s">
        <v>617</v>
      </c>
      <c r="D463" s="390" t="s">
        <v>2040</v>
      </c>
      <c r="E463" s="914" t="s">
        <v>2040</v>
      </c>
      <c r="F463" s="914" t="s">
        <v>2040</v>
      </c>
      <c r="G463" s="988" t="s">
        <v>2041</v>
      </c>
      <c r="H463" s="314" t="s">
        <v>853</v>
      </c>
      <c r="L463" s="1071" t="s">
        <v>2214</v>
      </c>
      <c r="M463" s="970" t="s">
        <v>1553</v>
      </c>
      <c r="N463" s="2"/>
      <c r="Q463" s="1072"/>
    </row>
    <row r="464" spans="1:17" ht="29" x14ac:dyDescent="0.35">
      <c r="A464" s="914" t="s">
        <v>2042</v>
      </c>
      <c r="B464" s="659"/>
      <c r="C464" s="660" t="s">
        <v>617</v>
      </c>
      <c r="D464" s="390" t="s">
        <v>2042</v>
      </c>
      <c r="E464" s="914" t="s">
        <v>2042</v>
      </c>
      <c r="F464" s="914" t="s">
        <v>2042</v>
      </c>
      <c r="G464" s="988" t="s">
        <v>2043</v>
      </c>
      <c r="H464" s="314" t="s">
        <v>853</v>
      </c>
      <c r="L464" s="691" t="s">
        <v>1554</v>
      </c>
      <c r="M464" s="687" t="s">
        <v>1555</v>
      </c>
      <c r="N464" s="686" t="s">
        <v>440</v>
      </c>
    </row>
    <row r="465" spans="1:14" ht="29" x14ac:dyDescent="0.35">
      <c r="A465" s="914" t="s">
        <v>2044</v>
      </c>
      <c r="B465" s="659"/>
      <c r="C465" s="660" t="s">
        <v>617</v>
      </c>
      <c r="D465" s="390" t="s">
        <v>2044</v>
      </c>
      <c r="E465" s="914" t="s">
        <v>2044</v>
      </c>
      <c r="F465" s="914" t="s">
        <v>2044</v>
      </c>
      <c r="G465" s="988" t="s">
        <v>2045</v>
      </c>
      <c r="H465" s="314" t="s">
        <v>853</v>
      </c>
      <c r="L465" s="912" t="s">
        <v>1556</v>
      </c>
      <c r="M465" s="951" t="s">
        <v>1557</v>
      </c>
      <c r="N465" s="686" t="s">
        <v>440</v>
      </c>
    </row>
    <row r="466" spans="1:14" ht="29" x14ac:dyDescent="0.35">
      <c r="A466" s="914" t="s">
        <v>2046</v>
      </c>
      <c r="B466" s="659"/>
      <c r="C466" s="661" t="s">
        <v>2013</v>
      </c>
      <c r="D466" s="390" t="s">
        <v>2046</v>
      </c>
      <c r="E466" s="914" t="s">
        <v>2046</v>
      </c>
      <c r="F466" s="914" t="s">
        <v>2046</v>
      </c>
      <c r="G466" s="989" t="s">
        <v>2047</v>
      </c>
      <c r="H466" s="314" t="s">
        <v>853</v>
      </c>
      <c r="L466" s="912" t="s">
        <v>1558</v>
      </c>
      <c r="M466" s="951" t="s">
        <v>1559</v>
      </c>
      <c r="N466" s="686" t="s">
        <v>440</v>
      </c>
    </row>
    <row r="467" spans="1:14" ht="29.5" thickBot="1" x14ac:dyDescent="0.4">
      <c r="A467" s="924" t="s">
        <v>2048</v>
      </c>
      <c r="B467" s="666"/>
      <c r="C467" s="667" t="s">
        <v>2015</v>
      </c>
      <c r="D467" s="403" t="s">
        <v>2048</v>
      </c>
      <c r="E467" s="924" t="s">
        <v>2048</v>
      </c>
      <c r="F467" s="924" t="s">
        <v>2048</v>
      </c>
      <c r="G467" s="990" t="s">
        <v>2049</v>
      </c>
      <c r="L467" s="912" t="s">
        <v>1560</v>
      </c>
      <c r="M467" s="951" t="s">
        <v>1561</v>
      </c>
      <c r="N467" s="686" t="s">
        <v>440</v>
      </c>
    </row>
    <row r="468" spans="1:14" ht="29" x14ac:dyDescent="0.35">
      <c r="A468" s="739" t="s">
        <v>2050</v>
      </c>
      <c r="B468" s="413"/>
      <c r="C468" s="663" t="s">
        <v>2050</v>
      </c>
      <c r="D468" s="663" t="s">
        <v>2050</v>
      </c>
      <c r="E468" s="739" t="s">
        <v>2050</v>
      </c>
      <c r="F468" s="739" t="s">
        <v>2050</v>
      </c>
      <c r="G468" s="740" t="s">
        <v>2051</v>
      </c>
      <c r="L468" s="912" t="s">
        <v>1562</v>
      </c>
      <c r="M468" s="951" t="s">
        <v>1563</v>
      </c>
      <c r="N468" s="686" t="s">
        <v>440</v>
      </c>
    </row>
    <row r="469" spans="1:14" x14ac:dyDescent="0.35">
      <c r="A469" s="741" t="s">
        <v>2052</v>
      </c>
      <c r="B469" s="547"/>
      <c r="C469" s="664" t="s">
        <v>2052</v>
      </c>
      <c r="D469" s="664" t="s">
        <v>2052</v>
      </c>
      <c r="E469" s="741" t="s">
        <v>2052</v>
      </c>
      <c r="F469" s="741" t="s">
        <v>2052</v>
      </c>
      <c r="G469" s="742" t="s">
        <v>2053</v>
      </c>
      <c r="L469" s="912" t="s">
        <v>1564</v>
      </c>
      <c r="M469" s="951" t="s">
        <v>1565</v>
      </c>
      <c r="N469" s="686" t="s">
        <v>440</v>
      </c>
    </row>
    <row r="470" spans="1:14" ht="29" x14ac:dyDescent="0.35">
      <c r="A470" s="741" t="s">
        <v>2054</v>
      </c>
      <c r="B470" s="547"/>
      <c r="C470" s="664" t="s">
        <v>2054</v>
      </c>
      <c r="D470" s="664" t="s">
        <v>2054</v>
      </c>
      <c r="E470" s="741" t="s">
        <v>2054</v>
      </c>
      <c r="F470" s="741" t="s">
        <v>2054</v>
      </c>
      <c r="G470" s="742" t="s">
        <v>2055</v>
      </c>
      <c r="H470" s="3" t="s">
        <v>440</v>
      </c>
      <c r="L470" s="912" t="s">
        <v>1566</v>
      </c>
      <c r="M470" s="951" t="s">
        <v>1567</v>
      </c>
      <c r="N470" s="686" t="s">
        <v>440</v>
      </c>
    </row>
    <row r="471" spans="1:14" ht="29" x14ac:dyDescent="0.35">
      <c r="A471" s="741" t="s">
        <v>2056</v>
      </c>
      <c r="B471" s="547"/>
      <c r="C471" s="664" t="s">
        <v>2056</v>
      </c>
      <c r="D471" s="664" t="s">
        <v>2056</v>
      </c>
      <c r="E471" s="741" t="s">
        <v>2056</v>
      </c>
      <c r="F471" s="741" t="s">
        <v>2056</v>
      </c>
      <c r="G471" s="742" t="s">
        <v>2057</v>
      </c>
      <c r="L471" s="912" t="s">
        <v>1568</v>
      </c>
      <c r="M471" s="951" t="s">
        <v>1569</v>
      </c>
      <c r="N471" s="686" t="s">
        <v>440</v>
      </c>
    </row>
    <row r="472" spans="1:14" ht="29" x14ac:dyDescent="0.35">
      <c r="A472" s="741" t="s">
        <v>2058</v>
      </c>
      <c r="B472" s="547"/>
      <c r="C472" s="664" t="s">
        <v>2058</v>
      </c>
      <c r="D472" s="664" t="s">
        <v>2058</v>
      </c>
      <c r="E472" s="741" t="s">
        <v>2058</v>
      </c>
      <c r="F472" s="741" t="s">
        <v>2058</v>
      </c>
      <c r="G472" s="742" t="s">
        <v>2059</v>
      </c>
      <c r="H472" t="s">
        <v>440</v>
      </c>
      <c r="L472" s="912" t="s">
        <v>1570</v>
      </c>
      <c r="M472" s="951" t="s">
        <v>1571</v>
      </c>
      <c r="N472" s="686" t="s">
        <v>440</v>
      </c>
    </row>
    <row r="473" spans="1:14" x14ac:dyDescent="0.35">
      <c r="A473" s="741" t="s">
        <v>2060</v>
      </c>
      <c r="B473" s="547"/>
      <c r="C473" s="664" t="s">
        <v>2060</v>
      </c>
      <c r="D473" s="664" t="s">
        <v>2060</v>
      </c>
      <c r="E473" s="741" t="s">
        <v>2060</v>
      </c>
      <c r="F473" s="741" t="s">
        <v>2060</v>
      </c>
      <c r="G473" s="742" t="s">
        <v>2061</v>
      </c>
      <c r="L473" s="912" t="s">
        <v>1572</v>
      </c>
      <c r="M473" s="951" t="s">
        <v>1573</v>
      </c>
      <c r="N473" s="686" t="s">
        <v>440</v>
      </c>
    </row>
    <row r="474" spans="1:14" ht="29" x14ac:dyDescent="0.35">
      <c r="A474" s="741" t="s">
        <v>2062</v>
      </c>
      <c r="B474" s="547"/>
      <c r="C474" s="664" t="s">
        <v>2062</v>
      </c>
      <c r="D474" s="664" t="s">
        <v>2062</v>
      </c>
      <c r="E474" s="741" t="s">
        <v>2062</v>
      </c>
      <c r="F474" s="741" t="s">
        <v>2062</v>
      </c>
      <c r="G474" s="742" t="s">
        <v>2063</v>
      </c>
      <c r="H474" t="s">
        <v>440</v>
      </c>
      <c r="L474" s="912" t="s">
        <v>1574</v>
      </c>
      <c r="M474" s="951" t="s">
        <v>1575</v>
      </c>
      <c r="N474" s="686" t="s">
        <v>440</v>
      </c>
    </row>
    <row r="475" spans="1:14" ht="29" x14ac:dyDescent="0.35">
      <c r="A475" s="741" t="s">
        <v>2064</v>
      </c>
      <c r="B475" s="547"/>
      <c r="C475" s="664" t="s">
        <v>2064</v>
      </c>
      <c r="D475" s="664" t="s">
        <v>2064</v>
      </c>
      <c r="E475" s="741" t="s">
        <v>2064</v>
      </c>
      <c r="F475" s="741" t="s">
        <v>2064</v>
      </c>
      <c r="G475" s="742" t="s">
        <v>2065</v>
      </c>
      <c r="H475" t="s">
        <v>440</v>
      </c>
      <c r="L475" s="912" t="s">
        <v>1576</v>
      </c>
      <c r="M475" s="951" t="s">
        <v>1577</v>
      </c>
      <c r="N475" s="686" t="s">
        <v>440</v>
      </c>
    </row>
    <row r="476" spans="1:14" ht="29" x14ac:dyDescent="0.35">
      <c r="A476" s="743" t="s">
        <v>2066</v>
      </c>
      <c r="B476" s="547"/>
      <c r="C476" s="665" t="s">
        <v>2066</v>
      </c>
      <c r="D476" s="665" t="s">
        <v>2066</v>
      </c>
      <c r="E476" s="743" t="s">
        <v>2066</v>
      </c>
      <c r="F476" s="743" t="s">
        <v>2066</v>
      </c>
      <c r="G476" s="742" t="s">
        <v>2067</v>
      </c>
      <c r="H476" t="s">
        <v>440</v>
      </c>
      <c r="L476" s="912" t="s">
        <v>1578</v>
      </c>
      <c r="M476" s="951" t="s">
        <v>1579</v>
      </c>
      <c r="N476" s="686" t="s">
        <v>440</v>
      </c>
    </row>
    <row r="477" spans="1:14" x14ac:dyDescent="0.35">
      <c r="A477" s="743" t="s">
        <v>2068</v>
      </c>
      <c r="B477" s="547"/>
      <c r="C477" s="665" t="s">
        <v>2068</v>
      </c>
      <c r="D477" s="665" t="s">
        <v>2068</v>
      </c>
      <c r="E477" s="743" t="s">
        <v>2068</v>
      </c>
      <c r="F477" s="743" t="s">
        <v>2068</v>
      </c>
      <c r="G477" s="742" t="s">
        <v>2069</v>
      </c>
      <c r="H477" t="s">
        <v>440</v>
      </c>
      <c r="L477" s="691" t="s">
        <v>1580</v>
      </c>
      <c r="M477" s="235" t="s">
        <v>1581</v>
      </c>
      <c r="N477" s="2"/>
    </row>
    <row r="478" spans="1:14" ht="29" x14ac:dyDescent="0.35">
      <c r="A478" s="743" t="s">
        <v>2070</v>
      </c>
      <c r="B478" s="547"/>
      <c r="C478" s="665" t="s">
        <v>2070</v>
      </c>
      <c r="D478" s="665" t="s">
        <v>2070</v>
      </c>
      <c r="E478" s="743" t="s">
        <v>2070</v>
      </c>
      <c r="F478" s="743" t="s">
        <v>2070</v>
      </c>
      <c r="G478" s="742" t="s">
        <v>2071</v>
      </c>
      <c r="H478" t="s">
        <v>440</v>
      </c>
      <c r="L478" s="691" t="s">
        <v>1582</v>
      </c>
      <c r="M478" s="679" t="s">
        <v>1583</v>
      </c>
      <c r="N478" s="686" t="s">
        <v>440</v>
      </c>
    </row>
    <row r="479" spans="1:14" ht="29" x14ac:dyDescent="0.35">
      <c r="A479" s="743" t="s">
        <v>2072</v>
      </c>
      <c r="B479" s="547"/>
      <c r="C479" s="665" t="s">
        <v>2072</v>
      </c>
      <c r="D479" s="665" t="s">
        <v>2072</v>
      </c>
      <c r="E479" s="743" t="s">
        <v>2072</v>
      </c>
      <c r="F479" s="743" t="s">
        <v>2072</v>
      </c>
      <c r="G479" s="742" t="s">
        <v>2073</v>
      </c>
      <c r="H479" t="s">
        <v>440</v>
      </c>
      <c r="L479" s="691" t="s">
        <v>1584</v>
      </c>
      <c r="M479" s="679" t="s">
        <v>1586</v>
      </c>
      <c r="N479" s="686" t="s">
        <v>440</v>
      </c>
    </row>
    <row r="480" spans="1:14" ht="29" x14ac:dyDescent="0.35">
      <c r="A480" s="743" t="s">
        <v>2074</v>
      </c>
      <c r="B480" s="547"/>
      <c r="C480" s="665" t="s">
        <v>2074</v>
      </c>
      <c r="D480" s="665" t="s">
        <v>2074</v>
      </c>
      <c r="E480" s="743" t="s">
        <v>2074</v>
      </c>
      <c r="F480" s="743" t="s">
        <v>2074</v>
      </c>
      <c r="G480" s="742" t="s">
        <v>2075</v>
      </c>
      <c r="H480" t="s">
        <v>440</v>
      </c>
      <c r="L480" s="912" t="s">
        <v>1587</v>
      </c>
      <c r="M480" s="692" t="s">
        <v>1589</v>
      </c>
      <c r="N480" s="686" t="s">
        <v>440</v>
      </c>
    </row>
    <row r="481" spans="1:14" ht="29" x14ac:dyDescent="0.35">
      <c r="A481" s="743" t="s">
        <v>2076</v>
      </c>
      <c r="B481" s="547"/>
      <c r="C481" s="665" t="s">
        <v>2076</v>
      </c>
      <c r="D481" s="665" t="s">
        <v>2076</v>
      </c>
      <c r="E481" s="743" t="s">
        <v>2076</v>
      </c>
      <c r="F481" s="743" t="s">
        <v>2076</v>
      </c>
      <c r="G481" s="742" t="s">
        <v>2077</v>
      </c>
      <c r="H481" t="s">
        <v>440</v>
      </c>
      <c r="L481" s="912" t="s">
        <v>1590</v>
      </c>
      <c r="M481" s="692" t="s">
        <v>1592</v>
      </c>
      <c r="N481" s="686" t="s">
        <v>440</v>
      </c>
    </row>
    <row r="482" spans="1:14" x14ac:dyDescent="0.35">
      <c r="A482" s="743" t="s">
        <v>2078</v>
      </c>
      <c r="B482" s="547"/>
      <c r="C482" s="665" t="s">
        <v>2078</v>
      </c>
      <c r="D482" s="665" t="s">
        <v>2078</v>
      </c>
      <c r="E482" s="743" t="s">
        <v>2078</v>
      </c>
      <c r="F482" s="743" t="s">
        <v>2078</v>
      </c>
      <c r="G482" s="742" t="s">
        <v>2079</v>
      </c>
      <c r="H482" t="s">
        <v>440</v>
      </c>
      <c r="L482" s="912" t="s">
        <v>1593</v>
      </c>
      <c r="M482" s="692" t="s">
        <v>1595</v>
      </c>
      <c r="N482" s="686" t="s">
        <v>440</v>
      </c>
    </row>
    <row r="483" spans="1:14" ht="29" x14ac:dyDescent="0.35">
      <c r="A483" s="743" t="s">
        <v>2080</v>
      </c>
      <c r="B483" s="547"/>
      <c r="C483" s="665" t="s">
        <v>2080</v>
      </c>
      <c r="D483" s="665" t="s">
        <v>2080</v>
      </c>
      <c r="E483" s="743" t="s">
        <v>2080</v>
      </c>
      <c r="F483" s="743" t="s">
        <v>2080</v>
      </c>
      <c r="G483" s="742" t="s">
        <v>2081</v>
      </c>
      <c r="H483" t="s">
        <v>440</v>
      </c>
      <c r="L483" s="912" t="s">
        <v>1596</v>
      </c>
      <c r="M483" s="692" t="s">
        <v>1598</v>
      </c>
      <c r="N483" s="686" t="s">
        <v>440</v>
      </c>
    </row>
    <row r="484" spans="1:14" ht="29" x14ac:dyDescent="0.35">
      <c r="A484" s="743" t="s">
        <v>2082</v>
      </c>
      <c r="B484" s="547"/>
      <c r="C484" s="665" t="s">
        <v>2082</v>
      </c>
      <c r="D484" s="665" t="s">
        <v>2082</v>
      </c>
      <c r="E484" s="743" t="s">
        <v>2082</v>
      </c>
      <c r="F484" s="743" t="s">
        <v>2082</v>
      </c>
      <c r="G484" s="742" t="s">
        <v>2083</v>
      </c>
      <c r="L484" s="912" t="s">
        <v>1599</v>
      </c>
      <c r="M484" s="692" t="s">
        <v>1601</v>
      </c>
      <c r="N484" s="686" t="s">
        <v>440</v>
      </c>
    </row>
    <row r="485" spans="1:14" ht="29" x14ac:dyDescent="0.35">
      <c r="A485" s="743" t="s">
        <v>2084</v>
      </c>
      <c r="B485" s="547"/>
      <c r="C485" s="665" t="s">
        <v>2084</v>
      </c>
      <c r="D485" s="665" t="s">
        <v>2084</v>
      </c>
      <c r="E485" s="743" t="s">
        <v>2084</v>
      </c>
      <c r="F485" s="743" t="s">
        <v>2084</v>
      </c>
      <c r="G485" s="991" t="s">
        <v>2085</v>
      </c>
      <c r="H485" t="s">
        <v>440</v>
      </c>
      <c r="L485" s="912" t="s">
        <v>1602</v>
      </c>
      <c r="M485" s="692" t="s">
        <v>1604</v>
      </c>
      <c r="N485" s="686" t="s">
        <v>440</v>
      </c>
    </row>
    <row r="486" spans="1:14" ht="29" x14ac:dyDescent="0.35">
      <c r="A486" s="743" t="s">
        <v>2086</v>
      </c>
      <c r="B486" s="547"/>
      <c r="C486" s="665" t="s">
        <v>2086</v>
      </c>
      <c r="D486" s="665" t="s">
        <v>2086</v>
      </c>
      <c r="E486" s="743" t="s">
        <v>2086</v>
      </c>
      <c r="F486" s="743" t="s">
        <v>2086</v>
      </c>
      <c r="G486" s="742" t="s">
        <v>2087</v>
      </c>
      <c r="L486" s="912" t="s">
        <v>1605</v>
      </c>
      <c r="M486" s="692" t="s">
        <v>1607</v>
      </c>
      <c r="N486" s="686" t="s">
        <v>440</v>
      </c>
    </row>
    <row r="487" spans="1:14" ht="29" x14ac:dyDescent="0.35">
      <c r="A487" s="743" t="s">
        <v>2088</v>
      </c>
      <c r="B487" s="547"/>
      <c r="C487" s="665" t="s">
        <v>2088</v>
      </c>
      <c r="D487" s="665" t="s">
        <v>2088</v>
      </c>
      <c r="E487" s="743" t="s">
        <v>2088</v>
      </c>
      <c r="F487" s="743" t="s">
        <v>2088</v>
      </c>
      <c r="G487" s="742" t="s">
        <v>2089</v>
      </c>
      <c r="H487" t="s">
        <v>440</v>
      </c>
      <c r="L487" s="912" t="s">
        <v>1608</v>
      </c>
      <c r="M487" s="692" t="s">
        <v>1610</v>
      </c>
      <c r="N487" s="686" t="s">
        <v>440</v>
      </c>
    </row>
    <row r="488" spans="1:14" x14ac:dyDescent="0.35">
      <c r="A488" s="743" t="s">
        <v>2090</v>
      </c>
      <c r="B488" s="547"/>
      <c r="C488" s="665" t="s">
        <v>2090</v>
      </c>
      <c r="D488" s="665" t="s">
        <v>2090</v>
      </c>
      <c r="E488" s="743" t="s">
        <v>2090</v>
      </c>
      <c r="F488" s="743" t="s">
        <v>2090</v>
      </c>
      <c r="G488" s="742" t="s">
        <v>2091</v>
      </c>
      <c r="L488" s="912" t="s">
        <v>1611</v>
      </c>
      <c r="M488" s="692" t="s">
        <v>1613</v>
      </c>
      <c r="N488" s="686" t="s">
        <v>440</v>
      </c>
    </row>
    <row r="489" spans="1:14" x14ac:dyDescent="0.35">
      <c r="A489" s="743" t="s">
        <v>2092</v>
      </c>
      <c r="B489" s="547"/>
      <c r="C489" s="665" t="s">
        <v>2092</v>
      </c>
      <c r="D489" s="665" t="s">
        <v>2092</v>
      </c>
      <c r="E489" s="743" t="s">
        <v>2092</v>
      </c>
      <c r="F489" s="743" t="s">
        <v>2092</v>
      </c>
      <c r="G489" s="742" t="s">
        <v>2093</v>
      </c>
      <c r="L489" s="912" t="s">
        <v>1614</v>
      </c>
      <c r="M489" s="692" t="s">
        <v>1616</v>
      </c>
      <c r="N489" s="686" t="s">
        <v>440</v>
      </c>
    </row>
    <row r="490" spans="1:14" x14ac:dyDescent="0.35">
      <c r="A490" s="914" t="s">
        <v>2094</v>
      </c>
      <c r="B490" s="547"/>
      <c r="C490" s="390" t="s">
        <v>617</v>
      </c>
      <c r="D490" s="390" t="s">
        <v>2094</v>
      </c>
      <c r="E490" s="914" t="s">
        <v>2094</v>
      </c>
      <c r="F490" s="914" t="s">
        <v>2094</v>
      </c>
      <c r="G490" s="742" t="s">
        <v>2095</v>
      </c>
      <c r="H490" t="s">
        <v>440</v>
      </c>
      <c r="L490" s="912" t="s">
        <v>1617</v>
      </c>
      <c r="M490" s="692" t="s">
        <v>1619</v>
      </c>
      <c r="N490" s="686" t="s">
        <v>440</v>
      </c>
    </row>
    <row r="491" spans="1:14" ht="29" x14ac:dyDescent="0.35">
      <c r="A491" s="741" t="s">
        <v>2096</v>
      </c>
      <c r="B491" s="547"/>
      <c r="C491" s="664" t="s">
        <v>2096</v>
      </c>
      <c r="D491" s="664" t="s">
        <v>2096</v>
      </c>
      <c r="E491" s="741" t="s">
        <v>2096</v>
      </c>
      <c r="F491" s="741" t="s">
        <v>2096</v>
      </c>
      <c r="G491" s="742" t="s">
        <v>903</v>
      </c>
      <c r="L491" s="912" t="s">
        <v>1620</v>
      </c>
      <c r="M491" s="692" t="s">
        <v>1622</v>
      </c>
      <c r="N491" s="686" t="s">
        <v>440</v>
      </c>
    </row>
    <row r="492" spans="1:14" ht="29" x14ac:dyDescent="0.35">
      <c r="A492" s="741" t="s">
        <v>2097</v>
      </c>
      <c r="B492" s="547"/>
      <c r="C492" s="664" t="s">
        <v>2097</v>
      </c>
      <c r="D492" s="664" t="s">
        <v>2097</v>
      </c>
      <c r="E492" s="741" t="s">
        <v>2097</v>
      </c>
      <c r="F492" s="741" t="s">
        <v>2097</v>
      </c>
      <c r="G492" s="742" t="s">
        <v>389</v>
      </c>
      <c r="H492" t="s">
        <v>853</v>
      </c>
      <c r="L492" s="912" t="s">
        <v>1623</v>
      </c>
      <c r="M492" s="692" t="s">
        <v>1625</v>
      </c>
      <c r="N492" s="686" t="s">
        <v>440</v>
      </c>
    </row>
    <row r="493" spans="1:14" x14ac:dyDescent="0.35">
      <c r="A493" s="741" t="s">
        <v>2098</v>
      </c>
      <c r="B493" s="547"/>
      <c r="C493" s="664" t="s">
        <v>2098</v>
      </c>
      <c r="D493" s="664" t="s">
        <v>2098</v>
      </c>
      <c r="E493" s="741" t="s">
        <v>2098</v>
      </c>
      <c r="F493" s="741" t="s">
        <v>2098</v>
      </c>
      <c r="G493" s="742" t="s">
        <v>1006</v>
      </c>
      <c r="L493" s="912" t="s">
        <v>1626</v>
      </c>
      <c r="M493" s="692" t="s">
        <v>1628</v>
      </c>
      <c r="N493" s="686" t="s">
        <v>440</v>
      </c>
    </row>
    <row r="494" spans="1:14" ht="29" x14ac:dyDescent="0.35">
      <c r="A494" s="741" t="s">
        <v>2099</v>
      </c>
      <c r="B494" s="547"/>
      <c r="C494" s="664" t="s">
        <v>2099</v>
      </c>
      <c r="D494" s="664" t="s">
        <v>2099</v>
      </c>
      <c r="E494" s="741" t="s">
        <v>2099</v>
      </c>
      <c r="F494" s="741" t="s">
        <v>2099</v>
      </c>
      <c r="G494" s="742" t="s">
        <v>2100</v>
      </c>
      <c r="H494" t="s">
        <v>853</v>
      </c>
      <c r="L494" s="691" t="s">
        <v>1629</v>
      </c>
      <c r="M494" s="702" t="s">
        <v>1631</v>
      </c>
      <c r="N494" s="2"/>
    </row>
    <row r="495" spans="1:14" x14ac:dyDescent="0.35">
      <c r="A495" s="741" t="s">
        <v>2101</v>
      </c>
      <c r="B495" s="547"/>
      <c r="C495" s="664" t="s">
        <v>2101</v>
      </c>
      <c r="D495" s="664" t="s">
        <v>2101</v>
      </c>
      <c r="E495" s="741" t="s">
        <v>2101</v>
      </c>
      <c r="F495" s="741" t="s">
        <v>2101</v>
      </c>
      <c r="G495" s="742" t="s">
        <v>1049</v>
      </c>
      <c r="L495" s="912" t="s">
        <v>1632</v>
      </c>
      <c r="M495" s="970" t="s">
        <v>1633</v>
      </c>
      <c r="N495" s="2"/>
    </row>
    <row r="496" spans="1:14" x14ac:dyDescent="0.35">
      <c r="A496" s="741" t="s">
        <v>2102</v>
      </c>
      <c r="B496" s="547"/>
      <c r="C496" s="664" t="s">
        <v>2102</v>
      </c>
      <c r="D496" s="664" t="s">
        <v>2102</v>
      </c>
      <c r="E496" s="741" t="s">
        <v>2102</v>
      </c>
      <c r="F496" s="741" t="s">
        <v>2102</v>
      </c>
      <c r="G496" s="742" t="s">
        <v>397</v>
      </c>
      <c r="H496" t="s">
        <v>853</v>
      </c>
      <c r="L496" s="912" t="s">
        <v>1634</v>
      </c>
      <c r="M496" s="951" t="s">
        <v>1635</v>
      </c>
      <c r="N496" s="2"/>
    </row>
    <row r="497" spans="1:14" ht="29" x14ac:dyDescent="0.35">
      <c r="A497" s="741" t="s">
        <v>2103</v>
      </c>
      <c r="B497" s="547"/>
      <c r="C497" s="664" t="s">
        <v>2103</v>
      </c>
      <c r="D497" s="664" t="s">
        <v>2103</v>
      </c>
      <c r="E497" s="741" t="s">
        <v>2103</v>
      </c>
      <c r="F497" s="741" t="s">
        <v>2103</v>
      </c>
      <c r="G497" s="742" t="s">
        <v>2104</v>
      </c>
      <c r="H497" t="s">
        <v>440</v>
      </c>
      <c r="L497" s="912" t="s">
        <v>1636</v>
      </c>
      <c r="M497" s="951" t="s">
        <v>1637</v>
      </c>
      <c r="N497" s="2"/>
    </row>
    <row r="498" spans="1:14" x14ac:dyDescent="0.35">
      <c r="A498" s="741" t="s">
        <v>2105</v>
      </c>
      <c r="B498" s="547"/>
      <c r="C498" s="664" t="s">
        <v>2105</v>
      </c>
      <c r="D498" s="664" t="s">
        <v>2105</v>
      </c>
      <c r="E498" s="741" t="s">
        <v>2105</v>
      </c>
      <c r="F498" s="741" t="s">
        <v>2105</v>
      </c>
      <c r="G498" s="742" t="s">
        <v>1112</v>
      </c>
      <c r="L498" s="912" t="s">
        <v>1638</v>
      </c>
      <c r="M498" s="951" t="s">
        <v>1639</v>
      </c>
      <c r="N498" s="2"/>
    </row>
    <row r="499" spans="1:14" x14ac:dyDescent="0.35">
      <c r="A499" s="743" t="s">
        <v>2106</v>
      </c>
      <c r="B499" s="547"/>
      <c r="C499" s="665" t="s">
        <v>2106</v>
      </c>
      <c r="D499" s="665" t="s">
        <v>2106</v>
      </c>
      <c r="E499" s="743" t="s">
        <v>2106</v>
      </c>
      <c r="F499" s="743" t="s">
        <v>2106</v>
      </c>
      <c r="G499" s="742" t="s">
        <v>1117</v>
      </c>
      <c r="L499" s="912" t="s">
        <v>1640</v>
      </c>
      <c r="M499" s="951" t="s">
        <v>1641</v>
      </c>
      <c r="N499" s="2"/>
    </row>
    <row r="500" spans="1:14" x14ac:dyDescent="0.35">
      <c r="A500" s="743" t="s">
        <v>2107</v>
      </c>
      <c r="B500" s="547"/>
      <c r="C500" s="665" t="s">
        <v>2107</v>
      </c>
      <c r="D500" s="665" t="s">
        <v>2107</v>
      </c>
      <c r="E500" s="743" t="s">
        <v>2107</v>
      </c>
      <c r="F500" s="743" t="s">
        <v>2107</v>
      </c>
      <c r="G500" s="742" t="s">
        <v>1122</v>
      </c>
      <c r="L500" s="912" t="s">
        <v>1642</v>
      </c>
      <c r="M500" s="951" t="s">
        <v>1643</v>
      </c>
      <c r="N500" s="2"/>
    </row>
    <row r="501" spans="1:14" ht="29" x14ac:dyDescent="0.35">
      <c r="A501" s="743" t="s">
        <v>2108</v>
      </c>
      <c r="B501" s="547"/>
      <c r="C501" s="665" t="s">
        <v>2108</v>
      </c>
      <c r="D501" s="665" t="s">
        <v>2108</v>
      </c>
      <c r="E501" s="743" t="s">
        <v>2108</v>
      </c>
      <c r="F501" s="743" t="s">
        <v>2108</v>
      </c>
      <c r="G501" s="742" t="s">
        <v>1127</v>
      </c>
      <c r="L501" s="912" t="s">
        <v>1644</v>
      </c>
      <c r="M501" s="951" t="s">
        <v>1645</v>
      </c>
      <c r="N501" s="2"/>
    </row>
    <row r="502" spans="1:14" x14ac:dyDescent="0.35">
      <c r="A502" s="743" t="s">
        <v>2109</v>
      </c>
      <c r="B502" s="547"/>
      <c r="C502" s="665" t="s">
        <v>2109</v>
      </c>
      <c r="D502" s="665" t="s">
        <v>2109</v>
      </c>
      <c r="E502" s="743" t="s">
        <v>2109</v>
      </c>
      <c r="F502" s="743" t="s">
        <v>2109</v>
      </c>
      <c r="G502" s="742" t="s">
        <v>1132</v>
      </c>
      <c r="L502" s="912" t="s">
        <v>1646</v>
      </c>
      <c r="M502" s="951" t="s">
        <v>1647</v>
      </c>
      <c r="N502" s="2"/>
    </row>
    <row r="503" spans="1:14" x14ac:dyDescent="0.35">
      <c r="A503" s="741" t="s">
        <v>2110</v>
      </c>
      <c r="B503" s="547"/>
      <c r="C503" s="664" t="s">
        <v>2110</v>
      </c>
      <c r="D503" s="664" t="s">
        <v>2110</v>
      </c>
      <c r="E503" s="741" t="s">
        <v>2110</v>
      </c>
      <c r="F503" s="741" t="s">
        <v>2110</v>
      </c>
      <c r="G503" s="742" t="s">
        <v>1136</v>
      </c>
      <c r="H503" t="s">
        <v>853</v>
      </c>
      <c r="L503" s="912" t="s">
        <v>1648</v>
      </c>
      <c r="M503" s="951" t="s">
        <v>1649</v>
      </c>
      <c r="N503" s="2"/>
    </row>
    <row r="504" spans="1:14" x14ac:dyDescent="0.35">
      <c r="A504" s="743" t="s">
        <v>2111</v>
      </c>
      <c r="B504" s="547"/>
      <c r="C504" s="665" t="s">
        <v>2111</v>
      </c>
      <c r="D504" s="665" t="s">
        <v>2111</v>
      </c>
      <c r="E504" s="743" t="s">
        <v>2111</v>
      </c>
      <c r="F504" s="743" t="s">
        <v>2111</v>
      </c>
      <c r="G504" s="742" t="s">
        <v>1140</v>
      </c>
      <c r="H504" t="s">
        <v>698</v>
      </c>
      <c r="L504" s="912" t="s">
        <v>1650</v>
      </c>
      <c r="M504" s="970" t="s">
        <v>1651</v>
      </c>
      <c r="N504" s="2"/>
    </row>
    <row r="505" spans="1:14" x14ac:dyDescent="0.35">
      <c r="A505" s="743" t="s">
        <v>2112</v>
      </c>
      <c r="B505" s="547"/>
      <c r="C505" s="665" t="s">
        <v>2112</v>
      </c>
      <c r="D505" s="665" t="s">
        <v>2112</v>
      </c>
      <c r="E505" s="743" t="s">
        <v>2112</v>
      </c>
      <c r="F505" s="743" t="s">
        <v>2112</v>
      </c>
      <c r="G505" s="742" t="s">
        <v>1144</v>
      </c>
      <c r="H505" t="s">
        <v>698</v>
      </c>
      <c r="L505" s="912" t="s">
        <v>1652</v>
      </c>
      <c r="M505" s="970" t="s">
        <v>1653</v>
      </c>
      <c r="N505" s="2"/>
    </row>
    <row r="506" spans="1:14" ht="29" x14ac:dyDescent="0.35">
      <c r="A506" s="743" t="s">
        <v>2113</v>
      </c>
      <c r="B506" s="547"/>
      <c r="C506" s="665" t="s">
        <v>2113</v>
      </c>
      <c r="D506" s="665" t="s">
        <v>2113</v>
      </c>
      <c r="E506" s="743" t="s">
        <v>2113</v>
      </c>
      <c r="F506" s="743" t="s">
        <v>2113</v>
      </c>
      <c r="G506" s="742" t="s">
        <v>1148</v>
      </c>
      <c r="H506" t="s">
        <v>853</v>
      </c>
      <c r="L506" s="691" t="s">
        <v>1654</v>
      </c>
      <c r="M506" s="687" t="s">
        <v>1655</v>
      </c>
      <c r="N506" s="686" t="s">
        <v>440</v>
      </c>
    </row>
    <row r="507" spans="1:14" x14ac:dyDescent="0.35">
      <c r="A507" s="743" t="s">
        <v>2114</v>
      </c>
      <c r="B507" s="547"/>
      <c r="C507" s="665" t="s">
        <v>2114</v>
      </c>
      <c r="D507" s="665" t="s">
        <v>2114</v>
      </c>
      <c r="E507" s="743" t="s">
        <v>2114</v>
      </c>
      <c r="F507" s="743" t="s">
        <v>2114</v>
      </c>
      <c r="G507" s="742" t="s">
        <v>1152</v>
      </c>
      <c r="H507" t="s">
        <v>853</v>
      </c>
      <c r="L507" s="912" t="s">
        <v>1656</v>
      </c>
      <c r="M507" s="951" t="s">
        <v>1657</v>
      </c>
      <c r="N507" s="686" t="s">
        <v>440</v>
      </c>
    </row>
    <row r="508" spans="1:14" ht="29" x14ac:dyDescent="0.35">
      <c r="A508" s="741" t="s">
        <v>2115</v>
      </c>
      <c r="B508" s="547"/>
      <c r="C508" s="664" t="s">
        <v>2115</v>
      </c>
      <c r="D508" s="664" t="s">
        <v>2115</v>
      </c>
      <c r="E508" s="741" t="s">
        <v>2115</v>
      </c>
      <c r="F508" s="741" t="s">
        <v>2115</v>
      </c>
      <c r="G508" s="742" t="s">
        <v>1157</v>
      </c>
      <c r="L508" s="912" t="s">
        <v>1658</v>
      </c>
      <c r="M508" s="951" t="s">
        <v>1659</v>
      </c>
      <c r="N508" s="686" t="s">
        <v>440</v>
      </c>
    </row>
    <row r="509" spans="1:14" ht="29" x14ac:dyDescent="0.35">
      <c r="A509" s="741" t="s">
        <v>2116</v>
      </c>
      <c r="B509" s="547"/>
      <c r="C509" s="664" t="s">
        <v>2116</v>
      </c>
      <c r="D509" s="664" t="s">
        <v>2116</v>
      </c>
      <c r="E509" s="741" t="s">
        <v>2116</v>
      </c>
      <c r="F509" s="741" t="s">
        <v>2116</v>
      </c>
      <c r="G509" s="742" t="s">
        <v>2117</v>
      </c>
      <c r="H509" t="s">
        <v>853</v>
      </c>
      <c r="L509" s="912" t="s">
        <v>1660</v>
      </c>
      <c r="M509" s="970" t="s">
        <v>1661</v>
      </c>
      <c r="N509" s="686" t="s">
        <v>440</v>
      </c>
    </row>
    <row r="510" spans="1:14" x14ac:dyDescent="0.35">
      <c r="A510" s="741" t="s">
        <v>2118</v>
      </c>
      <c r="B510" s="547"/>
      <c r="C510" s="664" t="s">
        <v>2118</v>
      </c>
      <c r="D510" s="664" t="s">
        <v>2118</v>
      </c>
      <c r="E510" s="741" t="s">
        <v>2118</v>
      </c>
      <c r="F510" s="741" t="s">
        <v>2118</v>
      </c>
      <c r="G510" s="742" t="s">
        <v>1168</v>
      </c>
      <c r="L510" s="912" t="s">
        <v>1662</v>
      </c>
      <c r="M510" s="951" t="s">
        <v>1663</v>
      </c>
      <c r="N510" s="686" t="s">
        <v>440</v>
      </c>
    </row>
    <row r="511" spans="1:14" ht="29" x14ac:dyDescent="0.35">
      <c r="A511" s="741" t="s">
        <v>2119</v>
      </c>
      <c r="B511" s="547"/>
      <c r="C511" s="664" t="s">
        <v>2119</v>
      </c>
      <c r="D511" s="664" t="s">
        <v>2119</v>
      </c>
      <c r="E511" s="741" t="s">
        <v>2119</v>
      </c>
      <c r="F511" s="741" t="s">
        <v>2119</v>
      </c>
      <c r="G511" s="742" t="s">
        <v>2120</v>
      </c>
      <c r="L511" s="912" t="s">
        <v>1664</v>
      </c>
      <c r="M511" s="951" t="s">
        <v>1665</v>
      </c>
      <c r="N511" s="686" t="s">
        <v>440</v>
      </c>
    </row>
    <row r="512" spans="1:14" x14ac:dyDescent="0.35">
      <c r="A512" s="741" t="s">
        <v>2121</v>
      </c>
      <c r="B512" s="547"/>
      <c r="C512" s="664" t="s">
        <v>2121</v>
      </c>
      <c r="D512" s="664" t="s">
        <v>2121</v>
      </c>
      <c r="E512" s="741" t="s">
        <v>2121</v>
      </c>
      <c r="F512" s="741" t="s">
        <v>2121</v>
      </c>
      <c r="G512" s="742" t="s">
        <v>1183</v>
      </c>
      <c r="L512" s="912" t="s">
        <v>1666</v>
      </c>
      <c r="M512" s="951" t="s">
        <v>1667</v>
      </c>
      <c r="N512" s="686" t="s">
        <v>440</v>
      </c>
    </row>
    <row r="513" spans="1:14" x14ac:dyDescent="0.35">
      <c r="A513" s="741" t="s">
        <v>2122</v>
      </c>
      <c r="B513" s="547"/>
      <c r="C513" s="664" t="s">
        <v>2122</v>
      </c>
      <c r="D513" s="664" t="s">
        <v>2122</v>
      </c>
      <c r="E513" s="741" t="s">
        <v>2122</v>
      </c>
      <c r="F513" s="741" t="s">
        <v>2122</v>
      </c>
      <c r="G513" s="742" t="s">
        <v>1188</v>
      </c>
      <c r="L513" s="912" t="s">
        <v>1668</v>
      </c>
      <c r="M513" s="951" t="s">
        <v>1669</v>
      </c>
      <c r="N513" s="686" t="s">
        <v>440</v>
      </c>
    </row>
    <row r="514" spans="1:14" ht="29" x14ac:dyDescent="0.35">
      <c r="A514" s="741" t="s">
        <v>2123</v>
      </c>
      <c r="B514" s="547"/>
      <c r="C514" s="664" t="s">
        <v>2123</v>
      </c>
      <c r="D514" s="664" t="s">
        <v>2123</v>
      </c>
      <c r="E514" s="741" t="s">
        <v>2123</v>
      </c>
      <c r="F514" s="741" t="s">
        <v>2123</v>
      </c>
      <c r="G514" s="742" t="s">
        <v>2124</v>
      </c>
      <c r="H514" t="s">
        <v>853</v>
      </c>
      <c r="L514" s="912" t="s">
        <v>1670</v>
      </c>
      <c r="M514" s="951" t="s">
        <v>1671</v>
      </c>
      <c r="N514" s="686" t="s">
        <v>440</v>
      </c>
    </row>
    <row r="515" spans="1:14" ht="29" x14ac:dyDescent="0.35">
      <c r="A515" s="741" t="s">
        <v>2125</v>
      </c>
      <c r="B515" s="547"/>
      <c r="C515" s="664" t="s">
        <v>2125</v>
      </c>
      <c r="D515" s="664" t="s">
        <v>2125</v>
      </c>
      <c r="E515" s="741" t="s">
        <v>2125</v>
      </c>
      <c r="F515" s="741" t="s">
        <v>2125</v>
      </c>
      <c r="G515" s="742" t="s">
        <v>2126</v>
      </c>
      <c r="L515" s="912" t="s">
        <v>1672</v>
      </c>
      <c r="M515" s="951" t="s">
        <v>1673</v>
      </c>
      <c r="N515" s="686" t="s">
        <v>440</v>
      </c>
    </row>
    <row r="516" spans="1:14" ht="29" x14ac:dyDescent="0.35">
      <c r="A516" s="741" t="s">
        <v>2127</v>
      </c>
      <c r="B516" s="547"/>
      <c r="C516" s="664" t="s">
        <v>2127</v>
      </c>
      <c r="D516" s="664" t="s">
        <v>2127</v>
      </c>
      <c r="E516" s="741" t="s">
        <v>2127</v>
      </c>
      <c r="F516" s="741" t="s">
        <v>2127</v>
      </c>
      <c r="G516" s="742" t="s">
        <v>2128</v>
      </c>
      <c r="H516" t="s">
        <v>440</v>
      </c>
      <c r="L516" s="912" t="s">
        <v>1674</v>
      </c>
      <c r="M516" s="951" t="s">
        <v>1675</v>
      </c>
      <c r="N516" s="686" t="s">
        <v>440</v>
      </c>
    </row>
    <row r="517" spans="1:14" ht="29" x14ac:dyDescent="0.35">
      <c r="A517" s="741" t="s">
        <v>2129</v>
      </c>
      <c r="B517" s="547"/>
      <c r="C517" s="664" t="s">
        <v>2129</v>
      </c>
      <c r="D517" s="664" t="s">
        <v>2129</v>
      </c>
      <c r="E517" s="741" t="s">
        <v>2129</v>
      </c>
      <c r="F517" s="741" t="s">
        <v>2129</v>
      </c>
      <c r="G517" s="742" t="s">
        <v>1692</v>
      </c>
      <c r="H517" t="s">
        <v>440</v>
      </c>
      <c r="L517" s="912" t="s">
        <v>1676</v>
      </c>
      <c r="M517" s="951" t="s">
        <v>1677</v>
      </c>
      <c r="N517" s="686" t="s">
        <v>440</v>
      </c>
    </row>
    <row r="518" spans="1:14" ht="29" x14ac:dyDescent="0.35">
      <c r="A518" s="741" t="s">
        <v>2130</v>
      </c>
      <c r="B518" s="547"/>
      <c r="C518" s="664" t="s">
        <v>2130</v>
      </c>
      <c r="D518" s="664" t="s">
        <v>2130</v>
      </c>
      <c r="E518" s="741" t="s">
        <v>2130</v>
      </c>
      <c r="F518" s="741" t="s">
        <v>2130</v>
      </c>
      <c r="G518" s="742" t="s">
        <v>1704</v>
      </c>
      <c r="H518" t="s">
        <v>440</v>
      </c>
      <c r="L518" s="691" t="s">
        <v>1678</v>
      </c>
      <c r="M518" s="702" t="s">
        <v>1679</v>
      </c>
      <c r="N518" s="2"/>
    </row>
    <row r="519" spans="1:14" x14ac:dyDescent="0.35">
      <c r="A519" s="743" t="s">
        <v>2131</v>
      </c>
      <c r="B519" s="547"/>
      <c r="C519" s="665" t="s">
        <v>2131</v>
      </c>
      <c r="D519" s="665" t="s">
        <v>2131</v>
      </c>
      <c r="E519" s="743" t="s">
        <v>2131</v>
      </c>
      <c r="F519" s="743" t="s">
        <v>2131</v>
      </c>
      <c r="G519" s="742" t="s">
        <v>1707</v>
      </c>
      <c r="H519" t="s">
        <v>440</v>
      </c>
      <c r="L519" s="912" t="s">
        <v>1680</v>
      </c>
      <c r="M519" s="992" t="s">
        <v>1681</v>
      </c>
      <c r="N519" s="2"/>
    </row>
    <row r="520" spans="1:14" x14ac:dyDescent="0.35">
      <c r="A520" s="743" t="s">
        <v>2132</v>
      </c>
      <c r="B520" s="547"/>
      <c r="C520" s="665" t="s">
        <v>2132</v>
      </c>
      <c r="D520" s="665" t="s">
        <v>2132</v>
      </c>
      <c r="E520" s="743" t="s">
        <v>2132</v>
      </c>
      <c r="F520" s="743" t="s">
        <v>2132</v>
      </c>
      <c r="G520" s="742" t="s">
        <v>1710</v>
      </c>
      <c r="H520" t="s">
        <v>440</v>
      </c>
      <c r="L520" s="912" t="s">
        <v>1682</v>
      </c>
      <c r="M520" s="992" t="s">
        <v>1683</v>
      </c>
      <c r="N520" s="2"/>
    </row>
    <row r="521" spans="1:14" x14ac:dyDescent="0.35">
      <c r="A521" s="741" t="s">
        <v>2133</v>
      </c>
      <c r="B521" s="547"/>
      <c r="C521" s="664" t="s">
        <v>2133</v>
      </c>
      <c r="D521" s="664" t="s">
        <v>2133</v>
      </c>
      <c r="E521" s="741" t="s">
        <v>2133</v>
      </c>
      <c r="F521" s="741" t="s">
        <v>2133</v>
      </c>
      <c r="G521" s="742" t="s">
        <v>1713</v>
      </c>
      <c r="H521" t="s">
        <v>440</v>
      </c>
      <c r="L521" s="691" t="s">
        <v>1684</v>
      </c>
      <c r="M521" s="702" t="s">
        <v>1685</v>
      </c>
      <c r="N521" s="686" t="s">
        <v>440</v>
      </c>
    </row>
    <row r="522" spans="1:14" x14ac:dyDescent="0.35">
      <c r="A522" s="741" t="s">
        <v>2134</v>
      </c>
      <c r="B522" s="547"/>
      <c r="C522" s="664" t="s">
        <v>2134</v>
      </c>
      <c r="D522" s="664" t="s">
        <v>2134</v>
      </c>
      <c r="E522" s="741" t="s">
        <v>2134</v>
      </c>
      <c r="F522" s="741" t="s">
        <v>2134</v>
      </c>
      <c r="G522" s="742" t="s">
        <v>1721</v>
      </c>
      <c r="L522" s="912" t="s">
        <v>1686</v>
      </c>
      <c r="M522" s="992" t="s">
        <v>1687</v>
      </c>
      <c r="N522" s="686" t="s">
        <v>440</v>
      </c>
    </row>
    <row r="523" spans="1:14" x14ac:dyDescent="0.35">
      <c r="A523" s="741" t="s">
        <v>2135</v>
      </c>
      <c r="B523" s="547"/>
      <c r="C523" s="664" t="s">
        <v>2135</v>
      </c>
      <c r="D523" s="664" t="s">
        <v>2135</v>
      </c>
      <c r="E523" s="741" t="s">
        <v>2135</v>
      </c>
      <c r="F523" s="741" t="s">
        <v>2135</v>
      </c>
      <c r="G523" s="742" t="s">
        <v>1723</v>
      </c>
      <c r="H523" t="s">
        <v>440</v>
      </c>
      <c r="L523" s="912" t="s">
        <v>1688</v>
      </c>
      <c r="M523" s="992" t="s">
        <v>1689</v>
      </c>
      <c r="N523" s="686" t="s">
        <v>440</v>
      </c>
    </row>
    <row r="524" spans="1:14" x14ac:dyDescent="0.35">
      <c r="A524" s="741" t="s">
        <v>2136</v>
      </c>
      <c r="B524" s="547"/>
      <c r="C524" s="664" t="s">
        <v>2136</v>
      </c>
      <c r="D524" s="664" t="s">
        <v>2136</v>
      </c>
      <c r="E524" s="741" t="s">
        <v>2136</v>
      </c>
      <c r="F524" s="741" t="s">
        <v>2136</v>
      </c>
      <c r="G524" s="742" t="s">
        <v>2137</v>
      </c>
      <c r="L524" s="912" t="s">
        <v>1690</v>
      </c>
      <c r="M524" s="956" t="s">
        <v>1691</v>
      </c>
      <c r="N524" s="686" t="s">
        <v>440</v>
      </c>
    </row>
    <row r="525" spans="1:14" ht="15" thickBot="1" x14ac:dyDescent="0.4">
      <c r="A525" s="744" t="s">
        <v>2138</v>
      </c>
      <c r="B525" s="668"/>
      <c r="C525" s="669" t="s">
        <v>2138</v>
      </c>
      <c r="D525" s="669" t="s">
        <v>2138</v>
      </c>
      <c r="E525" s="744" t="s">
        <v>2138</v>
      </c>
      <c r="F525" s="744" t="s">
        <v>2138</v>
      </c>
      <c r="G525" s="745" t="s">
        <v>2139</v>
      </c>
      <c r="H525" t="s">
        <v>440</v>
      </c>
      <c r="L525" s="691" t="s">
        <v>381</v>
      </c>
      <c r="M525" s="703" t="s">
        <v>1692</v>
      </c>
      <c r="N525" s="686" t="s">
        <v>440</v>
      </c>
    </row>
    <row r="526" spans="1:14" x14ac:dyDescent="0.35">
      <c r="L526" s="912" t="s">
        <v>1693</v>
      </c>
      <c r="M526" s="700" t="s">
        <v>1695</v>
      </c>
      <c r="N526" s="686" t="s">
        <v>440</v>
      </c>
    </row>
    <row r="527" spans="1:14" ht="29" x14ac:dyDescent="0.35">
      <c r="L527" s="912" t="s">
        <v>1696</v>
      </c>
      <c r="M527" s="700" t="s">
        <v>1698</v>
      </c>
      <c r="N527" s="686" t="s">
        <v>440</v>
      </c>
    </row>
    <row r="528" spans="1:14" x14ac:dyDescent="0.35">
      <c r="L528" s="912" t="s">
        <v>1699</v>
      </c>
      <c r="M528" s="700" t="s">
        <v>1701</v>
      </c>
      <c r="N528" s="686" t="s">
        <v>440</v>
      </c>
    </row>
    <row r="529" spans="12:14" x14ac:dyDescent="0.35">
      <c r="L529" s="691" t="s">
        <v>1702</v>
      </c>
      <c r="M529" s="235" t="s">
        <v>1704</v>
      </c>
      <c r="N529" s="686" t="s">
        <v>440</v>
      </c>
    </row>
    <row r="530" spans="12:14" x14ac:dyDescent="0.35">
      <c r="L530" s="912" t="s">
        <v>1705</v>
      </c>
      <c r="M530" s="700" t="s">
        <v>1707</v>
      </c>
      <c r="N530" s="686" t="s">
        <v>440</v>
      </c>
    </row>
    <row r="531" spans="12:14" x14ac:dyDescent="0.35">
      <c r="L531" s="912" t="s">
        <v>1708</v>
      </c>
      <c r="M531" s="700" t="s">
        <v>1710</v>
      </c>
      <c r="N531" s="686" t="s">
        <v>440</v>
      </c>
    </row>
    <row r="532" spans="12:14" x14ac:dyDescent="0.35">
      <c r="L532" s="912" t="s">
        <v>1711</v>
      </c>
      <c r="M532" s="704" t="s">
        <v>1713</v>
      </c>
      <c r="N532" s="686" t="s">
        <v>440</v>
      </c>
    </row>
    <row r="533" spans="12:14" x14ac:dyDescent="0.35">
      <c r="L533" s="691" t="s">
        <v>1714</v>
      </c>
      <c r="M533" s="702" t="s">
        <v>1716</v>
      </c>
      <c r="N533" s="2"/>
    </row>
    <row r="534" spans="12:14" x14ac:dyDescent="0.35">
      <c r="L534" s="691" t="s">
        <v>1717</v>
      </c>
      <c r="M534" s="235" t="s">
        <v>1718</v>
      </c>
      <c r="N534" s="686" t="s">
        <v>440</v>
      </c>
    </row>
    <row r="535" spans="12:14" x14ac:dyDescent="0.35">
      <c r="L535" s="687" t="s">
        <v>1719</v>
      </c>
      <c r="M535" s="702" t="s">
        <v>1721</v>
      </c>
      <c r="N535" s="2"/>
    </row>
    <row r="536" spans="12:14" x14ac:dyDescent="0.35">
      <c r="L536" s="687" t="s">
        <v>1722</v>
      </c>
      <c r="M536" s="702" t="s">
        <v>1723</v>
      </c>
      <c r="N536" s="686" t="s">
        <v>440</v>
      </c>
    </row>
    <row r="537" spans="12:14" x14ac:dyDescent="0.35">
      <c r="L537" s="687" t="s">
        <v>1724</v>
      </c>
      <c r="M537" s="702" t="s">
        <v>1725</v>
      </c>
      <c r="N537" s="2"/>
    </row>
    <row r="538" spans="12:14" x14ac:dyDescent="0.35">
      <c r="L538" s="687" t="s">
        <v>1726</v>
      </c>
      <c r="M538" s="702" t="s">
        <v>1727</v>
      </c>
      <c r="N538" s="686" t="s">
        <v>440</v>
      </c>
    </row>
    <row r="539" spans="12:14" x14ac:dyDescent="0.35">
      <c r="L539" s="687" t="s">
        <v>1728</v>
      </c>
      <c r="M539" s="679" t="s">
        <v>1731</v>
      </c>
      <c r="N539" s="2"/>
    </row>
    <row r="540" spans="12:14" ht="29" x14ac:dyDescent="0.35">
      <c r="L540" s="687" t="s">
        <v>1732</v>
      </c>
      <c r="M540" s="705" t="s">
        <v>1734</v>
      </c>
      <c r="N540" s="686" t="s">
        <v>440</v>
      </c>
    </row>
    <row r="541" spans="12:14" x14ac:dyDescent="0.35">
      <c r="L541" s="912" t="s">
        <v>1735</v>
      </c>
      <c r="M541" s="690" t="s">
        <v>1737</v>
      </c>
      <c r="N541" s="686" t="s">
        <v>440</v>
      </c>
    </row>
    <row r="542" spans="12:14" x14ac:dyDescent="0.35">
      <c r="L542" s="912" t="s">
        <v>1738</v>
      </c>
      <c r="M542" s="690" t="s">
        <v>1739</v>
      </c>
      <c r="N542" s="2"/>
    </row>
    <row r="543" spans="12:14" x14ac:dyDescent="0.35">
      <c r="L543" s="912" t="s">
        <v>1740</v>
      </c>
      <c r="M543" s="700" t="s">
        <v>1742</v>
      </c>
      <c r="N543" s="686" t="s">
        <v>440</v>
      </c>
    </row>
    <row r="544" spans="12:14" x14ac:dyDescent="0.35">
      <c r="L544" s="912" t="s">
        <v>1743</v>
      </c>
      <c r="M544" s="700" t="s">
        <v>1744</v>
      </c>
      <c r="N544" s="2"/>
    </row>
    <row r="545" spans="12:14" x14ac:dyDescent="0.35">
      <c r="L545" s="912" t="s">
        <v>1745</v>
      </c>
      <c r="M545" s="700" t="s">
        <v>1747</v>
      </c>
      <c r="N545" s="686" t="s">
        <v>440</v>
      </c>
    </row>
    <row r="546" spans="12:14" x14ac:dyDescent="0.35">
      <c r="L546" s="912" t="s">
        <v>1748</v>
      </c>
      <c r="M546" s="700" t="s">
        <v>1750</v>
      </c>
      <c r="N546" s="686" t="s">
        <v>440</v>
      </c>
    </row>
    <row r="547" spans="12:14" x14ac:dyDescent="0.35">
      <c r="L547" s="687" t="s">
        <v>1751</v>
      </c>
      <c r="M547" s="679" t="s">
        <v>1753</v>
      </c>
      <c r="N547" s="2"/>
    </row>
    <row r="548" spans="12:14" x14ac:dyDescent="0.35">
      <c r="L548" s="968" t="s">
        <v>1754</v>
      </c>
      <c r="M548" s="690" t="s">
        <v>1756</v>
      </c>
      <c r="N548" s="2"/>
    </row>
    <row r="549" spans="12:14" x14ac:dyDescent="0.35">
      <c r="L549" s="968" t="s">
        <v>1757</v>
      </c>
      <c r="M549" s="690" t="s">
        <v>1759</v>
      </c>
      <c r="N549" s="2"/>
    </row>
    <row r="550" spans="12:14" x14ac:dyDescent="0.35">
      <c r="L550" s="968" t="s">
        <v>1760</v>
      </c>
      <c r="M550" s="690" t="s">
        <v>1762</v>
      </c>
      <c r="N550" s="2"/>
    </row>
    <row r="551" spans="12:14" x14ac:dyDescent="0.35">
      <c r="L551" s="687" t="s">
        <v>1763</v>
      </c>
      <c r="M551" s="687" t="s">
        <v>1764</v>
      </c>
      <c r="N551" s="518" t="s">
        <v>853</v>
      </c>
    </row>
    <row r="552" spans="12:14" x14ac:dyDescent="0.35">
      <c r="L552" s="968" t="s">
        <v>1765</v>
      </c>
      <c r="M552" s="951" t="s">
        <v>1766</v>
      </c>
      <c r="N552" s="681" t="s">
        <v>698</v>
      </c>
    </row>
    <row r="553" spans="12:14" x14ac:dyDescent="0.35">
      <c r="L553" s="968" t="s">
        <v>1767</v>
      </c>
      <c r="M553" s="951" t="s">
        <v>1768</v>
      </c>
      <c r="N553" s="681" t="s">
        <v>1769</v>
      </c>
    </row>
    <row r="554" spans="12:14" x14ac:dyDescent="0.35">
      <c r="L554" s="968" t="s">
        <v>1770</v>
      </c>
      <c r="M554" s="951" t="s">
        <v>1771</v>
      </c>
      <c r="N554" s="681" t="s">
        <v>1769</v>
      </c>
    </row>
    <row r="555" spans="12:14" x14ac:dyDescent="0.35">
      <c r="L555" s="691" t="s">
        <v>1772</v>
      </c>
      <c r="M555" s="254" t="s">
        <v>1774</v>
      </c>
      <c r="N555" s="2"/>
    </row>
    <row r="556" spans="12:14" x14ac:dyDescent="0.35">
      <c r="L556" s="691" t="s">
        <v>1775</v>
      </c>
      <c r="M556" s="254" t="s">
        <v>1776</v>
      </c>
      <c r="N556" s="2"/>
    </row>
    <row r="557" spans="12:14" x14ac:dyDescent="0.35">
      <c r="L557" s="691" t="s">
        <v>1777</v>
      </c>
      <c r="M557" s="254" t="s">
        <v>1779</v>
      </c>
      <c r="N557" s="2"/>
    </row>
    <row r="558" spans="12:14" x14ac:dyDescent="0.35">
      <c r="L558" s="691" t="s">
        <v>1780</v>
      </c>
      <c r="M558" s="254" t="s">
        <v>1781</v>
      </c>
      <c r="N558" s="2"/>
    </row>
    <row r="559" spans="12:14" x14ac:dyDescent="0.35">
      <c r="L559" s="691" t="s">
        <v>1782</v>
      </c>
      <c r="M559" s="254" t="s">
        <v>1783</v>
      </c>
      <c r="N559" s="2"/>
    </row>
    <row r="560" spans="12:14" x14ac:dyDescent="0.35">
      <c r="L560" s="687" t="s">
        <v>1784</v>
      </c>
      <c r="M560" s="679" t="s">
        <v>1785</v>
      </c>
      <c r="N560" s="2"/>
    </row>
    <row r="561" spans="12:14" x14ac:dyDescent="0.35">
      <c r="L561" s="687" t="s">
        <v>1786</v>
      </c>
      <c r="M561" s="687" t="s">
        <v>1787</v>
      </c>
      <c r="N561" s="518" t="s">
        <v>853</v>
      </c>
    </row>
    <row r="562" spans="12:14" x14ac:dyDescent="0.35">
      <c r="L562" s="968" t="s">
        <v>1788</v>
      </c>
      <c r="M562" s="970" t="s">
        <v>1789</v>
      </c>
      <c r="N562" s="518" t="s">
        <v>853</v>
      </c>
    </row>
    <row r="563" spans="12:14" x14ac:dyDescent="0.35">
      <c r="L563" s="691" t="s">
        <v>1790</v>
      </c>
      <c r="M563" s="750" t="s">
        <v>1791</v>
      </c>
      <c r="N563" s="681"/>
    </row>
    <row r="564" spans="12:14" x14ac:dyDescent="0.35">
      <c r="L564" s="693" t="s">
        <v>1792</v>
      </c>
      <c r="M564" s="797" t="s">
        <v>1793</v>
      </c>
      <c r="N564" s="681"/>
    </row>
    <row r="565" spans="12:14" x14ac:dyDescent="0.35">
      <c r="L565" s="693" t="s">
        <v>1794</v>
      </c>
      <c r="M565" s="797" t="s">
        <v>1795</v>
      </c>
      <c r="N565" s="681"/>
    </row>
    <row r="566" spans="12:14" x14ac:dyDescent="0.35">
      <c r="L566" s="693" t="s">
        <v>1796</v>
      </c>
      <c r="M566" s="797" t="s">
        <v>1797</v>
      </c>
      <c r="N566" s="681"/>
    </row>
    <row r="567" spans="12:14" x14ac:dyDescent="0.35">
      <c r="L567" s="691" t="s">
        <v>1798</v>
      </c>
      <c r="M567" s="687" t="s">
        <v>1799</v>
      </c>
      <c r="N567" s="681" t="s">
        <v>698</v>
      </c>
    </row>
    <row r="568" spans="12:14" x14ac:dyDescent="0.35">
      <c r="L568" s="693" t="s">
        <v>1800</v>
      </c>
      <c r="M568" s="797" t="s">
        <v>1801</v>
      </c>
      <c r="N568" s="681" t="s">
        <v>698</v>
      </c>
    </row>
    <row r="569" spans="12:14" x14ac:dyDescent="0.35">
      <c r="L569" s="693" t="s">
        <v>1802</v>
      </c>
      <c r="M569" s="797" t="s">
        <v>1803</v>
      </c>
      <c r="N569" s="681" t="s">
        <v>698</v>
      </c>
    </row>
    <row r="570" spans="12:14" x14ac:dyDescent="0.35">
      <c r="L570" s="693" t="s">
        <v>1804</v>
      </c>
      <c r="M570" s="797" t="s">
        <v>1805</v>
      </c>
      <c r="N570" s="681" t="s">
        <v>698</v>
      </c>
    </row>
    <row r="571" spans="12:14" x14ac:dyDescent="0.35">
      <c r="L571" s="691" t="s">
        <v>1806</v>
      </c>
      <c r="M571" s="274" t="s">
        <v>1807</v>
      </c>
      <c r="N571" s="2"/>
    </row>
    <row r="572" spans="12:14" x14ac:dyDescent="0.35">
      <c r="L572" s="912" t="s">
        <v>1808</v>
      </c>
      <c r="M572" s="706" t="s">
        <v>1810</v>
      </c>
      <c r="N572" s="2"/>
    </row>
    <row r="573" spans="12:14" x14ac:dyDescent="0.35">
      <c r="L573" s="912" t="s">
        <v>1811</v>
      </c>
      <c r="M573" s="706" t="s">
        <v>1813</v>
      </c>
      <c r="N573" s="2"/>
    </row>
    <row r="574" spans="12:14" x14ac:dyDescent="0.35">
      <c r="L574" s="912" t="s">
        <v>1814</v>
      </c>
      <c r="M574" s="707" t="s">
        <v>1816</v>
      </c>
      <c r="N574" s="2"/>
    </row>
    <row r="575" spans="12:14" x14ac:dyDescent="0.35">
      <c r="L575" s="912" t="s">
        <v>1817</v>
      </c>
      <c r="M575" s="707" t="s">
        <v>1819</v>
      </c>
      <c r="N575" s="2"/>
    </row>
    <row r="576" spans="12:14" x14ac:dyDescent="0.35">
      <c r="L576" s="912" t="s">
        <v>1820</v>
      </c>
      <c r="M576" s="993" t="s">
        <v>1821</v>
      </c>
      <c r="N576" s="2"/>
    </row>
    <row r="577" spans="12:17" x14ac:dyDescent="0.35">
      <c r="L577" s="912" t="s">
        <v>1822</v>
      </c>
      <c r="M577" s="748" t="s">
        <v>1824</v>
      </c>
      <c r="N577" s="2"/>
    </row>
    <row r="578" spans="12:17" x14ac:dyDescent="0.35">
      <c r="L578" s="691" t="s">
        <v>1825</v>
      </c>
      <c r="M578" s="687" t="s">
        <v>1826</v>
      </c>
      <c r="N578" s="518" t="s">
        <v>853</v>
      </c>
    </row>
    <row r="579" spans="12:17" x14ac:dyDescent="0.35">
      <c r="L579" s="912" t="s">
        <v>1827</v>
      </c>
      <c r="M579" s="677" t="s">
        <v>1828</v>
      </c>
      <c r="N579" s="681" t="s">
        <v>440</v>
      </c>
    </row>
    <row r="580" spans="12:17" x14ac:dyDescent="0.35">
      <c r="L580" s="912" t="s">
        <v>1829</v>
      </c>
      <c r="M580" s="677" t="s">
        <v>1830</v>
      </c>
      <c r="N580" s="681" t="s">
        <v>440</v>
      </c>
    </row>
    <row r="581" spans="12:17" x14ac:dyDescent="0.35">
      <c r="L581" s="912" t="s">
        <v>1831</v>
      </c>
      <c r="M581" s="677" t="s">
        <v>1832</v>
      </c>
      <c r="N581" s="681" t="s">
        <v>440</v>
      </c>
    </row>
    <row r="582" spans="12:17" x14ac:dyDescent="0.35">
      <c r="L582" s="912" t="s">
        <v>1833</v>
      </c>
      <c r="M582" s="677" t="s">
        <v>1834</v>
      </c>
      <c r="N582" s="681" t="s">
        <v>698</v>
      </c>
    </row>
    <row r="583" spans="12:17" x14ac:dyDescent="0.35">
      <c r="L583" s="912" t="s">
        <v>1835</v>
      </c>
      <c r="M583" s="697" t="s">
        <v>2140</v>
      </c>
      <c r="N583" s="681" t="s">
        <v>698</v>
      </c>
    </row>
    <row r="584" spans="12:17" x14ac:dyDescent="0.35">
      <c r="L584" s="693" t="s">
        <v>1837</v>
      </c>
      <c r="M584" s="677" t="s">
        <v>1838</v>
      </c>
      <c r="N584" s="518" t="s">
        <v>853</v>
      </c>
    </row>
    <row r="585" spans="12:17" x14ac:dyDescent="0.35">
      <c r="L585" s="1069" t="s">
        <v>2209</v>
      </c>
      <c r="M585" s="689" t="s">
        <v>1841</v>
      </c>
      <c r="N585" s="2"/>
      <c r="Q585" s="1074"/>
    </row>
    <row r="586" spans="12:17" x14ac:dyDescent="0.35">
      <c r="L586" s="1069" t="s">
        <v>2210</v>
      </c>
      <c r="M586" s="687" t="s">
        <v>1844</v>
      </c>
      <c r="N586" s="681" t="s">
        <v>440</v>
      </c>
      <c r="Q586" s="1074"/>
    </row>
    <row r="587" spans="12:17" x14ac:dyDescent="0.35">
      <c r="L587" s="699" t="s">
        <v>1845</v>
      </c>
      <c r="M587" s="698" t="s">
        <v>1846</v>
      </c>
      <c r="N587" s="681" t="s">
        <v>698</v>
      </c>
    </row>
    <row r="588" spans="12:17" x14ac:dyDescent="0.35">
      <c r="L588" s="693" t="s">
        <v>1847</v>
      </c>
      <c r="M588" s="697" t="s">
        <v>1849</v>
      </c>
      <c r="N588" s="681" t="s">
        <v>698</v>
      </c>
    </row>
    <row r="589" spans="12:17" x14ac:dyDescent="0.35">
      <c r="L589" s="693" t="s">
        <v>1850</v>
      </c>
      <c r="M589" s="697" t="s">
        <v>1852</v>
      </c>
      <c r="N589" s="681" t="s">
        <v>698</v>
      </c>
    </row>
    <row r="590" spans="12:17" x14ac:dyDescent="0.35">
      <c r="L590" s="691" t="s">
        <v>1853</v>
      </c>
      <c r="M590" s="698" t="s">
        <v>1854</v>
      </c>
      <c r="N590" s="2"/>
    </row>
    <row r="591" spans="12:17" ht="29" x14ac:dyDescent="0.35">
      <c r="L591" s="912" t="s">
        <v>1855</v>
      </c>
      <c r="M591" s="1068" t="s">
        <v>2207</v>
      </c>
      <c r="N591" s="2"/>
      <c r="Q591" s="5"/>
    </row>
    <row r="592" spans="12:17" x14ac:dyDescent="0.35">
      <c r="L592" s="693" t="s">
        <v>1859</v>
      </c>
      <c r="M592" s="697" t="s">
        <v>1860</v>
      </c>
      <c r="N592" s="2"/>
    </row>
    <row r="593" spans="12:17" x14ac:dyDescent="0.35">
      <c r="L593" s="693" t="s">
        <v>1861</v>
      </c>
      <c r="M593" s="697" t="s">
        <v>1862</v>
      </c>
      <c r="N593" s="2"/>
    </row>
    <row r="594" spans="12:17" x14ac:dyDescent="0.35">
      <c r="L594" s="693" t="s">
        <v>1863</v>
      </c>
      <c r="M594" s="697" t="s">
        <v>1864</v>
      </c>
      <c r="N594" s="2"/>
    </row>
    <row r="595" spans="12:17" x14ac:dyDescent="0.35">
      <c r="L595" s="691" t="s">
        <v>1865</v>
      </c>
      <c r="M595" s="698" t="s">
        <v>1866</v>
      </c>
      <c r="N595" s="681" t="s">
        <v>440</v>
      </c>
    </row>
    <row r="596" spans="12:17" ht="29" x14ac:dyDescent="0.35">
      <c r="L596" s="912" t="s">
        <v>1867</v>
      </c>
      <c r="M596" s="682" t="s">
        <v>1868</v>
      </c>
      <c r="N596" s="681" t="s">
        <v>440</v>
      </c>
    </row>
    <row r="597" spans="12:17" ht="29" x14ac:dyDescent="0.35">
      <c r="L597" s="1070" t="s">
        <v>2211</v>
      </c>
      <c r="M597" s="798" t="s">
        <v>1870</v>
      </c>
      <c r="N597" s="681" t="s">
        <v>440</v>
      </c>
      <c r="Q597" s="693"/>
    </row>
    <row r="598" spans="12:17" x14ac:dyDescent="0.35">
      <c r="L598" s="1070" t="s">
        <v>2212</v>
      </c>
      <c r="M598" s="798" t="s">
        <v>1872</v>
      </c>
      <c r="N598" s="681" t="s">
        <v>440</v>
      </c>
      <c r="Q598" s="693"/>
    </row>
    <row r="599" spans="12:17" x14ac:dyDescent="0.35">
      <c r="L599" s="1070" t="s">
        <v>2213</v>
      </c>
      <c r="M599" s="798" t="s">
        <v>1874</v>
      </c>
      <c r="N599" s="681" t="s">
        <v>440</v>
      </c>
      <c r="Q599" s="693"/>
    </row>
    <row r="600" spans="12:17" x14ac:dyDescent="0.35">
      <c r="L600" s="625" t="s">
        <v>1875</v>
      </c>
      <c r="M600" s="697" t="s">
        <v>1876</v>
      </c>
      <c r="N600" s="681" t="s">
        <v>440</v>
      </c>
    </row>
    <row r="601" spans="12:17" x14ac:dyDescent="0.35">
      <c r="L601" s="274" t="s">
        <v>1877</v>
      </c>
      <c r="M601" s="683" t="s">
        <v>1879</v>
      </c>
      <c r="N601" s="681" t="s">
        <v>440</v>
      </c>
    </row>
    <row r="602" spans="12:17" x14ac:dyDescent="0.35">
      <c r="L602" s="274" t="s">
        <v>1880</v>
      </c>
      <c r="M602" s="683" t="s">
        <v>1882</v>
      </c>
      <c r="N602" s="681" t="s">
        <v>440</v>
      </c>
    </row>
    <row r="603" spans="12:17" x14ac:dyDescent="0.35">
      <c r="L603" s="625" t="s">
        <v>1883</v>
      </c>
      <c r="M603" s="708" t="s">
        <v>1884</v>
      </c>
      <c r="N603" s="681" t="s">
        <v>440</v>
      </c>
    </row>
    <row r="604" spans="12:17" x14ac:dyDescent="0.35">
      <c r="L604" s="625" t="s">
        <v>1885</v>
      </c>
      <c r="M604" s="680" t="s">
        <v>1887</v>
      </c>
      <c r="N604" s="681" t="s">
        <v>440</v>
      </c>
    </row>
    <row r="605" spans="12:17" x14ac:dyDescent="0.35">
      <c r="L605" s="274" t="s">
        <v>1888</v>
      </c>
      <c r="M605" s="683" t="s">
        <v>1890</v>
      </c>
      <c r="N605" s="681" t="s">
        <v>440</v>
      </c>
    </row>
    <row r="606" spans="12:17" x14ac:dyDescent="0.35">
      <c r="L606" s="691" t="s">
        <v>1891</v>
      </c>
      <c r="M606" s="679" t="s">
        <v>1893</v>
      </c>
      <c r="N606" s="518" t="s">
        <v>853</v>
      </c>
    </row>
    <row r="607" spans="12:17" x14ac:dyDescent="0.35">
      <c r="L607" s="912" t="s">
        <v>1894</v>
      </c>
      <c r="M607" s="690" t="s">
        <v>1896</v>
      </c>
      <c r="N607" s="681" t="s">
        <v>440</v>
      </c>
    </row>
    <row r="608" spans="12:17" x14ac:dyDescent="0.35">
      <c r="L608" s="912" t="s">
        <v>1897</v>
      </c>
      <c r="M608" s="690" t="s">
        <v>1899</v>
      </c>
      <c r="N608" s="681" t="s">
        <v>440</v>
      </c>
    </row>
    <row r="609" spans="12:14" x14ac:dyDescent="0.35">
      <c r="L609" s="912" t="s">
        <v>1900</v>
      </c>
      <c r="M609" s="690" t="s">
        <v>1902</v>
      </c>
      <c r="N609" s="681" t="s">
        <v>440</v>
      </c>
    </row>
    <row r="610" spans="12:14" x14ac:dyDescent="0.35">
      <c r="L610" s="912" t="s">
        <v>1903</v>
      </c>
      <c r="M610" s="690" t="s">
        <v>1905</v>
      </c>
      <c r="N610" s="681" t="s">
        <v>440</v>
      </c>
    </row>
    <row r="611" spans="12:14" x14ac:dyDescent="0.35">
      <c r="L611" s="912" t="s">
        <v>1906</v>
      </c>
      <c r="M611" s="690" t="s">
        <v>1908</v>
      </c>
      <c r="N611" s="681" t="s">
        <v>440</v>
      </c>
    </row>
    <row r="612" spans="12:14" x14ac:dyDescent="0.35">
      <c r="L612" s="912" t="s">
        <v>1909</v>
      </c>
      <c r="M612" s="690" t="s">
        <v>1911</v>
      </c>
      <c r="N612" s="518" t="s">
        <v>853</v>
      </c>
    </row>
    <row r="613" spans="12:14" x14ac:dyDescent="0.35">
      <c r="L613" s="912" t="s">
        <v>1912</v>
      </c>
      <c r="M613" s="690" t="s">
        <v>1914</v>
      </c>
      <c r="N613" s="681" t="s">
        <v>440</v>
      </c>
    </row>
    <row r="614" spans="12:14" x14ac:dyDescent="0.35">
      <c r="L614" s="709" t="s">
        <v>1915</v>
      </c>
      <c r="M614" s="679" t="s">
        <v>1917</v>
      </c>
      <c r="N614" s="681" t="s">
        <v>440</v>
      </c>
    </row>
    <row r="615" spans="12:14" x14ac:dyDescent="0.35">
      <c r="L615" s="912" t="s">
        <v>1918</v>
      </c>
      <c r="M615" s="970" t="s">
        <v>1920</v>
      </c>
      <c r="N615" s="681" t="s">
        <v>440</v>
      </c>
    </row>
    <row r="616" spans="12:14" x14ac:dyDescent="0.35">
      <c r="L616" s="912" t="s">
        <v>1921</v>
      </c>
      <c r="M616" s="970" t="s">
        <v>1923</v>
      </c>
      <c r="N616" s="681" t="s">
        <v>440</v>
      </c>
    </row>
    <row r="617" spans="12:14" x14ac:dyDescent="0.35">
      <c r="L617" s="912" t="s">
        <v>1924</v>
      </c>
      <c r="M617" s="690" t="s">
        <v>1925</v>
      </c>
      <c r="N617" s="681" t="s">
        <v>440</v>
      </c>
    </row>
    <row r="618" spans="12:14" x14ac:dyDescent="0.35">
      <c r="L618" s="912" t="s">
        <v>1926</v>
      </c>
      <c r="M618" s="690" t="s">
        <v>1928</v>
      </c>
      <c r="N618" s="518" t="s">
        <v>853</v>
      </c>
    </row>
    <row r="619" spans="12:14" x14ac:dyDescent="0.35">
      <c r="L619" s="912" t="s">
        <v>1929</v>
      </c>
      <c r="M619" s="690" t="s">
        <v>1930</v>
      </c>
      <c r="N619" s="681" t="s">
        <v>440</v>
      </c>
    </row>
    <row r="620" spans="12:14" x14ac:dyDescent="0.35">
      <c r="L620" s="691" t="s">
        <v>1931</v>
      </c>
      <c r="M620" s="679" t="s">
        <v>1933</v>
      </c>
      <c r="N620" s="681" t="s">
        <v>440</v>
      </c>
    </row>
    <row r="621" spans="12:14" x14ac:dyDescent="0.35">
      <c r="L621" s="912" t="s">
        <v>1934</v>
      </c>
      <c r="M621" s="970" t="s">
        <v>1936</v>
      </c>
      <c r="N621" s="681" t="s">
        <v>440</v>
      </c>
    </row>
    <row r="622" spans="12:14" x14ac:dyDescent="0.35">
      <c r="L622" s="912" t="s">
        <v>1937</v>
      </c>
      <c r="M622" s="970" t="s">
        <v>1939</v>
      </c>
      <c r="N622" s="681" t="s">
        <v>440</v>
      </c>
    </row>
    <row r="623" spans="12:14" x14ac:dyDescent="0.35">
      <c r="L623" s="912" t="s">
        <v>1940</v>
      </c>
      <c r="M623" s="970" t="s">
        <v>1941</v>
      </c>
      <c r="N623" s="681" t="s">
        <v>440</v>
      </c>
    </row>
    <row r="624" spans="12:14" x14ac:dyDescent="0.35">
      <c r="L624" s="912" t="s">
        <v>1942</v>
      </c>
      <c r="M624" s="970" t="s">
        <v>1943</v>
      </c>
      <c r="N624" s="681" t="s">
        <v>440</v>
      </c>
    </row>
    <row r="625" spans="12:14" x14ac:dyDescent="0.35">
      <c r="L625" s="691" t="s">
        <v>1944</v>
      </c>
      <c r="M625" s="679" t="s">
        <v>1945</v>
      </c>
      <c r="N625" s="681" t="s">
        <v>440</v>
      </c>
    </row>
    <row r="626" spans="12:14" x14ac:dyDescent="0.35">
      <c r="L626" s="912" t="s">
        <v>1946</v>
      </c>
      <c r="M626" s="970" t="s">
        <v>1947</v>
      </c>
      <c r="N626" s="681" t="s">
        <v>440</v>
      </c>
    </row>
    <row r="627" spans="12:14" x14ac:dyDescent="0.35">
      <c r="L627" s="912" t="s">
        <v>1948</v>
      </c>
      <c r="M627" s="970" t="s">
        <v>1949</v>
      </c>
      <c r="N627" s="681" t="s">
        <v>440</v>
      </c>
    </row>
    <row r="628" spans="12:14" x14ac:dyDescent="0.35">
      <c r="L628" s="912" t="s">
        <v>1950</v>
      </c>
      <c r="M628" s="970" t="s">
        <v>1951</v>
      </c>
      <c r="N628" s="681" t="s">
        <v>440</v>
      </c>
    </row>
    <row r="629" spans="12:14" x14ac:dyDescent="0.35">
      <c r="L629" s="691" t="s">
        <v>1952</v>
      </c>
      <c r="M629" s="679" t="s">
        <v>1953</v>
      </c>
      <c r="N629" s="2"/>
    </row>
    <row r="630" spans="12:14" x14ac:dyDescent="0.35">
      <c r="L630" s="691" t="s">
        <v>1954</v>
      </c>
      <c r="M630" s="679" t="s">
        <v>1955</v>
      </c>
      <c r="N630" s="681" t="s">
        <v>440</v>
      </c>
    </row>
    <row r="631" spans="12:14" x14ac:dyDescent="0.35">
      <c r="L631" s="699" t="s">
        <v>2141</v>
      </c>
      <c r="M631" s="679" t="s">
        <v>1957</v>
      </c>
      <c r="N631" s="681" t="s">
        <v>440</v>
      </c>
    </row>
    <row r="632" spans="12:14" x14ac:dyDescent="0.35">
      <c r="L632" s="693" t="s">
        <v>2142</v>
      </c>
      <c r="M632" s="970" t="s">
        <v>1960</v>
      </c>
      <c r="N632" s="681" t="s">
        <v>440</v>
      </c>
    </row>
    <row r="633" spans="12:14" x14ac:dyDescent="0.35">
      <c r="L633" s="693" t="s">
        <v>2143</v>
      </c>
      <c r="M633" s="970" t="s">
        <v>1963</v>
      </c>
      <c r="N633" s="681" t="s">
        <v>440</v>
      </c>
    </row>
    <row r="634" spans="12:14" x14ac:dyDescent="0.35">
      <c r="L634" s="699" t="s">
        <v>1964</v>
      </c>
      <c r="M634" s="679" t="s">
        <v>1967</v>
      </c>
      <c r="N634" s="681" t="s">
        <v>440</v>
      </c>
    </row>
    <row r="635" spans="12:14" x14ac:dyDescent="0.35">
      <c r="L635" s="699" t="s">
        <v>1956</v>
      </c>
      <c r="M635" s="679" t="s">
        <v>1969</v>
      </c>
      <c r="N635" s="681" t="s">
        <v>440</v>
      </c>
    </row>
    <row r="636" spans="12:14" x14ac:dyDescent="0.35">
      <c r="L636" s="912" t="s">
        <v>1970</v>
      </c>
      <c r="M636" s="696" t="s">
        <v>1972</v>
      </c>
      <c r="N636" s="2"/>
    </row>
    <row r="637" spans="12:14" x14ac:dyDescent="0.35">
      <c r="L637" s="912" t="s">
        <v>1973</v>
      </c>
      <c r="M637" s="970" t="s">
        <v>1974</v>
      </c>
      <c r="N637" s="2"/>
    </row>
    <row r="638" spans="12:14" x14ac:dyDescent="0.35">
      <c r="L638" s="912" t="s">
        <v>1975</v>
      </c>
      <c r="M638" s="970" t="s">
        <v>1976</v>
      </c>
      <c r="N638" s="681" t="s">
        <v>440</v>
      </c>
    </row>
    <row r="639" spans="12:14" x14ac:dyDescent="0.35">
      <c r="L639" s="912" t="s">
        <v>1977</v>
      </c>
      <c r="M639" s="970" t="s">
        <v>1978</v>
      </c>
      <c r="N639" s="2"/>
    </row>
    <row r="640" spans="12:14" x14ac:dyDescent="0.35">
      <c r="L640" s="912" t="s">
        <v>1979</v>
      </c>
      <c r="M640" s="970" t="s">
        <v>1980</v>
      </c>
      <c r="N640" s="681" t="s">
        <v>440</v>
      </c>
    </row>
    <row r="641" spans="12:14" x14ac:dyDescent="0.35">
      <c r="L641" s="691" t="s">
        <v>1981</v>
      </c>
      <c r="M641" s="684" t="s">
        <v>1983</v>
      </c>
      <c r="N641" s="681" t="s">
        <v>440</v>
      </c>
    </row>
    <row r="642" spans="12:14" x14ac:dyDescent="0.35">
      <c r="L642" s="912" t="s">
        <v>1984</v>
      </c>
      <c r="M642" s="685" t="s">
        <v>1986</v>
      </c>
      <c r="N642" s="681" t="s">
        <v>440</v>
      </c>
    </row>
    <row r="643" spans="12:14" x14ac:dyDescent="0.35">
      <c r="L643" s="912" t="s">
        <v>1987</v>
      </c>
      <c r="M643" s="685" t="s">
        <v>1989</v>
      </c>
      <c r="N643" s="681" t="s">
        <v>440</v>
      </c>
    </row>
    <row r="644" spans="12:14" x14ac:dyDescent="0.35">
      <c r="L644" s="912" t="s">
        <v>1990</v>
      </c>
      <c r="M644" s="685" t="s">
        <v>1992</v>
      </c>
      <c r="N644" s="681" t="s">
        <v>440</v>
      </c>
    </row>
    <row r="645" spans="12:14" x14ac:dyDescent="0.35">
      <c r="L645" s="691" t="s">
        <v>1993</v>
      </c>
      <c r="M645" s="684" t="s">
        <v>1995</v>
      </c>
      <c r="N645" s="2"/>
    </row>
    <row r="646" spans="12:14" x14ac:dyDescent="0.35">
      <c r="L646" s="254" t="s">
        <v>1996</v>
      </c>
      <c r="M646" s="679" t="s">
        <v>1998</v>
      </c>
      <c r="N646" s="2"/>
    </row>
    <row r="647" spans="12:14" x14ac:dyDescent="0.35">
      <c r="L647" s="912" t="s">
        <v>1999</v>
      </c>
      <c r="M647" s="994" t="s">
        <v>2000</v>
      </c>
      <c r="N647" s="2"/>
    </row>
    <row r="648" spans="12:14" x14ac:dyDescent="0.35">
      <c r="L648" s="912" t="s">
        <v>2001</v>
      </c>
      <c r="M648" s="994" t="s">
        <v>2002</v>
      </c>
      <c r="N648" s="2"/>
    </row>
    <row r="649" spans="12:14" x14ac:dyDescent="0.35">
      <c r="L649" s="912" t="s">
        <v>2003</v>
      </c>
      <c r="M649" s="994" t="s">
        <v>2004</v>
      </c>
      <c r="N649" s="2"/>
    </row>
    <row r="650" spans="12:14" ht="16.5" customHeight="1" x14ac:dyDescent="0.35">
      <c r="L650" s="912" t="s">
        <v>2005</v>
      </c>
      <c r="M650" s="994" t="s">
        <v>2006</v>
      </c>
      <c r="N650" s="2"/>
    </row>
    <row r="651" spans="12:14" x14ac:dyDescent="0.35">
      <c r="L651" s="912" t="s">
        <v>2007</v>
      </c>
      <c r="M651" s="970" t="s">
        <v>2009</v>
      </c>
      <c r="N651" s="2"/>
    </row>
    <row r="652" spans="12:14" x14ac:dyDescent="0.35">
      <c r="L652" s="691" t="s">
        <v>2010</v>
      </c>
      <c r="M652" s="687" t="s">
        <v>2012</v>
      </c>
      <c r="N652" s="518" t="s">
        <v>853</v>
      </c>
    </row>
    <row r="653" spans="12:14" x14ac:dyDescent="0.35">
      <c r="L653" s="912" t="s">
        <v>2013</v>
      </c>
      <c r="M653" s="994" t="s">
        <v>2014</v>
      </c>
      <c r="N653" s="518" t="s">
        <v>853</v>
      </c>
    </row>
    <row r="654" spans="12:14" x14ac:dyDescent="0.35">
      <c r="L654" s="912" t="s">
        <v>2015</v>
      </c>
      <c r="M654" s="994" t="s">
        <v>2016</v>
      </c>
      <c r="N654" s="518" t="s">
        <v>853</v>
      </c>
    </row>
    <row r="655" spans="12:14" x14ac:dyDescent="0.35">
      <c r="L655" s="912" t="s">
        <v>2017</v>
      </c>
      <c r="M655" s="994" t="s">
        <v>2018</v>
      </c>
      <c r="N655" s="518" t="s">
        <v>853</v>
      </c>
    </row>
    <row r="656" spans="12:14" x14ac:dyDescent="0.35">
      <c r="L656" s="912" t="s">
        <v>2019</v>
      </c>
      <c r="M656" s="994" t="s">
        <v>2020</v>
      </c>
      <c r="N656" s="518" t="s">
        <v>853</v>
      </c>
    </row>
    <row r="657" spans="12:14" x14ac:dyDescent="0.35">
      <c r="L657" s="912" t="s">
        <v>2021</v>
      </c>
      <c r="M657" s="951" t="s">
        <v>2022</v>
      </c>
      <c r="N657" s="518" t="s">
        <v>853</v>
      </c>
    </row>
    <row r="658" spans="12:14" x14ac:dyDescent="0.35">
      <c r="L658" s="254" t="s">
        <v>2023</v>
      </c>
      <c r="M658" s="679" t="s">
        <v>2024</v>
      </c>
      <c r="N658" s="2"/>
    </row>
    <row r="659" spans="12:14" x14ac:dyDescent="0.35">
      <c r="L659" s="912" t="s">
        <v>2025</v>
      </c>
      <c r="M659" s="994" t="s">
        <v>2026</v>
      </c>
      <c r="N659" s="2"/>
    </row>
    <row r="660" spans="12:14" x14ac:dyDescent="0.35">
      <c r="L660" s="912" t="s">
        <v>2027</v>
      </c>
      <c r="M660" s="994" t="s">
        <v>2028</v>
      </c>
      <c r="N660" s="2"/>
    </row>
    <row r="661" spans="12:14" x14ac:dyDescent="0.35">
      <c r="L661" s="912" t="s">
        <v>2029</v>
      </c>
      <c r="M661" s="994" t="s">
        <v>2030</v>
      </c>
      <c r="N661" s="2"/>
    </row>
    <row r="662" spans="12:14" x14ac:dyDescent="0.35">
      <c r="L662" s="912" t="s">
        <v>2031</v>
      </c>
      <c r="M662" s="994" t="s">
        <v>2032</v>
      </c>
      <c r="N662" s="2"/>
    </row>
    <row r="663" spans="12:14" x14ac:dyDescent="0.35">
      <c r="L663" s="912" t="s">
        <v>2033</v>
      </c>
      <c r="M663" s="951" t="str">
        <f>'[1]E1l- Cash &amp; Voucher activities'!$C$11</f>
        <v xml:space="preserve">$ amount of food vouchers distributed </v>
      </c>
      <c r="N663" s="2"/>
    </row>
    <row r="664" spans="12:14" x14ac:dyDescent="0.35">
      <c r="L664" s="912" t="s">
        <v>2034</v>
      </c>
      <c r="M664" s="951" t="s">
        <v>2035</v>
      </c>
      <c r="N664" s="2"/>
    </row>
    <row r="665" spans="12:14" x14ac:dyDescent="0.35">
      <c r="L665" s="691" t="s">
        <v>2036</v>
      </c>
      <c r="M665" s="687" t="s">
        <v>2037</v>
      </c>
      <c r="N665" s="518" t="s">
        <v>853</v>
      </c>
    </row>
    <row r="666" spans="12:14" x14ac:dyDescent="0.35">
      <c r="L666" s="912" t="s">
        <v>2038</v>
      </c>
      <c r="M666" s="1077" t="s">
        <v>2216</v>
      </c>
      <c r="N666" s="518" t="s">
        <v>853</v>
      </c>
    </row>
    <row r="667" spans="12:14" x14ac:dyDescent="0.35">
      <c r="L667" s="912" t="s">
        <v>2040</v>
      </c>
      <c r="M667" s="994" t="s">
        <v>2041</v>
      </c>
      <c r="N667" s="518" t="s">
        <v>853</v>
      </c>
    </row>
    <row r="668" spans="12:14" x14ac:dyDescent="0.35">
      <c r="L668" s="912" t="s">
        <v>2042</v>
      </c>
      <c r="M668" s="1077" t="s">
        <v>2217</v>
      </c>
      <c r="N668" s="518" t="s">
        <v>853</v>
      </c>
    </row>
    <row r="669" spans="12:14" x14ac:dyDescent="0.35">
      <c r="L669" s="912" t="s">
        <v>2044</v>
      </c>
      <c r="M669" s="1077" t="s">
        <v>2218</v>
      </c>
      <c r="N669" s="518" t="s">
        <v>853</v>
      </c>
    </row>
    <row r="670" spans="12:14" x14ac:dyDescent="0.35">
      <c r="L670" s="912" t="s">
        <v>2046</v>
      </c>
      <c r="M670" s="951" t="s">
        <v>2047</v>
      </c>
      <c r="N670" s="518" t="s">
        <v>853</v>
      </c>
    </row>
    <row r="671" spans="12:14" x14ac:dyDescent="0.35">
      <c r="L671" s="912" t="s">
        <v>2048</v>
      </c>
      <c r="M671" s="951" t="s">
        <v>2049</v>
      </c>
      <c r="N671" s="2"/>
    </row>
    <row r="672" spans="12:14" x14ac:dyDescent="0.35">
      <c r="L672" s="518" t="s">
        <v>2050</v>
      </c>
      <c r="M672" s="246" t="s">
        <v>2051</v>
      </c>
      <c r="N672" s="2"/>
    </row>
    <row r="673" spans="12:14" x14ac:dyDescent="0.35">
      <c r="L673" s="518" t="s">
        <v>2052</v>
      </c>
      <c r="M673" s="246" t="s">
        <v>2053</v>
      </c>
      <c r="N673" s="2"/>
    </row>
    <row r="674" spans="12:14" x14ac:dyDescent="0.35">
      <c r="L674" s="518" t="s">
        <v>2054</v>
      </c>
      <c r="M674" s="246" t="s">
        <v>2055</v>
      </c>
      <c r="N674" s="681" t="s">
        <v>440</v>
      </c>
    </row>
    <row r="675" spans="12:14" x14ac:dyDescent="0.35">
      <c r="L675" s="518" t="s">
        <v>2056</v>
      </c>
      <c r="M675" s="246" t="s">
        <v>2057</v>
      </c>
      <c r="N675" s="2"/>
    </row>
    <row r="676" spans="12:14" x14ac:dyDescent="0.35">
      <c r="L676" s="518" t="s">
        <v>2058</v>
      </c>
      <c r="M676" s="246" t="s">
        <v>2059</v>
      </c>
      <c r="N676" s="2" t="s">
        <v>440</v>
      </c>
    </row>
    <row r="677" spans="12:14" x14ac:dyDescent="0.35">
      <c r="L677" s="518" t="s">
        <v>2060</v>
      </c>
      <c r="M677" s="246" t="s">
        <v>2061</v>
      </c>
      <c r="N677" s="2"/>
    </row>
    <row r="678" spans="12:14" x14ac:dyDescent="0.35">
      <c r="L678" s="518" t="s">
        <v>2062</v>
      </c>
      <c r="M678" s="246" t="s">
        <v>2063</v>
      </c>
      <c r="N678" s="2" t="s">
        <v>440</v>
      </c>
    </row>
    <row r="679" spans="12:14" x14ac:dyDescent="0.35">
      <c r="L679" s="518" t="s">
        <v>2064</v>
      </c>
      <c r="M679" s="246" t="s">
        <v>2065</v>
      </c>
      <c r="N679" s="2" t="s">
        <v>440</v>
      </c>
    </row>
    <row r="680" spans="12:14" x14ac:dyDescent="0.35">
      <c r="L680" s="751" t="s">
        <v>2066</v>
      </c>
      <c r="M680" s="246" t="s">
        <v>2067</v>
      </c>
      <c r="N680" s="2" t="s">
        <v>440</v>
      </c>
    </row>
    <row r="681" spans="12:14" x14ac:dyDescent="0.35">
      <c r="L681" s="751" t="s">
        <v>2068</v>
      </c>
      <c r="M681" s="246" t="s">
        <v>2069</v>
      </c>
      <c r="N681" s="2" t="s">
        <v>440</v>
      </c>
    </row>
    <row r="682" spans="12:14" x14ac:dyDescent="0.35">
      <c r="L682" s="751" t="s">
        <v>2070</v>
      </c>
      <c r="M682" s="246" t="s">
        <v>2071</v>
      </c>
      <c r="N682" s="2" t="s">
        <v>440</v>
      </c>
    </row>
    <row r="683" spans="12:14" x14ac:dyDescent="0.35">
      <c r="L683" s="751" t="s">
        <v>2072</v>
      </c>
      <c r="M683" s="246" t="s">
        <v>2073</v>
      </c>
      <c r="N683" s="2" t="s">
        <v>440</v>
      </c>
    </row>
    <row r="684" spans="12:14" x14ac:dyDescent="0.35">
      <c r="L684" s="751" t="s">
        <v>2074</v>
      </c>
      <c r="M684" s="246" t="s">
        <v>2075</v>
      </c>
      <c r="N684" s="2" t="s">
        <v>440</v>
      </c>
    </row>
    <row r="685" spans="12:14" x14ac:dyDescent="0.35">
      <c r="L685" s="751" t="s">
        <v>2076</v>
      </c>
      <c r="M685" s="246" t="s">
        <v>2077</v>
      </c>
      <c r="N685" s="2" t="s">
        <v>440</v>
      </c>
    </row>
    <row r="686" spans="12:14" x14ac:dyDescent="0.35">
      <c r="L686" s="751" t="s">
        <v>2078</v>
      </c>
      <c r="M686" s="246" t="s">
        <v>2079</v>
      </c>
      <c r="N686" s="2" t="s">
        <v>440</v>
      </c>
    </row>
    <row r="687" spans="12:14" x14ac:dyDescent="0.35">
      <c r="L687" s="751" t="s">
        <v>2080</v>
      </c>
      <c r="M687" s="246" t="s">
        <v>2081</v>
      </c>
      <c r="N687" s="2" t="s">
        <v>440</v>
      </c>
    </row>
    <row r="688" spans="12:14" ht="29" x14ac:dyDescent="0.35">
      <c r="L688" s="751" t="s">
        <v>2082</v>
      </c>
      <c r="M688" s="246" t="s">
        <v>2083</v>
      </c>
      <c r="N688" s="2"/>
    </row>
    <row r="689" spans="12:14" x14ac:dyDescent="0.35">
      <c r="L689" s="751" t="s">
        <v>2084</v>
      </c>
      <c r="M689" s="956" t="s">
        <v>2085</v>
      </c>
      <c r="N689" s="2" t="s">
        <v>440</v>
      </c>
    </row>
    <row r="690" spans="12:14" ht="29" x14ac:dyDescent="0.35">
      <c r="L690" s="751" t="s">
        <v>2086</v>
      </c>
      <c r="M690" s="246" t="s">
        <v>2087</v>
      </c>
      <c r="N690" s="2"/>
    </row>
    <row r="691" spans="12:14" x14ac:dyDescent="0.35">
      <c r="L691" s="751" t="s">
        <v>2088</v>
      </c>
      <c r="M691" s="246" t="s">
        <v>2089</v>
      </c>
      <c r="N691" s="2" t="s">
        <v>440</v>
      </c>
    </row>
    <row r="692" spans="12:14" x14ac:dyDescent="0.35">
      <c r="L692" s="751" t="s">
        <v>2090</v>
      </c>
      <c r="M692" s="246" t="s">
        <v>2091</v>
      </c>
      <c r="N692" s="2"/>
    </row>
    <row r="693" spans="12:14" x14ac:dyDescent="0.35">
      <c r="L693" s="751" t="s">
        <v>2092</v>
      </c>
      <c r="M693" s="246" t="s">
        <v>2093</v>
      </c>
      <c r="N693" s="2"/>
    </row>
    <row r="694" spans="12:14" x14ac:dyDescent="0.35">
      <c r="L694" s="912" t="s">
        <v>2094</v>
      </c>
      <c r="M694" s="246" t="s">
        <v>2095</v>
      </c>
      <c r="N694" s="2" t="s">
        <v>440</v>
      </c>
    </row>
    <row r="695" spans="12:14" x14ac:dyDescent="0.35">
      <c r="L695" s="518" t="s">
        <v>2096</v>
      </c>
      <c r="M695" s="246" t="s">
        <v>903</v>
      </c>
      <c r="N695" s="2"/>
    </row>
    <row r="696" spans="12:14" ht="29" x14ac:dyDescent="0.35">
      <c r="L696" s="518" t="s">
        <v>2097</v>
      </c>
      <c r="M696" s="246" t="s">
        <v>389</v>
      </c>
      <c r="N696" s="2" t="s">
        <v>853</v>
      </c>
    </row>
    <row r="697" spans="12:14" x14ac:dyDescent="0.35">
      <c r="L697" s="518" t="s">
        <v>2098</v>
      </c>
      <c r="M697" s="246" t="s">
        <v>1006</v>
      </c>
      <c r="N697" s="2"/>
    </row>
    <row r="698" spans="12:14" ht="29" x14ac:dyDescent="0.35">
      <c r="L698" s="518" t="s">
        <v>2099</v>
      </c>
      <c r="M698" s="246" t="s">
        <v>2100</v>
      </c>
      <c r="N698" s="2" t="s">
        <v>853</v>
      </c>
    </row>
    <row r="699" spans="12:14" x14ac:dyDescent="0.35">
      <c r="L699" s="518" t="s">
        <v>2101</v>
      </c>
      <c r="M699" s="246" t="s">
        <v>1049</v>
      </c>
      <c r="N699" s="2"/>
    </row>
    <row r="700" spans="12:14" x14ac:dyDescent="0.35">
      <c r="L700" s="518" t="s">
        <v>2102</v>
      </c>
      <c r="M700" s="246" t="s">
        <v>397</v>
      </c>
      <c r="N700" s="2" t="s">
        <v>853</v>
      </c>
    </row>
    <row r="701" spans="12:14" x14ac:dyDescent="0.35">
      <c r="L701" s="518" t="s">
        <v>2103</v>
      </c>
      <c r="M701" s="246" t="s">
        <v>2104</v>
      </c>
      <c r="N701" s="2" t="s">
        <v>440</v>
      </c>
    </row>
    <row r="702" spans="12:14" x14ac:dyDescent="0.35">
      <c r="L702" s="518" t="s">
        <v>2105</v>
      </c>
      <c r="M702" s="246" t="s">
        <v>1112</v>
      </c>
      <c r="N702" s="2"/>
    </row>
    <row r="703" spans="12:14" x14ac:dyDescent="0.35">
      <c r="L703" s="751" t="s">
        <v>2106</v>
      </c>
      <c r="M703" s="246" t="s">
        <v>1117</v>
      </c>
      <c r="N703" s="2"/>
    </row>
    <row r="704" spans="12:14" x14ac:dyDescent="0.35">
      <c r="L704" s="751" t="s">
        <v>2107</v>
      </c>
      <c r="M704" s="246" t="s">
        <v>1122</v>
      </c>
      <c r="N704" s="2"/>
    </row>
    <row r="705" spans="12:14" x14ac:dyDescent="0.35">
      <c r="L705" s="751" t="s">
        <v>2108</v>
      </c>
      <c r="M705" s="246" t="s">
        <v>1127</v>
      </c>
      <c r="N705" s="2"/>
    </row>
    <row r="706" spans="12:14" x14ac:dyDescent="0.35">
      <c r="L706" s="751" t="s">
        <v>2109</v>
      </c>
      <c r="M706" s="246" t="s">
        <v>1132</v>
      </c>
      <c r="N706" s="2"/>
    </row>
    <row r="707" spans="12:14" x14ac:dyDescent="0.35">
      <c r="L707" s="518" t="s">
        <v>2110</v>
      </c>
      <c r="M707" s="246" t="s">
        <v>1136</v>
      </c>
      <c r="N707" s="2" t="s">
        <v>853</v>
      </c>
    </row>
    <row r="708" spans="12:14" x14ac:dyDescent="0.35">
      <c r="L708" s="751" t="s">
        <v>2111</v>
      </c>
      <c r="M708" s="246" t="s">
        <v>1140</v>
      </c>
      <c r="N708" s="2" t="s">
        <v>698</v>
      </c>
    </row>
    <row r="709" spans="12:14" x14ac:dyDescent="0.35">
      <c r="L709" s="751" t="s">
        <v>2112</v>
      </c>
      <c r="M709" s="246" t="s">
        <v>1144</v>
      </c>
      <c r="N709" s="2" t="s">
        <v>698</v>
      </c>
    </row>
    <row r="710" spans="12:14" x14ac:dyDescent="0.35">
      <c r="L710" s="751" t="s">
        <v>2113</v>
      </c>
      <c r="M710" s="246" t="s">
        <v>1148</v>
      </c>
      <c r="N710" s="2" t="s">
        <v>853</v>
      </c>
    </row>
    <row r="711" spans="12:14" x14ac:dyDescent="0.35">
      <c r="L711" s="751" t="s">
        <v>2114</v>
      </c>
      <c r="M711" s="246" t="s">
        <v>1152</v>
      </c>
      <c r="N711" s="2" t="s">
        <v>853</v>
      </c>
    </row>
    <row r="712" spans="12:14" ht="29" x14ac:dyDescent="0.35">
      <c r="L712" s="518" t="s">
        <v>2115</v>
      </c>
      <c r="M712" s="246" t="s">
        <v>1157</v>
      </c>
      <c r="N712" s="2"/>
    </row>
    <row r="713" spans="12:14" x14ac:dyDescent="0.35">
      <c r="L713" s="518" t="s">
        <v>2116</v>
      </c>
      <c r="M713" s="246" t="s">
        <v>2117</v>
      </c>
      <c r="N713" s="2" t="s">
        <v>853</v>
      </c>
    </row>
    <row r="714" spans="12:14" x14ac:dyDescent="0.35">
      <c r="L714" s="518" t="s">
        <v>2118</v>
      </c>
      <c r="M714" s="246" t="s">
        <v>1168</v>
      </c>
      <c r="N714" s="2"/>
    </row>
    <row r="715" spans="12:14" x14ac:dyDescent="0.35">
      <c r="L715" s="518" t="s">
        <v>2119</v>
      </c>
      <c r="M715" s="246" t="s">
        <v>2120</v>
      </c>
      <c r="N715" s="2"/>
    </row>
    <row r="716" spans="12:14" x14ac:dyDescent="0.35">
      <c r="L716" s="518" t="s">
        <v>2121</v>
      </c>
      <c r="M716" s="246" t="s">
        <v>1183</v>
      </c>
      <c r="N716" s="2"/>
    </row>
    <row r="717" spans="12:14" x14ac:dyDescent="0.35">
      <c r="L717" s="518" t="s">
        <v>2122</v>
      </c>
      <c r="M717" s="246" t="s">
        <v>1188</v>
      </c>
      <c r="N717" s="2"/>
    </row>
    <row r="718" spans="12:14" x14ac:dyDescent="0.35">
      <c r="L718" s="518" t="s">
        <v>2123</v>
      </c>
      <c r="M718" s="246" t="s">
        <v>2124</v>
      </c>
      <c r="N718" s="2" t="s">
        <v>853</v>
      </c>
    </row>
    <row r="719" spans="12:14" x14ac:dyDescent="0.35">
      <c r="L719" s="518" t="s">
        <v>2125</v>
      </c>
      <c r="M719" s="246" t="s">
        <v>2126</v>
      </c>
      <c r="N719" s="2"/>
    </row>
    <row r="720" spans="12:14" x14ac:dyDescent="0.35">
      <c r="L720" s="518" t="s">
        <v>2127</v>
      </c>
      <c r="M720" s="246" t="s">
        <v>2128</v>
      </c>
      <c r="N720" s="2" t="s">
        <v>440</v>
      </c>
    </row>
    <row r="721" spans="12:14" x14ac:dyDescent="0.35">
      <c r="L721" s="518" t="s">
        <v>2129</v>
      </c>
      <c r="M721" s="246" t="s">
        <v>1692</v>
      </c>
      <c r="N721" s="2" t="s">
        <v>440</v>
      </c>
    </row>
    <row r="722" spans="12:14" x14ac:dyDescent="0.35">
      <c r="L722" s="518" t="s">
        <v>2130</v>
      </c>
      <c r="M722" s="246" t="s">
        <v>1704</v>
      </c>
      <c r="N722" s="2" t="s">
        <v>440</v>
      </c>
    </row>
    <row r="723" spans="12:14" x14ac:dyDescent="0.35">
      <c r="L723" s="751" t="s">
        <v>2131</v>
      </c>
      <c r="M723" s="246" t="s">
        <v>1707</v>
      </c>
      <c r="N723" s="2" t="s">
        <v>440</v>
      </c>
    </row>
    <row r="724" spans="12:14" x14ac:dyDescent="0.35">
      <c r="L724" s="751" t="s">
        <v>2132</v>
      </c>
      <c r="M724" s="246" t="s">
        <v>1710</v>
      </c>
      <c r="N724" s="2" t="s">
        <v>440</v>
      </c>
    </row>
    <row r="725" spans="12:14" x14ac:dyDescent="0.35">
      <c r="L725" s="518" t="s">
        <v>2133</v>
      </c>
      <c r="M725" s="246" t="s">
        <v>1713</v>
      </c>
      <c r="N725" s="2" t="s">
        <v>440</v>
      </c>
    </row>
    <row r="726" spans="12:14" x14ac:dyDescent="0.35">
      <c r="L726" s="518" t="s">
        <v>2134</v>
      </c>
      <c r="M726" s="246" t="s">
        <v>1721</v>
      </c>
      <c r="N726" s="2"/>
    </row>
    <row r="727" spans="12:14" x14ac:dyDescent="0.35">
      <c r="L727" s="518" t="s">
        <v>2135</v>
      </c>
      <c r="M727" s="246" t="s">
        <v>1723</v>
      </c>
      <c r="N727" s="2" t="s">
        <v>440</v>
      </c>
    </row>
    <row r="728" spans="12:14" x14ac:dyDescent="0.35">
      <c r="L728" s="518" t="s">
        <v>2136</v>
      </c>
      <c r="M728" s="246" t="s">
        <v>2137</v>
      </c>
      <c r="N728" s="2"/>
    </row>
    <row r="729" spans="12:14" x14ac:dyDescent="0.35">
      <c r="L729" s="518" t="s">
        <v>2138</v>
      </c>
      <c r="M729" s="246" t="s">
        <v>2139</v>
      </c>
      <c r="N729" s="2" t="s">
        <v>440</v>
      </c>
    </row>
  </sheetData>
  <conditionalFormatting sqref="G429">
    <cfRule type="cellIs" dxfId="21" priority="33" operator="equal">
      <formula>"remove"</formula>
    </cfRule>
  </conditionalFormatting>
  <conditionalFormatting sqref="B144:B145 C144:D147">
    <cfRule type="cellIs" dxfId="20" priority="16" operator="equal">
      <formula>"new"</formula>
    </cfRule>
    <cfRule type="cellIs" dxfId="19" priority="17" operator="equal">
      <formula>"remove"</formula>
    </cfRule>
  </conditionalFormatting>
  <conditionalFormatting sqref="G460">
    <cfRule type="cellIs" dxfId="18" priority="15" operator="equal">
      <formula>"remove"</formula>
    </cfRule>
  </conditionalFormatting>
  <conditionalFormatting sqref="M664">
    <cfRule type="cellIs" dxfId="17" priority="7" operator="equal">
      <formula>"remove"</formula>
    </cfRule>
  </conditionalFormatting>
  <conditionalFormatting sqref="E144:E147">
    <cfRule type="cellIs" dxfId="16" priority="9" operator="equal">
      <formula>"new"</formula>
    </cfRule>
    <cfRule type="cellIs" dxfId="15" priority="10" operator="equal">
      <formula>"remove"</formula>
    </cfRule>
  </conditionalFormatting>
  <conditionalFormatting sqref="M633">
    <cfRule type="cellIs" dxfId="14" priority="8" operator="equal">
      <formula>"remove"</formula>
    </cfRule>
  </conditionalFormatting>
  <conditionalFormatting sqref="L348:L351">
    <cfRule type="cellIs" dxfId="13" priority="5" operator="equal">
      <formula>"new"</formula>
    </cfRule>
    <cfRule type="cellIs" dxfId="12" priority="6" operator="equal">
      <formula>"remove"</formula>
    </cfRule>
  </conditionalFormatting>
  <conditionalFormatting sqref="A144:A147">
    <cfRule type="cellIs" dxfId="11" priority="3" operator="equal">
      <formula>"new"</formula>
    </cfRule>
    <cfRule type="cellIs" dxfId="10" priority="4" operator="equal">
      <formula>"remove"</formula>
    </cfRule>
  </conditionalFormatting>
  <conditionalFormatting sqref="F144:F147">
    <cfRule type="cellIs" dxfId="9" priority="1" operator="equal">
      <formula>"new"</formula>
    </cfRule>
    <cfRule type="cellIs" dxfId="8" priority="2" operator="equal">
      <formula>"remove"</formula>
    </cfRule>
  </conditionalFormatting>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249977111117893"/>
  </sheetPr>
  <dimension ref="A1:X52"/>
  <sheetViews>
    <sheetView zoomScaleNormal="100" workbookViewId="0">
      <selection activeCell="B5" sqref="B5:B6"/>
    </sheetView>
  </sheetViews>
  <sheetFormatPr defaultColWidth="9.1796875" defaultRowHeight="12" x14ac:dyDescent="0.3"/>
  <cols>
    <col min="1" max="1" width="3.453125" style="54" customWidth="1"/>
    <col min="2" max="2" width="9.1796875" style="54"/>
    <col min="3" max="3" width="28.1796875" style="54" customWidth="1"/>
    <col min="4" max="4" width="31" style="54" customWidth="1"/>
    <col min="5" max="5" width="8.1796875" style="54" hidden="1" customWidth="1"/>
    <col min="6" max="6" width="10.26953125" style="54" customWidth="1"/>
    <col min="7" max="7" width="9.1796875" style="54"/>
    <col min="8" max="8" width="9.26953125" style="54" customWidth="1"/>
    <col min="9" max="9" width="12" style="54" customWidth="1"/>
    <col min="10" max="10" width="9.7265625" style="54" customWidth="1"/>
    <col min="11" max="11" width="12.54296875" style="54" bestFit="1" customWidth="1"/>
    <col min="12" max="12" width="9" style="54" customWidth="1"/>
    <col min="13" max="13" width="12" style="54" customWidth="1"/>
    <col min="14" max="14" width="9.453125" style="54" customWidth="1"/>
    <col min="15" max="15" width="12" style="54" customWidth="1"/>
    <col min="16" max="16" width="10.26953125" style="54" customWidth="1"/>
    <col min="17" max="17" width="12" style="54" customWidth="1"/>
    <col min="18" max="18" width="11.1796875" style="54" customWidth="1"/>
    <col min="19" max="19" width="12" style="54" customWidth="1"/>
    <col min="20" max="20" width="13" style="54" customWidth="1"/>
    <col min="21" max="21" width="34" style="54" customWidth="1"/>
    <col min="22" max="22" width="17.7265625" style="54" customWidth="1"/>
    <col min="23" max="23" width="11.453125" style="54" customWidth="1"/>
    <col min="24" max="24" width="13.26953125" style="54" customWidth="1"/>
    <col min="25" max="16384" width="9.1796875" style="54"/>
  </cols>
  <sheetData>
    <row r="1" spans="1:24" ht="12.5" thickBot="1" x14ac:dyDescent="0.35">
      <c r="A1" s="1347" t="s">
        <v>200</v>
      </c>
      <c r="B1" s="1347"/>
      <c r="C1" s="1347"/>
      <c r="D1" s="1347"/>
      <c r="E1" s="1348"/>
      <c r="F1" s="1348"/>
      <c r="G1" s="1348"/>
      <c r="H1" s="1348"/>
      <c r="I1" s="1348"/>
      <c r="J1" s="1348"/>
      <c r="K1" s="1348"/>
      <c r="L1" s="1348"/>
      <c r="M1" s="1348"/>
      <c r="N1" s="1348"/>
      <c r="O1" s="1348"/>
      <c r="P1" s="1348"/>
      <c r="Q1" s="1348"/>
      <c r="R1" s="1348"/>
      <c r="S1" s="1348"/>
      <c r="T1" s="1348"/>
      <c r="U1" s="1348"/>
      <c r="V1" s="1348"/>
      <c r="W1" s="1348"/>
      <c r="X1" s="1348"/>
    </row>
    <row r="2" spans="1:24" ht="35" thickBot="1" x14ac:dyDescent="0.35">
      <c r="A2" s="288" t="s">
        <v>166</v>
      </c>
      <c r="B2" s="288" t="s">
        <v>201</v>
      </c>
      <c r="C2" s="289" t="s">
        <v>202</v>
      </c>
      <c r="D2" s="426" t="s">
        <v>203</v>
      </c>
      <c r="E2" s="289" t="s">
        <v>204</v>
      </c>
      <c r="F2" s="289" t="s">
        <v>205</v>
      </c>
      <c r="G2" s="290"/>
      <c r="H2" s="291" t="s">
        <v>206</v>
      </c>
      <c r="I2" s="290" t="s">
        <v>207</v>
      </c>
      <c r="J2" s="291" t="s">
        <v>206</v>
      </c>
      <c r="K2" s="289" t="s">
        <v>208</v>
      </c>
      <c r="L2" s="291" t="s">
        <v>206</v>
      </c>
      <c r="M2" s="289" t="s">
        <v>209</v>
      </c>
      <c r="N2" s="291" t="s">
        <v>206</v>
      </c>
      <c r="O2" s="289" t="s">
        <v>210</v>
      </c>
      <c r="P2" s="291" t="s">
        <v>206</v>
      </c>
      <c r="Q2" s="289" t="s">
        <v>211</v>
      </c>
      <c r="R2" s="291" t="s">
        <v>206</v>
      </c>
      <c r="S2" s="289" t="s">
        <v>212</v>
      </c>
      <c r="T2" s="289" t="s">
        <v>213</v>
      </c>
      <c r="U2" s="429" t="s">
        <v>214</v>
      </c>
      <c r="V2" s="429" t="s">
        <v>215</v>
      </c>
      <c r="W2" s="429" t="s">
        <v>216</v>
      </c>
      <c r="X2" s="430" t="s">
        <v>217</v>
      </c>
    </row>
    <row r="3" spans="1:24" ht="12" customHeight="1" x14ac:dyDescent="0.3">
      <c r="A3" s="1328">
        <v>1</v>
      </c>
      <c r="B3" s="1229" t="str">
        <f>_xlfn.IFNA(VLOOKUP(F:F,'indicator lists'!L:R,7,FALSE),"")</f>
        <v>MTO</v>
      </c>
      <c r="C3" s="1252" t="str">
        <f>_xlfn.IFNA(IF(VLOOKUP(E:E,'Example Logframe'!$B:$E,4,FALSE)=0,"",VLOOKUP(E:E,'Example Logframe'!$B:$E,4,FALSE)),"")</f>
        <v>Beneficiaries reached targeted income from organic agricultural activities/production</v>
      </c>
      <c r="D3" s="1252" t="str">
        <f>_xlfn.IFNA(IF(VLOOKUP(A:A,'Benefit-People-Indicator Ex'!P:Y,10,FALSE)=0,"",VLOOKUP(A:A,'Benefit-People-Indicator Ex'!P:Y,10,FALSE)),"")</f>
        <v>% of participants reaching target income from agricultural activities/production</v>
      </c>
      <c r="E3" s="1226" t="str">
        <f>_xlfn.IFNA(IF(VLOOKUP(F:F,'Example Logframe'!A:B,2,FALSE)=0,"",VLOOKUP(F:F,'Example Logframe'!A:B,2,FALSE)),"")</f>
        <v>AL041</v>
      </c>
      <c r="F3" s="1234" t="str">
        <f>IF('Benefit-People-Indicator Ex'!$AF$5=0,"",'Benefit-People-Indicator Ex'!$AF$5)</f>
        <v>AL04</v>
      </c>
      <c r="G3" s="427" t="s">
        <v>218</v>
      </c>
      <c r="H3" s="432">
        <v>44227</v>
      </c>
      <c r="I3" s="303" t="str">
        <f>_xlfn.IFNA(IF(VLOOKUP(F:F,'Example Logframe'!F:J,3,FALSE)="","",VLOOKUP(F:F, 'Example Logframe'!F:J,3,FALSE)),"")</f>
        <v>TBD</v>
      </c>
      <c r="J3" s="327"/>
      <c r="K3" s="328" t="s">
        <v>6</v>
      </c>
      <c r="L3" s="328"/>
      <c r="M3" s="328"/>
      <c r="N3" s="328"/>
      <c r="O3" s="328"/>
      <c r="P3" s="328"/>
      <c r="Q3" s="328"/>
      <c r="R3" s="436">
        <v>44561</v>
      </c>
      <c r="S3" s="328"/>
      <c r="T3" s="428" t="str">
        <f>'Example Logframe'!I6</f>
        <v>TBD</v>
      </c>
      <c r="U3" s="1354" t="s">
        <v>2144</v>
      </c>
      <c r="V3" s="1356" t="s">
        <v>2145</v>
      </c>
      <c r="W3" s="1330" t="str">
        <f>_xlfn.IFNA(IF(VLOOKUP(F:F,'Example Logframe'!F:J,5,FALSE)=0,"",VLOOKUP(F:F,'Example Logframe'!F:J,5,FALSE)),"")</f>
        <v xml:space="preserve"> final evaluations</v>
      </c>
      <c r="X3" s="1358" t="s">
        <v>2146</v>
      </c>
    </row>
    <row r="4" spans="1:24" ht="54" customHeight="1" x14ac:dyDescent="0.3">
      <c r="A4" s="1328"/>
      <c r="B4" s="1215"/>
      <c r="C4" s="1217"/>
      <c r="D4" s="1217"/>
      <c r="E4" s="1217"/>
      <c r="F4" s="1225"/>
      <c r="G4" s="306" t="s">
        <v>219</v>
      </c>
      <c r="H4" s="433"/>
      <c r="I4" s="434"/>
      <c r="J4" s="58"/>
      <c r="K4" s="58"/>
      <c r="L4" s="58"/>
      <c r="M4" s="58"/>
      <c r="N4" s="58"/>
      <c r="O4" s="58"/>
      <c r="P4" s="58"/>
      <c r="Q4" s="58"/>
      <c r="R4" s="58"/>
      <c r="S4" s="58"/>
      <c r="T4" s="307">
        <v>0.75</v>
      </c>
      <c r="U4" s="1355"/>
      <c r="V4" s="1357"/>
      <c r="W4" s="1215"/>
      <c r="X4" s="1353"/>
    </row>
    <row r="5" spans="1:24" ht="54" customHeight="1" x14ac:dyDescent="0.3">
      <c r="A5" s="1328">
        <v>2</v>
      </c>
      <c r="B5" s="1215" t="str">
        <f>_xlfn.IFNA(VLOOKUP(F:F,'indicator lists'!L:R,7,FALSE),"")</f>
        <v>STO</v>
      </c>
      <c r="C5" s="1217" t="str">
        <f>_xlfn.IFNA(IF(VLOOKUP(E:E,'Example Logframe'!$B:$E,4,FALSE)=0,"",VLOOKUP(E:E,'Example Logframe'!$B:$E,4,FALSE)),"")</f>
        <v>Targeted HHs have increased capacity for livelihood activities</v>
      </c>
      <c r="D5" s="1217" t="str">
        <f>_xlfn.IFNA(IF(VLOOKUP(A:A,'Benefit-People-Indicator Ex'!P:Y,10,FALSE)=0,"",VLOOKUP(A:A,'Benefit-People-Indicator Ex'!P:Y,10,FALSE)),"")</f>
        <v xml:space="preserve">% of households with intensive vegetable crops production   </v>
      </c>
      <c r="E5" s="1217" t="str">
        <f>_xlfn.IFNA(IF(VLOOKUP(F:F,'Example Logframe'!A:B,2,FALSE)=0,"",VLOOKUP(F:F,'Example Logframe'!A:B,2,FALSE)),"")</f>
        <v>AL111.1</v>
      </c>
      <c r="F5" s="1234" t="str">
        <f>IF('Benefit-People-Indicator Ex'!$AF$6=0,"",'Benefit-People-Indicator Ex'!$AF$6)</f>
        <v>AL11</v>
      </c>
      <c r="G5" s="308" t="s">
        <v>218</v>
      </c>
      <c r="H5" s="435"/>
      <c r="I5" s="160" t="str">
        <f>_xlfn.IFNA(IF(VLOOKUP(F:F,'Example Logframe'!F:J,3,FALSE)="","",VLOOKUP(F:F, 'Example Logframe'!F:J,3,FALSE)),"")</f>
        <v>N/A</v>
      </c>
      <c r="J5" s="160"/>
      <c r="K5" s="56"/>
      <c r="L5" s="56"/>
      <c r="M5" s="56"/>
      <c r="N5" s="56"/>
      <c r="O5" s="56"/>
      <c r="P5" s="56"/>
      <c r="Q5" s="56"/>
      <c r="R5" s="437">
        <v>44484</v>
      </c>
      <c r="S5" s="56"/>
      <c r="T5" s="309">
        <f>'Example Logframe'!I7</f>
        <v>1</v>
      </c>
      <c r="U5" s="1349" t="s">
        <v>2147</v>
      </c>
      <c r="V5" s="1343" t="s">
        <v>2148</v>
      </c>
      <c r="W5" s="1229" t="str">
        <f>_xlfn.IFNA(IF(VLOOKUP(F:F,'Example Logframe'!F:J,5,FALSE)=0,"",VLOOKUP(F:F,'Example Logframe'!F:J,5,FALSE)),"")</f>
        <v>final evaluation; PM follow up checklist</v>
      </c>
      <c r="X5" s="1352" t="s">
        <v>2149</v>
      </c>
    </row>
    <row r="6" spans="1:24" ht="50.25" customHeight="1" x14ac:dyDescent="0.3">
      <c r="A6" s="1328"/>
      <c r="B6" s="1215"/>
      <c r="C6" s="1217"/>
      <c r="D6" s="1217"/>
      <c r="E6" s="1217"/>
      <c r="F6" s="1225"/>
      <c r="G6" s="306" t="s">
        <v>219</v>
      </c>
      <c r="H6" s="433"/>
      <c r="I6" s="58"/>
      <c r="J6" s="58"/>
      <c r="K6" s="58"/>
      <c r="L6" s="58"/>
      <c r="M6" s="58"/>
      <c r="N6" s="58"/>
      <c r="O6" s="58"/>
      <c r="P6" s="58"/>
      <c r="Q6" s="58"/>
      <c r="R6" s="58"/>
      <c r="S6" s="58"/>
      <c r="T6" s="307">
        <v>0.85</v>
      </c>
      <c r="U6" s="1350"/>
      <c r="V6" s="1351"/>
      <c r="W6" s="1215"/>
      <c r="X6" s="1353"/>
    </row>
    <row r="7" spans="1:24" ht="50.25" customHeight="1" x14ac:dyDescent="0.3">
      <c r="A7" s="1328">
        <v>3</v>
      </c>
      <c r="B7" s="1215" t="s">
        <v>4</v>
      </c>
      <c r="C7" s="1217" t="str">
        <f>_xlfn.IFNA(IF(VLOOKUP(E:E,'Example Logframe'!$B:$E,4,FALSE)=0,"",VLOOKUP(E:E,'Example Logframe'!$B:$E,4,FALSE)),"")</f>
        <v>Targeted HHs have increased capacity for livelihood activities</v>
      </c>
      <c r="D7" s="1217" t="str">
        <f>_xlfn.IFNA(IF(VLOOKUP(A:A,'Benefit-People-Indicator Ex'!P:Y,10,FALSE)=0,"",VLOOKUP(A:A,'Benefit-People-Indicator Ex'!P:Y,10,FALSE)),"")</f>
        <v xml:space="preserve"> % of households who demonstrate productive beekeeping techniques</v>
      </c>
      <c r="E7" s="1217" t="str">
        <f>_xlfn.IFNA(IF(VLOOKUP(F:F,'Example Logframe'!A:B,2,FALSE)=0,"",VLOOKUP(F:F,'Example Logframe'!A:B,2,FALSE)),"")</f>
        <v>N/A11.2</v>
      </c>
      <c r="F7" s="1219" t="str">
        <f>IF('Benefit-People-Indicator Ex'!$AF$7=0,"",'Benefit-People-Indicator Ex'!$AF$7)</f>
        <v>N/A1</v>
      </c>
      <c r="G7" s="310" t="s">
        <v>218</v>
      </c>
      <c r="H7" s="435"/>
      <c r="I7" s="160" t="str">
        <f>_xlfn.IFNA(IF(VLOOKUP(F:F,'Example Logframe'!F:J,3,FALSE)="","",VLOOKUP(F:F, 'Example Logframe'!F:J,3,FALSE)),"")</f>
        <v>N/A</v>
      </c>
      <c r="J7" s="160"/>
      <c r="K7" s="165"/>
      <c r="L7" s="165"/>
      <c r="M7" s="165"/>
      <c r="N7" s="165"/>
      <c r="O7" s="165"/>
      <c r="P7" s="165"/>
      <c r="Q7" s="165"/>
      <c r="R7" s="438">
        <v>44484</v>
      </c>
      <c r="S7" s="165"/>
      <c r="T7" s="309">
        <f>'Example Logframe'!I18</f>
        <v>1</v>
      </c>
      <c r="U7" s="1349" t="s">
        <v>2150</v>
      </c>
      <c r="V7" s="1331" t="s">
        <v>2151</v>
      </c>
      <c r="W7" s="1229" t="str">
        <f>_xlfn.IFNA(IF(VLOOKUP(F:F,'Example Logframe'!F:J,5,FALSE)=0,"",VLOOKUP(F:F,'Example Logframe'!F:J,5,FALSE)),"")</f>
        <v xml:space="preserve"> final evaluation; PM follow up checklist</v>
      </c>
      <c r="X7" s="1361" t="s">
        <v>2152</v>
      </c>
    </row>
    <row r="8" spans="1:24" ht="55.5" customHeight="1" x14ac:dyDescent="0.3">
      <c r="A8" s="1328"/>
      <c r="B8" s="1215"/>
      <c r="C8" s="1217"/>
      <c r="D8" s="1217"/>
      <c r="E8" s="1217"/>
      <c r="F8" s="1225"/>
      <c r="G8" s="311" t="s">
        <v>219</v>
      </c>
      <c r="H8" s="163"/>
      <c r="I8" s="164"/>
      <c r="J8" s="164"/>
      <c r="K8" s="164"/>
      <c r="L8" s="164"/>
      <c r="M8" s="164"/>
      <c r="N8" s="164"/>
      <c r="O8" s="164"/>
      <c r="P8" s="164"/>
      <c r="Q8" s="164"/>
      <c r="R8" s="164"/>
      <c r="S8" s="164"/>
      <c r="T8" s="312"/>
      <c r="U8" s="1350"/>
      <c r="V8" s="1332"/>
      <c r="W8" s="1215"/>
      <c r="X8" s="1362"/>
    </row>
    <row r="9" spans="1:24" ht="55.5" customHeight="1" x14ac:dyDescent="0.3">
      <c r="A9" s="1328">
        <v>4</v>
      </c>
      <c r="B9" s="1215" t="str">
        <f>_xlfn.IFNA(VLOOKUP(F:F,'indicator lists'!L:R,7,FALSE),"")</f>
        <v>Choose Outcome</v>
      </c>
      <c r="C9" s="1217" t="str">
        <f>_xlfn.IFNA(IF(VLOOKUP(E:E,'Example Logframe'!$B:$E,4,FALSE)=0,"",VLOOKUP(E:E,'Example Logframe'!$B:$E,4,FALSE)),"")</f>
        <v>Targeted HHs practice improved nutrition behaviours</v>
      </c>
      <c r="D9" s="1217" t="str">
        <f>_xlfn.IFNA(IF(VLOOKUP(A:A,'Benefit-People-Indicator Ex'!P:Y,10,FALSE)=0,"",VLOOKUP(A:A,'Benefit-People-Indicator Ex'!P:Y,10,FALSE)),"")</f>
        <v>Average Household Dietary Diversity Score</v>
      </c>
      <c r="E9" s="1217" t="str">
        <f>_xlfn.IFNA(IF(VLOOKUP(F:F,'Example Logframe'!A:B,2,FALSE)=0,"",VLOOKUP(F:F,'Example Logframe'!A:B,2,FALSE)),"")</f>
        <v>FA052</v>
      </c>
      <c r="F9" s="1219" t="str">
        <f>IF('Benefit-People-Indicator Ex'!$AF$8=0,"",'Benefit-People-Indicator Ex'!$AF$8)</f>
        <v>FA05</v>
      </c>
      <c r="G9" s="308" t="s">
        <v>218</v>
      </c>
      <c r="H9" s="435">
        <v>44227</v>
      </c>
      <c r="I9" s="160" t="str">
        <f>_xlfn.IFNA(IF(VLOOKUP(F:F,'Example Logframe'!F:J,3,FALSE)="","",VLOOKUP(F:F, 'Example Logframe'!F:J,3,FALSE)),"")</f>
        <v>TBD</v>
      </c>
      <c r="J9" s="160"/>
      <c r="K9" s="56"/>
      <c r="L9" s="56"/>
      <c r="M9" s="56"/>
      <c r="N9" s="56"/>
      <c r="O9" s="56"/>
      <c r="P9" s="56"/>
      <c r="Q9" s="56"/>
      <c r="R9" s="437">
        <v>44561</v>
      </c>
      <c r="S9" s="56"/>
      <c r="T9" s="309" t="str">
        <f>'Example Logframe'!I40</f>
        <v>TBD</v>
      </c>
      <c r="U9" s="1337" t="s">
        <v>2153</v>
      </c>
      <c r="V9" s="1343" t="s">
        <v>2154</v>
      </c>
      <c r="W9" s="1229" t="str">
        <f>_xlfn.IFNA(IF(VLOOKUP(F:F,'Example Logframe'!F:J,5,FALSE)=0,"",VLOOKUP(F:F,'Example Logframe'!F:J,5,FALSE)),"")</f>
        <v>Baseline and final evaluations</v>
      </c>
      <c r="X9" s="1341" t="s">
        <v>2155</v>
      </c>
    </row>
    <row r="10" spans="1:24" s="162" customFormat="1" ht="32.25" customHeight="1" x14ac:dyDescent="0.35">
      <c r="A10" s="1328"/>
      <c r="B10" s="1215"/>
      <c r="C10" s="1217"/>
      <c r="D10" s="1217"/>
      <c r="E10" s="1217"/>
      <c r="F10" s="1225"/>
      <c r="G10" s="306" t="s">
        <v>219</v>
      </c>
      <c r="H10" s="57"/>
      <c r="I10" s="58"/>
      <c r="J10" s="58"/>
      <c r="K10" s="58"/>
      <c r="L10" s="58"/>
      <c r="M10" s="58"/>
      <c r="N10" s="58"/>
      <c r="O10" s="58"/>
      <c r="P10" s="58"/>
      <c r="Q10" s="58"/>
      <c r="R10" s="58"/>
      <c r="S10" s="58"/>
      <c r="T10" s="307"/>
      <c r="U10" s="1338"/>
      <c r="V10" s="1344"/>
      <c r="W10" s="1215"/>
      <c r="X10" s="1342"/>
    </row>
    <row r="11" spans="1:24" s="162" customFormat="1" ht="32.25" customHeight="1" x14ac:dyDescent="0.35">
      <c r="A11" s="1328">
        <v>5</v>
      </c>
      <c r="B11" s="1215" t="s">
        <v>4</v>
      </c>
      <c r="C11" s="1217" t="str">
        <f>_xlfn.IFNA(IF(VLOOKUP(E:E,'Example Logframe'!$B:$E,4,FALSE)=0,"",VLOOKUP(E:E,'Example Logframe'!$B:$E,4,FALSE)),"")</f>
        <v>Targeted HHs improved understanding and access to basic essential nutrients required for improved diet</v>
      </c>
      <c r="D11" s="1217" t="str">
        <f>_xlfn.IFNA(IF(VLOOKUP(A:A,'Benefit-People-Indicator Ex'!P:Y,10,FALSE)=0,"",VLOOKUP(A:A,'Benefit-People-Indicator Ex'!P:Y,10,FALSE)),"")</f>
        <v xml:space="preserve"> % of HHs that can list at least 3 health benefits of eating vegetables </v>
      </c>
      <c r="E11" s="1217" t="str">
        <f>_xlfn.IFNA(IF(VLOOKUP(F:F,'Example Logframe'!A:B,2,FALSE)=0,"",VLOOKUP(F:F,'Example Logframe'!A:B,2,FALSE)),"")</f>
        <v>N/A22.1</v>
      </c>
      <c r="F11" s="1234" t="str">
        <f>IF('Benefit-People-Indicator Ex'!$AF$9=0,"",'Benefit-People-Indicator Ex'!$AF$9)</f>
        <v>N/A2</v>
      </c>
      <c r="G11" s="308" t="s">
        <v>218</v>
      </c>
      <c r="H11" s="435">
        <v>44227</v>
      </c>
      <c r="I11" s="160" t="str">
        <f>_xlfn.IFNA(IF(VLOOKUP(F:F,'Example Logframe'!F:J,3,FALSE)="","",VLOOKUP(F:F, 'Example Logframe'!F:J,3,FALSE)),"")</f>
        <v>TBD</v>
      </c>
      <c r="J11" s="160"/>
      <c r="K11" s="56"/>
      <c r="L11" s="56"/>
      <c r="M11" s="56"/>
      <c r="N11" s="56"/>
      <c r="O11" s="56"/>
      <c r="P11" s="56"/>
      <c r="Q11" s="56"/>
      <c r="R11" s="437">
        <v>44561</v>
      </c>
      <c r="S11" s="56"/>
      <c r="T11" s="309" t="str">
        <f>'Example Logframe'!I41</f>
        <v>TBD</v>
      </c>
      <c r="U11" s="1337" t="s">
        <v>2156</v>
      </c>
      <c r="V11" s="1339" t="s">
        <v>2157</v>
      </c>
      <c r="W11" s="1229" t="str">
        <f>_xlfn.IFNA(IF(VLOOKUP(F:F,'Example Logframe'!F:J,5,FALSE)=0,"",VLOOKUP(F:F,'Example Logframe'!F:J,5,FALSE)),"")</f>
        <v>Baseline and final evaluations</v>
      </c>
      <c r="X11" s="1345" t="s">
        <v>2158</v>
      </c>
    </row>
    <row r="12" spans="1:24" s="162" customFormat="1" ht="32.25" customHeight="1" x14ac:dyDescent="0.35">
      <c r="A12" s="1328"/>
      <c r="B12" s="1215"/>
      <c r="C12" s="1217"/>
      <c r="D12" s="1217"/>
      <c r="E12" s="1217"/>
      <c r="F12" s="1225"/>
      <c r="G12" s="306" t="s">
        <v>219</v>
      </c>
      <c r="H12" s="57"/>
      <c r="I12" s="58"/>
      <c r="J12" s="58"/>
      <c r="K12" s="58"/>
      <c r="L12" s="58"/>
      <c r="M12" s="58"/>
      <c r="N12" s="58"/>
      <c r="O12" s="58"/>
      <c r="P12" s="58"/>
      <c r="Q12" s="58"/>
      <c r="R12" s="58"/>
      <c r="S12" s="58"/>
      <c r="T12" s="307"/>
      <c r="U12" s="1338" t="s">
        <v>2156</v>
      </c>
      <c r="V12" s="1340" t="s">
        <v>2157</v>
      </c>
      <c r="W12" s="1215"/>
      <c r="X12" s="1346" t="s">
        <v>2158</v>
      </c>
    </row>
    <row r="13" spans="1:24" s="162" customFormat="1" ht="39" customHeight="1" x14ac:dyDescent="0.35">
      <c r="A13" s="1328">
        <v>6</v>
      </c>
      <c r="B13" s="1215" t="str">
        <f>_xlfn.IFNA(VLOOKUP(F:F,'indicator lists'!L:R,7,FALSE),"")</f>
        <v/>
      </c>
      <c r="C13" s="1217" t="str">
        <f>_xlfn.IFNA(IF(VLOOKUP(E:E,'Example Logframe'!$B:$E,4,FALSE)=0,"",VLOOKUP(E:E,'Example Logframe'!$B:$E,4,FALSE)),"")</f>
        <v/>
      </c>
      <c r="D13" s="1217" t="str">
        <f>_xlfn.IFNA(IF(VLOOKUP(A:A,'Benefit-People-Indicator Ex'!P:Y,10,FALSE)=0,"",VLOOKUP(A:A,'Benefit-People-Indicator Ex'!P:Y,10,FALSE)),"")</f>
        <v/>
      </c>
      <c r="E13" s="1217" t="str">
        <f>_xlfn.IFNA(IF(VLOOKUP(F:F,'Example Logframe'!A:B,2,FALSE)=0,"",VLOOKUP(F:F,'Example Logframe'!A:B,2,FALSE)),"")</f>
        <v/>
      </c>
      <c r="F13" s="1219" t="str">
        <f>IF('Benefit-People-Indicator Ex'!$AF$10=0,"",'Benefit-People-Indicator Ex'!$AF$10)</f>
        <v/>
      </c>
      <c r="G13" s="308" t="s">
        <v>218</v>
      </c>
      <c r="H13" s="55"/>
      <c r="I13" s="160" t="str">
        <f>_xlfn.IFNA(IF(VLOOKUP(F:F,'Example Logframe'!F:J,3,FALSE)="","",VLOOKUP(F:F, 'Example Logframe'!F:J,3,FALSE)),"")</f>
        <v/>
      </c>
      <c r="J13" s="160"/>
      <c r="K13" s="56"/>
      <c r="L13" s="56"/>
      <c r="M13" s="56"/>
      <c r="N13" s="56"/>
      <c r="O13" s="56"/>
      <c r="P13" s="56"/>
      <c r="Q13" s="56"/>
      <c r="R13" s="56"/>
      <c r="S13" s="56"/>
      <c r="T13" s="309" t="str">
        <f>_xlfn.IFNA(IF(VLOOKUP(F:F,Logframe!F:J,4,FALSE)=0,"",VLOOKUP(F:F,Logframe!F:J,4,FALSE)),"")</f>
        <v/>
      </c>
      <c r="U13" s="1337"/>
      <c r="V13" s="1343"/>
      <c r="W13" s="1215" t="str">
        <f>_xlfn.IFNA(IF(VLOOKUP(E:E,'Example Logframe'!F:J,5,FALSE)=0,"",VLOOKUP(E:E,'Example Logframe'!F:J,5,FALSE)),"")</f>
        <v/>
      </c>
      <c r="X13" s="1341"/>
    </row>
    <row r="14" spans="1:24" ht="19.5" customHeight="1" x14ac:dyDescent="0.3">
      <c r="A14" s="1328"/>
      <c r="B14" s="1215"/>
      <c r="C14" s="1217"/>
      <c r="D14" s="1217"/>
      <c r="E14" s="1217"/>
      <c r="F14" s="1225"/>
      <c r="G14" s="306" t="s">
        <v>219</v>
      </c>
      <c r="H14" s="57"/>
      <c r="I14" s="58"/>
      <c r="J14" s="58"/>
      <c r="K14" s="58"/>
      <c r="L14" s="58"/>
      <c r="M14" s="58"/>
      <c r="N14" s="58"/>
      <c r="O14" s="58"/>
      <c r="P14" s="58"/>
      <c r="Q14" s="58"/>
      <c r="R14" s="58"/>
      <c r="S14" s="58"/>
      <c r="T14" s="307"/>
      <c r="U14" s="1338"/>
      <c r="V14" s="1344"/>
      <c r="W14" s="1215"/>
      <c r="X14" s="1342"/>
    </row>
    <row r="15" spans="1:24" ht="19.5" customHeight="1" x14ac:dyDescent="0.3">
      <c r="A15" s="1328">
        <v>7</v>
      </c>
      <c r="B15" s="1215" t="str">
        <f>_xlfn.IFNA(VLOOKUP(F:F,'indicator lists'!L:R,7,FALSE),"")</f>
        <v/>
      </c>
      <c r="C15" s="1217" t="str">
        <f>_xlfn.IFNA(IF(VLOOKUP(E:E,'Example Logframe'!$B:$E,4,FALSE)=0,"",VLOOKUP(E:E,'Example Logframe'!$B:$E,4,FALSE)),"")</f>
        <v/>
      </c>
      <c r="D15" s="1217" t="str">
        <f>_xlfn.IFNA(IF(VLOOKUP(A:A,'Benefit-People-Indicator Ex'!P:Y,10,FALSE)=0,"",VLOOKUP(A:A,'Benefit-People-Indicator Ex'!P:Y,10,FALSE)),"")</f>
        <v/>
      </c>
      <c r="E15" s="1217" t="str">
        <f>_xlfn.IFNA(IF(VLOOKUP(F:F,'Example Logframe'!A:B,2,FALSE)=0,"",VLOOKUP(F:F,'Example Logframe'!A:B,2,FALSE)),"")</f>
        <v/>
      </c>
      <c r="F15" s="1219" t="str">
        <f>IF('Benefit-People-Indicator Ex'!$AF$11=0,"",'Benefit-People-Indicator Ex'!$AF$11)</f>
        <v/>
      </c>
      <c r="G15" s="308" t="s">
        <v>218</v>
      </c>
      <c r="H15" s="55"/>
      <c r="I15" s="160" t="str">
        <f>_xlfn.IFNA(IF(VLOOKUP(F:F,'Example Logframe'!F:J,3,FALSE)="","",VLOOKUP(F:F, 'Example Logframe'!F:J,3,FALSE)),"")</f>
        <v/>
      </c>
      <c r="J15" s="160"/>
      <c r="K15" s="56"/>
      <c r="L15" s="56"/>
      <c r="M15" s="56"/>
      <c r="N15" s="56"/>
      <c r="O15" s="56"/>
      <c r="P15" s="56"/>
      <c r="Q15" s="56"/>
      <c r="R15" s="56"/>
      <c r="S15" s="56"/>
      <c r="T15" s="309" t="str">
        <f>_xlfn.IFNA(IF(VLOOKUP(F:F,Logframe!F:J,4,FALSE)=0,"",VLOOKUP(F:F,Logframe!F:J,4,FALSE)),"")</f>
        <v/>
      </c>
      <c r="U15" s="1337"/>
      <c r="V15" s="1339"/>
      <c r="W15" s="1215" t="str">
        <f>_xlfn.IFNA(IF(VLOOKUP(E:E,'Example Logframe'!F:J,5,FALSE)=0,"",VLOOKUP(E:E,'Example Logframe'!F:J,5,FALSE)),"")</f>
        <v/>
      </c>
      <c r="X15" s="1345"/>
    </row>
    <row r="16" spans="1:24" ht="23.25" customHeight="1" x14ac:dyDescent="0.3">
      <c r="A16" s="1328"/>
      <c r="B16" s="1215"/>
      <c r="C16" s="1217"/>
      <c r="D16" s="1217"/>
      <c r="E16" s="1217"/>
      <c r="F16" s="1225"/>
      <c r="G16" s="306" t="s">
        <v>219</v>
      </c>
      <c r="H16" s="57"/>
      <c r="I16" s="58"/>
      <c r="J16" s="58"/>
      <c r="K16" s="58"/>
      <c r="L16" s="58"/>
      <c r="M16" s="58"/>
      <c r="N16" s="58"/>
      <c r="O16" s="58"/>
      <c r="P16" s="58"/>
      <c r="Q16" s="58"/>
      <c r="R16" s="58"/>
      <c r="S16" s="58"/>
      <c r="T16" s="307"/>
      <c r="U16" s="1338"/>
      <c r="V16" s="1340"/>
      <c r="W16" s="1215"/>
      <c r="X16" s="1346"/>
    </row>
    <row r="17" spans="1:24" ht="23.25" customHeight="1" x14ac:dyDescent="0.3">
      <c r="A17" s="1328">
        <v>8</v>
      </c>
      <c r="B17" s="1215" t="str">
        <f>_xlfn.IFNA(VLOOKUP(F:F,'indicator lists'!L:R,7,FALSE),"")</f>
        <v/>
      </c>
      <c r="C17" s="1217" t="str">
        <f>_xlfn.IFNA(IF(VLOOKUP(E:E,'Example Logframe'!$B:$E,4,FALSE)=0,"",VLOOKUP(E:E,'Example Logframe'!$B:$E,4,FALSE)),"")</f>
        <v/>
      </c>
      <c r="D17" s="1217" t="str">
        <f>_xlfn.IFNA(IF(VLOOKUP(A:A,'Benefit-People-Indicator Ex'!P:Y,10,FALSE)=0,"",VLOOKUP(A:A,'Benefit-People-Indicator Ex'!P:Y,10,FALSE)),"")</f>
        <v/>
      </c>
      <c r="E17" s="1217" t="str">
        <f>_xlfn.IFNA(IF(VLOOKUP(F:F,'Example Logframe'!A:B,2,FALSE)=0,"",VLOOKUP(F:F,'Example Logframe'!A:B,2,FALSE)),"")</f>
        <v/>
      </c>
      <c r="F17" s="1234" t="str">
        <f>IF('Benefit-People-Indicator Ex'!$AF$12=0,"",'Benefit-People-Indicator Ex'!$AF$12)</f>
        <v/>
      </c>
      <c r="G17" s="308" t="s">
        <v>218</v>
      </c>
      <c r="H17" s="55"/>
      <c r="I17" s="160" t="str">
        <f>_xlfn.IFNA(IF(VLOOKUP(F:F,'Example Logframe'!F:J,3,FALSE)="","",VLOOKUP(F:F, 'Example Logframe'!F:J,3,FALSE)),"")</f>
        <v/>
      </c>
      <c r="J17" s="160"/>
      <c r="K17" s="56"/>
      <c r="L17" s="56"/>
      <c r="M17" s="56"/>
      <c r="N17" s="56"/>
      <c r="O17" s="56"/>
      <c r="P17" s="56"/>
      <c r="Q17" s="56"/>
      <c r="R17" s="56"/>
      <c r="S17" s="56"/>
      <c r="T17" s="309" t="str">
        <f>_xlfn.IFNA(IF(VLOOKUP(F:F,Logframe!F:J,4,FALSE)=0,"",VLOOKUP(F:F,Logframe!F:J,4,FALSE)),"")</f>
        <v/>
      </c>
      <c r="U17" s="1333"/>
      <c r="V17" s="1335"/>
      <c r="W17" s="1217" t="str">
        <f>_xlfn.IFNA(IF(VLOOKUP(E:E,'Example Logframe'!F:J,5,FALSE)=0,"",VLOOKUP(E:E,'Example Logframe'!F:J,5,FALSE)),"")</f>
        <v/>
      </c>
      <c r="X17" s="1359"/>
    </row>
    <row r="18" spans="1:24" ht="36.75" customHeight="1" x14ac:dyDescent="0.3">
      <c r="A18" s="1328"/>
      <c r="B18" s="1215"/>
      <c r="C18" s="1217"/>
      <c r="D18" s="1217"/>
      <c r="E18" s="1217"/>
      <c r="F18" s="1225"/>
      <c r="G18" s="306" t="s">
        <v>219</v>
      </c>
      <c r="H18" s="57"/>
      <c r="I18" s="58"/>
      <c r="J18" s="58"/>
      <c r="K18" s="58"/>
      <c r="L18" s="58"/>
      <c r="M18" s="58"/>
      <c r="N18" s="58"/>
      <c r="O18" s="58"/>
      <c r="P18" s="58"/>
      <c r="Q18" s="58"/>
      <c r="R18" s="58"/>
      <c r="S18" s="58"/>
      <c r="T18" s="307"/>
      <c r="U18" s="1334"/>
      <c r="V18" s="1336"/>
      <c r="W18" s="1217"/>
      <c r="X18" s="1360"/>
    </row>
    <row r="19" spans="1:24" ht="36.75" customHeight="1" x14ac:dyDescent="0.3">
      <c r="A19" s="1328">
        <v>9</v>
      </c>
      <c r="B19" s="1215" t="str">
        <f>_xlfn.IFNA(VLOOKUP(F:F,'indicator lists'!L:R,7,FALSE),"")</f>
        <v/>
      </c>
      <c r="C19" s="1217" t="str">
        <f>_xlfn.IFNA(IF(VLOOKUP(E:E,'Example Logframe'!$B:$E,4,FALSE)=0,"",VLOOKUP(E:E,'Example Logframe'!$B:$E,4,FALSE)),"")</f>
        <v/>
      </c>
      <c r="D19" s="1217" t="str">
        <f>_xlfn.IFNA(IF(VLOOKUP(A:A,'Benefit-People-Indicator Ex'!P:Y,10,FALSE)=0,"",VLOOKUP(A:A,'Benefit-People-Indicator Ex'!P:Y,10,FALSE)),"")</f>
        <v/>
      </c>
      <c r="E19" s="1217" t="str">
        <f>_xlfn.IFNA(IF(VLOOKUP(F:F,'Example Logframe'!A:B,2,FALSE)=0,"",VLOOKUP(F:F,'Example Logframe'!A:B,2,FALSE)),"")</f>
        <v/>
      </c>
      <c r="F19" s="1219" t="str">
        <f>IF('Benefit-People-Indicator Ex'!$AF$13=0,"",'Benefit-People-Indicator Ex'!$AF$13)</f>
        <v/>
      </c>
      <c r="G19" s="308" t="s">
        <v>218</v>
      </c>
      <c r="H19" s="55"/>
      <c r="I19" s="160" t="str">
        <f>_xlfn.IFNA(IF(VLOOKUP(F:F,'Example Logframe'!F:J,3,FALSE)="","",VLOOKUP(F:F, 'Example Logframe'!F:J,3,FALSE)),"")</f>
        <v/>
      </c>
      <c r="J19" s="160"/>
      <c r="K19" s="56"/>
      <c r="L19" s="56"/>
      <c r="M19" s="56"/>
      <c r="N19" s="56"/>
      <c r="O19" s="56"/>
      <c r="P19" s="56"/>
      <c r="Q19" s="56"/>
      <c r="R19" s="56"/>
      <c r="S19" s="56"/>
      <c r="T19" s="309" t="str">
        <f>_xlfn.IFNA(IF(VLOOKUP(F:F,Logframe!F:J,4,FALSE)=0,"",VLOOKUP(F:F,Logframe!F:J,4,FALSE)),"")</f>
        <v/>
      </c>
      <c r="U19" s="1333"/>
      <c r="V19" s="1335"/>
      <c r="W19" s="1217" t="str">
        <f>_xlfn.IFNA(IF(VLOOKUP(E:E,'Example Logframe'!F:J,5,FALSE)=0,"",VLOOKUP(E:E,'Example Logframe'!F:J,5,FALSE)),"")</f>
        <v/>
      </c>
      <c r="X19" s="1359"/>
    </row>
    <row r="20" spans="1:24" ht="12" customHeight="1" x14ac:dyDescent="0.3">
      <c r="A20" s="1328"/>
      <c r="B20" s="1215"/>
      <c r="C20" s="1217"/>
      <c r="D20" s="1217"/>
      <c r="E20" s="1217"/>
      <c r="F20" s="1225"/>
      <c r="G20" s="306" t="s">
        <v>219</v>
      </c>
      <c r="H20" s="57"/>
      <c r="I20" s="58"/>
      <c r="J20" s="58"/>
      <c r="K20" s="58"/>
      <c r="L20" s="58"/>
      <c r="M20" s="58"/>
      <c r="N20" s="58"/>
      <c r="O20" s="58"/>
      <c r="P20" s="58"/>
      <c r="Q20" s="58"/>
      <c r="R20" s="58"/>
      <c r="S20" s="58"/>
      <c r="T20" s="307"/>
      <c r="U20" s="1334"/>
      <c r="V20" s="1336"/>
      <c r="W20" s="1217"/>
      <c r="X20" s="1360"/>
    </row>
    <row r="21" spans="1:24" ht="12" customHeight="1" x14ac:dyDescent="0.3">
      <c r="A21" s="1328">
        <v>10</v>
      </c>
      <c r="B21" s="1215" t="str">
        <f>_xlfn.IFNA(VLOOKUP(F:F,'indicator lists'!L:R,7,FALSE),"")</f>
        <v/>
      </c>
      <c r="C21" s="1217" t="str">
        <f>_xlfn.IFNA(IF(VLOOKUP(E:E,'Example Logframe'!$B:$E,4,FALSE)=0,"",VLOOKUP(E:E,'Example Logframe'!$B:$E,4,FALSE)),"")</f>
        <v/>
      </c>
      <c r="D21" s="1217" t="str">
        <f>_xlfn.IFNA(IF(VLOOKUP(A:A,'Benefit-People-Indicator Ex'!P:Y,10,FALSE)=0,"",VLOOKUP(A:A,'Benefit-People-Indicator Ex'!P:Y,10,FALSE)),"")</f>
        <v/>
      </c>
      <c r="E21" s="1217" t="str">
        <f>_xlfn.IFNA(IF(VLOOKUP(F:F,'Example Logframe'!A:B,2,FALSE)=0,"",VLOOKUP(F:F,'Example Logframe'!A:B,2,FALSE)),"")</f>
        <v/>
      </c>
      <c r="F21" s="1219" t="str">
        <f>IF('Benefit-People-Indicator Ex'!$AF$14=0,"",'Benefit-People-Indicator Ex'!$AF$14)</f>
        <v/>
      </c>
      <c r="G21" s="308" t="s">
        <v>218</v>
      </c>
      <c r="H21" s="55"/>
      <c r="I21" s="160" t="str">
        <f>_xlfn.IFNA(IF(VLOOKUP(F:F,'Example Logframe'!F:J,3,FALSE)="","",VLOOKUP(F:F, 'Example Logframe'!F:J,3,FALSE)),"")</f>
        <v/>
      </c>
      <c r="J21" s="160"/>
      <c r="K21" s="56"/>
      <c r="L21" s="56"/>
      <c r="M21" s="56"/>
      <c r="N21" s="56"/>
      <c r="O21" s="56"/>
      <c r="P21" s="56"/>
      <c r="Q21" s="56"/>
      <c r="R21" s="56"/>
      <c r="S21" s="56"/>
      <c r="T21" s="309" t="str">
        <f>_xlfn.IFNA(IF(VLOOKUP(F:F,Logframe!F:J,4,FALSE)=0,"",VLOOKUP(F:F,Logframe!F:J,4,FALSE)),"")</f>
        <v/>
      </c>
      <c r="U21" s="1333"/>
      <c r="V21" s="1335"/>
      <c r="W21" s="1217" t="str">
        <f>_xlfn.IFNA(IF(VLOOKUP(E:E,'Example Logframe'!F:J,5,FALSE)=0,"",VLOOKUP(E:E,'Example Logframe'!F:J,5,FALSE)),"")</f>
        <v/>
      </c>
      <c r="X21" s="1359"/>
    </row>
    <row r="22" spans="1:24" ht="12" customHeight="1" x14ac:dyDescent="0.3">
      <c r="A22" s="1328"/>
      <c r="B22" s="1215"/>
      <c r="C22" s="1217"/>
      <c r="D22" s="1217"/>
      <c r="E22" s="1217"/>
      <c r="F22" s="1225"/>
      <c r="G22" s="306" t="s">
        <v>219</v>
      </c>
      <c r="H22" s="57"/>
      <c r="I22" s="58"/>
      <c r="J22" s="58"/>
      <c r="K22" s="58"/>
      <c r="L22" s="58"/>
      <c r="M22" s="58"/>
      <c r="N22" s="58"/>
      <c r="O22" s="58"/>
      <c r="P22" s="58"/>
      <c r="Q22" s="58"/>
      <c r="R22" s="58"/>
      <c r="S22" s="58"/>
      <c r="T22" s="307"/>
      <c r="U22" s="1334"/>
      <c r="V22" s="1336"/>
      <c r="W22" s="1217"/>
      <c r="X22" s="1360"/>
    </row>
    <row r="23" spans="1:24" ht="12" customHeight="1" x14ac:dyDescent="0.3">
      <c r="A23" s="1328">
        <v>11</v>
      </c>
      <c r="B23" s="1215" t="str">
        <f>_xlfn.IFNA(VLOOKUP(F:F,'indicator lists'!L:R,7,FALSE),"")</f>
        <v/>
      </c>
      <c r="C23" s="1217" t="str">
        <f>_xlfn.IFNA(IF(VLOOKUP(E:E,'Example Logframe'!$B:$E,4,FALSE)=0,"",VLOOKUP(E:E,'Example Logframe'!$B:$E,4,FALSE)),"")</f>
        <v/>
      </c>
      <c r="D23" s="1217" t="str">
        <f>_xlfn.IFNA(IF(VLOOKUP(A:A,'Benefit-People-Indicator Ex'!P:Y,10,FALSE)=0,"",VLOOKUP(A:A,'Benefit-People-Indicator Ex'!P:Y,10,FALSE)),"")</f>
        <v/>
      </c>
      <c r="E23" s="1217" t="str">
        <f>_xlfn.IFNA(IF(VLOOKUP(F:F,'Example Logframe'!A:B,2,FALSE)=0,"",VLOOKUP(F:F,'Example Logframe'!A:B,2,FALSE)),"")</f>
        <v/>
      </c>
      <c r="F23" s="1234" t="str">
        <f>IF('Benefit-People-Indicator Ex'!$AF$15=0,"",'Benefit-People-Indicator Ex'!$AF$15)</f>
        <v/>
      </c>
      <c r="G23" s="308" t="s">
        <v>218</v>
      </c>
      <c r="H23" s="55"/>
      <c r="I23" s="160" t="str">
        <f>_xlfn.IFNA(IF(VLOOKUP(F:F,'Example Logframe'!F:J,3,FALSE)="","",VLOOKUP(F:F, 'Example Logframe'!F:J,3,FALSE)),"")</f>
        <v/>
      </c>
      <c r="J23" s="160"/>
      <c r="K23" s="56"/>
      <c r="L23" s="56"/>
      <c r="M23" s="56"/>
      <c r="N23" s="56"/>
      <c r="O23" s="56"/>
      <c r="P23" s="56"/>
      <c r="Q23" s="56"/>
      <c r="R23" s="56"/>
      <c r="S23" s="56"/>
      <c r="T23" s="309" t="str">
        <f>_xlfn.IFNA(IF(VLOOKUP(F:F,Logframe!F:J,4,FALSE)=0,"",VLOOKUP(F:F,Logframe!F:J,4,FALSE)),"")</f>
        <v/>
      </c>
      <c r="U23" s="1333"/>
      <c r="V23" s="1335"/>
      <c r="W23" s="1217" t="str">
        <f>_xlfn.IFNA(IF(VLOOKUP(E:E,'Example Logframe'!F:J,5,FALSE)=0,"",VLOOKUP(E:E,'Example Logframe'!F:J,5,FALSE)),"")</f>
        <v/>
      </c>
      <c r="X23" s="1359"/>
    </row>
    <row r="24" spans="1:24" ht="12" customHeight="1" x14ac:dyDescent="0.3">
      <c r="A24" s="1328"/>
      <c r="B24" s="1215"/>
      <c r="C24" s="1217"/>
      <c r="D24" s="1217"/>
      <c r="E24" s="1217"/>
      <c r="F24" s="1225"/>
      <c r="G24" s="306" t="s">
        <v>219</v>
      </c>
      <c r="H24" s="57"/>
      <c r="I24" s="58"/>
      <c r="J24" s="58"/>
      <c r="K24" s="58"/>
      <c r="L24" s="58"/>
      <c r="M24" s="58"/>
      <c r="N24" s="58"/>
      <c r="O24" s="58"/>
      <c r="P24" s="58"/>
      <c r="Q24" s="58"/>
      <c r="R24" s="58"/>
      <c r="S24" s="58"/>
      <c r="T24" s="307"/>
      <c r="U24" s="1334"/>
      <c r="V24" s="1336"/>
      <c r="W24" s="1217"/>
      <c r="X24" s="1360"/>
    </row>
    <row r="25" spans="1:24" ht="12" customHeight="1" x14ac:dyDescent="0.3">
      <c r="A25" s="1328">
        <v>12</v>
      </c>
      <c r="B25" s="1215" t="str">
        <f>_xlfn.IFNA(VLOOKUP(F:F,'indicator lists'!L:R,7,FALSE),"")</f>
        <v/>
      </c>
      <c r="C25" s="1217" t="str">
        <f>_xlfn.IFNA(IF(VLOOKUP(E:E,'Example Logframe'!$B:$E,4,FALSE)=0,"",VLOOKUP(E:E,'Example Logframe'!$B:$E,4,FALSE)),"")</f>
        <v/>
      </c>
      <c r="D25" s="1217" t="str">
        <f>_xlfn.IFNA(IF(VLOOKUP(A:A,'Benefit-People-Indicator Ex'!P:Y,10,FALSE)=0,"",VLOOKUP(A:A,'Benefit-People-Indicator Ex'!P:Y,10,FALSE)),"")</f>
        <v/>
      </c>
      <c r="E25" s="1217" t="str">
        <f>_xlfn.IFNA(IF(VLOOKUP(F:F,'Example Logframe'!A:B,2,FALSE)=0,"",VLOOKUP(F:F,'Example Logframe'!A:B,2,FALSE)),"")</f>
        <v/>
      </c>
      <c r="F25" s="1219" t="str">
        <f>IF('Benefit-People-Indicator Ex'!$AF$16=0,"",'Benefit-People-Indicator Ex'!$AF$16)</f>
        <v/>
      </c>
      <c r="G25" s="308" t="s">
        <v>218</v>
      </c>
      <c r="H25" s="55"/>
      <c r="I25" s="160" t="str">
        <f>_xlfn.IFNA(IF(VLOOKUP(F:F,'Example Logframe'!F:J,3,FALSE)="","",VLOOKUP(F:F, 'Example Logframe'!F:J,3,FALSE)),"")</f>
        <v/>
      </c>
      <c r="J25" s="160"/>
      <c r="K25" s="56"/>
      <c r="L25" s="56"/>
      <c r="M25" s="56"/>
      <c r="N25" s="56"/>
      <c r="O25" s="56"/>
      <c r="P25" s="56"/>
      <c r="Q25" s="56"/>
      <c r="R25" s="56"/>
      <c r="S25" s="56"/>
      <c r="T25" s="309" t="str">
        <f>_xlfn.IFNA(IF(VLOOKUP(F:F,Logframe!F:J,4,FALSE)=0,"",VLOOKUP(F:F,Logframe!F:J,4,FALSE)),"")</f>
        <v/>
      </c>
      <c r="U25" s="1333"/>
      <c r="V25" s="1335"/>
      <c r="W25" s="1217" t="str">
        <f>_xlfn.IFNA(IF(VLOOKUP(E:E,'Example Logframe'!F:J,5,FALSE)=0,"",VLOOKUP(E:E,'Example Logframe'!F:J,5,FALSE)),"")</f>
        <v/>
      </c>
      <c r="X25" s="1359"/>
    </row>
    <row r="26" spans="1:24" ht="12" customHeight="1" x14ac:dyDescent="0.3">
      <c r="A26" s="1328"/>
      <c r="B26" s="1215"/>
      <c r="C26" s="1217"/>
      <c r="D26" s="1217"/>
      <c r="E26" s="1217"/>
      <c r="F26" s="1225"/>
      <c r="G26" s="306" t="s">
        <v>219</v>
      </c>
      <c r="H26" s="57"/>
      <c r="I26" s="58"/>
      <c r="J26" s="58"/>
      <c r="K26" s="58"/>
      <c r="L26" s="58"/>
      <c r="M26" s="58"/>
      <c r="N26" s="58"/>
      <c r="O26" s="58"/>
      <c r="P26" s="58"/>
      <c r="Q26" s="58"/>
      <c r="R26" s="58"/>
      <c r="S26" s="58"/>
      <c r="T26" s="307"/>
      <c r="U26" s="1334"/>
      <c r="V26" s="1336"/>
      <c r="W26" s="1217"/>
      <c r="X26" s="1360"/>
    </row>
    <row r="27" spans="1:24" ht="12" customHeight="1" x14ac:dyDescent="0.3">
      <c r="A27" s="1328">
        <v>13</v>
      </c>
      <c r="B27" s="1215" t="str">
        <f>_xlfn.IFNA(VLOOKUP(F:F,'indicator lists'!L:R,7,FALSE),"")</f>
        <v/>
      </c>
      <c r="C27" s="1217" t="str">
        <f>_xlfn.IFNA(IF(VLOOKUP(E:E,'Example Logframe'!$B:$E,4,FALSE)=0,"",VLOOKUP(E:E,'Example Logframe'!$B:$E,4,FALSE)),"")</f>
        <v/>
      </c>
      <c r="D27" s="1217" t="str">
        <f>_xlfn.IFNA(IF(VLOOKUP(A:A,'Benefit-People-Indicator Ex'!P:Y,10,FALSE)=0,"",VLOOKUP(A:A,'Benefit-People-Indicator Ex'!P:Y,10,FALSE)),"")</f>
        <v/>
      </c>
      <c r="E27" s="1217" t="str">
        <f>_xlfn.IFNA(IF(VLOOKUP(F:F,'Example Logframe'!A:B,2,FALSE)=0,"",VLOOKUP(F:F,'Example Logframe'!A:B,2,FALSE)),"")</f>
        <v/>
      </c>
      <c r="F27" s="1219" t="str">
        <f>IF('Benefit-People-Indicator Ex'!$AF$17=0,"",'Benefit-People-Indicator Ex'!$AF$17)</f>
        <v/>
      </c>
      <c r="G27" s="308" t="s">
        <v>218</v>
      </c>
      <c r="H27" s="55"/>
      <c r="I27" s="160" t="str">
        <f>_xlfn.IFNA(IF(VLOOKUP(F:F,'Example Logframe'!F:J,3,FALSE)="","",VLOOKUP(F:F, 'Example Logframe'!F:J,3,FALSE)),"")</f>
        <v/>
      </c>
      <c r="J27" s="160"/>
      <c r="K27" s="56"/>
      <c r="L27" s="56"/>
      <c r="M27" s="56"/>
      <c r="N27" s="56"/>
      <c r="O27" s="56"/>
      <c r="P27" s="56"/>
      <c r="Q27" s="56"/>
      <c r="R27" s="56"/>
      <c r="S27" s="56"/>
      <c r="T27" s="309" t="str">
        <f>_xlfn.IFNA(IF(VLOOKUP(F:F,Logframe!F:J,4,FALSE)=0,"",VLOOKUP(F:F,Logframe!F:J,4,FALSE)),"")</f>
        <v/>
      </c>
      <c r="U27" s="1333"/>
      <c r="V27" s="1335"/>
      <c r="W27" s="1217" t="str">
        <f>_xlfn.IFNA(IF(VLOOKUP(E:E,'Example Logframe'!F:J,5,FALSE)=0,"",VLOOKUP(E:E,'Example Logframe'!F:J,5,FALSE)),"")</f>
        <v/>
      </c>
      <c r="X27" s="1359"/>
    </row>
    <row r="28" spans="1:24" ht="12" customHeight="1" x14ac:dyDescent="0.3">
      <c r="A28" s="1328"/>
      <c r="B28" s="1215"/>
      <c r="C28" s="1217"/>
      <c r="D28" s="1217"/>
      <c r="E28" s="1217"/>
      <c r="F28" s="1225"/>
      <c r="G28" s="306" t="s">
        <v>219</v>
      </c>
      <c r="H28" s="57"/>
      <c r="I28" s="58"/>
      <c r="J28" s="58"/>
      <c r="K28" s="58"/>
      <c r="L28" s="58"/>
      <c r="M28" s="58"/>
      <c r="N28" s="58"/>
      <c r="O28" s="58"/>
      <c r="P28" s="58"/>
      <c r="Q28" s="58"/>
      <c r="R28" s="58"/>
      <c r="S28" s="58"/>
      <c r="T28" s="307"/>
      <c r="U28" s="1334"/>
      <c r="V28" s="1336"/>
      <c r="W28" s="1217"/>
      <c r="X28" s="1360"/>
    </row>
    <row r="29" spans="1:24" ht="12" customHeight="1" x14ac:dyDescent="0.3">
      <c r="A29" s="1328">
        <v>14</v>
      </c>
      <c r="B29" s="1215" t="str">
        <f>_xlfn.IFNA(VLOOKUP(F:F,'indicator lists'!L:R,7,FALSE),"")</f>
        <v/>
      </c>
      <c r="C29" s="1217" t="str">
        <f>_xlfn.IFNA(IF(VLOOKUP(E:E,'Example Logframe'!$B:$E,4,FALSE)=0,"",VLOOKUP(E:E,'Example Logframe'!$B:$E,4,FALSE)),"")</f>
        <v/>
      </c>
      <c r="D29" s="1217" t="str">
        <f>_xlfn.IFNA(IF(VLOOKUP(A:A,'Benefit-People-Indicator Ex'!P:Y,10,FALSE)=0,"",VLOOKUP(A:A,'Benefit-People-Indicator Ex'!P:Y,10,FALSE)),"")</f>
        <v/>
      </c>
      <c r="E29" s="1217" t="str">
        <f>_xlfn.IFNA(IF(VLOOKUP(F:F,'Example Logframe'!A:B,2,FALSE)=0,"",VLOOKUP(F:F,'Example Logframe'!A:B,2,FALSE)),"")</f>
        <v/>
      </c>
      <c r="F29" s="1219" t="str">
        <f>IF('Benefit-People-Indicator Ex'!AF18=0,"",'Benefit-People-Indicator Ex'!AF18)</f>
        <v/>
      </c>
      <c r="G29" s="308" t="s">
        <v>218</v>
      </c>
      <c r="H29" s="55"/>
      <c r="I29" s="160" t="str">
        <f>_xlfn.IFNA(IF(VLOOKUP(F:F,'Example Logframe'!F:J,3,FALSE)="","",VLOOKUP(F:F, 'Example Logframe'!F:J,3,FALSE)),"")</f>
        <v/>
      </c>
      <c r="J29" s="160"/>
      <c r="K29" s="56"/>
      <c r="L29" s="56"/>
      <c r="M29" s="56"/>
      <c r="N29" s="56"/>
      <c r="O29" s="56"/>
      <c r="P29" s="56"/>
      <c r="Q29" s="56"/>
      <c r="R29" s="56"/>
      <c r="S29" s="56"/>
      <c r="T29" s="309" t="str">
        <f>_xlfn.IFNA(IF(VLOOKUP(F:F,Logframe!F:J,4,FALSE)=0,"",VLOOKUP(F:F,Logframe!F:J,4,FALSE)),"")</f>
        <v/>
      </c>
      <c r="U29" s="1333"/>
      <c r="V29" s="1335"/>
      <c r="W29" s="1217" t="str">
        <f>_xlfn.IFNA(IF(VLOOKUP(E:E,'Example Logframe'!F:J,5,FALSE)=0,"",VLOOKUP(E:E,'Example Logframe'!F:J,5,FALSE)),"")</f>
        <v/>
      </c>
      <c r="X29" s="1359"/>
    </row>
    <row r="30" spans="1:24" ht="12.75" customHeight="1" x14ac:dyDescent="0.3">
      <c r="A30" s="1328"/>
      <c r="B30" s="1215"/>
      <c r="C30" s="1217"/>
      <c r="D30" s="1217"/>
      <c r="E30" s="1217"/>
      <c r="F30" s="1225"/>
      <c r="G30" s="306" t="s">
        <v>219</v>
      </c>
      <c r="H30" s="57"/>
      <c r="I30" s="58"/>
      <c r="J30" s="58"/>
      <c r="K30" s="58"/>
      <c r="L30" s="58"/>
      <c r="M30" s="58"/>
      <c r="N30" s="58"/>
      <c r="O30" s="58"/>
      <c r="P30" s="58"/>
      <c r="Q30" s="58"/>
      <c r="R30" s="58"/>
      <c r="S30" s="58"/>
      <c r="T30" s="307"/>
      <c r="U30" s="1334"/>
      <c r="V30" s="1336"/>
      <c r="W30" s="1217"/>
      <c r="X30" s="1360"/>
    </row>
    <row r="31" spans="1:24" x14ac:dyDescent="0.3">
      <c r="A31" s="1328">
        <v>15</v>
      </c>
      <c r="B31" s="1215" t="str">
        <f>_xlfn.IFNA(VLOOKUP(F:F,'indicator lists'!L:R,7,FALSE),"")</f>
        <v/>
      </c>
      <c r="C31" s="1217" t="str">
        <f>_xlfn.IFNA(IF(VLOOKUP(E:E,'Example Logframe'!$B:$E,4,FALSE)=0,"",VLOOKUP(E:E,'Example Logframe'!$B:$E,4,FALSE)),"")</f>
        <v/>
      </c>
      <c r="D31" s="1217" t="str">
        <f>_xlfn.IFNA(IF(VLOOKUP(A:A,'Benefit-People-Indicator Ex'!P:Y,10,FALSE)=0,"",VLOOKUP(A:A,'Benefit-People-Indicator Ex'!P:Y,10,FALSE)),"")</f>
        <v/>
      </c>
      <c r="E31" s="1226" t="str">
        <f>_xlfn.IFNA(IF(VLOOKUP(F:F,'Example Logframe'!A:B,2,FALSE)=0,"",VLOOKUP(F:F,'Example Logframe'!A:B,2,FALSE)),"")</f>
        <v/>
      </c>
      <c r="F31" s="1219" t="str">
        <f>IF('Benefit-People-Indicator Ex'!AF19=0,"",'Benefit-People-Indicator Ex'!AF19)</f>
        <v/>
      </c>
      <c r="G31" s="326" t="s">
        <v>218</v>
      </c>
      <c r="H31" s="326"/>
      <c r="I31" s="160" t="str">
        <f>_xlfn.IFNA(IF(VLOOKUP(F:F,'Example Logframe'!F:J,3,FALSE)="","",VLOOKUP(F:F, 'Example Logframe'!F:J,3,FALSE)),"")</f>
        <v/>
      </c>
      <c r="J31" s="327"/>
      <c r="K31" s="328"/>
      <c r="L31" s="328"/>
      <c r="M31" s="328"/>
      <c r="N31" s="328"/>
      <c r="O31" s="328"/>
      <c r="P31" s="328"/>
      <c r="Q31" s="328"/>
      <c r="R31" s="328"/>
      <c r="S31" s="328"/>
      <c r="T31" s="309" t="str">
        <f>_xlfn.IFNA(IF(VLOOKUP(F:F,Logframe!F:J,4,FALSE)=0,"",VLOOKUP(F:F,Logframe!F:J,4,FALSE)),"")</f>
        <v/>
      </c>
      <c r="U31" s="1333"/>
      <c r="V31" s="1335"/>
      <c r="W31" s="1217" t="str">
        <f>_xlfn.IFNA(IF(VLOOKUP(E:E,'Example Logframe'!F:J,5,FALSE)=0,"",VLOOKUP(E:E,'Example Logframe'!F:J,5,FALSE)),"")</f>
        <v/>
      </c>
      <c r="X31" s="1359"/>
    </row>
    <row r="32" spans="1:24" x14ac:dyDescent="0.3">
      <c r="A32" s="1328"/>
      <c r="B32" s="1215"/>
      <c r="C32" s="1217"/>
      <c r="D32" s="1217"/>
      <c r="E32" s="1217"/>
      <c r="F32" s="1225"/>
      <c r="G32" s="57" t="s">
        <v>219</v>
      </c>
      <c r="H32" s="57"/>
      <c r="I32" s="58"/>
      <c r="J32" s="58"/>
      <c r="K32" s="58"/>
      <c r="L32" s="58"/>
      <c r="M32" s="58"/>
      <c r="N32" s="58"/>
      <c r="O32" s="58"/>
      <c r="P32" s="58"/>
      <c r="Q32" s="58"/>
      <c r="R32" s="58"/>
      <c r="S32" s="58"/>
      <c r="T32" s="307"/>
      <c r="U32" s="1334"/>
      <c r="V32" s="1336"/>
      <c r="W32" s="1217"/>
      <c r="X32" s="1360"/>
    </row>
    <row r="33" spans="1:24" x14ac:dyDescent="0.3">
      <c r="A33" s="1328">
        <v>16</v>
      </c>
      <c r="B33" s="1215" t="str">
        <f>_xlfn.IFNA(VLOOKUP(F:F,'indicator lists'!L:R,7,FALSE),"")</f>
        <v/>
      </c>
      <c r="C33" s="1217" t="str">
        <f>_xlfn.IFNA(IF(VLOOKUP(E:E,'Example Logframe'!$B:$E,4,FALSE)=0,"",VLOOKUP(E:E,'Example Logframe'!$B:$E,4,FALSE)),"")</f>
        <v/>
      </c>
      <c r="D33" s="1217" t="str">
        <f>_xlfn.IFNA(IF(VLOOKUP(A:A,'Benefit-People-Indicator Ex'!P:Y,10,FALSE)=0,"",VLOOKUP(A:A,'Benefit-People-Indicator Ex'!P:Y,10,FALSE)),"")</f>
        <v/>
      </c>
      <c r="E33" s="1217" t="str">
        <f>_xlfn.IFNA(IF(VLOOKUP(F:F,'Example Logframe'!A:B,2,FALSE)=0,"",VLOOKUP(F:F,'Example Logframe'!A:B,2,FALSE)),"")</f>
        <v/>
      </c>
      <c r="F33" s="1219" t="str">
        <f>IF('Benefit-People-Indicator Ex'!AF20=0,"",'Benefit-People-Indicator Ex'!AF20)</f>
        <v/>
      </c>
      <c r="G33" s="55" t="s">
        <v>218</v>
      </c>
      <c r="H33" s="55"/>
      <c r="I33" s="160" t="str">
        <f>_xlfn.IFNA(IF(VLOOKUP(F:F,'Example Logframe'!F:J,3,FALSE)="","",VLOOKUP(F:F, 'Example Logframe'!F:J,3,FALSE)),"")</f>
        <v/>
      </c>
      <c r="J33" s="160"/>
      <c r="K33" s="56"/>
      <c r="L33" s="56"/>
      <c r="M33" s="56"/>
      <c r="N33" s="56"/>
      <c r="O33" s="56"/>
      <c r="P33" s="56"/>
      <c r="Q33" s="56"/>
      <c r="R33" s="56"/>
      <c r="S33" s="56"/>
      <c r="T33" s="309" t="str">
        <f>_xlfn.IFNA(IF(VLOOKUP(F:F,Logframe!F:J,4,FALSE)=0,"",VLOOKUP(F:F,Logframe!F:J,4,FALSE)),"")</f>
        <v/>
      </c>
      <c r="U33" s="1333"/>
      <c r="V33" s="1335"/>
      <c r="W33" s="1217" t="str">
        <f>_xlfn.IFNA(IF(VLOOKUP(E:E,'Example Logframe'!F:J,5,FALSE)=0,"",VLOOKUP(E:E,'Example Logframe'!F:J,5,FALSE)),"")</f>
        <v/>
      </c>
      <c r="X33" s="1359"/>
    </row>
    <row r="34" spans="1:24" x14ac:dyDescent="0.3">
      <c r="A34" s="1328"/>
      <c r="B34" s="1215"/>
      <c r="C34" s="1217"/>
      <c r="D34" s="1217"/>
      <c r="E34" s="1217"/>
      <c r="F34" s="1225"/>
      <c r="G34" s="57" t="s">
        <v>219</v>
      </c>
      <c r="H34" s="57"/>
      <c r="I34" s="58"/>
      <c r="J34" s="58"/>
      <c r="K34" s="58"/>
      <c r="L34" s="58"/>
      <c r="M34" s="58"/>
      <c r="N34" s="58"/>
      <c r="O34" s="58"/>
      <c r="P34" s="58"/>
      <c r="Q34" s="58"/>
      <c r="R34" s="58"/>
      <c r="S34" s="58"/>
      <c r="T34" s="307"/>
      <c r="U34" s="1334"/>
      <c r="V34" s="1336"/>
      <c r="W34" s="1217"/>
      <c r="X34" s="1360"/>
    </row>
    <row r="35" spans="1:24" x14ac:dyDescent="0.3">
      <c r="A35" s="1328">
        <v>17</v>
      </c>
      <c r="B35" s="1215" t="str">
        <f>_xlfn.IFNA(VLOOKUP(F:F,'indicator lists'!L:R,7,FALSE),"")</f>
        <v/>
      </c>
      <c r="C35" s="1217" t="str">
        <f>_xlfn.IFNA(IF(VLOOKUP(E:E,'Example Logframe'!$B:$E,4,FALSE)=0,"",VLOOKUP(E:E,'Example Logframe'!$B:$E,4,FALSE)),"")</f>
        <v/>
      </c>
      <c r="D35" s="1217" t="str">
        <f>_xlfn.IFNA(IF(VLOOKUP(A:A,'Benefit-People-Indicator Ex'!P:Y,10,FALSE)=0,"",VLOOKUP(A:A,'Benefit-People-Indicator Ex'!P:Y,10,FALSE)),"")</f>
        <v/>
      </c>
      <c r="E35" s="1217" t="str">
        <f>_xlfn.IFNA(IF(VLOOKUP(F:F,'Example Logframe'!A:B,2,FALSE)=0,"",VLOOKUP(F:F,'Example Logframe'!A:B,2,FALSE)),"")</f>
        <v/>
      </c>
      <c r="F35" s="1219" t="str">
        <f>IF('Benefit-People-Indicator Ex'!AF21=0,"",'Benefit-People-Indicator Ex'!AF21)</f>
        <v/>
      </c>
      <c r="G35" s="55" t="s">
        <v>218</v>
      </c>
      <c r="H35" s="55"/>
      <c r="I35" s="160" t="str">
        <f>_xlfn.IFNA(IF(VLOOKUP(F:F,'Example Logframe'!F:J,3,FALSE)="","",VLOOKUP(F:F, 'Example Logframe'!F:J,3,FALSE)),"")</f>
        <v/>
      </c>
      <c r="J35" s="160"/>
      <c r="K35" s="56"/>
      <c r="L35" s="56"/>
      <c r="M35" s="56"/>
      <c r="N35" s="56"/>
      <c r="O35" s="56"/>
      <c r="P35" s="56"/>
      <c r="Q35" s="56"/>
      <c r="R35" s="56"/>
      <c r="S35" s="56"/>
      <c r="T35" s="309" t="str">
        <f>_xlfn.IFNA(IF(VLOOKUP(F:F,Logframe!F:J,4,FALSE)=0,"",VLOOKUP(F:F,Logframe!F:J,4,FALSE)),"")</f>
        <v/>
      </c>
      <c r="U35" s="1333"/>
      <c r="V35" s="1335"/>
      <c r="W35" s="1217" t="str">
        <f>_xlfn.IFNA(IF(VLOOKUP(E:E,'Example Logframe'!F:J,5,FALSE)=0,"",VLOOKUP(E:E,'Example Logframe'!F:J,5,FALSE)),"")</f>
        <v/>
      </c>
      <c r="X35" s="1359"/>
    </row>
    <row r="36" spans="1:24" x14ac:dyDescent="0.3">
      <c r="A36" s="1328"/>
      <c r="B36" s="1215"/>
      <c r="C36" s="1217"/>
      <c r="D36" s="1217"/>
      <c r="E36" s="1217"/>
      <c r="F36" s="1225"/>
      <c r="G36" s="57" t="s">
        <v>219</v>
      </c>
      <c r="H36" s="57"/>
      <c r="I36" s="58"/>
      <c r="J36" s="58"/>
      <c r="K36" s="58"/>
      <c r="L36" s="58"/>
      <c r="M36" s="58"/>
      <c r="N36" s="58"/>
      <c r="O36" s="58"/>
      <c r="P36" s="58"/>
      <c r="Q36" s="58"/>
      <c r="R36" s="58"/>
      <c r="S36" s="58"/>
      <c r="T36" s="307"/>
      <c r="U36" s="1334"/>
      <c r="V36" s="1336"/>
      <c r="W36" s="1217"/>
      <c r="X36" s="1360"/>
    </row>
    <row r="37" spans="1:24" x14ac:dyDescent="0.3">
      <c r="A37" s="1328">
        <v>18</v>
      </c>
      <c r="B37" s="1215" t="str">
        <f>_xlfn.IFNA(VLOOKUP(F:F,'indicator lists'!L:R,7,FALSE),"")</f>
        <v/>
      </c>
      <c r="C37" s="1217" t="str">
        <f>_xlfn.IFNA(IF(VLOOKUP(E:E,'Example Logframe'!$B:$E,4,FALSE)=0,"",VLOOKUP(E:E,'Example Logframe'!$B:$E,4,FALSE)),"")</f>
        <v/>
      </c>
      <c r="D37" s="1217" t="str">
        <f>_xlfn.IFNA(IF(VLOOKUP(A:A,'Benefit-People-Indicator Ex'!P:Y,10,FALSE)=0,"",VLOOKUP(A:A,'Benefit-People-Indicator Ex'!P:Y,10,FALSE)),"")</f>
        <v/>
      </c>
      <c r="E37" s="1217" t="str">
        <f>_xlfn.IFNA(IF(VLOOKUP(F:F,'Example Logframe'!A:B,2,FALSE)=0,"",VLOOKUP(F:F,'Example Logframe'!A:B,2,FALSE)),"")</f>
        <v/>
      </c>
      <c r="F37" s="1219" t="str">
        <f>IF('Benefit-People-Indicator Ex'!AF22=0,"",'Benefit-People-Indicator Ex'!AF22)</f>
        <v/>
      </c>
      <c r="G37" s="55" t="s">
        <v>218</v>
      </c>
      <c r="H37" s="55"/>
      <c r="I37" s="160" t="str">
        <f>_xlfn.IFNA(IF(VLOOKUP(F:F,'Example Logframe'!F:J,3,FALSE)="","",VLOOKUP(F:F, 'Example Logframe'!F:J,3,FALSE)),"")</f>
        <v/>
      </c>
      <c r="J37" s="160"/>
      <c r="K37" s="56"/>
      <c r="L37" s="56"/>
      <c r="M37" s="56"/>
      <c r="N37" s="56"/>
      <c r="O37" s="56"/>
      <c r="P37" s="56"/>
      <c r="Q37" s="56"/>
      <c r="R37" s="56"/>
      <c r="S37" s="56"/>
      <c r="T37" s="309" t="str">
        <f>_xlfn.IFNA(IF(VLOOKUP(F:F,Logframe!F:J,4,FALSE)=0,"",VLOOKUP(F:F,Logframe!F:J,4,FALSE)),"")</f>
        <v/>
      </c>
      <c r="U37" s="1333"/>
      <c r="V37" s="1335"/>
      <c r="W37" s="1217" t="str">
        <f>_xlfn.IFNA(IF(VLOOKUP(E:E,'Example Logframe'!F:J,5,FALSE)=0,"",VLOOKUP(E:E,'Example Logframe'!F:J,5,FALSE)),"")</f>
        <v/>
      </c>
      <c r="X37" s="1359"/>
    </row>
    <row r="38" spans="1:24" x14ac:dyDescent="0.3">
      <c r="A38" s="1328"/>
      <c r="B38" s="1215"/>
      <c r="C38" s="1217"/>
      <c r="D38" s="1217"/>
      <c r="E38" s="1217"/>
      <c r="F38" s="1225"/>
      <c r="G38" s="57" t="s">
        <v>219</v>
      </c>
      <c r="H38" s="57"/>
      <c r="I38" s="58"/>
      <c r="J38" s="58"/>
      <c r="K38" s="58"/>
      <c r="L38" s="58"/>
      <c r="M38" s="58"/>
      <c r="N38" s="58"/>
      <c r="O38" s="58"/>
      <c r="P38" s="58"/>
      <c r="Q38" s="58"/>
      <c r="R38" s="58"/>
      <c r="S38" s="58"/>
      <c r="T38" s="307"/>
      <c r="U38" s="1334"/>
      <c r="V38" s="1336"/>
      <c r="W38" s="1217"/>
      <c r="X38" s="1360"/>
    </row>
    <row r="39" spans="1:24" x14ac:dyDescent="0.3">
      <c r="A39" s="1328">
        <v>19</v>
      </c>
      <c r="B39" s="1215" t="str">
        <f>_xlfn.IFNA(VLOOKUP(F:F,'indicator lists'!L:R,7,FALSE),"")</f>
        <v/>
      </c>
      <c r="C39" s="1217" t="str">
        <f>_xlfn.IFNA(IF(VLOOKUP(E:E,'Example Logframe'!$B:$E,4,FALSE)=0,"",VLOOKUP(E:E,'Example Logframe'!$B:$E,4,FALSE)),"")</f>
        <v/>
      </c>
      <c r="D39" s="1217" t="str">
        <f>_xlfn.IFNA(IF(VLOOKUP(A:A,'Benefit-People-Indicator Ex'!P:Y,10,FALSE)=0,"",VLOOKUP(A:A,'Benefit-People-Indicator Ex'!P:Y,10,FALSE)),"")</f>
        <v/>
      </c>
      <c r="E39" s="1217" t="str">
        <f>_xlfn.IFNA(IF(VLOOKUP(F:F,'Example Logframe'!A:B,2,FALSE)=0,"",VLOOKUP(F:F,'Example Logframe'!A:B,2,FALSE)),"")</f>
        <v/>
      </c>
      <c r="F39" s="1219" t="str">
        <f>IF('Benefit-People-Indicator Ex'!AF23=0,"",'Benefit-People-Indicator Ex'!AF23)</f>
        <v/>
      </c>
      <c r="G39" s="55" t="s">
        <v>218</v>
      </c>
      <c r="H39" s="55"/>
      <c r="I39" s="160" t="str">
        <f>_xlfn.IFNA(IF(VLOOKUP(F:F,'Example Logframe'!F:J,3,FALSE)="","",VLOOKUP(F:F, 'Example Logframe'!F:J,3,FALSE)),"")</f>
        <v/>
      </c>
      <c r="J39" s="160"/>
      <c r="K39" s="56"/>
      <c r="L39" s="56"/>
      <c r="M39" s="56"/>
      <c r="N39" s="56"/>
      <c r="O39" s="56"/>
      <c r="P39" s="56"/>
      <c r="Q39" s="56"/>
      <c r="R39" s="56"/>
      <c r="S39" s="56"/>
      <c r="T39" s="309" t="str">
        <f>_xlfn.IFNA(IF(VLOOKUP(F:F,Logframe!F:J,4,FALSE)=0,"",VLOOKUP(F:F,Logframe!F:J,4,FALSE)),"")</f>
        <v/>
      </c>
      <c r="U39" s="1333"/>
      <c r="V39" s="1335"/>
      <c r="W39" s="1217" t="str">
        <f>_xlfn.IFNA(IF(VLOOKUP(E:E,'Example Logframe'!F:J,5,FALSE)=0,"",VLOOKUP(E:E,'Example Logframe'!F:J,5,FALSE)),"")</f>
        <v/>
      </c>
      <c r="X39" s="1359"/>
    </row>
    <row r="40" spans="1:24" x14ac:dyDescent="0.3">
      <c r="A40" s="1328"/>
      <c r="B40" s="1215"/>
      <c r="C40" s="1217"/>
      <c r="D40" s="1217"/>
      <c r="E40" s="1217"/>
      <c r="F40" s="1225"/>
      <c r="G40" s="57" t="s">
        <v>219</v>
      </c>
      <c r="H40" s="57"/>
      <c r="I40" s="58"/>
      <c r="J40" s="58"/>
      <c r="K40" s="58"/>
      <c r="L40" s="58"/>
      <c r="M40" s="58"/>
      <c r="N40" s="58"/>
      <c r="O40" s="58"/>
      <c r="P40" s="58"/>
      <c r="Q40" s="58"/>
      <c r="R40" s="58"/>
      <c r="S40" s="58"/>
      <c r="T40" s="307"/>
      <c r="U40" s="1334"/>
      <c r="V40" s="1336"/>
      <c r="W40" s="1217"/>
      <c r="X40" s="1360"/>
    </row>
    <row r="41" spans="1:24" x14ac:dyDescent="0.3">
      <c r="A41" s="1328">
        <v>20</v>
      </c>
      <c r="B41" s="1215" t="str">
        <f>_xlfn.IFNA(VLOOKUP(F:F,'indicator lists'!L:R,7,FALSE),"")</f>
        <v/>
      </c>
      <c r="C41" s="1217" t="str">
        <f>_xlfn.IFNA(IF(VLOOKUP(E:E,'Example Logframe'!$B:$E,4,FALSE)=0,"",VLOOKUP(E:E,'Example Logframe'!$B:$E,4,FALSE)),"")</f>
        <v/>
      </c>
      <c r="D41" s="1217" t="str">
        <f>_xlfn.IFNA(IF(VLOOKUP(A:A,'Benefit-People-Indicator Ex'!P:Y,10,FALSE)=0,"",VLOOKUP(A:A,'Benefit-People-Indicator Ex'!P:Y,10,FALSE)),"")</f>
        <v/>
      </c>
      <c r="E41" s="1217" t="str">
        <f>_xlfn.IFNA(IF(VLOOKUP(F:F,'Example Logframe'!A:B,2,FALSE)=0,"",VLOOKUP(F:F,'Example Logframe'!A:B,2,FALSE)),"")</f>
        <v/>
      </c>
      <c r="F41" s="1219" t="str">
        <f>IF('Benefit-People-Indicator Ex'!AF24=0,"",'Benefit-People-Indicator Ex'!AF24)</f>
        <v/>
      </c>
      <c r="G41" s="55" t="s">
        <v>218</v>
      </c>
      <c r="H41" s="55"/>
      <c r="I41" s="160" t="str">
        <f>_xlfn.IFNA(IF(VLOOKUP(F:F,'Example Logframe'!F:J,3,FALSE)="","",VLOOKUP(F:F, 'Example Logframe'!F:J,3,FALSE)),"")</f>
        <v/>
      </c>
      <c r="J41" s="160"/>
      <c r="K41" s="56"/>
      <c r="L41" s="56"/>
      <c r="M41" s="56"/>
      <c r="N41" s="56"/>
      <c r="O41" s="56"/>
      <c r="P41" s="56"/>
      <c r="Q41" s="56"/>
      <c r="R41" s="56"/>
      <c r="S41" s="56"/>
      <c r="T41" s="309" t="str">
        <f>_xlfn.IFNA(IF(VLOOKUP(F:F,Logframe!F:J,4,FALSE)=0,"",VLOOKUP(F:F,Logframe!F:J,4,FALSE)),"")</f>
        <v/>
      </c>
      <c r="U41" s="1333"/>
      <c r="V41" s="1335"/>
      <c r="W41" s="1217" t="str">
        <f>_xlfn.IFNA(IF(VLOOKUP(E:E,'Example Logframe'!F:J,5,FALSE)=0,"",VLOOKUP(E:E,'Example Logframe'!F:J,5,FALSE)),"")</f>
        <v/>
      </c>
      <c r="X41" s="1359"/>
    </row>
    <row r="42" spans="1:24" x14ac:dyDescent="0.3">
      <c r="A42" s="1328"/>
      <c r="B42" s="1215"/>
      <c r="C42" s="1217"/>
      <c r="D42" s="1217"/>
      <c r="E42" s="1217"/>
      <c r="F42" s="1225"/>
      <c r="G42" s="57" t="s">
        <v>219</v>
      </c>
      <c r="H42" s="57"/>
      <c r="I42" s="58"/>
      <c r="J42" s="58"/>
      <c r="K42" s="58"/>
      <c r="L42" s="58"/>
      <c r="M42" s="58"/>
      <c r="N42" s="58"/>
      <c r="O42" s="58"/>
      <c r="P42" s="58"/>
      <c r="Q42" s="58"/>
      <c r="R42" s="58"/>
      <c r="S42" s="58"/>
      <c r="T42" s="307"/>
      <c r="U42" s="1334"/>
      <c r="V42" s="1336"/>
      <c r="W42" s="1217"/>
      <c r="X42" s="1360"/>
    </row>
    <row r="43" spans="1:24" x14ac:dyDescent="0.3">
      <c r="A43" s="1328">
        <v>21</v>
      </c>
      <c r="B43" s="1215" t="str">
        <f>_xlfn.IFNA(VLOOKUP(F:F,'indicator lists'!L:R,7,FALSE),"")</f>
        <v/>
      </c>
      <c r="C43" s="1217" t="str">
        <f>_xlfn.IFNA(IF(VLOOKUP(E:E,'Example Logframe'!$B:$E,4,FALSE)=0,"",VLOOKUP(E:E,'Example Logframe'!$B:$E,4,FALSE)),"")</f>
        <v/>
      </c>
      <c r="D43" s="1217" t="str">
        <f>_xlfn.IFNA(IF(VLOOKUP(A:A,'Benefit-People-Indicator Ex'!P:Y,10,FALSE)=0,"",VLOOKUP(A:A,'Benefit-People-Indicator Ex'!P:Y,10,FALSE)),"")</f>
        <v/>
      </c>
      <c r="E43" s="1217" t="str">
        <f>_xlfn.IFNA(IF(VLOOKUP(F:F,'Example Logframe'!A:B,2,FALSE)=0,"",VLOOKUP(F:F,'Example Logframe'!A:B,2,FALSE)),"")</f>
        <v/>
      </c>
      <c r="F43" s="1219" t="str">
        <f>IF('Benefit-People-Indicator Ex'!AF25=0,"",'Benefit-People-Indicator Ex'!AF25)</f>
        <v/>
      </c>
      <c r="G43" s="55" t="s">
        <v>218</v>
      </c>
      <c r="H43" s="55"/>
      <c r="I43" s="160" t="str">
        <f>_xlfn.IFNA(IF(VLOOKUP(F:F,'Example Logframe'!F:J,3,FALSE)="","",VLOOKUP(F:F, 'Example Logframe'!F:J,3,FALSE)),"")</f>
        <v/>
      </c>
      <c r="J43" s="160"/>
      <c r="K43" s="56"/>
      <c r="L43" s="56"/>
      <c r="M43" s="56"/>
      <c r="N43" s="56"/>
      <c r="O43" s="56"/>
      <c r="P43" s="56"/>
      <c r="Q43" s="56"/>
      <c r="R43" s="56"/>
      <c r="S43" s="56"/>
      <c r="T43" s="309" t="str">
        <f>_xlfn.IFNA(IF(VLOOKUP(F:F,Logframe!F:J,4,FALSE)=0,"",VLOOKUP(F:F,Logframe!F:J,4,FALSE)),"")</f>
        <v/>
      </c>
      <c r="U43" s="1333"/>
      <c r="V43" s="1335"/>
      <c r="W43" s="1217" t="str">
        <f>_xlfn.IFNA(IF(VLOOKUP(E:E,'Example Logframe'!F:J,5,FALSE)=0,"",VLOOKUP(E:E,'Example Logframe'!F:J,5,FALSE)),"")</f>
        <v/>
      </c>
      <c r="X43" s="1359"/>
    </row>
    <row r="44" spans="1:24" x14ac:dyDescent="0.3">
      <c r="A44" s="1328"/>
      <c r="B44" s="1215"/>
      <c r="C44" s="1217"/>
      <c r="D44" s="1217"/>
      <c r="E44" s="1217"/>
      <c r="F44" s="1225"/>
      <c r="G44" s="57" t="s">
        <v>219</v>
      </c>
      <c r="H44" s="57"/>
      <c r="I44" s="58"/>
      <c r="J44" s="58"/>
      <c r="K44" s="58"/>
      <c r="L44" s="58"/>
      <c r="M44" s="58"/>
      <c r="N44" s="58"/>
      <c r="O44" s="58"/>
      <c r="P44" s="58"/>
      <c r="Q44" s="58"/>
      <c r="R44" s="58"/>
      <c r="S44" s="58"/>
      <c r="T44" s="307"/>
      <c r="U44" s="1334"/>
      <c r="V44" s="1336"/>
      <c r="W44" s="1217"/>
      <c r="X44" s="1360"/>
    </row>
    <row r="45" spans="1:24" x14ac:dyDescent="0.3">
      <c r="A45" s="1328">
        <v>22</v>
      </c>
      <c r="B45" s="1215" t="str">
        <f>_xlfn.IFNA(VLOOKUP(F:F,'indicator lists'!L:R,7,FALSE),"")</f>
        <v/>
      </c>
      <c r="C45" s="1217" t="str">
        <f>_xlfn.IFNA(IF(VLOOKUP(E:E,'Example Logframe'!$B:$E,4,FALSE)=0,"",VLOOKUP(E:E,'Example Logframe'!$B:$E,4,FALSE)),"")</f>
        <v/>
      </c>
      <c r="D45" s="1217" t="str">
        <f>_xlfn.IFNA(IF(VLOOKUP(A:A,'Benefit-People-Indicator Ex'!P:Y,10,FALSE)=0,"",VLOOKUP(A:A,'Benefit-People-Indicator Ex'!P:Y,10,FALSE)),"")</f>
        <v/>
      </c>
      <c r="E45" s="1217" t="str">
        <f>_xlfn.IFNA(IF(VLOOKUP(F:F,'Example Logframe'!A:B,2,FALSE)=0,"",VLOOKUP(F:F,'Example Logframe'!A:B,2,FALSE)),"")</f>
        <v/>
      </c>
      <c r="F45" s="1219" t="str">
        <f>IF('Benefit-People-Indicator Ex'!AF26=0,"",'Benefit-People-Indicator Ex'!AF26)</f>
        <v/>
      </c>
      <c r="G45" s="55" t="s">
        <v>218</v>
      </c>
      <c r="H45" s="55"/>
      <c r="I45" s="160" t="str">
        <f>_xlfn.IFNA(IF(VLOOKUP(F:F,'Example Logframe'!F:J,3,FALSE)="","",VLOOKUP(F:F, 'Example Logframe'!F:J,3,FALSE)),"")</f>
        <v/>
      </c>
      <c r="J45" s="160"/>
      <c r="K45" s="56"/>
      <c r="L45" s="56"/>
      <c r="M45" s="56"/>
      <c r="N45" s="56"/>
      <c r="O45" s="56"/>
      <c r="P45" s="56"/>
      <c r="Q45" s="56"/>
      <c r="R45" s="56"/>
      <c r="S45" s="56"/>
      <c r="T45" s="309" t="str">
        <f>_xlfn.IFNA(IF(VLOOKUP(F:F,Logframe!F:J,4,FALSE)=0,"",VLOOKUP(F:F,Logframe!F:J,4,FALSE)),"")</f>
        <v/>
      </c>
      <c r="U45" s="1333"/>
      <c r="V45" s="1335"/>
      <c r="W45" s="1217" t="str">
        <f>_xlfn.IFNA(IF(VLOOKUP(E:E,'Example Logframe'!F:J,5,FALSE)=0,"",VLOOKUP(E:E,'Example Logframe'!F:J,5,FALSE)),"")</f>
        <v/>
      </c>
      <c r="X45" s="1359"/>
    </row>
    <row r="46" spans="1:24" x14ac:dyDescent="0.3">
      <c r="A46" s="1328"/>
      <c r="B46" s="1215"/>
      <c r="C46" s="1217"/>
      <c r="D46" s="1217"/>
      <c r="E46" s="1217"/>
      <c r="F46" s="1225"/>
      <c r="G46" s="57" t="s">
        <v>219</v>
      </c>
      <c r="H46" s="57"/>
      <c r="I46" s="58"/>
      <c r="J46" s="58"/>
      <c r="K46" s="58"/>
      <c r="L46" s="58"/>
      <c r="M46" s="58"/>
      <c r="N46" s="58"/>
      <c r="O46" s="58"/>
      <c r="P46" s="58"/>
      <c r="Q46" s="58"/>
      <c r="R46" s="58"/>
      <c r="S46" s="58"/>
      <c r="T46" s="307"/>
      <c r="U46" s="1334"/>
      <c r="V46" s="1336"/>
      <c r="W46" s="1217"/>
      <c r="X46" s="1360"/>
    </row>
    <row r="47" spans="1:24" x14ac:dyDescent="0.3">
      <c r="A47" s="1328">
        <v>23</v>
      </c>
      <c r="B47" s="1215" t="str">
        <f>_xlfn.IFNA(VLOOKUP(F:F,'indicator lists'!L:R,7,FALSE),"")</f>
        <v/>
      </c>
      <c r="C47" s="1217" t="str">
        <f>_xlfn.IFNA(IF(VLOOKUP(E:E,'Example Logframe'!$B:$E,4,FALSE)=0,"",VLOOKUP(E:E,'Example Logframe'!$B:$E,4,FALSE)),"")</f>
        <v/>
      </c>
      <c r="D47" s="1217" t="str">
        <f>_xlfn.IFNA(IF(VLOOKUP(A:A,'Benefit-People-Indicator Ex'!P:Y,10,FALSE)=0,"",VLOOKUP(A:A,'Benefit-People-Indicator Ex'!P:Y,10,FALSE)),"")</f>
        <v/>
      </c>
      <c r="E47" s="1217" t="str">
        <f>_xlfn.IFNA(IF(VLOOKUP(F:F,'Example Logframe'!A:B,2,FALSE)=0,"",VLOOKUP(F:F,'Example Logframe'!A:B,2,FALSE)),"")</f>
        <v/>
      </c>
      <c r="F47" s="1219" t="str">
        <f>IF('Benefit-People-Indicator Ex'!AF27=0,"",'Benefit-People-Indicator Ex'!AF27)</f>
        <v/>
      </c>
      <c r="G47" s="55" t="s">
        <v>218</v>
      </c>
      <c r="H47" s="55"/>
      <c r="I47" s="160" t="str">
        <f>_xlfn.IFNA(IF(VLOOKUP(F:F,'Example Logframe'!F:J,3,FALSE)="","",VLOOKUP(F:F, 'Example Logframe'!F:J,3,FALSE)),"")</f>
        <v/>
      </c>
      <c r="J47" s="160"/>
      <c r="K47" s="56"/>
      <c r="L47" s="56"/>
      <c r="M47" s="56"/>
      <c r="N47" s="56"/>
      <c r="O47" s="56"/>
      <c r="P47" s="56"/>
      <c r="Q47" s="56"/>
      <c r="R47" s="56"/>
      <c r="S47" s="56"/>
      <c r="T47" s="309" t="str">
        <f>_xlfn.IFNA(IF(VLOOKUP(F:F,Logframe!F:J,4,FALSE)=0,"",VLOOKUP(F:F,Logframe!F:J,4,FALSE)),"")</f>
        <v/>
      </c>
      <c r="U47" s="1333"/>
      <c r="V47" s="1335"/>
      <c r="W47" s="1217" t="str">
        <f>_xlfn.IFNA(IF(VLOOKUP(E:E,'Example Logframe'!F:J,5,FALSE)=0,"",VLOOKUP(E:E,'Example Logframe'!F:J,5,FALSE)),"")</f>
        <v/>
      </c>
      <c r="X47" s="1359"/>
    </row>
    <row r="48" spans="1:24" x14ac:dyDescent="0.3">
      <c r="A48" s="1328"/>
      <c r="B48" s="1215"/>
      <c r="C48" s="1217"/>
      <c r="D48" s="1217"/>
      <c r="E48" s="1217"/>
      <c r="F48" s="1225"/>
      <c r="G48" s="57" t="s">
        <v>219</v>
      </c>
      <c r="H48" s="57"/>
      <c r="I48" s="58"/>
      <c r="J48" s="58"/>
      <c r="K48" s="58"/>
      <c r="L48" s="58"/>
      <c r="M48" s="58"/>
      <c r="N48" s="58"/>
      <c r="O48" s="58"/>
      <c r="P48" s="58"/>
      <c r="Q48" s="58"/>
      <c r="R48" s="58"/>
      <c r="S48" s="58"/>
      <c r="T48" s="307"/>
      <c r="U48" s="1334"/>
      <c r="V48" s="1336"/>
      <c r="W48" s="1217"/>
      <c r="X48" s="1360"/>
    </row>
    <row r="49" spans="1:24" x14ac:dyDescent="0.3">
      <c r="A49" s="1328">
        <v>24</v>
      </c>
      <c r="B49" s="1215" t="str">
        <f>_xlfn.IFNA(VLOOKUP(F:F,'indicator lists'!L:R,7,FALSE),"")</f>
        <v/>
      </c>
      <c r="C49" s="1217" t="str">
        <f>_xlfn.IFNA(IF(VLOOKUP(E:E,'Example Logframe'!$B:$E,4,FALSE)=0,"",VLOOKUP(E:E,'Example Logframe'!$B:$E,4,FALSE)),"")</f>
        <v/>
      </c>
      <c r="D49" s="1217" t="str">
        <f>_xlfn.IFNA(IF(VLOOKUP(A:A,'Benefit-People-Indicator Ex'!P:Y,10,FALSE)=0,"",VLOOKUP(A:A,'Benefit-People-Indicator Ex'!P:Y,10,FALSE)),"")</f>
        <v/>
      </c>
      <c r="E49" s="1217" t="str">
        <f>_xlfn.IFNA(IF(VLOOKUP(F:F,'Example Logframe'!A:B,2,FALSE)=0,"",VLOOKUP(F:F,'Example Logframe'!A:B,2,FALSE)),"")</f>
        <v/>
      </c>
      <c r="F49" s="1219" t="str">
        <f>IF('Benefit-People-Indicator Ex'!AF28=0,"",'Benefit-People-Indicator Ex'!AF28)</f>
        <v/>
      </c>
      <c r="G49" s="55" t="s">
        <v>218</v>
      </c>
      <c r="H49" s="55"/>
      <c r="I49" s="160" t="str">
        <f>_xlfn.IFNA(IF(VLOOKUP(F:F,'Example Logframe'!F:J,3,FALSE)="","",VLOOKUP(F:F, 'Example Logframe'!F:J,3,FALSE)),"")</f>
        <v/>
      </c>
      <c r="J49" s="160"/>
      <c r="K49" s="56"/>
      <c r="L49" s="56"/>
      <c r="M49" s="56"/>
      <c r="N49" s="56"/>
      <c r="O49" s="56"/>
      <c r="P49" s="56"/>
      <c r="Q49" s="56"/>
      <c r="R49" s="56"/>
      <c r="S49" s="56"/>
      <c r="T49" s="309" t="str">
        <f>_xlfn.IFNA(IF(VLOOKUP(F:F,Logframe!F:J,4,FALSE)=0,"",VLOOKUP(F:F,Logframe!F:J,4,FALSE)),"")</f>
        <v/>
      </c>
      <c r="U49" s="1333"/>
      <c r="V49" s="1335"/>
      <c r="W49" s="1217" t="str">
        <f>_xlfn.IFNA(IF(VLOOKUP(E:E,'Example Logframe'!F:J,5,FALSE)=0,"",VLOOKUP(E:E,'Example Logframe'!F:J,5,FALSE)),"")</f>
        <v/>
      </c>
      <c r="X49" s="1359"/>
    </row>
    <row r="50" spans="1:24" x14ac:dyDescent="0.3">
      <c r="A50" s="1328"/>
      <c r="B50" s="1215"/>
      <c r="C50" s="1217"/>
      <c r="D50" s="1217"/>
      <c r="E50" s="1217"/>
      <c r="F50" s="1225"/>
      <c r="G50" s="57" t="s">
        <v>219</v>
      </c>
      <c r="H50" s="57"/>
      <c r="I50" s="58"/>
      <c r="J50" s="58"/>
      <c r="K50" s="58"/>
      <c r="L50" s="58"/>
      <c r="M50" s="58"/>
      <c r="N50" s="58"/>
      <c r="O50" s="58"/>
      <c r="P50" s="58"/>
      <c r="Q50" s="58"/>
      <c r="R50" s="58"/>
      <c r="S50" s="58"/>
      <c r="T50" s="307"/>
      <c r="U50" s="1334"/>
      <c r="V50" s="1336"/>
      <c r="W50" s="1217"/>
      <c r="X50" s="1360"/>
    </row>
    <row r="51" spans="1:24" x14ac:dyDescent="0.3">
      <c r="A51" s="1328">
        <v>25</v>
      </c>
      <c r="B51" s="1215" t="str">
        <f>_xlfn.IFNA(VLOOKUP(F:F,'indicator lists'!L:R,7,FALSE),"")</f>
        <v/>
      </c>
      <c r="C51" s="1217" t="str">
        <f>_xlfn.IFNA(IF(VLOOKUP(E:E,'Example Logframe'!$B:$E,4,FALSE)=0,"",VLOOKUP(E:E,'Example Logframe'!$B:$E,4,FALSE)),"")</f>
        <v/>
      </c>
      <c r="D51" s="1217" t="str">
        <f>_xlfn.IFNA(IF(VLOOKUP(A:A,'Benefit-People-Indicator Ex'!P:Y,10,FALSE)=0,"",VLOOKUP(A:A,'Benefit-People-Indicator Ex'!P:Y,10,FALSE)),"")</f>
        <v/>
      </c>
      <c r="E51" s="1217" t="str">
        <f>_xlfn.IFNA(IF(VLOOKUP(F:F,'Example Logframe'!A:B,2,FALSE)=0,"",VLOOKUP(F:F,'Example Logframe'!A:B,2,FALSE)),"")</f>
        <v/>
      </c>
      <c r="F51" s="1219" t="str">
        <f>IF('Benefit-People-Indicator Ex'!AF29=0,"",'Benefit-People-Indicator Ex'!AF29)</f>
        <v/>
      </c>
      <c r="G51" s="55" t="s">
        <v>218</v>
      </c>
      <c r="H51" s="55"/>
      <c r="I51" s="160" t="str">
        <f>_xlfn.IFNA(IF(VLOOKUP(F:F,'Example Logframe'!F:J,3,FALSE)="","",VLOOKUP(F:F, 'Example Logframe'!F:J,3,FALSE)),"")</f>
        <v/>
      </c>
      <c r="J51" s="160"/>
      <c r="K51" s="56"/>
      <c r="L51" s="56"/>
      <c r="M51" s="56"/>
      <c r="N51" s="56"/>
      <c r="O51" s="56"/>
      <c r="P51" s="56"/>
      <c r="Q51" s="56"/>
      <c r="R51" s="56"/>
      <c r="S51" s="56"/>
      <c r="T51" s="309" t="str">
        <f>_xlfn.IFNA(IF(VLOOKUP(F:F,Logframe!F:J,4,FALSE)=0,"",VLOOKUP(F:F,Logframe!F:J,4,FALSE)),"")</f>
        <v/>
      </c>
      <c r="U51" s="1333"/>
      <c r="V51" s="1335"/>
      <c r="W51" s="1217" t="str">
        <f>_xlfn.IFNA(IF(VLOOKUP(E:E,'Example Logframe'!F:J,5,FALSE)=0,"",VLOOKUP(E:E,'Example Logframe'!F:J,5,FALSE)),"")</f>
        <v/>
      </c>
      <c r="X51" s="1359"/>
    </row>
    <row r="52" spans="1:24" ht="12.5" thickBot="1" x14ac:dyDescent="0.35">
      <c r="A52" s="1329"/>
      <c r="B52" s="1216"/>
      <c r="C52" s="1218"/>
      <c r="D52" s="1218"/>
      <c r="E52" s="1218"/>
      <c r="F52" s="1220"/>
      <c r="G52" s="166" t="s">
        <v>219</v>
      </c>
      <c r="H52" s="166"/>
      <c r="I52" s="167"/>
      <c r="J52" s="167"/>
      <c r="K52" s="167"/>
      <c r="L52" s="167"/>
      <c r="M52" s="167"/>
      <c r="N52" s="167"/>
      <c r="O52" s="167"/>
      <c r="P52" s="167"/>
      <c r="Q52" s="167"/>
      <c r="R52" s="167"/>
      <c r="S52" s="167"/>
      <c r="T52" s="313"/>
      <c r="U52" s="1363"/>
      <c r="V52" s="1364"/>
      <c r="W52" s="1218"/>
      <c r="X52" s="1365"/>
    </row>
  </sheetData>
  <mergeCells count="251">
    <mergeCell ref="U51:U52"/>
    <mergeCell ref="V51:V52"/>
    <mergeCell ref="W51:W52"/>
    <mergeCell ref="X51:X52"/>
    <mergeCell ref="U45:U46"/>
    <mergeCell ref="V45:V46"/>
    <mergeCell ref="W45:W46"/>
    <mergeCell ref="X45:X46"/>
    <mergeCell ref="U47:U48"/>
    <mergeCell ref="V47:V48"/>
    <mergeCell ref="W47:W48"/>
    <mergeCell ref="X47:X48"/>
    <mergeCell ref="U49:U50"/>
    <mergeCell ref="V49:V50"/>
    <mergeCell ref="W49:W50"/>
    <mergeCell ref="X49:X50"/>
    <mergeCell ref="U39:U40"/>
    <mergeCell ref="V39:V40"/>
    <mergeCell ref="W39:W40"/>
    <mergeCell ref="X39:X40"/>
    <mergeCell ref="U41:U42"/>
    <mergeCell ref="V41:V42"/>
    <mergeCell ref="W41:W42"/>
    <mergeCell ref="X41:X42"/>
    <mergeCell ref="U43:U44"/>
    <mergeCell ref="V43:V44"/>
    <mergeCell ref="W43:W44"/>
    <mergeCell ref="X43:X44"/>
    <mergeCell ref="U33:U34"/>
    <mergeCell ref="V33:V34"/>
    <mergeCell ref="W33:W34"/>
    <mergeCell ref="X33:X34"/>
    <mergeCell ref="U35:U36"/>
    <mergeCell ref="V35:V36"/>
    <mergeCell ref="W35:W36"/>
    <mergeCell ref="X35:X36"/>
    <mergeCell ref="U37:U38"/>
    <mergeCell ref="V37:V38"/>
    <mergeCell ref="W37:W38"/>
    <mergeCell ref="X37:X38"/>
    <mergeCell ref="A19:A20"/>
    <mergeCell ref="B19:B20"/>
    <mergeCell ref="C19:C20"/>
    <mergeCell ref="D19:D20"/>
    <mergeCell ref="E19:E20"/>
    <mergeCell ref="A21:A22"/>
    <mergeCell ref="B21:B22"/>
    <mergeCell ref="C21:C22"/>
    <mergeCell ref="A17:A18"/>
    <mergeCell ref="B17:B18"/>
    <mergeCell ref="C17:C18"/>
    <mergeCell ref="D17:D18"/>
    <mergeCell ref="E17:E18"/>
    <mergeCell ref="D21:D22"/>
    <mergeCell ref="E21:E22"/>
    <mergeCell ref="A13:A14"/>
    <mergeCell ref="B13:B14"/>
    <mergeCell ref="C13:C14"/>
    <mergeCell ref="D13:D14"/>
    <mergeCell ref="E13:E14"/>
    <mergeCell ref="A15:A16"/>
    <mergeCell ref="B15:B16"/>
    <mergeCell ref="C15:C16"/>
    <mergeCell ref="D15:D16"/>
    <mergeCell ref="E15:E16"/>
    <mergeCell ref="A9:A10"/>
    <mergeCell ref="B9:B10"/>
    <mergeCell ref="C9:C10"/>
    <mergeCell ref="D9:D10"/>
    <mergeCell ref="E9:E10"/>
    <mergeCell ref="A11:A12"/>
    <mergeCell ref="B11:B12"/>
    <mergeCell ref="C11:C12"/>
    <mergeCell ref="D11:D12"/>
    <mergeCell ref="E11:E12"/>
    <mergeCell ref="X7:X8"/>
    <mergeCell ref="W31:W32"/>
    <mergeCell ref="X31:X32"/>
    <mergeCell ref="W27:W28"/>
    <mergeCell ref="X27:X28"/>
    <mergeCell ref="U29:U30"/>
    <mergeCell ref="V29:V30"/>
    <mergeCell ref="W29:W30"/>
    <mergeCell ref="X29:X30"/>
    <mergeCell ref="U31:U32"/>
    <mergeCell ref="W19:W20"/>
    <mergeCell ref="X19:X20"/>
    <mergeCell ref="U21:U22"/>
    <mergeCell ref="V21:V22"/>
    <mergeCell ref="W21:W22"/>
    <mergeCell ref="X21:X22"/>
    <mergeCell ref="U19:U20"/>
    <mergeCell ref="V19:V20"/>
    <mergeCell ref="X15:X16"/>
    <mergeCell ref="X17:X18"/>
    <mergeCell ref="W23:W24"/>
    <mergeCell ref="X23:X24"/>
    <mergeCell ref="U25:U26"/>
    <mergeCell ref="V25:V26"/>
    <mergeCell ref="W25:W26"/>
    <mergeCell ref="X25:X26"/>
    <mergeCell ref="U23:U24"/>
    <mergeCell ref="V23:V24"/>
    <mergeCell ref="V31:V32"/>
    <mergeCell ref="D29:D30"/>
    <mergeCell ref="E29:E30"/>
    <mergeCell ref="A27:A28"/>
    <mergeCell ref="B27:B28"/>
    <mergeCell ref="C27:C28"/>
    <mergeCell ref="D27:D28"/>
    <mergeCell ref="E27:E28"/>
    <mergeCell ref="U27:U28"/>
    <mergeCell ref="V27:V28"/>
    <mergeCell ref="C29:C30"/>
    <mergeCell ref="A1:X1"/>
    <mergeCell ref="U5:U6"/>
    <mergeCell ref="V5:V6"/>
    <mergeCell ref="W5:W6"/>
    <mergeCell ref="X5:X6"/>
    <mergeCell ref="E7:E8"/>
    <mergeCell ref="A5:A6"/>
    <mergeCell ref="B5:B6"/>
    <mergeCell ref="C5:C6"/>
    <mergeCell ref="D5:D6"/>
    <mergeCell ref="E5:E6"/>
    <mergeCell ref="A7:A8"/>
    <mergeCell ref="B7:B8"/>
    <mergeCell ref="C7:C8"/>
    <mergeCell ref="D7:D8"/>
    <mergeCell ref="U3:U4"/>
    <mergeCell ref="V3:V4"/>
    <mergeCell ref="X3:X4"/>
    <mergeCell ref="A3:A4"/>
    <mergeCell ref="B3:B4"/>
    <mergeCell ref="C3:C4"/>
    <mergeCell ref="D3:D4"/>
    <mergeCell ref="E3:E4"/>
    <mergeCell ref="U7:U8"/>
    <mergeCell ref="X13:X14"/>
    <mergeCell ref="U9:U10"/>
    <mergeCell ref="V9:V10"/>
    <mergeCell ref="W9:W10"/>
    <mergeCell ref="X9:X10"/>
    <mergeCell ref="U13:U14"/>
    <mergeCell ref="V13:V14"/>
    <mergeCell ref="U11:U12"/>
    <mergeCell ref="V11:V12"/>
    <mergeCell ref="X11:X12"/>
    <mergeCell ref="W11:W12"/>
    <mergeCell ref="F3:F4"/>
    <mergeCell ref="F5:F6"/>
    <mergeCell ref="F7:F8"/>
    <mergeCell ref="F9:F10"/>
    <mergeCell ref="F11:F12"/>
    <mergeCell ref="F13:F14"/>
    <mergeCell ref="F15:F16"/>
    <mergeCell ref="F17:F18"/>
    <mergeCell ref="W3:W4"/>
    <mergeCell ref="V7:V8"/>
    <mergeCell ref="W7:W8"/>
    <mergeCell ref="W15:W16"/>
    <mergeCell ref="U17:U18"/>
    <mergeCell ref="V17:V18"/>
    <mergeCell ref="W17:W18"/>
    <mergeCell ref="U15:U16"/>
    <mergeCell ref="V15:V16"/>
    <mergeCell ref="W13:W14"/>
    <mergeCell ref="F19:F20"/>
    <mergeCell ref="F21:F22"/>
    <mergeCell ref="F23:F24"/>
    <mergeCell ref="F25:F26"/>
    <mergeCell ref="F27:F28"/>
    <mergeCell ref="F29:F30"/>
    <mergeCell ref="A31:A32"/>
    <mergeCell ref="B31:B32"/>
    <mergeCell ref="C31:C32"/>
    <mergeCell ref="D31:D32"/>
    <mergeCell ref="E31:E32"/>
    <mergeCell ref="F31:F32"/>
    <mergeCell ref="A23:A24"/>
    <mergeCell ref="B23:B24"/>
    <mergeCell ref="C23:C24"/>
    <mergeCell ref="D23:D24"/>
    <mergeCell ref="E23:E24"/>
    <mergeCell ref="A25:A26"/>
    <mergeCell ref="B25:B26"/>
    <mergeCell ref="C25:C26"/>
    <mergeCell ref="D25:D26"/>
    <mergeCell ref="E25:E26"/>
    <mergeCell ref="A29:A30"/>
    <mergeCell ref="B29:B30"/>
    <mergeCell ref="A33:A34"/>
    <mergeCell ref="B33:B34"/>
    <mergeCell ref="C33:C34"/>
    <mergeCell ref="D33:D34"/>
    <mergeCell ref="E33:E34"/>
    <mergeCell ref="F33:F34"/>
    <mergeCell ref="A35:A36"/>
    <mergeCell ref="B35:B36"/>
    <mergeCell ref="C35:C36"/>
    <mergeCell ref="D35:D36"/>
    <mergeCell ref="E35:E36"/>
    <mergeCell ref="F35:F36"/>
    <mergeCell ref="A37:A38"/>
    <mergeCell ref="B37:B38"/>
    <mergeCell ref="C37:C38"/>
    <mergeCell ref="D37:D38"/>
    <mergeCell ref="E37:E38"/>
    <mergeCell ref="F37:F38"/>
    <mergeCell ref="A39:A40"/>
    <mergeCell ref="B39:B40"/>
    <mergeCell ref="C39:C40"/>
    <mergeCell ref="D39:D40"/>
    <mergeCell ref="E39:E40"/>
    <mergeCell ref="F39:F40"/>
    <mergeCell ref="A41:A42"/>
    <mergeCell ref="B41:B42"/>
    <mergeCell ref="C41:C42"/>
    <mergeCell ref="D41:D42"/>
    <mergeCell ref="E41:E42"/>
    <mergeCell ref="F41:F42"/>
    <mergeCell ref="A43:A44"/>
    <mergeCell ref="B43:B44"/>
    <mergeCell ref="C43:C44"/>
    <mergeCell ref="D43:D44"/>
    <mergeCell ref="E43:E44"/>
    <mergeCell ref="F43:F44"/>
    <mergeCell ref="A45:A46"/>
    <mergeCell ref="B45:B46"/>
    <mergeCell ref="C45:C46"/>
    <mergeCell ref="D45:D46"/>
    <mergeCell ref="E45:E46"/>
    <mergeCell ref="F45:F46"/>
    <mergeCell ref="A47:A48"/>
    <mergeCell ref="B47:B48"/>
    <mergeCell ref="C47:C48"/>
    <mergeCell ref="D47:D48"/>
    <mergeCell ref="E47:E48"/>
    <mergeCell ref="F47:F48"/>
    <mergeCell ref="A49:A50"/>
    <mergeCell ref="B49:B50"/>
    <mergeCell ref="C49:C50"/>
    <mergeCell ref="D49:D50"/>
    <mergeCell ref="E49:E50"/>
    <mergeCell ref="F49:F50"/>
    <mergeCell ref="A51:A52"/>
    <mergeCell ref="B51:B52"/>
    <mergeCell ref="C51:C52"/>
    <mergeCell ref="D51:D52"/>
    <mergeCell ref="E51:E52"/>
    <mergeCell ref="F51:F52"/>
  </mergeCells>
  <conditionalFormatting sqref="C3:C52">
    <cfRule type="containsText" dxfId="4" priority="9" operator="containsText" text="Impact">
      <formula>NOT(ISERROR(SEARCH("Impact",C3)))</formula>
    </cfRule>
  </conditionalFormatting>
  <conditionalFormatting sqref="B3:B52">
    <cfRule type="containsText" dxfId="3" priority="5" operator="containsText" text="Impact">
      <formula>NOT(ISERROR(SEARCH("Impact",B3)))</formula>
    </cfRule>
    <cfRule type="containsText" dxfId="2" priority="6" operator="containsText" text="STO">
      <formula>NOT(ISERROR(SEARCH("STO",B3)))</formula>
    </cfRule>
    <cfRule type="cellIs" dxfId="1" priority="7" operator="equal">
      <formula>"MTO"</formula>
    </cfRule>
    <cfRule type="containsText" dxfId="0" priority="8" operator="containsText" text="Choose Outcome">
      <formula>NOT(ISERROR(SEARCH("Choose Outcome",B3)))</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Guidance </vt:lpstr>
      <vt:lpstr>Revision Tracker</vt:lpstr>
      <vt:lpstr>Logframe</vt:lpstr>
      <vt:lpstr>BenCountTemplate</vt:lpstr>
      <vt:lpstr>Gantt Chart</vt:lpstr>
      <vt:lpstr>Benefit Indicators</vt:lpstr>
      <vt:lpstr>People Indicators</vt:lpstr>
      <vt:lpstr>Result Indicators</vt:lpstr>
      <vt:lpstr>Example Logframe</vt:lpstr>
      <vt:lpstr>BenCountingEx1</vt:lpstr>
      <vt:lpstr>BenCountingEx2</vt:lpstr>
      <vt:lpstr>Gantt Chart Example</vt:lpstr>
      <vt:lpstr>Example Benefit</vt:lpstr>
      <vt:lpstr>Example People</vt:lpstr>
      <vt:lpstr>Benefit-People-Indicator Ex</vt:lpstr>
      <vt:lpstr>Pivot Table</vt:lpstr>
      <vt:lpstr>indicator lists</vt:lpstr>
      <vt:lpstr>Example Results Indicator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Rachel</dc:creator>
  <cp:keywords/>
  <dc:description/>
  <cp:lastModifiedBy>Phanna, Chet</cp:lastModifiedBy>
  <cp:revision/>
  <dcterms:created xsi:type="dcterms:W3CDTF">2019-02-11T07:43:42Z</dcterms:created>
  <dcterms:modified xsi:type="dcterms:W3CDTF">2024-07-16T07:56:23Z</dcterms:modified>
  <cp:category/>
  <cp:contentStatus/>
</cp:coreProperties>
</file>